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newwb\Documents\brain\professional\university\LCAS\Vicon (EPSURIS) Main\Public Files\Documentation Data\"/>
    </mc:Choice>
  </mc:AlternateContent>
  <xr:revisionPtr revIDLastSave="0" documentId="13_ncr:1_{A7D708E3-ACAB-4A6F-9057-3024877D1458}" xr6:coauthVersionLast="47" xr6:coauthVersionMax="47" xr10:uidLastSave="{00000000-0000-0000-0000-000000000000}"/>
  <bookViews>
    <workbookView xWindow="-108" yWindow="-108" windowWidth="23256" windowHeight="13896" tabRatio="713" firstSheet="2" activeTab="2" xr2:uid="{00000000-000D-0000-FFFF-FFFF00000000}"/>
  </bookViews>
  <sheets>
    <sheet name="WIP" sheetId="1" r:id="rId1"/>
    <sheet name="Data-Lists" sheetId="2" r:id="rId2"/>
    <sheet name="Log" sheetId="19" r:id="rId3"/>
  </sheet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1250" i="19" l="1"/>
  <c r="I1250" i="19"/>
  <c r="H1251" i="19"/>
  <c r="I1251" i="19"/>
  <c r="H1252" i="19"/>
  <c r="I1252" i="19"/>
  <c r="H1253" i="19"/>
  <c r="I1253" i="19"/>
  <c r="H1254" i="19"/>
  <c r="I1254" i="19"/>
  <c r="H1255" i="19"/>
  <c r="I1255" i="19"/>
  <c r="H1256" i="19"/>
  <c r="I1256" i="19"/>
  <c r="H1257" i="19"/>
  <c r="I1257" i="19"/>
  <c r="H1258" i="19"/>
  <c r="I1258" i="19"/>
  <c r="H1259" i="19"/>
  <c r="I1259" i="19"/>
  <c r="H1260" i="19"/>
  <c r="I1260" i="19"/>
  <c r="H1261" i="19"/>
  <c r="I1261" i="19"/>
  <c r="H1262" i="19"/>
  <c r="I1262" i="19"/>
  <c r="H1263" i="19"/>
  <c r="I1263" i="19"/>
  <c r="H1264" i="19"/>
  <c r="I1264" i="19"/>
  <c r="H1265" i="19"/>
  <c r="I1265" i="19"/>
  <c r="H1266" i="19"/>
  <c r="I1266" i="19"/>
  <c r="H1267" i="19"/>
  <c r="I1267" i="19"/>
  <c r="H1214" i="19"/>
  <c r="I1214" i="19"/>
  <c r="H1215" i="19"/>
  <c r="I1215" i="19"/>
  <c r="H1216" i="19"/>
  <c r="I1216" i="19"/>
  <c r="H1217" i="19"/>
  <c r="I1217" i="19"/>
  <c r="H1218" i="19"/>
  <c r="I1218" i="19"/>
  <c r="H1219" i="19"/>
  <c r="I1219" i="19"/>
  <c r="H1220" i="19"/>
  <c r="I1220" i="19"/>
  <c r="H1221" i="19"/>
  <c r="I1221" i="19"/>
  <c r="H1222" i="19"/>
  <c r="I1222" i="19"/>
  <c r="H1223" i="19"/>
  <c r="I1223" i="19"/>
  <c r="H1224" i="19"/>
  <c r="I1224" i="19"/>
  <c r="H1225" i="19"/>
  <c r="I1225" i="19"/>
  <c r="H1226" i="19"/>
  <c r="I1226" i="19"/>
  <c r="H1227" i="19"/>
  <c r="I1227" i="19"/>
  <c r="H1228" i="19"/>
  <c r="I1228" i="19"/>
  <c r="H1229" i="19"/>
  <c r="I1229" i="19"/>
  <c r="H1230" i="19"/>
  <c r="I1230" i="19"/>
  <c r="H1231" i="19"/>
  <c r="I1231" i="19"/>
  <c r="H1208" i="19"/>
  <c r="I1208" i="19"/>
  <c r="H1209" i="19"/>
  <c r="I1209" i="19"/>
  <c r="H1210" i="19"/>
  <c r="I1210" i="19"/>
  <c r="H1211" i="19"/>
  <c r="I1211" i="19"/>
  <c r="H1212" i="19"/>
  <c r="I1212" i="19"/>
  <c r="H1213" i="19"/>
  <c r="I1213" i="19"/>
  <c r="H1154" i="19"/>
  <c r="I1154" i="19"/>
  <c r="H1155" i="19"/>
  <c r="I1155" i="19"/>
  <c r="H1156" i="19"/>
  <c r="I1156" i="19"/>
  <c r="H1157" i="19"/>
  <c r="I1157" i="19"/>
  <c r="H1158" i="19"/>
  <c r="I1158" i="19"/>
  <c r="H1159" i="19"/>
  <c r="I1159" i="19"/>
  <c r="H1160" i="19"/>
  <c r="I1160" i="19"/>
  <c r="H1161" i="19"/>
  <c r="I1161" i="19"/>
  <c r="H1162" i="19"/>
  <c r="I1162" i="19"/>
  <c r="H1163" i="19"/>
  <c r="I1163" i="19"/>
  <c r="H1164" i="19"/>
  <c r="I1164" i="19"/>
  <c r="H1165" i="19"/>
  <c r="I1165" i="19"/>
  <c r="H1166" i="19"/>
  <c r="I1166" i="19"/>
  <c r="H1167" i="19"/>
  <c r="I1167" i="19"/>
  <c r="H1168" i="19"/>
  <c r="I1168" i="19"/>
  <c r="H1169" i="19"/>
  <c r="I1169" i="19"/>
  <c r="H1170" i="19"/>
  <c r="I1170" i="19"/>
  <c r="H1171" i="19"/>
  <c r="I1171" i="19"/>
  <c r="H1172" i="19"/>
  <c r="I1172" i="19"/>
  <c r="H1173" i="19"/>
  <c r="I1173" i="19"/>
  <c r="H1174" i="19"/>
  <c r="I1174" i="19"/>
  <c r="H1175" i="19"/>
  <c r="I1175" i="19"/>
  <c r="H1176" i="19"/>
  <c r="I1176" i="19"/>
  <c r="H1177" i="19"/>
  <c r="I1177" i="19"/>
  <c r="H1178" i="19"/>
  <c r="I1178" i="19"/>
  <c r="H1179" i="19"/>
  <c r="I1179" i="19"/>
  <c r="H1180" i="19"/>
  <c r="I1180" i="19"/>
  <c r="H1181" i="19"/>
  <c r="I1181" i="19"/>
  <c r="H1182" i="19"/>
  <c r="I1182" i="19"/>
  <c r="H1183" i="19"/>
  <c r="I1183" i="19"/>
  <c r="H1184" i="19"/>
  <c r="I1184" i="19"/>
  <c r="H1185" i="19"/>
  <c r="I1185" i="19"/>
  <c r="H1186" i="19"/>
  <c r="I1186" i="19"/>
  <c r="H1187" i="19"/>
  <c r="I1187" i="19"/>
  <c r="H1188" i="19"/>
  <c r="I1188" i="19"/>
  <c r="H1189" i="19"/>
  <c r="I1189" i="19"/>
  <c r="H1190" i="19"/>
  <c r="I1190" i="19"/>
  <c r="H1191" i="19"/>
  <c r="I1191" i="19"/>
  <c r="H1192" i="19"/>
  <c r="I1192" i="19"/>
  <c r="H1193" i="19"/>
  <c r="I1193" i="19"/>
  <c r="H1194" i="19"/>
  <c r="I1194" i="19"/>
  <c r="H1195" i="19"/>
  <c r="I1195" i="19"/>
  <c r="H1196" i="19"/>
  <c r="I1196" i="19"/>
  <c r="H1197" i="19"/>
  <c r="I1197" i="19"/>
  <c r="H1198" i="19"/>
  <c r="I1198" i="19"/>
  <c r="H1199" i="19"/>
  <c r="I1199" i="19"/>
  <c r="H1200" i="19"/>
  <c r="I1200" i="19"/>
  <c r="H1201" i="19"/>
  <c r="I1201" i="19"/>
  <c r="H1202" i="19"/>
  <c r="I1202" i="19"/>
  <c r="H1203" i="19"/>
  <c r="I1203" i="19"/>
  <c r="H1204" i="19"/>
  <c r="I1204" i="19"/>
  <c r="H1205" i="19"/>
  <c r="I1205" i="19"/>
  <c r="H1206" i="19"/>
  <c r="I1206" i="19"/>
  <c r="H1207" i="19"/>
  <c r="I1207" i="19"/>
  <c r="H1152" i="19"/>
  <c r="I1151" i="19"/>
  <c r="H1151" i="19"/>
  <c r="I1150" i="19"/>
  <c r="H1150" i="19"/>
  <c r="I1149" i="19"/>
  <c r="H1149" i="19"/>
  <c r="I1148" i="19"/>
  <c r="H1148" i="19"/>
  <c r="I1147" i="19"/>
  <c r="H1147" i="19"/>
  <c r="I1145" i="19"/>
  <c r="H1145" i="19"/>
  <c r="I1144" i="19"/>
  <c r="H1144" i="19"/>
  <c r="I1143" i="19"/>
  <c r="H1143" i="19"/>
  <c r="I1142" i="19"/>
  <c r="H1142" i="19"/>
  <c r="I1141" i="19"/>
  <c r="H1141" i="19"/>
  <c r="I1140" i="19"/>
  <c r="H1140" i="19"/>
  <c r="I1138" i="19"/>
  <c r="H1138" i="19"/>
  <c r="I1137" i="19"/>
  <c r="H1137" i="19"/>
  <c r="I1136" i="19"/>
  <c r="H1136" i="19"/>
  <c r="I6" i="19"/>
  <c r="I7" i="19"/>
  <c r="I8" i="19"/>
  <c r="I9" i="19"/>
  <c r="I10" i="19"/>
  <c r="I11" i="19"/>
  <c r="I14" i="19"/>
  <c r="I15" i="19"/>
  <c r="I16" i="19"/>
  <c r="I17" i="19"/>
  <c r="I18" i="19"/>
  <c r="I19" i="19"/>
  <c r="I20" i="19"/>
  <c r="I21" i="19"/>
  <c r="I22" i="19"/>
  <c r="I23" i="19"/>
  <c r="I24" i="19"/>
  <c r="I25" i="19"/>
  <c r="I26" i="19"/>
  <c r="I28" i="19"/>
  <c r="I29" i="19"/>
  <c r="I30" i="19"/>
  <c r="I31" i="19"/>
  <c r="I32" i="19"/>
  <c r="I33" i="19"/>
  <c r="I34" i="19"/>
  <c r="I35" i="19"/>
  <c r="I36" i="19"/>
  <c r="I37" i="19"/>
  <c r="I38" i="19"/>
  <c r="I39" i="19"/>
  <c r="I40" i="19"/>
  <c r="I42" i="19"/>
  <c r="I43" i="19"/>
  <c r="I44" i="19"/>
  <c r="I45" i="19"/>
  <c r="I46" i="19"/>
  <c r="I47" i="19"/>
  <c r="I48" i="19"/>
  <c r="I49" i="19"/>
  <c r="I50" i="19"/>
  <c r="I51" i="19"/>
  <c r="I52" i="19"/>
  <c r="I53" i="19"/>
  <c r="I54" i="19"/>
  <c r="I56" i="19"/>
  <c r="I57" i="19"/>
  <c r="I58" i="19"/>
  <c r="I59" i="19"/>
  <c r="I60" i="19"/>
  <c r="I61" i="19"/>
  <c r="I62" i="19"/>
  <c r="I63" i="19"/>
  <c r="I64" i="19"/>
  <c r="I65" i="19"/>
  <c r="I66" i="19"/>
  <c r="I67" i="19"/>
  <c r="I68" i="19"/>
  <c r="I69" i="19"/>
  <c r="I70" i="19"/>
  <c r="I71" i="19"/>
  <c r="I72" i="19"/>
  <c r="I73" i="19"/>
  <c r="I74" i="19"/>
  <c r="I75" i="19"/>
  <c r="I76" i="19"/>
  <c r="I77" i="19"/>
  <c r="I78" i="19"/>
  <c r="I79" i="19"/>
  <c r="I80" i="19"/>
  <c r="I81" i="19"/>
  <c r="I82" i="19"/>
  <c r="I83" i="19"/>
  <c r="I84" i="19"/>
  <c r="I85" i="19"/>
  <c r="I86" i="19"/>
  <c r="I87" i="19"/>
  <c r="I88" i="19"/>
  <c r="I89" i="19"/>
  <c r="I90" i="19"/>
  <c r="I91" i="19"/>
  <c r="I92" i="19"/>
  <c r="I93" i="19"/>
  <c r="I94" i="19"/>
  <c r="I95" i="19"/>
  <c r="I96" i="19"/>
  <c r="I97" i="19"/>
  <c r="I98" i="19"/>
  <c r="I99" i="19"/>
  <c r="I100" i="19"/>
  <c r="I101" i="19"/>
  <c r="I102" i="19"/>
  <c r="I103" i="19"/>
  <c r="I104" i="19"/>
  <c r="I105" i="19"/>
  <c r="I106" i="19"/>
  <c r="I107" i="19"/>
  <c r="I108" i="19"/>
  <c r="I109" i="19"/>
  <c r="I110" i="19"/>
  <c r="I111" i="19"/>
  <c r="I112" i="19"/>
  <c r="I113" i="19"/>
  <c r="I114" i="19"/>
  <c r="I115" i="19"/>
  <c r="I116" i="19"/>
  <c r="I117" i="19"/>
  <c r="I118" i="19"/>
  <c r="I119" i="19"/>
  <c r="I120" i="19"/>
  <c r="I121" i="19"/>
  <c r="I122" i="19"/>
  <c r="I123" i="19"/>
  <c r="I124" i="19"/>
  <c r="I125" i="19"/>
  <c r="I126" i="19"/>
  <c r="I127" i="19"/>
  <c r="I128" i="19"/>
  <c r="I129" i="19"/>
  <c r="I130" i="19"/>
  <c r="I131" i="19"/>
  <c r="I132" i="19"/>
  <c r="I133" i="19"/>
  <c r="I134" i="19"/>
  <c r="I135" i="19"/>
  <c r="I136" i="19"/>
  <c r="I137" i="19"/>
  <c r="I138" i="19"/>
  <c r="I139" i="19"/>
  <c r="I140" i="19"/>
  <c r="I141" i="19"/>
  <c r="I142" i="19"/>
  <c r="I143" i="19"/>
  <c r="I144" i="19"/>
  <c r="I145" i="19"/>
  <c r="I146" i="19"/>
  <c r="I147" i="19"/>
  <c r="I148" i="19"/>
  <c r="I149" i="19"/>
  <c r="I150" i="19"/>
  <c r="I151" i="19"/>
  <c r="I152" i="19"/>
  <c r="I153" i="19"/>
  <c r="I154" i="19"/>
  <c r="I155" i="19"/>
  <c r="I156" i="19"/>
  <c r="I157" i="19"/>
  <c r="I158" i="19"/>
  <c r="I159" i="19"/>
  <c r="I160" i="19"/>
  <c r="I161" i="19"/>
  <c r="I162" i="19"/>
  <c r="I163" i="19"/>
  <c r="I164" i="19"/>
  <c r="I165" i="19"/>
  <c r="I166" i="19"/>
  <c r="I167" i="19"/>
  <c r="I168" i="19"/>
  <c r="I169" i="19"/>
  <c r="I170" i="19"/>
  <c r="I171" i="19"/>
  <c r="I172" i="19"/>
  <c r="I173" i="19"/>
  <c r="I174" i="19"/>
  <c r="I175" i="19"/>
  <c r="I176" i="19"/>
  <c r="I177" i="19"/>
  <c r="I178" i="19"/>
  <c r="I179" i="19"/>
  <c r="I180" i="19"/>
  <c r="I181" i="19"/>
  <c r="I182" i="19"/>
  <c r="I183" i="19"/>
  <c r="I184" i="19"/>
  <c r="I185" i="19"/>
  <c r="I186" i="19"/>
  <c r="I187" i="19"/>
  <c r="I188" i="19"/>
  <c r="I189" i="19"/>
  <c r="I190" i="19"/>
  <c r="I191" i="19"/>
  <c r="I192" i="19"/>
  <c r="I193" i="19"/>
  <c r="I194" i="19"/>
  <c r="I195" i="19"/>
  <c r="I196" i="19"/>
  <c r="I197" i="19"/>
  <c r="I198" i="19"/>
  <c r="I199" i="19"/>
  <c r="I200" i="19"/>
  <c r="I201" i="19"/>
  <c r="I202" i="19"/>
  <c r="I203" i="19"/>
  <c r="I204" i="19"/>
  <c r="I205" i="19"/>
  <c r="I206" i="19"/>
  <c r="I207" i="19"/>
  <c r="I208" i="19"/>
  <c r="I209" i="19"/>
  <c r="I210" i="19"/>
  <c r="I211" i="19"/>
  <c r="I212" i="19"/>
  <c r="I213" i="19"/>
  <c r="I214" i="19"/>
  <c r="I215" i="19"/>
  <c r="I216" i="19"/>
  <c r="I217" i="19"/>
  <c r="I218" i="19"/>
  <c r="I219" i="19"/>
  <c r="I220" i="19"/>
  <c r="I221" i="19"/>
  <c r="I222" i="19"/>
  <c r="I223" i="19"/>
  <c r="I224" i="19"/>
  <c r="I225" i="19"/>
  <c r="I226" i="19"/>
  <c r="I227" i="19"/>
  <c r="I228" i="19"/>
  <c r="I229" i="19"/>
  <c r="I230" i="19"/>
  <c r="I231" i="19"/>
  <c r="I232" i="19"/>
  <c r="I233" i="19"/>
  <c r="I234" i="19"/>
  <c r="I235" i="19"/>
  <c r="I236" i="19"/>
  <c r="I237" i="19"/>
  <c r="I238" i="19"/>
  <c r="I239" i="19"/>
  <c r="I240" i="19"/>
  <c r="I241" i="19"/>
  <c r="I242" i="19"/>
  <c r="I243" i="19"/>
  <c r="I244" i="19"/>
  <c r="I245" i="19"/>
  <c r="I246" i="19"/>
  <c r="I247" i="19"/>
  <c r="I248" i="19"/>
  <c r="I249" i="19"/>
  <c r="I250" i="19"/>
  <c r="I251" i="19"/>
  <c r="I252" i="19"/>
  <c r="I253" i="19"/>
  <c r="I254" i="19"/>
  <c r="I255" i="19"/>
  <c r="I256" i="19"/>
  <c r="I257" i="19"/>
  <c r="I258" i="19"/>
  <c r="I259" i="19"/>
  <c r="I260" i="19"/>
  <c r="I261" i="19"/>
  <c r="I262" i="19"/>
  <c r="I263" i="19"/>
  <c r="I264" i="19"/>
  <c r="I265" i="19"/>
  <c r="I266" i="19"/>
  <c r="I267" i="19"/>
  <c r="I268" i="19"/>
  <c r="I269" i="19"/>
  <c r="I270" i="19"/>
  <c r="I271" i="19"/>
  <c r="I272" i="19"/>
  <c r="I273" i="19"/>
  <c r="I274" i="19"/>
  <c r="I275" i="19"/>
  <c r="I276" i="19"/>
  <c r="I277" i="19"/>
  <c r="I278" i="19"/>
  <c r="I279" i="19"/>
  <c r="I280" i="19"/>
  <c r="I281" i="19"/>
  <c r="I282" i="19"/>
  <c r="I283" i="19"/>
  <c r="I284" i="19"/>
  <c r="I285" i="19"/>
  <c r="I286" i="19"/>
  <c r="I287" i="19"/>
  <c r="I288" i="19"/>
  <c r="I289" i="19"/>
  <c r="I290" i="19"/>
  <c r="I291" i="19"/>
  <c r="I292" i="19"/>
  <c r="I293" i="19"/>
  <c r="I294" i="19"/>
  <c r="I295" i="19"/>
  <c r="I296" i="19"/>
  <c r="I297" i="19"/>
  <c r="I298" i="19"/>
  <c r="I299" i="19"/>
  <c r="I300" i="19"/>
  <c r="I301" i="19"/>
  <c r="I302" i="19"/>
  <c r="I303" i="19"/>
  <c r="I304" i="19"/>
  <c r="I305" i="19"/>
  <c r="I306" i="19"/>
  <c r="I307" i="19"/>
  <c r="I308" i="19"/>
  <c r="I309" i="19"/>
  <c r="I310" i="19"/>
  <c r="I311" i="19"/>
  <c r="I312" i="19"/>
  <c r="I313" i="19"/>
  <c r="I314" i="19"/>
  <c r="I315" i="19"/>
  <c r="I316" i="19"/>
  <c r="I317" i="19"/>
  <c r="I318" i="19"/>
  <c r="I319" i="19"/>
  <c r="I320" i="19"/>
  <c r="I321" i="19"/>
  <c r="I322" i="19"/>
  <c r="I323" i="19"/>
  <c r="I324" i="19"/>
  <c r="I325" i="19"/>
  <c r="I326" i="19"/>
  <c r="I327" i="19"/>
  <c r="I328" i="19"/>
  <c r="I329" i="19"/>
  <c r="I330" i="19"/>
  <c r="I331" i="19"/>
  <c r="I332" i="19"/>
  <c r="I333" i="19"/>
  <c r="I334" i="19"/>
  <c r="I335" i="19"/>
  <c r="I336" i="19"/>
  <c r="I337" i="19"/>
  <c r="I338" i="19"/>
  <c r="I339" i="19"/>
  <c r="I340" i="19"/>
  <c r="I341" i="19"/>
  <c r="I342" i="19"/>
  <c r="I343" i="19"/>
  <c r="I344" i="19"/>
  <c r="I345" i="19"/>
  <c r="I346" i="19"/>
  <c r="I347" i="19"/>
  <c r="I348" i="19"/>
  <c r="I349" i="19"/>
  <c r="I350" i="19"/>
  <c r="I351" i="19"/>
  <c r="I352" i="19"/>
  <c r="I353" i="19"/>
  <c r="I354" i="19"/>
  <c r="I355" i="19"/>
  <c r="I356" i="19"/>
  <c r="I357" i="19"/>
  <c r="I358" i="19"/>
  <c r="I359" i="19"/>
  <c r="I360" i="19"/>
  <c r="I361" i="19"/>
  <c r="I362" i="19"/>
  <c r="I363" i="19"/>
  <c r="I364" i="19"/>
  <c r="I365" i="19"/>
  <c r="I366" i="19"/>
  <c r="I367" i="19"/>
  <c r="I368" i="19"/>
  <c r="I369" i="19"/>
  <c r="I370" i="19"/>
  <c r="I371" i="19"/>
  <c r="I372" i="19"/>
  <c r="I373" i="19"/>
  <c r="I374" i="19"/>
  <c r="I375" i="19"/>
  <c r="I376" i="19"/>
  <c r="I377" i="19"/>
  <c r="I378" i="19"/>
  <c r="I379" i="19"/>
  <c r="I380" i="19"/>
  <c r="I381" i="19"/>
  <c r="I382" i="19"/>
  <c r="I383" i="19"/>
  <c r="I384" i="19"/>
  <c r="I385" i="19"/>
  <c r="I386" i="19"/>
  <c r="I387" i="19"/>
  <c r="I388" i="19"/>
  <c r="I389" i="19"/>
  <c r="I390" i="19"/>
  <c r="I391" i="19"/>
  <c r="I392" i="19"/>
  <c r="I393" i="19"/>
  <c r="I394" i="19"/>
  <c r="I395" i="19"/>
  <c r="I396" i="19"/>
  <c r="I397" i="19"/>
  <c r="I398" i="19"/>
  <c r="I399" i="19"/>
  <c r="I400" i="19"/>
  <c r="I401" i="19"/>
  <c r="I402" i="19"/>
  <c r="I403" i="19"/>
  <c r="I404" i="19"/>
  <c r="I405" i="19"/>
  <c r="I406" i="19"/>
  <c r="I407" i="19"/>
  <c r="I408" i="19"/>
  <c r="I409" i="19"/>
  <c r="I410" i="19"/>
  <c r="I411" i="19"/>
  <c r="I412" i="19"/>
  <c r="I413" i="19"/>
  <c r="I414" i="19"/>
  <c r="I415" i="19"/>
  <c r="I416" i="19"/>
  <c r="I417" i="19"/>
  <c r="I418" i="19"/>
  <c r="I419" i="19"/>
  <c r="I420" i="19"/>
  <c r="I421" i="19"/>
  <c r="I422" i="19"/>
  <c r="I423" i="19"/>
  <c r="I424" i="19"/>
  <c r="I425" i="19"/>
  <c r="I426" i="19"/>
  <c r="I427" i="19"/>
  <c r="I428" i="19"/>
  <c r="I429" i="19"/>
  <c r="I430" i="19"/>
  <c r="I431" i="19"/>
  <c r="I432" i="19"/>
  <c r="I433" i="19"/>
  <c r="I434" i="19"/>
  <c r="I435" i="19"/>
  <c r="I436" i="19"/>
  <c r="I437" i="19"/>
  <c r="I438" i="19"/>
  <c r="I439" i="19"/>
  <c r="I440" i="19"/>
  <c r="I441" i="19"/>
  <c r="I442" i="19"/>
  <c r="I443" i="19"/>
  <c r="I444" i="19"/>
  <c r="I445" i="19"/>
  <c r="I446" i="19"/>
  <c r="I447" i="19"/>
  <c r="I448" i="19"/>
  <c r="I449" i="19"/>
  <c r="I450" i="19"/>
  <c r="I451" i="19"/>
  <c r="I452" i="19"/>
  <c r="I453" i="19"/>
  <c r="I454" i="19"/>
  <c r="I455" i="19"/>
  <c r="I456" i="19"/>
  <c r="I457" i="19"/>
  <c r="I458" i="19"/>
  <c r="I459" i="19"/>
  <c r="I460" i="19"/>
  <c r="I461" i="19"/>
  <c r="I462" i="19"/>
  <c r="I463" i="19"/>
  <c r="I464" i="19"/>
  <c r="I465" i="19"/>
  <c r="I466" i="19"/>
  <c r="I467" i="19"/>
  <c r="I468" i="19"/>
  <c r="I469" i="19"/>
  <c r="I470" i="19"/>
  <c r="I471" i="19"/>
  <c r="I472" i="19"/>
  <c r="I473" i="19"/>
  <c r="I474" i="19"/>
  <c r="I475" i="19"/>
  <c r="I476" i="19"/>
  <c r="I477" i="19"/>
  <c r="I478" i="19"/>
  <c r="I479" i="19"/>
  <c r="I480" i="19"/>
  <c r="I481" i="19"/>
  <c r="I482" i="19"/>
  <c r="I483" i="19"/>
  <c r="I484" i="19"/>
  <c r="I485" i="19"/>
  <c r="I486" i="19"/>
  <c r="I487" i="19"/>
  <c r="I488" i="19"/>
  <c r="I489" i="19"/>
  <c r="I490" i="19"/>
  <c r="I491" i="19"/>
  <c r="I492" i="19"/>
  <c r="I493" i="19"/>
  <c r="I494" i="19"/>
  <c r="I495" i="19"/>
  <c r="I496" i="19"/>
  <c r="I497" i="19"/>
  <c r="I498" i="19"/>
  <c r="I499" i="19"/>
  <c r="I500" i="19"/>
  <c r="I501" i="19"/>
  <c r="I502" i="19"/>
  <c r="I503" i="19"/>
  <c r="I504" i="19"/>
  <c r="I505" i="19"/>
  <c r="I506" i="19"/>
  <c r="I507" i="19"/>
  <c r="I508" i="19"/>
  <c r="I509" i="19"/>
  <c r="I510" i="19"/>
  <c r="I511" i="19"/>
  <c r="I512" i="19"/>
  <c r="I513" i="19"/>
  <c r="I514" i="19"/>
  <c r="I515" i="19"/>
  <c r="I516" i="19"/>
  <c r="I517" i="19"/>
  <c r="I518" i="19"/>
  <c r="I519" i="19"/>
  <c r="I520" i="19"/>
  <c r="I521" i="19"/>
  <c r="I522" i="19"/>
  <c r="I523" i="19"/>
  <c r="I524" i="19"/>
  <c r="I525" i="19"/>
  <c r="I526" i="19"/>
  <c r="I527" i="19"/>
  <c r="I528" i="19"/>
  <c r="I529" i="19"/>
  <c r="I530" i="19"/>
  <c r="I531" i="19"/>
  <c r="I532" i="19"/>
  <c r="I533" i="19"/>
  <c r="I534" i="19"/>
  <c r="I535" i="19"/>
  <c r="I536" i="19"/>
  <c r="I537" i="19"/>
  <c r="I538" i="19"/>
  <c r="I539" i="19"/>
  <c r="I540" i="19"/>
  <c r="I541" i="19"/>
  <c r="I542" i="19"/>
  <c r="I543" i="19"/>
  <c r="I544" i="19"/>
  <c r="I545" i="19"/>
  <c r="I546" i="19"/>
  <c r="I547" i="19"/>
  <c r="I548" i="19"/>
  <c r="I549" i="19"/>
  <c r="I550" i="19"/>
  <c r="I551" i="19"/>
  <c r="I552" i="19"/>
  <c r="I553" i="19"/>
  <c r="I554" i="19"/>
  <c r="I555" i="19"/>
  <c r="I556" i="19"/>
  <c r="I557" i="19"/>
  <c r="I558" i="19"/>
  <c r="I559" i="19"/>
  <c r="I560" i="19"/>
  <c r="I561" i="19"/>
  <c r="I562" i="19"/>
  <c r="I563" i="19"/>
  <c r="I564" i="19"/>
  <c r="I565" i="19"/>
  <c r="I566" i="19"/>
  <c r="I567" i="19"/>
  <c r="I568" i="19"/>
  <c r="I569" i="19"/>
  <c r="I570" i="19"/>
  <c r="I571" i="19"/>
  <c r="I572" i="19"/>
  <c r="I573" i="19"/>
  <c r="I574" i="19"/>
  <c r="I575" i="19"/>
  <c r="I576" i="19"/>
  <c r="I577" i="19"/>
  <c r="I578" i="19"/>
  <c r="I579" i="19"/>
  <c r="I580" i="19"/>
  <c r="I581" i="19"/>
  <c r="I582" i="19"/>
  <c r="I583" i="19"/>
  <c r="I584" i="19"/>
  <c r="I585" i="19"/>
  <c r="I586" i="19"/>
  <c r="I587" i="19"/>
  <c r="I588" i="19"/>
  <c r="I589" i="19"/>
  <c r="I590" i="19"/>
  <c r="I591" i="19"/>
  <c r="I592" i="19"/>
  <c r="I593" i="19"/>
  <c r="I594" i="19"/>
  <c r="I595" i="19"/>
  <c r="I596" i="19"/>
  <c r="I597" i="19"/>
  <c r="I598" i="19"/>
  <c r="I599" i="19"/>
  <c r="I600" i="19"/>
  <c r="I601" i="19"/>
  <c r="I602" i="19"/>
  <c r="I603" i="19"/>
  <c r="I604" i="19"/>
  <c r="I605" i="19"/>
  <c r="I606" i="19"/>
  <c r="I607" i="19"/>
  <c r="I608" i="19"/>
  <c r="I609" i="19"/>
  <c r="I610" i="19"/>
  <c r="I611" i="19"/>
  <c r="I612" i="19"/>
  <c r="I613" i="19"/>
  <c r="I614" i="19"/>
  <c r="I615" i="19"/>
  <c r="I616" i="19"/>
  <c r="I617" i="19"/>
  <c r="I618" i="19"/>
  <c r="I619" i="19"/>
  <c r="I620" i="19"/>
  <c r="I621" i="19"/>
  <c r="I622" i="19"/>
  <c r="I623" i="19"/>
  <c r="I624" i="19"/>
  <c r="I625" i="19"/>
  <c r="I626" i="19"/>
  <c r="I627" i="19"/>
  <c r="I628" i="19"/>
  <c r="I629" i="19"/>
  <c r="I630" i="19"/>
  <c r="I631" i="19"/>
  <c r="I632" i="19"/>
  <c r="I633" i="19"/>
  <c r="I634" i="19"/>
  <c r="I635" i="19"/>
  <c r="I636" i="19"/>
  <c r="I637" i="19"/>
  <c r="I638" i="19"/>
  <c r="I639" i="19"/>
  <c r="I640" i="19"/>
  <c r="I641" i="19"/>
  <c r="I642" i="19"/>
  <c r="I643" i="19"/>
  <c r="I644" i="19"/>
  <c r="I645" i="19"/>
  <c r="I646" i="19"/>
  <c r="I647" i="19"/>
  <c r="I648" i="19"/>
  <c r="I649" i="19"/>
  <c r="I650" i="19"/>
  <c r="I651" i="19"/>
  <c r="I652" i="19"/>
  <c r="I653" i="19"/>
  <c r="I654" i="19"/>
  <c r="I655" i="19"/>
  <c r="I656" i="19"/>
  <c r="I657" i="19"/>
  <c r="I658" i="19"/>
  <c r="I659" i="19"/>
  <c r="I660" i="19"/>
  <c r="I661" i="19"/>
  <c r="I662" i="19"/>
  <c r="I663" i="19"/>
  <c r="I664" i="19"/>
  <c r="I665" i="19"/>
  <c r="I666" i="19"/>
  <c r="I667" i="19"/>
  <c r="I668" i="19"/>
  <c r="I669" i="19"/>
  <c r="I670" i="19"/>
  <c r="I671" i="19"/>
  <c r="I672" i="19"/>
  <c r="I673" i="19"/>
  <c r="I674" i="19"/>
  <c r="I675" i="19"/>
  <c r="I676" i="19"/>
  <c r="I677" i="19"/>
  <c r="I678" i="19"/>
  <c r="I679" i="19"/>
  <c r="I680" i="19"/>
  <c r="I681" i="19"/>
  <c r="I682" i="19"/>
  <c r="I683" i="19"/>
  <c r="I684" i="19"/>
  <c r="I685" i="19"/>
  <c r="I686" i="19"/>
  <c r="I687" i="19"/>
  <c r="I688" i="19"/>
  <c r="I689" i="19"/>
  <c r="I690" i="19"/>
  <c r="I691" i="19"/>
  <c r="I692" i="19"/>
  <c r="I693" i="19"/>
  <c r="I694" i="19"/>
  <c r="I695" i="19"/>
  <c r="I696" i="19"/>
  <c r="I697" i="19"/>
  <c r="I698" i="19"/>
  <c r="I699" i="19"/>
  <c r="I700" i="19"/>
  <c r="I701" i="19"/>
  <c r="I702" i="19"/>
  <c r="I703" i="19"/>
  <c r="I704" i="19"/>
  <c r="I705" i="19"/>
  <c r="I706" i="19"/>
  <c r="I707" i="19"/>
  <c r="I708" i="19"/>
  <c r="I709" i="19"/>
  <c r="I710" i="19"/>
  <c r="I711" i="19"/>
  <c r="I712" i="19"/>
  <c r="I713" i="19"/>
  <c r="I714" i="19"/>
  <c r="I715" i="19"/>
  <c r="I716" i="19"/>
  <c r="I717" i="19"/>
  <c r="I718" i="19"/>
  <c r="I719" i="19"/>
  <c r="I720" i="19"/>
  <c r="I721" i="19"/>
  <c r="I722" i="19"/>
  <c r="I723" i="19"/>
  <c r="I724" i="19"/>
  <c r="I725" i="19"/>
  <c r="I726" i="19"/>
  <c r="I727" i="19"/>
  <c r="I728" i="19"/>
  <c r="I729" i="19"/>
  <c r="I730" i="19"/>
  <c r="I731" i="19"/>
  <c r="I732" i="19"/>
  <c r="I733" i="19"/>
  <c r="I734" i="19"/>
  <c r="I735" i="19"/>
  <c r="I736" i="19"/>
  <c r="I737" i="19"/>
  <c r="I738" i="19"/>
  <c r="I739" i="19"/>
  <c r="I740" i="19"/>
  <c r="I741" i="19"/>
  <c r="I742" i="19"/>
  <c r="I743" i="19"/>
  <c r="I744" i="19"/>
  <c r="I745" i="19"/>
  <c r="I746" i="19"/>
  <c r="I747" i="19"/>
  <c r="I748" i="19"/>
  <c r="I749" i="19"/>
  <c r="I750" i="19"/>
  <c r="I751" i="19"/>
  <c r="I752" i="19"/>
  <c r="I753" i="19"/>
  <c r="I754" i="19"/>
  <c r="I755" i="19"/>
  <c r="I756" i="19"/>
  <c r="I757" i="19"/>
  <c r="I758" i="19"/>
  <c r="I759" i="19"/>
  <c r="I760" i="19"/>
  <c r="I761" i="19"/>
  <c r="I762" i="19"/>
  <c r="I763" i="19"/>
  <c r="I764" i="19"/>
  <c r="I765" i="19"/>
  <c r="I766" i="19"/>
  <c r="I767" i="19"/>
  <c r="I768" i="19"/>
  <c r="I769" i="19"/>
  <c r="I770" i="19"/>
  <c r="I771" i="19"/>
  <c r="I772" i="19"/>
  <c r="I773" i="19"/>
  <c r="I774" i="19"/>
  <c r="I775" i="19"/>
  <c r="I776" i="19"/>
  <c r="I777" i="19"/>
  <c r="I778" i="19"/>
  <c r="I779" i="19"/>
  <c r="I780" i="19"/>
  <c r="I781" i="19"/>
  <c r="I782" i="19"/>
  <c r="I783" i="19"/>
  <c r="I784" i="19"/>
  <c r="I785" i="19"/>
  <c r="I786" i="19"/>
  <c r="I787" i="19"/>
  <c r="I788" i="19"/>
  <c r="I789" i="19"/>
  <c r="I790" i="19"/>
  <c r="I791" i="19"/>
  <c r="I792" i="19"/>
  <c r="I793" i="19"/>
  <c r="I794" i="19"/>
  <c r="I795" i="19"/>
  <c r="I796" i="19"/>
  <c r="I797" i="19"/>
  <c r="I798" i="19"/>
  <c r="I799" i="19"/>
  <c r="I800" i="19"/>
  <c r="I801" i="19"/>
  <c r="I802" i="19"/>
  <c r="I803" i="19"/>
  <c r="I804" i="19"/>
  <c r="I805" i="19"/>
  <c r="I806" i="19"/>
  <c r="I807" i="19"/>
  <c r="I808" i="19"/>
  <c r="I809" i="19"/>
  <c r="I810" i="19"/>
  <c r="I811" i="19"/>
  <c r="I812" i="19"/>
  <c r="I813" i="19"/>
  <c r="I814" i="19"/>
  <c r="I815" i="19"/>
  <c r="I816" i="19"/>
  <c r="I817" i="19"/>
  <c r="I818" i="19"/>
  <c r="I819" i="19"/>
  <c r="I820" i="19"/>
  <c r="I821" i="19"/>
  <c r="I822" i="19"/>
  <c r="I823" i="19"/>
  <c r="I824" i="19"/>
  <c r="I825" i="19"/>
  <c r="I826" i="19"/>
  <c r="I827" i="19"/>
  <c r="I828" i="19"/>
  <c r="I829" i="19"/>
  <c r="I830" i="19"/>
  <c r="I831" i="19"/>
  <c r="I832" i="19"/>
  <c r="I833" i="19"/>
  <c r="I834" i="19"/>
  <c r="I835" i="19"/>
  <c r="I836" i="19"/>
  <c r="I837" i="19"/>
  <c r="I838" i="19"/>
  <c r="I839" i="19"/>
  <c r="I840" i="19"/>
  <c r="I841" i="19"/>
  <c r="I842" i="19"/>
  <c r="I843" i="19"/>
  <c r="I844" i="19"/>
  <c r="I845" i="19"/>
  <c r="I846" i="19"/>
  <c r="I847" i="19"/>
  <c r="I848" i="19"/>
  <c r="I849" i="19"/>
  <c r="I850" i="19"/>
  <c r="I851" i="19"/>
  <c r="I852" i="19"/>
  <c r="I853" i="19"/>
  <c r="I854" i="19"/>
  <c r="I855" i="19"/>
  <c r="I856" i="19"/>
  <c r="I857" i="19"/>
  <c r="I858" i="19"/>
  <c r="I859" i="19"/>
  <c r="I860" i="19"/>
  <c r="I861" i="19"/>
  <c r="I862" i="19"/>
  <c r="I863" i="19"/>
  <c r="I864" i="19"/>
  <c r="I865" i="19"/>
  <c r="I866" i="19"/>
  <c r="I867" i="19"/>
  <c r="I868" i="19"/>
  <c r="I869" i="19"/>
  <c r="I870" i="19"/>
  <c r="I871" i="19"/>
  <c r="I872" i="19"/>
  <c r="I873" i="19"/>
  <c r="I874" i="19"/>
  <c r="I875" i="19"/>
  <c r="I876" i="19"/>
  <c r="I877" i="19"/>
  <c r="I878" i="19"/>
  <c r="I879" i="19"/>
  <c r="I880" i="19"/>
  <c r="I881" i="19"/>
  <c r="I882" i="19"/>
  <c r="I883" i="19"/>
  <c r="I884" i="19"/>
  <c r="I885" i="19"/>
  <c r="I886" i="19"/>
  <c r="I887" i="19"/>
  <c r="I888" i="19"/>
  <c r="I889" i="19"/>
  <c r="I890" i="19"/>
  <c r="I891" i="19"/>
  <c r="I892" i="19"/>
  <c r="I893" i="19"/>
  <c r="I894" i="19"/>
  <c r="I895" i="19"/>
  <c r="I896" i="19"/>
  <c r="I897" i="19"/>
  <c r="I898" i="19"/>
  <c r="I899" i="19"/>
  <c r="I900" i="19"/>
  <c r="I901" i="19"/>
  <c r="I902" i="19"/>
  <c r="I903" i="19"/>
  <c r="I904" i="19"/>
  <c r="I905" i="19"/>
  <c r="I906" i="19"/>
  <c r="I907" i="19"/>
  <c r="I908" i="19"/>
  <c r="I909" i="19"/>
  <c r="I910" i="19"/>
  <c r="I911" i="19"/>
  <c r="I912" i="19"/>
  <c r="I913" i="19"/>
  <c r="I914" i="19"/>
  <c r="I915" i="19"/>
  <c r="I916" i="19"/>
  <c r="I917" i="19"/>
  <c r="I918" i="19"/>
  <c r="I919" i="19"/>
  <c r="I920" i="19"/>
  <c r="I921" i="19"/>
  <c r="I922" i="19"/>
  <c r="I923" i="19"/>
  <c r="I924" i="19"/>
  <c r="I925" i="19"/>
  <c r="I926" i="19"/>
  <c r="I927" i="19"/>
  <c r="I928" i="19"/>
  <c r="I929" i="19"/>
  <c r="I930" i="19"/>
  <c r="I931" i="19"/>
  <c r="I932" i="19"/>
  <c r="I933" i="19"/>
  <c r="I934" i="19"/>
  <c r="I935" i="19"/>
  <c r="I936" i="19"/>
  <c r="I937" i="19"/>
  <c r="I938" i="19"/>
  <c r="I939" i="19"/>
  <c r="I940" i="19"/>
  <c r="I941" i="19"/>
  <c r="I942" i="19"/>
  <c r="I943" i="19"/>
  <c r="I944" i="19"/>
  <c r="I945" i="19"/>
  <c r="I946" i="19"/>
  <c r="I947" i="19"/>
  <c r="I948" i="19"/>
  <c r="I949" i="19"/>
  <c r="I950" i="19"/>
  <c r="I951" i="19"/>
  <c r="I952" i="19"/>
  <c r="I953" i="19"/>
  <c r="I954" i="19"/>
  <c r="I955" i="19"/>
  <c r="I956" i="19"/>
  <c r="I957" i="19"/>
  <c r="I958" i="19"/>
  <c r="I959" i="19"/>
  <c r="I960" i="19"/>
  <c r="I961" i="19"/>
  <c r="I962" i="19"/>
  <c r="I963" i="19"/>
  <c r="I964" i="19"/>
  <c r="I965" i="19"/>
  <c r="I966" i="19"/>
  <c r="I967" i="19"/>
  <c r="I968" i="19"/>
  <c r="I969" i="19"/>
  <c r="I970" i="19"/>
  <c r="I971" i="19"/>
  <c r="I972" i="19"/>
  <c r="I973" i="19"/>
  <c r="I974" i="19"/>
  <c r="I975" i="19"/>
  <c r="I976" i="19"/>
  <c r="I977" i="19"/>
  <c r="I978" i="19"/>
  <c r="I979" i="19"/>
  <c r="I980" i="19"/>
  <c r="I981" i="19"/>
  <c r="I982" i="19"/>
  <c r="I983" i="19"/>
  <c r="I984" i="19"/>
  <c r="I985" i="19"/>
  <c r="I986" i="19"/>
  <c r="I987" i="19"/>
  <c r="I988" i="19"/>
  <c r="I989" i="19"/>
  <c r="I990" i="19"/>
  <c r="I991" i="19"/>
  <c r="I992" i="19"/>
  <c r="I993" i="19"/>
  <c r="I994" i="19"/>
  <c r="I995" i="19"/>
  <c r="I996" i="19"/>
  <c r="I997" i="19"/>
  <c r="I998" i="19"/>
  <c r="I999" i="19"/>
  <c r="I1000" i="19"/>
  <c r="I1001" i="19"/>
  <c r="I1002" i="19"/>
  <c r="I1003" i="19"/>
  <c r="I1004" i="19"/>
  <c r="I1005" i="19"/>
  <c r="I1006" i="19"/>
  <c r="I1007" i="19"/>
  <c r="I1008" i="19"/>
  <c r="I1009" i="19"/>
  <c r="I1010" i="19"/>
  <c r="I1011" i="19"/>
  <c r="I1012" i="19"/>
  <c r="I1013" i="19"/>
  <c r="I1014" i="19"/>
  <c r="I1015" i="19"/>
  <c r="I1016" i="19"/>
  <c r="I1017" i="19"/>
  <c r="I1018" i="19"/>
  <c r="I1019" i="19"/>
  <c r="I1020" i="19"/>
  <c r="I1021" i="19"/>
  <c r="I1022" i="19"/>
  <c r="I1023" i="19"/>
  <c r="I1024" i="19"/>
  <c r="I1025" i="19"/>
  <c r="I1026" i="19"/>
  <c r="I1027" i="19"/>
  <c r="I1046" i="19"/>
  <c r="I1047" i="19"/>
  <c r="I1048" i="19"/>
  <c r="I1049" i="19"/>
  <c r="I1050" i="19"/>
  <c r="I1051" i="19"/>
  <c r="I1052" i="19"/>
  <c r="I1053" i="19"/>
  <c r="I1054" i="19"/>
  <c r="I1055" i="19"/>
  <c r="I1056" i="19"/>
  <c r="I1057" i="19"/>
  <c r="I1058" i="19"/>
  <c r="I1059" i="19"/>
  <c r="I1060" i="19"/>
  <c r="I1061" i="19"/>
  <c r="I1062" i="19"/>
  <c r="I1063" i="19"/>
  <c r="H6" i="19"/>
  <c r="H3" i="19"/>
  <c r="H4" i="19"/>
  <c r="H5" i="19"/>
  <c r="H7" i="19"/>
  <c r="H8" i="19"/>
  <c r="H9" i="19"/>
  <c r="H10" i="19"/>
  <c r="H11" i="19"/>
  <c r="H12" i="19"/>
  <c r="H13" i="19"/>
  <c r="H14" i="19"/>
  <c r="H15" i="19"/>
  <c r="H16" i="19"/>
  <c r="H17" i="19"/>
  <c r="H18" i="19"/>
  <c r="H19" i="19"/>
  <c r="H20" i="19"/>
  <c r="H21" i="19"/>
  <c r="H22" i="19"/>
  <c r="H23" i="19"/>
  <c r="H24" i="19"/>
  <c r="H25" i="19"/>
  <c r="H26" i="19"/>
  <c r="H27" i="19"/>
  <c r="H28" i="19"/>
  <c r="H29" i="19"/>
  <c r="H30" i="19"/>
  <c r="H31" i="19"/>
  <c r="H32" i="19"/>
  <c r="H33" i="19"/>
  <c r="H34" i="19"/>
  <c r="H35" i="19"/>
  <c r="H36" i="19"/>
  <c r="H37" i="19"/>
  <c r="H38" i="19"/>
  <c r="H39" i="19"/>
  <c r="H40" i="19"/>
  <c r="H41" i="19"/>
  <c r="H42" i="19"/>
  <c r="H43" i="19"/>
  <c r="H44" i="19"/>
  <c r="H45" i="19"/>
  <c r="H46" i="19"/>
  <c r="H47" i="19"/>
  <c r="H48" i="19"/>
  <c r="H49" i="19"/>
  <c r="H50" i="19"/>
  <c r="H51" i="19"/>
  <c r="H52" i="19"/>
  <c r="H53" i="19"/>
  <c r="H54" i="19"/>
  <c r="H55" i="19"/>
  <c r="H56" i="19"/>
  <c r="H57" i="19"/>
  <c r="H58" i="19"/>
  <c r="H59" i="19"/>
  <c r="H60" i="19"/>
  <c r="H61" i="19"/>
  <c r="H62" i="19"/>
  <c r="H63" i="19"/>
  <c r="H64" i="19"/>
  <c r="H65" i="19"/>
  <c r="H66" i="19"/>
  <c r="H67" i="19"/>
  <c r="H68" i="19"/>
  <c r="H69" i="19"/>
  <c r="H70" i="19"/>
  <c r="H71" i="19"/>
  <c r="H72" i="19"/>
  <c r="H73" i="19"/>
  <c r="H74" i="19"/>
  <c r="H75" i="19"/>
  <c r="H76" i="19"/>
  <c r="H77" i="19"/>
  <c r="H78" i="19"/>
  <c r="H79" i="19"/>
  <c r="H80" i="19"/>
  <c r="H81" i="19"/>
  <c r="H82" i="19"/>
  <c r="H83" i="19"/>
  <c r="H84" i="19"/>
  <c r="H85" i="19"/>
  <c r="H86" i="19"/>
  <c r="H87" i="19"/>
  <c r="H88" i="19"/>
  <c r="H89" i="19"/>
  <c r="H90" i="19"/>
  <c r="H91" i="19"/>
  <c r="H92" i="19"/>
  <c r="H93" i="19"/>
  <c r="H94" i="19"/>
  <c r="H95" i="19"/>
  <c r="H96" i="19"/>
  <c r="H97" i="19"/>
  <c r="H98" i="19"/>
  <c r="H99" i="19"/>
  <c r="H100" i="19"/>
  <c r="H101" i="19"/>
  <c r="H102" i="19"/>
  <c r="H103" i="19"/>
  <c r="H104" i="19"/>
  <c r="H105" i="19"/>
  <c r="H106" i="19"/>
  <c r="H107" i="19"/>
  <c r="H108" i="19"/>
  <c r="H109" i="19"/>
  <c r="H110" i="19"/>
  <c r="H111" i="19"/>
  <c r="H112" i="19"/>
  <c r="H113" i="19"/>
  <c r="H114" i="19"/>
  <c r="H115" i="19"/>
  <c r="H116" i="19"/>
  <c r="H117" i="19"/>
  <c r="H118" i="19"/>
  <c r="H119" i="19"/>
  <c r="H120" i="19"/>
  <c r="H121" i="19"/>
  <c r="H122" i="19"/>
  <c r="H123" i="19"/>
  <c r="H124" i="19"/>
  <c r="H125" i="19"/>
  <c r="H126" i="19"/>
  <c r="H127" i="19"/>
  <c r="H128" i="19"/>
  <c r="H129" i="19"/>
  <c r="H130" i="19"/>
  <c r="H131" i="19"/>
  <c r="H132" i="19"/>
  <c r="H133" i="19"/>
  <c r="H134" i="19"/>
  <c r="H135" i="19"/>
  <c r="H136" i="19"/>
  <c r="H137" i="19"/>
  <c r="H138" i="19"/>
  <c r="H139" i="19"/>
  <c r="H140" i="19"/>
  <c r="H141" i="19"/>
  <c r="H142" i="19"/>
  <c r="H143" i="19"/>
  <c r="H144" i="19"/>
  <c r="H145" i="19"/>
  <c r="H146" i="19"/>
  <c r="H147" i="19"/>
  <c r="H148" i="19"/>
  <c r="H149" i="19"/>
  <c r="H150" i="19"/>
  <c r="H151" i="19"/>
  <c r="H152" i="19"/>
  <c r="H153" i="19"/>
  <c r="H154" i="19"/>
  <c r="H155" i="19"/>
  <c r="H156" i="19"/>
  <c r="H157" i="19"/>
  <c r="H158" i="19"/>
  <c r="H159" i="19"/>
  <c r="H160" i="19"/>
  <c r="H161" i="19"/>
  <c r="H162" i="19"/>
  <c r="H163" i="19"/>
  <c r="H164" i="19"/>
  <c r="H165" i="19"/>
  <c r="H166" i="19"/>
  <c r="H167" i="19"/>
  <c r="H168" i="19"/>
  <c r="H169" i="19"/>
  <c r="H170" i="19"/>
  <c r="H171" i="19"/>
  <c r="H172" i="19"/>
  <c r="H173" i="19"/>
  <c r="H174" i="19"/>
  <c r="H175" i="19"/>
  <c r="H176" i="19"/>
  <c r="H177" i="19"/>
  <c r="H178" i="19"/>
  <c r="H179" i="19"/>
  <c r="H180" i="19"/>
  <c r="H181" i="19"/>
  <c r="H182" i="19"/>
  <c r="H183" i="19"/>
  <c r="H184" i="19"/>
  <c r="H185" i="19"/>
  <c r="H186" i="19"/>
  <c r="H187" i="19"/>
  <c r="H188" i="19"/>
  <c r="H189" i="19"/>
  <c r="H190" i="19"/>
  <c r="H191" i="19"/>
  <c r="H192" i="19"/>
  <c r="H193" i="19"/>
  <c r="H194" i="19"/>
  <c r="H195" i="19"/>
  <c r="H196" i="19"/>
  <c r="H197" i="19"/>
  <c r="H198" i="19"/>
  <c r="H199" i="19"/>
  <c r="H200" i="19"/>
  <c r="H201" i="19"/>
  <c r="H202" i="19"/>
  <c r="H203" i="19"/>
  <c r="H204" i="19"/>
  <c r="H205" i="19"/>
  <c r="H206" i="19"/>
  <c r="H207" i="19"/>
  <c r="H208" i="19"/>
  <c r="H209" i="19"/>
  <c r="H210" i="19"/>
  <c r="H211" i="19"/>
  <c r="H212" i="19"/>
  <c r="H213" i="19"/>
  <c r="H214" i="19"/>
  <c r="H215" i="19"/>
  <c r="H216" i="19"/>
  <c r="H217" i="19"/>
  <c r="H218" i="19"/>
  <c r="H219" i="19"/>
  <c r="H220" i="19"/>
  <c r="H221" i="19"/>
  <c r="H222" i="19"/>
  <c r="H223" i="19"/>
  <c r="H224" i="19"/>
  <c r="H225" i="19"/>
  <c r="H226" i="19"/>
  <c r="H227" i="19"/>
  <c r="H228" i="19"/>
  <c r="H229" i="19"/>
  <c r="H230" i="19"/>
  <c r="H231" i="19"/>
  <c r="H232" i="19"/>
  <c r="H233" i="19"/>
  <c r="H234" i="19"/>
  <c r="H235" i="19"/>
  <c r="H236" i="19"/>
  <c r="H237" i="19"/>
  <c r="H238" i="19"/>
  <c r="H239" i="19"/>
  <c r="H240" i="19"/>
  <c r="H241" i="19"/>
  <c r="H242" i="19"/>
  <c r="H243" i="19"/>
  <c r="H244" i="19"/>
  <c r="H245" i="19"/>
  <c r="H246" i="19"/>
  <c r="H247" i="19"/>
  <c r="H248" i="19"/>
  <c r="H249" i="19"/>
  <c r="H250" i="19"/>
  <c r="H251" i="19"/>
  <c r="H252" i="19"/>
  <c r="H253" i="19"/>
  <c r="H254" i="19"/>
  <c r="H255" i="19"/>
  <c r="H256" i="19"/>
  <c r="H257" i="19"/>
  <c r="H258" i="19"/>
  <c r="H259" i="19"/>
  <c r="H260" i="19"/>
  <c r="H261" i="19"/>
  <c r="H262" i="19"/>
  <c r="H263" i="19"/>
  <c r="H264" i="19"/>
  <c r="H265" i="19"/>
  <c r="H266" i="19"/>
  <c r="H267" i="19"/>
  <c r="H268" i="19"/>
  <c r="H269" i="19"/>
  <c r="H270" i="19"/>
  <c r="H271" i="19"/>
  <c r="H272" i="19"/>
  <c r="H273" i="19"/>
  <c r="H274" i="19"/>
  <c r="H275" i="19"/>
  <c r="H276" i="19"/>
  <c r="H277" i="19"/>
  <c r="H278" i="19"/>
  <c r="H279" i="19"/>
  <c r="H280" i="19"/>
  <c r="H281" i="19"/>
  <c r="H282" i="19"/>
  <c r="H283" i="19"/>
  <c r="H284" i="19"/>
  <c r="H285" i="19"/>
  <c r="H286" i="19"/>
  <c r="H287" i="19"/>
  <c r="H288" i="19"/>
  <c r="H289" i="19"/>
  <c r="H290" i="19"/>
  <c r="H291" i="19"/>
  <c r="H292" i="19"/>
  <c r="H293" i="19"/>
  <c r="H294" i="19"/>
  <c r="H295" i="19"/>
  <c r="H296" i="19"/>
  <c r="H297" i="19"/>
  <c r="H298" i="19"/>
  <c r="H299" i="19"/>
  <c r="H300" i="19"/>
  <c r="H301" i="19"/>
  <c r="H302" i="19"/>
  <c r="H303" i="19"/>
  <c r="H304" i="19"/>
  <c r="H305" i="19"/>
  <c r="H306" i="19"/>
  <c r="H307" i="19"/>
  <c r="H308" i="19"/>
  <c r="H309" i="19"/>
  <c r="H310" i="19"/>
  <c r="H311" i="19"/>
  <c r="H312" i="19"/>
  <c r="H313" i="19"/>
  <c r="H314" i="19"/>
  <c r="H315" i="19"/>
  <c r="H316" i="19"/>
  <c r="H317" i="19"/>
  <c r="H318" i="19"/>
  <c r="H319" i="19"/>
  <c r="H320" i="19"/>
  <c r="H321" i="19"/>
  <c r="H322" i="19"/>
  <c r="H323" i="19"/>
  <c r="H324" i="19"/>
  <c r="H325" i="19"/>
  <c r="H326" i="19"/>
  <c r="H327" i="19"/>
  <c r="H328" i="19"/>
  <c r="H329" i="19"/>
  <c r="H330" i="19"/>
  <c r="H331" i="19"/>
  <c r="H332" i="19"/>
  <c r="H333" i="19"/>
  <c r="H334" i="19"/>
  <c r="H335" i="19"/>
  <c r="H336" i="19"/>
  <c r="H337" i="19"/>
  <c r="H338" i="19"/>
  <c r="H339" i="19"/>
  <c r="H340" i="19"/>
  <c r="H341" i="19"/>
  <c r="H342" i="19"/>
  <c r="H343" i="19"/>
  <c r="H344" i="19"/>
  <c r="H345" i="19"/>
  <c r="H346" i="19"/>
  <c r="H347" i="19"/>
  <c r="H348" i="19"/>
  <c r="H349" i="19"/>
  <c r="H350" i="19"/>
  <c r="H351" i="19"/>
  <c r="H352" i="19"/>
  <c r="H353" i="19"/>
  <c r="H354" i="19"/>
  <c r="H355" i="19"/>
  <c r="H356" i="19"/>
  <c r="H357" i="19"/>
  <c r="H358" i="19"/>
  <c r="H359" i="19"/>
  <c r="H360" i="19"/>
  <c r="H361" i="19"/>
  <c r="H362" i="19"/>
  <c r="H363" i="19"/>
  <c r="H364" i="19"/>
  <c r="H365" i="19"/>
  <c r="H366" i="19"/>
  <c r="H367" i="19"/>
  <c r="H368" i="19"/>
  <c r="H369" i="19"/>
  <c r="H370" i="19"/>
  <c r="H371" i="19"/>
  <c r="H372" i="19"/>
  <c r="H373" i="19"/>
  <c r="H374" i="19"/>
  <c r="H375" i="19"/>
  <c r="H376" i="19"/>
  <c r="H377" i="19"/>
  <c r="H378" i="19"/>
  <c r="H379" i="19"/>
  <c r="H380" i="19"/>
  <c r="H381" i="19"/>
  <c r="H382" i="19"/>
  <c r="H383" i="19"/>
  <c r="H384" i="19"/>
  <c r="H385" i="19"/>
  <c r="H386" i="19"/>
  <c r="H387" i="19"/>
  <c r="H388" i="19"/>
  <c r="H389" i="19"/>
  <c r="H390" i="19"/>
  <c r="H391" i="19"/>
  <c r="H392" i="19"/>
  <c r="H393" i="19"/>
  <c r="H394" i="19"/>
  <c r="H395" i="19"/>
  <c r="H396" i="19"/>
  <c r="H397" i="19"/>
  <c r="H398" i="19"/>
  <c r="H399" i="19"/>
  <c r="H400" i="19"/>
  <c r="H401" i="19"/>
  <c r="H402" i="19"/>
  <c r="H403" i="19"/>
  <c r="H404" i="19"/>
  <c r="H405" i="19"/>
  <c r="H406" i="19"/>
  <c r="H407" i="19"/>
  <c r="H408" i="19"/>
  <c r="H409" i="19"/>
  <c r="H410" i="19"/>
  <c r="H411" i="19"/>
  <c r="H412" i="19"/>
  <c r="H413" i="19"/>
  <c r="H414" i="19"/>
  <c r="H415" i="19"/>
  <c r="H416" i="19"/>
  <c r="H417" i="19"/>
  <c r="H418" i="19"/>
  <c r="H419" i="19"/>
  <c r="H420" i="19"/>
  <c r="H421" i="19"/>
  <c r="H422" i="19"/>
  <c r="H423" i="19"/>
  <c r="H424" i="19"/>
  <c r="H425" i="19"/>
  <c r="H426" i="19"/>
  <c r="H427" i="19"/>
  <c r="H428" i="19"/>
  <c r="H429" i="19"/>
  <c r="H430" i="19"/>
  <c r="H431" i="19"/>
  <c r="H432" i="19"/>
  <c r="H433" i="19"/>
  <c r="H434" i="19"/>
  <c r="H435" i="19"/>
  <c r="H436" i="19"/>
  <c r="H437" i="19"/>
  <c r="H438" i="19"/>
  <c r="H439" i="19"/>
  <c r="H440" i="19"/>
  <c r="H441" i="19"/>
  <c r="H442" i="19"/>
  <c r="H443" i="19"/>
  <c r="H444" i="19"/>
  <c r="H445" i="19"/>
  <c r="H446" i="19"/>
  <c r="H447" i="19"/>
  <c r="H448" i="19"/>
  <c r="H449" i="19"/>
  <c r="H450" i="19"/>
  <c r="H451" i="19"/>
  <c r="H452" i="19"/>
  <c r="H453" i="19"/>
  <c r="H454" i="19"/>
  <c r="H455" i="19"/>
  <c r="H456" i="19"/>
  <c r="H457" i="19"/>
  <c r="H458" i="19"/>
  <c r="H459" i="19"/>
  <c r="H460" i="19"/>
  <c r="H461" i="19"/>
  <c r="H462" i="19"/>
  <c r="H463" i="19"/>
  <c r="H464" i="19"/>
  <c r="H465" i="19"/>
  <c r="H466" i="19"/>
  <c r="H467" i="19"/>
  <c r="H468" i="19"/>
  <c r="H469" i="19"/>
  <c r="H470" i="19"/>
  <c r="H471" i="19"/>
  <c r="H472" i="19"/>
  <c r="H473" i="19"/>
  <c r="H474" i="19"/>
  <c r="H475" i="19"/>
  <c r="H476" i="19"/>
  <c r="H477" i="19"/>
  <c r="H478" i="19"/>
  <c r="H479" i="19"/>
  <c r="H480" i="19"/>
  <c r="H481" i="19"/>
  <c r="H482" i="19"/>
  <c r="H483" i="19"/>
  <c r="H484" i="19"/>
  <c r="H485" i="19"/>
  <c r="H486" i="19"/>
  <c r="H487" i="19"/>
  <c r="H488" i="19"/>
  <c r="H489" i="19"/>
  <c r="H490" i="19"/>
  <c r="H491" i="19"/>
  <c r="H492" i="19"/>
  <c r="H493" i="19"/>
  <c r="H494" i="19"/>
  <c r="H495" i="19"/>
  <c r="H496" i="19"/>
  <c r="H497" i="19"/>
  <c r="H498" i="19"/>
  <c r="H499" i="19"/>
  <c r="H500" i="19"/>
  <c r="H501" i="19"/>
  <c r="H502" i="19"/>
  <c r="H503" i="19"/>
  <c r="H504" i="19"/>
  <c r="H505" i="19"/>
  <c r="H506" i="19"/>
  <c r="H507" i="19"/>
  <c r="H508" i="19"/>
  <c r="H509" i="19"/>
  <c r="H510" i="19"/>
  <c r="H511" i="19"/>
  <c r="H512" i="19"/>
  <c r="H513" i="19"/>
  <c r="H514" i="19"/>
  <c r="H515" i="19"/>
  <c r="H516" i="19"/>
  <c r="H517" i="19"/>
  <c r="H518" i="19"/>
  <c r="H519" i="19"/>
  <c r="H520" i="19"/>
  <c r="H521" i="19"/>
  <c r="H522" i="19"/>
  <c r="H523" i="19"/>
  <c r="H524" i="19"/>
  <c r="H525" i="19"/>
  <c r="H526" i="19"/>
  <c r="H527" i="19"/>
  <c r="H528" i="19"/>
  <c r="H529" i="19"/>
  <c r="H530" i="19"/>
  <c r="H531" i="19"/>
  <c r="H532" i="19"/>
  <c r="H533" i="19"/>
  <c r="H534" i="19"/>
  <c r="H535" i="19"/>
  <c r="H536" i="19"/>
  <c r="H537" i="19"/>
  <c r="H538" i="19"/>
  <c r="H539" i="19"/>
  <c r="H540" i="19"/>
  <c r="H541" i="19"/>
  <c r="H542" i="19"/>
  <c r="H543" i="19"/>
  <c r="H544" i="19"/>
  <c r="H545" i="19"/>
  <c r="H546" i="19"/>
  <c r="H547" i="19"/>
  <c r="H548" i="19"/>
  <c r="H549" i="19"/>
  <c r="F3" i="2" l="1" a="1"/>
  <c r="F3" i="2" s="1"/>
  <c r="B1119" i="19"/>
  <c r="B1120" i="19"/>
  <c r="B1121" i="19"/>
  <c r="B1122" i="19"/>
  <c r="B1123" i="19"/>
  <c r="B1124" i="19"/>
  <c r="B1125" i="19"/>
  <c r="B1126" i="19"/>
  <c r="B1127" i="19"/>
  <c r="B1128" i="19"/>
  <c r="B1129" i="19"/>
  <c r="B1130" i="19"/>
  <c r="B1131" i="19"/>
  <c r="B1132" i="19"/>
  <c r="B1133" i="19"/>
  <c r="B1134" i="19"/>
  <c r="B1135" i="19"/>
  <c r="B1118" i="19"/>
  <c r="H1128" i="19" l="1"/>
  <c r="I1128" i="19"/>
  <c r="H1127" i="19"/>
  <c r="I1127" i="19"/>
  <c r="H1124" i="19"/>
  <c r="I1124" i="19"/>
  <c r="H1123" i="19"/>
  <c r="I1123" i="19"/>
  <c r="H1122" i="19"/>
  <c r="I1122" i="19"/>
  <c r="H1120" i="19"/>
  <c r="I1120" i="19"/>
  <c r="H1133" i="19"/>
  <c r="I1133" i="19"/>
  <c r="H1132" i="19"/>
  <c r="I1132" i="19"/>
  <c r="H1130" i="19"/>
  <c r="I1130" i="19"/>
  <c r="H1126" i="19"/>
  <c r="I1126" i="19"/>
  <c r="H1125" i="19"/>
  <c r="I1125" i="19"/>
  <c r="H1094" i="19"/>
  <c r="I1105" i="19"/>
  <c r="I1091" i="19"/>
  <c r="I1093" i="19"/>
  <c r="I1107" i="19"/>
  <c r="I1094" i="19"/>
  <c r="I1108" i="19"/>
  <c r="I1095" i="19"/>
  <c r="I1109" i="19"/>
  <c r="I1082" i="19"/>
  <c r="I1110" i="19"/>
  <c r="I1106" i="19"/>
  <c r="I1096" i="19"/>
  <c r="I1099" i="19"/>
  <c r="I1083" i="19"/>
  <c r="I1097" i="19"/>
  <c r="I1111" i="19"/>
  <c r="I1098" i="19"/>
  <c r="I1084" i="19"/>
  <c r="I1112" i="19"/>
  <c r="I1090" i="19"/>
  <c r="I1104" i="19"/>
  <c r="I1118" i="19"/>
  <c r="I1092" i="19"/>
  <c r="I1085" i="19"/>
  <c r="I1113" i="19"/>
  <c r="I1100" i="19"/>
  <c r="I1115" i="19"/>
  <c r="I1086" i="19"/>
  <c r="I1114" i="19"/>
  <c r="I1087" i="19"/>
  <c r="I1102" i="19"/>
  <c r="I1116" i="19"/>
  <c r="I1089" i="19"/>
  <c r="I1117" i="19"/>
  <c r="I1101" i="19"/>
  <c r="I1088" i="19"/>
  <c r="I1103" i="19"/>
  <c r="H1135" i="19"/>
  <c r="I1135" i="19"/>
  <c r="H1121" i="19"/>
  <c r="I1121" i="19"/>
  <c r="H1134" i="19"/>
  <c r="I1134" i="19"/>
  <c r="H1119" i="19"/>
  <c r="I1119" i="19"/>
  <c r="H1131" i="19"/>
  <c r="I1131" i="19"/>
  <c r="H1129" i="19"/>
  <c r="I1129" i="19"/>
  <c r="H1114" i="19"/>
  <c r="H1107" i="19"/>
  <c r="H1113" i="19"/>
  <c r="H1118" i="19"/>
  <c r="H1111" i="19"/>
  <c r="H1116" i="19"/>
  <c r="H1109" i="19"/>
  <c r="H1102" i="19"/>
  <c r="H1095" i="19"/>
  <c r="H1115" i="19"/>
  <c r="H1108" i="19"/>
  <c r="H1101" i="19"/>
  <c r="J23" i="19"/>
  <c r="J30" i="19"/>
  <c r="J37" i="19"/>
  <c r="J38" i="19"/>
  <c r="J45" i="19"/>
  <c r="J58" i="19"/>
  <c r="J59" i="19"/>
  <c r="J72" i="19"/>
  <c r="K75" i="19"/>
  <c r="J80" i="19"/>
  <c r="K82" i="19"/>
  <c r="J92" i="19"/>
  <c r="K92" i="19"/>
  <c r="J93" i="19"/>
  <c r="K93" i="19"/>
  <c r="J94" i="19"/>
  <c r="K94" i="19"/>
  <c r="J95" i="19"/>
  <c r="K95" i="19"/>
  <c r="J96" i="19"/>
  <c r="K96" i="19"/>
  <c r="J97" i="19"/>
  <c r="K97" i="19"/>
  <c r="J98" i="19"/>
  <c r="K98" i="19"/>
  <c r="J99" i="19"/>
  <c r="K99" i="19"/>
  <c r="J100" i="19"/>
  <c r="K100" i="19"/>
  <c r="J101" i="19"/>
  <c r="K101" i="19"/>
  <c r="J102" i="19"/>
  <c r="K102" i="19"/>
  <c r="J103" i="19"/>
  <c r="K103" i="19"/>
  <c r="J104" i="19"/>
  <c r="K104" i="19"/>
  <c r="J105" i="19"/>
  <c r="K105" i="19"/>
  <c r="J106" i="19"/>
  <c r="K106" i="19"/>
  <c r="J107" i="19"/>
  <c r="K107" i="19"/>
  <c r="J108" i="19"/>
  <c r="K108" i="19"/>
  <c r="J109" i="19"/>
  <c r="K109" i="19"/>
  <c r="J110" i="19"/>
  <c r="K110" i="19"/>
  <c r="K111" i="19"/>
  <c r="J111" i="19"/>
  <c r="J112" i="19"/>
  <c r="K112" i="19"/>
  <c r="J113" i="19"/>
  <c r="K113" i="19"/>
  <c r="J114" i="19"/>
  <c r="K114" i="19"/>
  <c r="J115" i="19"/>
  <c r="K115" i="19"/>
  <c r="J116" i="19"/>
  <c r="K116" i="19"/>
  <c r="K117" i="19"/>
  <c r="J117" i="19"/>
  <c r="J118" i="19"/>
  <c r="K118" i="19"/>
  <c r="J119" i="19"/>
  <c r="K119" i="19"/>
  <c r="J120" i="19"/>
  <c r="K120" i="19"/>
  <c r="J121" i="19"/>
  <c r="K121" i="19"/>
  <c r="J122" i="19"/>
  <c r="K122" i="19"/>
  <c r="J123" i="19"/>
  <c r="K123" i="19"/>
  <c r="J124" i="19"/>
  <c r="K124" i="19"/>
  <c r="J125" i="19"/>
  <c r="K125" i="19"/>
  <c r="J126" i="19"/>
  <c r="K126" i="19"/>
  <c r="J127" i="19"/>
  <c r="K127" i="19"/>
  <c r="J164" i="19"/>
  <c r="K164" i="19"/>
  <c r="J165" i="19"/>
  <c r="K165" i="19"/>
  <c r="J166" i="19"/>
  <c r="K166" i="19"/>
  <c r="J167" i="19"/>
  <c r="K167" i="19"/>
  <c r="J168" i="19"/>
  <c r="K168" i="19"/>
  <c r="J169" i="19"/>
  <c r="K169" i="19"/>
  <c r="J170" i="19"/>
  <c r="K170" i="19"/>
  <c r="J171" i="19"/>
  <c r="K171" i="19"/>
  <c r="J172" i="19"/>
  <c r="K172" i="19"/>
  <c r="J173" i="19"/>
  <c r="K173" i="19"/>
  <c r="J174" i="19"/>
  <c r="K174" i="19"/>
  <c r="J175" i="19"/>
  <c r="K175" i="19"/>
  <c r="J176" i="19"/>
  <c r="K176" i="19"/>
  <c r="J177" i="19"/>
  <c r="K177" i="19"/>
  <c r="J178" i="19"/>
  <c r="K178" i="19"/>
  <c r="J179" i="19"/>
  <c r="K179" i="19"/>
  <c r="J180" i="19"/>
  <c r="K180" i="19"/>
  <c r="J181" i="19"/>
  <c r="K181" i="19"/>
  <c r="J182" i="19"/>
  <c r="K182" i="19"/>
  <c r="J183" i="19"/>
  <c r="K183" i="19"/>
  <c r="J184" i="19"/>
  <c r="K184" i="19"/>
  <c r="J185" i="19"/>
  <c r="K185" i="19"/>
  <c r="J186" i="19"/>
  <c r="K186" i="19"/>
  <c r="J187" i="19"/>
  <c r="K187" i="19"/>
  <c r="J188" i="19"/>
  <c r="K188" i="19"/>
  <c r="J189" i="19"/>
  <c r="K189" i="19"/>
  <c r="K190" i="19"/>
  <c r="J190" i="19"/>
  <c r="J191" i="19"/>
  <c r="K191" i="19"/>
  <c r="J192" i="19"/>
  <c r="K192" i="19"/>
  <c r="J193" i="19"/>
  <c r="K193" i="19"/>
  <c r="J194" i="19"/>
  <c r="K194" i="19"/>
  <c r="J195" i="19"/>
  <c r="K195" i="19"/>
  <c r="J196" i="19"/>
  <c r="K196" i="19"/>
  <c r="K197" i="19"/>
  <c r="J197" i="19"/>
  <c r="J198" i="19"/>
  <c r="K198" i="19"/>
  <c r="J199" i="19"/>
  <c r="K199" i="19"/>
  <c r="H550" i="19"/>
  <c r="H551" i="19"/>
  <c r="H552" i="19"/>
  <c r="H553" i="19"/>
  <c r="H554" i="19"/>
  <c r="H555" i="19"/>
  <c r="H556" i="19"/>
  <c r="H557" i="19"/>
  <c r="H558" i="19"/>
  <c r="H559" i="19"/>
  <c r="H560" i="19"/>
  <c r="H561" i="19"/>
  <c r="H562" i="19"/>
  <c r="H563" i="19"/>
  <c r="H564" i="19"/>
  <c r="H565" i="19"/>
  <c r="H566" i="19"/>
  <c r="H567" i="19"/>
  <c r="H568" i="19"/>
  <c r="H569" i="19"/>
  <c r="H570" i="19"/>
  <c r="H571" i="19"/>
  <c r="H572" i="19"/>
  <c r="H573" i="19"/>
  <c r="H574" i="19"/>
  <c r="H575" i="19"/>
  <c r="H576" i="19"/>
  <c r="H577" i="19"/>
  <c r="H578" i="19"/>
  <c r="H579" i="19"/>
  <c r="H580" i="19"/>
  <c r="H581" i="19"/>
  <c r="H582" i="19"/>
  <c r="H583" i="19"/>
  <c r="H584" i="19"/>
  <c r="H585" i="19"/>
  <c r="H586" i="19"/>
  <c r="H587" i="19"/>
  <c r="H588" i="19"/>
  <c r="H589" i="19"/>
  <c r="H590" i="19"/>
  <c r="H591" i="19"/>
  <c r="H592" i="19"/>
  <c r="H593" i="19"/>
  <c r="H594" i="19"/>
  <c r="H595" i="19"/>
  <c r="H596" i="19"/>
  <c r="H597" i="19"/>
  <c r="H598" i="19"/>
  <c r="H599" i="19"/>
  <c r="H600" i="19"/>
  <c r="H601" i="19"/>
  <c r="H602" i="19"/>
  <c r="H603" i="19"/>
  <c r="H604" i="19"/>
  <c r="H605" i="19"/>
  <c r="H606" i="19"/>
  <c r="H607" i="19"/>
  <c r="H608" i="19"/>
  <c r="H609" i="19"/>
  <c r="H610" i="19"/>
  <c r="H611" i="19"/>
  <c r="H612" i="19"/>
  <c r="H613" i="19"/>
  <c r="H614" i="19"/>
  <c r="H615" i="19"/>
  <c r="H616" i="19"/>
  <c r="H617" i="19"/>
  <c r="H618" i="19"/>
  <c r="H619" i="19"/>
  <c r="H620" i="19"/>
  <c r="H621" i="19"/>
  <c r="H622" i="19"/>
  <c r="H623" i="19"/>
  <c r="H624" i="19"/>
  <c r="H625" i="19"/>
  <c r="H626" i="19"/>
  <c r="H627" i="19"/>
  <c r="H628" i="19"/>
  <c r="H629" i="19"/>
  <c r="H630" i="19"/>
  <c r="H631" i="19"/>
  <c r="H632" i="19"/>
  <c r="H633" i="19"/>
  <c r="H634" i="19"/>
  <c r="H635" i="19"/>
  <c r="H636" i="19"/>
  <c r="H637" i="19"/>
  <c r="H638" i="19"/>
  <c r="H639" i="19"/>
  <c r="H640" i="19"/>
  <c r="H641" i="19"/>
  <c r="H642" i="19"/>
  <c r="H643" i="19"/>
  <c r="H644" i="19"/>
  <c r="H645" i="19"/>
  <c r="H646" i="19"/>
  <c r="H647" i="19"/>
  <c r="H648" i="19"/>
  <c r="H649" i="19"/>
  <c r="H650" i="19"/>
  <c r="H651" i="19"/>
  <c r="H652" i="19"/>
  <c r="H653" i="19"/>
  <c r="H654" i="19"/>
  <c r="H655" i="19"/>
  <c r="H656" i="19"/>
  <c r="H657" i="19"/>
  <c r="H658" i="19"/>
  <c r="H659" i="19"/>
  <c r="H660" i="19"/>
  <c r="H661" i="19"/>
  <c r="H662" i="19"/>
  <c r="H663" i="19"/>
  <c r="H664" i="19"/>
  <c r="H665" i="19"/>
  <c r="H666" i="19"/>
  <c r="H667" i="19"/>
  <c r="H668" i="19"/>
  <c r="H669" i="19"/>
  <c r="H670" i="19"/>
  <c r="H671" i="19"/>
  <c r="H672" i="19"/>
  <c r="H673" i="19"/>
  <c r="H674" i="19"/>
  <c r="H675" i="19"/>
  <c r="H676" i="19"/>
  <c r="H677" i="19"/>
  <c r="H678" i="19"/>
  <c r="H679" i="19"/>
  <c r="H680" i="19"/>
  <c r="H681" i="19"/>
  <c r="H682" i="19"/>
  <c r="H683" i="19"/>
  <c r="H684" i="19"/>
  <c r="H685" i="19"/>
  <c r="H686" i="19"/>
  <c r="H687" i="19"/>
  <c r="H688" i="19"/>
  <c r="H689" i="19"/>
  <c r="H690" i="19"/>
  <c r="H691" i="19"/>
  <c r="H692" i="19"/>
  <c r="H693" i="19"/>
  <c r="H694" i="19"/>
  <c r="H695" i="19"/>
  <c r="H696" i="19"/>
  <c r="H697" i="19"/>
  <c r="H698" i="19"/>
  <c r="H699" i="19"/>
  <c r="H700" i="19"/>
  <c r="H701" i="19"/>
  <c r="H702" i="19"/>
  <c r="H703" i="19"/>
  <c r="H704" i="19"/>
  <c r="H705" i="19"/>
  <c r="H706" i="19"/>
  <c r="H707" i="19"/>
  <c r="H708" i="19"/>
  <c r="H709" i="19"/>
  <c r="H710" i="19"/>
  <c r="H711" i="19"/>
  <c r="H712" i="19"/>
  <c r="H713" i="19"/>
  <c r="H714" i="19"/>
  <c r="H715" i="19"/>
  <c r="H716" i="19"/>
  <c r="H717" i="19"/>
  <c r="H718" i="19"/>
  <c r="H719" i="19"/>
  <c r="H720" i="19"/>
  <c r="H721" i="19"/>
  <c r="H722" i="19"/>
  <c r="H723" i="19"/>
  <c r="H724" i="19"/>
  <c r="H725" i="19"/>
  <c r="H726" i="19"/>
  <c r="H727" i="19"/>
  <c r="H728" i="19"/>
  <c r="H729" i="19"/>
  <c r="H730" i="19"/>
  <c r="H731" i="19"/>
  <c r="H732" i="19"/>
  <c r="H733" i="19"/>
  <c r="H734" i="19"/>
  <c r="H735" i="19"/>
  <c r="H736" i="19"/>
  <c r="H737" i="19"/>
  <c r="H738" i="19"/>
  <c r="H739" i="19"/>
  <c r="H740" i="19"/>
  <c r="H741" i="19"/>
  <c r="H742" i="19"/>
  <c r="H743" i="19"/>
  <c r="H744" i="19"/>
  <c r="H745" i="19"/>
  <c r="H746" i="19"/>
  <c r="H747" i="19"/>
  <c r="H748" i="19"/>
  <c r="H749" i="19"/>
  <c r="H750" i="19"/>
  <c r="H751" i="19"/>
  <c r="H752" i="19"/>
  <c r="H753" i="19"/>
  <c r="H754" i="19"/>
  <c r="H755" i="19"/>
  <c r="H756" i="19"/>
  <c r="H757" i="19"/>
  <c r="H758" i="19"/>
  <c r="H759" i="19"/>
  <c r="H760" i="19"/>
  <c r="H761" i="19"/>
  <c r="H762" i="19"/>
  <c r="H763" i="19"/>
  <c r="H764" i="19"/>
  <c r="H765" i="19"/>
  <c r="H766" i="19"/>
  <c r="H767" i="19"/>
  <c r="H768" i="19"/>
  <c r="H769" i="19"/>
  <c r="H770" i="19"/>
  <c r="H771" i="19"/>
  <c r="H772" i="19"/>
  <c r="H773" i="19"/>
  <c r="H774" i="19"/>
  <c r="H775" i="19"/>
  <c r="H776" i="19"/>
  <c r="H777" i="19"/>
  <c r="H778" i="19"/>
  <c r="H779" i="19"/>
  <c r="H780" i="19"/>
  <c r="H781" i="19"/>
  <c r="H782" i="19"/>
  <c r="H783" i="19"/>
  <c r="H784" i="19"/>
  <c r="H785" i="19"/>
  <c r="H786" i="19"/>
  <c r="H787" i="19"/>
  <c r="H788" i="19"/>
  <c r="H789" i="19"/>
  <c r="H790" i="19"/>
  <c r="H791" i="19"/>
  <c r="H792" i="19"/>
  <c r="H793" i="19"/>
  <c r="H794" i="19"/>
  <c r="H795" i="19"/>
  <c r="H796" i="19"/>
  <c r="H797" i="19"/>
  <c r="H798" i="19"/>
  <c r="H799" i="19"/>
  <c r="H800" i="19"/>
  <c r="H801" i="19"/>
  <c r="H802" i="19"/>
  <c r="H803" i="19"/>
  <c r="H804" i="19"/>
  <c r="H805" i="19"/>
  <c r="H806" i="19"/>
  <c r="H807" i="19"/>
  <c r="H808" i="19"/>
  <c r="H809" i="19"/>
  <c r="H810" i="19"/>
  <c r="H811" i="19"/>
  <c r="H812" i="19"/>
  <c r="H813" i="19"/>
  <c r="H814" i="19"/>
  <c r="H815" i="19"/>
  <c r="H816" i="19"/>
  <c r="H817" i="19"/>
  <c r="H818" i="19"/>
  <c r="H819" i="19"/>
  <c r="H820" i="19"/>
  <c r="H821" i="19"/>
  <c r="H822" i="19"/>
  <c r="H823" i="19"/>
  <c r="H824" i="19"/>
  <c r="H825" i="19"/>
  <c r="H826" i="19"/>
  <c r="H827" i="19"/>
  <c r="H828" i="19"/>
  <c r="H829" i="19"/>
  <c r="H830" i="19"/>
  <c r="H831" i="19"/>
  <c r="H832" i="19"/>
  <c r="H833" i="19"/>
  <c r="H834" i="19"/>
  <c r="H835" i="19"/>
  <c r="H836" i="19"/>
  <c r="H837" i="19"/>
  <c r="H838" i="19"/>
  <c r="H839" i="19"/>
  <c r="H840" i="19"/>
  <c r="H841" i="19"/>
  <c r="H842" i="19"/>
  <c r="H843" i="19"/>
  <c r="H844" i="19"/>
  <c r="H845" i="19"/>
  <c r="H846" i="19"/>
  <c r="H847" i="19"/>
  <c r="H848" i="19"/>
  <c r="H849" i="19"/>
  <c r="H850" i="19"/>
  <c r="H851" i="19"/>
  <c r="H852" i="19"/>
  <c r="H853" i="19"/>
  <c r="H854" i="19"/>
  <c r="H855" i="19"/>
  <c r="H856" i="19"/>
  <c r="H857" i="19"/>
  <c r="H858" i="19"/>
  <c r="H859" i="19"/>
  <c r="H860" i="19"/>
  <c r="H861" i="19"/>
  <c r="H862" i="19"/>
  <c r="H863" i="19"/>
  <c r="H864" i="19"/>
  <c r="H865" i="19"/>
  <c r="H866" i="19"/>
  <c r="H867" i="19"/>
  <c r="H868" i="19"/>
  <c r="H869" i="19"/>
  <c r="H870" i="19"/>
  <c r="H871" i="19"/>
  <c r="H872" i="19"/>
  <c r="H873" i="19"/>
  <c r="H874" i="19"/>
  <c r="H875" i="19"/>
  <c r="H876" i="19"/>
  <c r="H877" i="19"/>
  <c r="H878" i="19"/>
  <c r="H879" i="19"/>
  <c r="H880" i="19"/>
  <c r="H881" i="19"/>
  <c r="H882" i="19"/>
  <c r="H883" i="19"/>
  <c r="H884" i="19"/>
  <c r="H885" i="19"/>
  <c r="H886" i="19"/>
  <c r="H887" i="19"/>
  <c r="H888" i="19"/>
  <c r="H889" i="19"/>
  <c r="H890" i="19"/>
  <c r="H891" i="19"/>
  <c r="H892" i="19"/>
  <c r="H893" i="19"/>
  <c r="H894" i="19"/>
  <c r="H895" i="19"/>
  <c r="H896" i="19"/>
  <c r="H897" i="19"/>
  <c r="H898" i="19"/>
  <c r="H899" i="19"/>
  <c r="H900" i="19"/>
  <c r="H901" i="19"/>
  <c r="H902" i="19"/>
  <c r="H903" i="19"/>
  <c r="H904" i="19"/>
  <c r="H905" i="19"/>
  <c r="H906" i="19"/>
  <c r="H907" i="19"/>
  <c r="H908" i="19"/>
  <c r="H909" i="19"/>
  <c r="H910" i="19"/>
  <c r="H911" i="19"/>
  <c r="H912" i="19"/>
  <c r="H913" i="19"/>
  <c r="H914" i="19"/>
  <c r="H915" i="19"/>
  <c r="H916" i="19"/>
  <c r="H917" i="19"/>
  <c r="H918" i="19"/>
  <c r="H919" i="19"/>
  <c r="H920" i="19"/>
  <c r="H921" i="19"/>
  <c r="H922" i="19"/>
  <c r="H923" i="19"/>
  <c r="H924" i="19"/>
  <c r="H925" i="19"/>
  <c r="H926" i="19"/>
  <c r="H927" i="19"/>
  <c r="H928" i="19"/>
  <c r="H929" i="19"/>
  <c r="H930" i="19"/>
  <c r="H931" i="19"/>
  <c r="H932" i="19"/>
  <c r="H933" i="19"/>
  <c r="H934" i="19"/>
  <c r="H935" i="19"/>
  <c r="H936" i="19"/>
  <c r="H937" i="19"/>
  <c r="H938" i="19"/>
  <c r="H939" i="19"/>
  <c r="H940" i="19"/>
  <c r="H941" i="19"/>
  <c r="H942" i="19"/>
  <c r="H943" i="19"/>
  <c r="H944" i="19"/>
  <c r="H945" i="19"/>
  <c r="H946" i="19"/>
  <c r="H947" i="19"/>
  <c r="H948" i="19"/>
  <c r="H949" i="19"/>
  <c r="H950" i="19"/>
  <c r="H951" i="19"/>
  <c r="H952" i="19"/>
  <c r="H953" i="19"/>
  <c r="H954" i="19"/>
  <c r="H955" i="19"/>
  <c r="H956" i="19"/>
  <c r="H957" i="19"/>
  <c r="H958" i="19"/>
  <c r="H959" i="19"/>
  <c r="H960" i="19"/>
  <c r="H961" i="19"/>
  <c r="H962" i="19"/>
  <c r="H963" i="19"/>
  <c r="H964" i="19"/>
  <c r="H965" i="19"/>
  <c r="H966" i="19"/>
  <c r="H967" i="19"/>
  <c r="H968" i="19"/>
  <c r="H969" i="19"/>
  <c r="H970" i="19"/>
  <c r="H971" i="19"/>
  <c r="H972" i="19"/>
  <c r="H973" i="19"/>
  <c r="H974" i="19"/>
  <c r="H975" i="19"/>
  <c r="H976" i="19"/>
  <c r="H977" i="19"/>
  <c r="H978" i="19"/>
  <c r="H979" i="19"/>
  <c r="H980" i="19"/>
  <c r="H981" i="19"/>
  <c r="H982" i="19"/>
  <c r="H983" i="19"/>
  <c r="H984" i="19"/>
  <c r="H985" i="19"/>
  <c r="H986" i="19"/>
  <c r="H987" i="19"/>
  <c r="H988" i="19"/>
  <c r="H989" i="19"/>
  <c r="H990" i="19"/>
  <c r="H991" i="19"/>
  <c r="H992" i="19"/>
  <c r="H993" i="19"/>
  <c r="H994" i="19"/>
  <c r="H995" i="19"/>
  <c r="H996" i="19"/>
  <c r="H997" i="19"/>
  <c r="H998" i="19"/>
  <c r="H999" i="19"/>
  <c r="H1000" i="19"/>
  <c r="H1001" i="19"/>
  <c r="H1002" i="19"/>
  <c r="H1003" i="19"/>
  <c r="H1004" i="19"/>
  <c r="H1005" i="19"/>
  <c r="H1006" i="19"/>
  <c r="H1007" i="19"/>
  <c r="H1008" i="19"/>
  <c r="H1009" i="19"/>
  <c r="H1010" i="19"/>
  <c r="H1011" i="19"/>
  <c r="H1012" i="19"/>
  <c r="H1013" i="19"/>
  <c r="H1014" i="19"/>
  <c r="H1015" i="19"/>
  <c r="H1016" i="19"/>
  <c r="H1017" i="19"/>
  <c r="H1018" i="19"/>
  <c r="H1019" i="19"/>
  <c r="H1020" i="19"/>
  <c r="H1021" i="19"/>
  <c r="H1022" i="19"/>
  <c r="H1023" i="19"/>
  <c r="H1024" i="19"/>
  <c r="H1025" i="19"/>
  <c r="H1026" i="19"/>
  <c r="H1027" i="19"/>
  <c r="B1028" i="19"/>
  <c r="B1029" i="19"/>
  <c r="B1030" i="19"/>
  <c r="B1031" i="19"/>
  <c r="B1032" i="19"/>
  <c r="B1033" i="19"/>
  <c r="B1034" i="19"/>
  <c r="B1035" i="19"/>
  <c r="I1035" i="19" s="1"/>
  <c r="B1036" i="19"/>
  <c r="B1037" i="19"/>
  <c r="B1038" i="19"/>
  <c r="B1039" i="19"/>
  <c r="B1040" i="19"/>
  <c r="B1041" i="19"/>
  <c r="B1042" i="19"/>
  <c r="B1043" i="19"/>
  <c r="B1044" i="19"/>
  <c r="B1045" i="19"/>
  <c r="H1046" i="19"/>
  <c r="H1047" i="19"/>
  <c r="H1048" i="19"/>
  <c r="H1049" i="19"/>
  <c r="H1050" i="19"/>
  <c r="H1051" i="19"/>
  <c r="H1052" i="19"/>
  <c r="H1053" i="19"/>
  <c r="H1054" i="19"/>
  <c r="H1055" i="19"/>
  <c r="H1056" i="19"/>
  <c r="H1057" i="19"/>
  <c r="H1058" i="19"/>
  <c r="H1059" i="19"/>
  <c r="H1060" i="19"/>
  <c r="H1061" i="19"/>
  <c r="H1062" i="19"/>
  <c r="H1063" i="19"/>
  <c r="B1064" i="19"/>
  <c r="B1065" i="19"/>
  <c r="B1066" i="19"/>
  <c r="B1067" i="19"/>
  <c r="B1068" i="19"/>
  <c r="B1069" i="19"/>
  <c r="B1070" i="19"/>
  <c r="B1071" i="19"/>
  <c r="B1072" i="19"/>
  <c r="B1073" i="19"/>
  <c r="B1074" i="19"/>
  <c r="B1075" i="19"/>
  <c r="B1076" i="19"/>
  <c r="B1077" i="19"/>
  <c r="I1077" i="19" s="1"/>
  <c r="B1078" i="19"/>
  <c r="B1079" i="19"/>
  <c r="B1080" i="19"/>
  <c r="B1081" i="19"/>
  <c r="H1082" i="19"/>
  <c r="H1083" i="19"/>
  <c r="H1084" i="19"/>
  <c r="H1085" i="19"/>
  <c r="H1086" i="19"/>
  <c r="H1087" i="19"/>
  <c r="B1232" i="19"/>
  <c r="B1233" i="19"/>
  <c r="B1234" i="19"/>
  <c r="B1235" i="19"/>
  <c r="B1236" i="19"/>
  <c r="B1237" i="19"/>
  <c r="B1238" i="19"/>
  <c r="B1239" i="19"/>
  <c r="B1240" i="19"/>
  <c r="B1241" i="19"/>
  <c r="B1242" i="19"/>
  <c r="B1243" i="19"/>
  <c r="B1244" i="19"/>
  <c r="B1245" i="19"/>
  <c r="B1246" i="19"/>
  <c r="B1247" i="19"/>
  <c r="B1248" i="19"/>
  <c r="B1249" i="19"/>
  <c r="B1268" i="19"/>
  <c r="B1269" i="19"/>
  <c r="B1270" i="19"/>
  <c r="B1271" i="19"/>
  <c r="B1272" i="19"/>
  <c r="B1273" i="19"/>
  <c r="B1274" i="19"/>
  <c r="B1275" i="19"/>
  <c r="B1276" i="19"/>
  <c r="B1277" i="19"/>
  <c r="B1278" i="19"/>
  <c r="B1279" i="19"/>
  <c r="B1280" i="19"/>
  <c r="B1281" i="19"/>
  <c r="B1282" i="19"/>
  <c r="B1283" i="19"/>
  <c r="B1284" i="19"/>
  <c r="B1285" i="19"/>
  <c r="B1286" i="19"/>
  <c r="B1287" i="19"/>
  <c r="B1288" i="19"/>
  <c r="B1289" i="19"/>
  <c r="B1290" i="19"/>
  <c r="B1291" i="19"/>
  <c r="B1292" i="19"/>
  <c r="B1293" i="19"/>
  <c r="B1294" i="19"/>
  <c r="B1295" i="19"/>
  <c r="B1296" i="19"/>
  <c r="B1297" i="19"/>
  <c r="B1298" i="19"/>
  <c r="B1299" i="19"/>
  <c r="B1300" i="19"/>
  <c r="B1301" i="19"/>
  <c r="B1302" i="19"/>
  <c r="B1303" i="19"/>
  <c r="B1304" i="19"/>
  <c r="B1305" i="19"/>
  <c r="B1306" i="19"/>
  <c r="B1307" i="19"/>
  <c r="B1308" i="19"/>
  <c r="B1309" i="19"/>
  <c r="B1310" i="19"/>
  <c r="B1311" i="19"/>
  <c r="B1312" i="19"/>
  <c r="B1313" i="19"/>
  <c r="B1314" i="19"/>
  <c r="B1315" i="19"/>
  <c r="B1316" i="19"/>
  <c r="B1317" i="19"/>
  <c r="B1318" i="19"/>
  <c r="B1319" i="19"/>
  <c r="B1320" i="19"/>
  <c r="B1321" i="19"/>
  <c r="B1322" i="19"/>
  <c r="B1323" i="19"/>
  <c r="B1324" i="19"/>
  <c r="B1325" i="19"/>
  <c r="B1326" i="19"/>
  <c r="B1327" i="19"/>
  <c r="B1328" i="19"/>
  <c r="B1329" i="19"/>
  <c r="B1330" i="19"/>
  <c r="B1331" i="19"/>
  <c r="B1332" i="19"/>
  <c r="B1333" i="19"/>
  <c r="B1334" i="19"/>
  <c r="B1335" i="19"/>
  <c r="B1336" i="19"/>
  <c r="B1337" i="19"/>
  <c r="B1338" i="19"/>
  <c r="B1339" i="19"/>
  <c r="B1340" i="19"/>
  <c r="B1341" i="19"/>
  <c r="B1342" i="19"/>
  <c r="B1343" i="19"/>
  <c r="B1344" i="19"/>
  <c r="B1345" i="19"/>
  <c r="B1346" i="19"/>
  <c r="B1347" i="19"/>
  <c r="B1348" i="19"/>
  <c r="B1349" i="19"/>
  <c r="B1350" i="19"/>
  <c r="B1351" i="19"/>
  <c r="B1352" i="19"/>
  <c r="B1353" i="19"/>
  <c r="B1354" i="19"/>
  <c r="B1355" i="19"/>
  <c r="B1356" i="19"/>
  <c r="B1357" i="19"/>
  <c r="B1358" i="19"/>
  <c r="B1359" i="19"/>
  <c r="B1360" i="19"/>
  <c r="B1361" i="19"/>
  <c r="B1362" i="19"/>
  <c r="B1363" i="19"/>
  <c r="B1364" i="19"/>
  <c r="B1365" i="19"/>
  <c r="B1366" i="19"/>
  <c r="B1367" i="19"/>
  <c r="B1368" i="19"/>
  <c r="B1369" i="19"/>
  <c r="B1370" i="19"/>
  <c r="B1371" i="19"/>
  <c r="B1372" i="19"/>
  <c r="B1373" i="19"/>
  <c r="B1374" i="19"/>
  <c r="B1375" i="19"/>
  <c r="B1376" i="19"/>
  <c r="B1377" i="19"/>
  <c r="B1378" i="19"/>
  <c r="B1379" i="19"/>
  <c r="B1380" i="19"/>
  <c r="B1381" i="19"/>
  <c r="B1382" i="19"/>
  <c r="B1383" i="19"/>
  <c r="B1384" i="19"/>
  <c r="B1385" i="19"/>
  <c r="B1386" i="19"/>
  <c r="B1387" i="19"/>
  <c r="B1388" i="19"/>
  <c r="B1389" i="19"/>
  <c r="B1390" i="19"/>
  <c r="B1391" i="19"/>
  <c r="B1392" i="19"/>
  <c r="B1393" i="19"/>
  <c r="B1394" i="19"/>
  <c r="B1395" i="19"/>
  <c r="B1396" i="19"/>
  <c r="B1397" i="19"/>
  <c r="B1398" i="19"/>
  <c r="B1399" i="19"/>
  <c r="B1400" i="19"/>
  <c r="B1401" i="19"/>
  <c r="B1402" i="19"/>
  <c r="B1403" i="19"/>
  <c r="B1404" i="19"/>
  <c r="B1405" i="19"/>
  <c r="B1406" i="19"/>
  <c r="B1407" i="19"/>
  <c r="B1408" i="19"/>
  <c r="B1409" i="19"/>
  <c r="B1410" i="19"/>
  <c r="B1411" i="19"/>
  <c r="B1412" i="19"/>
  <c r="B1413" i="19"/>
  <c r="B1414" i="19"/>
  <c r="B1415" i="19"/>
  <c r="B1416" i="19"/>
  <c r="B1417" i="19"/>
  <c r="B1418" i="19"/>
  <c r="B1419" i="19"/>
  <c r="B1420" i="19"/>
  <c r="B1421" i="19"/>
  <c r="B1422" i="19"/>
  <c r="B1423" i="19"/>
  <c r="B1424" i="19"/>
  <c r="B1425" i="19"/>
  <c r="B1426" i="19"/>
  <c r="B1427" i="19"/>
  <c r="B1428" i="19"/>
  <c r="B1429" i="19"/>
  <c r="B1430" i="19"/>
  <c r="B1431" i="19"/>
  <c r="B1432" i="19"/>
  <c r="B1433" i="19"/>
  <c r="B1434" i="19"/>
  <c r="B1435" i="19"/>
  <c r="B1436" i="19"/>
  <c r="B1437" i="19"/>
  <c r="B1438" i="19"/>
  <c r="B1439" i="19"/>
  <c r="B1440" i="19"/>
  <c r="B1441" i="19"/>
  <c r="B1442" i="19"/>
  <c r="B1443" i="19"/>
  <c r="B1444" i="19"/>
  <c r="B1445" i="19"/>
  <c r="B1446" i="19"/>
  <c r="B1447" i="19"/>
  <c r="B1448" i="19"/>
  <c r="B1449" i="19"/>
  <c r="B1450" i="19"/>
  <c r="B1451" i="19"/>
  <c r="B1452" i="19"/>
  <c r="B1453" i="19"/>
  <c r="B1454" i="19"/>
  <c r="B1455" i="19"/>
  <c r="B1456" i="19"/>
  <c r="B1457" i="19"/>
  <c r="B1458" i="19"/>
  <c r="B1459" i="19"/>
  <c r="B1460" i="19"/>
  <c r="B1461" i="19"/>
  <c r="B1462" i="19"/>
  <c r="B1463" i="19"/>
  <c r="B1464" i="19"/>
  <c r="B1465" i="19"/>
  <c r="B1466" i="19"/>
  <c r="B1467" i="19"/>
  <c r="B1468" i="19"/>
  <c r="B1469" i="19"/>
  <c r="B1470" i="19"/>
  <c r="B1471" i="19"/>
  <c r="B1472" i="19"/>
  <c r="B1473" i="19"/>
  <c r="B1474" i="19"/>
  <c r="B1475" i="19"/>
  <c r="B1476" i="19"/>
  <c r="B1477" i="19"/>
  <c r="B1478" i="19"/>
  <c r="B1479" i="19"/>
  <c r="B1480" i="19"/>
  <c r="B1481" i="19"/>
  <c r="B1482" i="19"/>
  <c r="B1483" i="19"/>
  <c r="B1484" i="19"/>
  <c r="B1485" i="19"/>
  <c r="B1486" i="19"/>
  <c r="B1487" i="19"/>
  <c r="B1488" i="19"/>
  <c r="B1489" i="19"/>
  <c r="B1490" i="19"/>
  <c r="B1491" i="19"/>
  <c r="B1492" i="19"/>
  <c r="B1493" i="19"/>
  <c r="B1494" i="19"/>
  <c r="B1495" i="19"/>
  <c r="B1496" i="19"/>
  <c r="B1497" i="19"/>
  <c r="B1498" i="19"/>
  <c r="B1499" i="19"/>
  <c r="B1500" i="19"/>
  <c r="B1501" i="19"/>
  <c r="B1502" i="19"/>
  <c r="B1503" i="19"/>
  <c r="B1504" i="19"/>
  <c r="B1505" i="19"/>
  <c r="B1506" i="19"/>
  <c r="B1507" i="19"/>
  <c r="B1508" i="19"/>
  <c r="B1509" i="19"/>
  <c r="B1510" i="19"/>
  <c r="B1511" i="19"/>
  <c r="B1512" i="19"/>
  <c r="B1513" i="19"/>
  <c r="B1514" i="19"/>
  <c r="B1515" i="19"/>
  <c r="B1516" i="19"/>
  <c r="B1517" i="19"/>
  <c r="B1518" i="19"/>
  <c r="B1519" i="19"/>
  <c r="B1520" i="19"/>
  <c r="B1521" i="19"/>
  <c r="B1522" i="19"/>
  <c r="B1523" i="19"/>
  <c r="B1524" i="19"/>
  <c r="B1525" i="19"/>
  <c r="B1526" i="19"/>
  <c r="B1527" i="19"/>
  <c r="B1528" i="19"/>
  <c r="B1529" i="19"/>
  <c r="B1530" i="19"/>
  <c r="B1531" i="19"/>
  <c r="B1532" i="19"/>
  <c r="B1533" i="19"/>
  <c r="B1534" i="19"/>
  <c r="B1535" i="19"/>
  <c r="B1536" i="19"/>
  <c r="B1537" i="19"/>
  <c r="B1538" i="19"/>
  <c r="B1539" i="19"/>
  <c r="B1540" i="19"/>
  <c r="B1541" i="19"/>
  <c r="B1542" i="19"/>
  <c r="B1543" i="19"/>
  <c r="B1544" i="19"/>
  <c r="B1545" i="19"/>
  <c r="B1546" i="19"/>
  <c r="B1547" i="19"/>
  <c r="B1548" i="19"/>
  <c r="B1549" i="19"/>
  <c r="B1550" i="19"/>
  <c r="B1551" i="19"/>
  <c r="B1552" i="19"/>
  <c r="B1553" i="19"/>
  <c r="B1554" i="19"/>
  <c r="B1555" i="19"/>
  <c r="B1556" i="19"/>
  <c r="B1557" i="19"/>
  <c r="B1558" i="19"/>
  <c r="B1559" i="19"/>
  <c r="B1560" i="19"/>
  <c r="B1561" i="19"/>
  <c r="B1562" i="19"/>
  <c r="B1563" i="19"/>
  <c r="B1564" i="19"/>
  <c r="B1565" i="19"/>
  <c r="B1566" i="19"/>
  <c r="B1567" i="19"/>
  <c r="B1568" i="19"/>
  <c r="B1569" i="19"/>
  <c r="B1570" i="19"/>
  <c r="B1571" i="19"/>
  <c r="B1572" i="19"/>
  <c r="B1573" i="19"/>
  <c r="B1574" i="19"/>
  <c r="B1575" i="19"/>
  <c r="B1576" i="19"/>
  <c r="B1577" i="19"/>
  <c r="B1578" i="19"/>
  <c r="B1579" i="19"/>
  <c r="B1580" i="19"/>
  <c r="B1581" i="19"/>
  <c r="B1582" i="19"/>
  <c r="B1583" i="19"/>
  <c r="B1584" i="19"/>
  <c r="B1585" i="19"/>
  <c r="B1586" i="19"/>
  <c r="B1587" i="19"/>
  <c r="B1588" i="19"/>
  <c r="B1589" i="19"/>
  <c r="B1590" i="19"/>
  <c r="B1591" i="19"/>
  <c r="B1592" i="19"/>
  <c r="B1593" i="19"/>
  <c r="B1594" i="19"/>
  <c r="B1595" i="19"/>
  <c r="B1596" i="19"/>
  <c r="B1597" i="19"/>
  <c r="B1598" i="19"/>
  <c r="B1599" i="19"/>
  <c r="B1600" i="19"/>
  <c r="B1601" i="19"/>
  <c r="B1602" i="19"/>
  <c r="B1603" i="19"/>
  <c r="B1604" i="19"/>
  <c r="B1605" i="19"/>
  <c r="B1606" i="19"/>
  <c r="B1607" i="19"/>
  <c r="B1608" i="19"/>
  <c r="B1609" i="19"/>
  <c r="B1610" i="19"/>
  <c r="B1611" i="19"/>
  <c r="B1612" i="19"/>
  <c r="B1613" i="19"/>
  <c r="B1614" i="19"/>
  <c r="B1615" i="19"/>
  <c r="B1616" i="19"/>
  <c r="B1617" i="19"/>
  <c r="B1618" i="19"/>
  <c r="B1619" i="19"/>
  <c r="B1620" i="19"/>
  <c r="B1621" i="19"/>
  <c r="B1622" i="19"/>
  <c r="B1623" i="19"/>
  <c r="B1624" i="19"/>
  <c r="B1625" i="19"/>
  <c r="B1626" i="19"/>
  <c r="B1627" i="19"/>
  <c r="B1628" i="19"/>
  <c r="B1629" i="19"/>
  <c r="B1630" i="19"/>
  <c r="B1631" i="19"/>
  <c r="B1632" i="19"/>
  <c r="B1633" i="19"/>
  <c r="B1634" i="19"/>
  <c r="B1635" i="19"/>
  <c r="B1636" i="19"/>
  <c r="B1637" i="19"/>
  <c r="B1638" i="19"/>
  <c r="B1639" i="19"/>
  <c r="B1640" i="19"/>
  <c r="B1641" i="19"/>
  <c r="B1642" i="19"/>
  <c r="B1643" i="19"/>
  <c r="B1644" i="19"/>
  <c r="B1645" i="19"/>
  <c r="B1646" i="19"/>
  <c r="B1647" i="19"/>
  <c r="B1648" i="19"/>
  <c r="B1649" i="19"/>
  <c r="B1650" i="19"/>
  <c r="B1651" i="19"/>
  <c r="B1652" i="19"/>
  <c r="B1653" i="19"/>
  <c r="B1654" i="19"/>
  <c r="B1655" i="19"/>
  <c r="B1656" i="19"/>
  <c r="B1657" i="19"/>
  <c r="B1658" i="19"/>
  <c r="B1659" i="19"/>
  <c r="B1660" i="19"/>
  <c r="B1661" i="19"/>
  <c r="B1662" i="19"/>
  <c r="B1663" i="19"/>
  <c r="B1664" i="19"/>
  <c r="B1665" i="19"/>
  <c r="B1666" i="19"/>
  <c r="B1667" i="19"/>
  <c r="B1668" i="19"/>
  <c r="B1669" i="19"/>
  <c r="B1670" i="19"/>
  <c r="B1671" i="19"/>
  <c r="B1672" i="19"/>
  <c r="B1673" i="19"/>
  <c r="B1674" i="19"/>
  <c r="B1675" i="19"/>
  <c r="B1676" i="19"/>
  <c r="B1677" i="19"/>
  <c r="B1678" i="19"/>
  <c r="B1679" i="19"/>
  <c r="B1680" i="19"/>
  <c r="B1681" i="19"/>
  <c r="B1682" i="19"/>
  <c r="B1683" i="19"/>
  <c r="B1684" i="19"/>
  <c r="B1685" i="19"/>
  <c r="B1686" i="19"/>
  <c r="B1687" i="19"/>
  <c r="B1688" i="19"/>
  <c r="B1689" i="19"/>
  <c r="B1690" i="19"/>
  <c r="B1691" i="19"/>
  <c r="B1692" i="19"/>
  <c r="B1693" i="19"/>
  <c r="B1694" i="19"/>
  <c r="B1695" i="19"/>
  <c r="B1696" i="19"/>
  <c r="B1697" i="19"/>
  <c r="B1698" i="19"/>
  <c r="B1699" i="19"/>
  <c r="B1700" i="19"/>
  <c r="B1701" i="19"/>
  <c r="B1702" i="19"/>
  <c r="B1703" i="19"/>
  <c r="B1704" i="19"/>
  <c r="B1705" i="19"/>
  <c r="B1706" i="19"/>
  <c r="B1707" i="19"/>
  <c r="B1708" i="19"/>
  <c r="B1709" i="19"/>
  <c r="B1710" i="19"/>
  <c r="B1711" i="19"/>
  <c r="B1712" i="19"/>
  <c r="B1713" i="19"/>
  <c r="B1714" i="19"/>
  <c r="B1715" i="19"/>
  <c r="B1716" i="19"/>
  <c r="B1717" i="19"/>
  <c r="B1718" i="19"/>
  <c r="B1719" i="19"/>
  <c r="B1720" i="19"/>
  <c r="B1721" i="19"/>
  <c r="B1722" i="19"/>
  <c r="B1723" i="19"/>
  <c r="B1724" i="19"/>
  <c r="B1725" i="19"/>
  <c r="B1726" i="19"/>
  <c r="B1727" i="19"/>
  <c r="B1728" i="19"/>
  <c r="B1729" i="19"/>
  <c r="B1730" i="19"/>
  <c r="B1731" i="19"/>
  <c r="B1732" i="19"/>
  <c r="B1733" i="19"/>
  <c r="B1734" i="19"/>
  <c r="B1735" i="19"/>
  <c r="B1736" i="19"/>
  <c r="B1737" i="19"/>
  <c r="B1738" i="19"/>
  <c r="B1739" i="19"/>
  <c r="B1740" i="19"/>
  <c r="B1741" i="19"/>
  <c r="B1742" i="19"/>
  <c r="B1743" i="19"/>
  <c r="B1744" i="19"/>
  <c r="B1745" i="19"/>
  <c r="B1746" i="19"/>
  <c r="B1747" i="19"/>
  <c r="B1748" i="19"/>
  <c r="B1749" i="19"/>
  <c r="B1750" i="19"/>
  <c r="B1751" i="19"/>
  <c r="B1752" i="19"/>
  <c r="B1753" i="19"/>
  <c r="B1754" i="19"/>
  <c r="B1755" i="19"/>
  <c r="B1756" i="19"/>
  <c r="B1757" i="19"/>
  <c r="B1758" i="19"/>
  <c r="B1759" i="19"/>
  <c r="B1760" i="19"/>
  <c r="B1761" i="19"/>
  <c r="B1762" i="19"/>
  <c r="B1763" i="19"/>
  <c r="B1764" i="19"/>
  <c r="B1765" i="19"/>
  <c r="B1766" i="19"/>
  <c r="B1767" i="19"/>
  <c r="B1768" i="19"/>
  <c r="B1769" i="19"/>
  <c r="B1770" i="19"/>
  <c r="B1771" i="19"/>
  <c r="B1772" i="19"/>
  <c r="B1773" i="19"/>
  <c r="B1774" i="19"/>
  <c r="B1775" i="19"/>
  <c r="B1776" i="19"/>
  <c r="B1777" i="19"/>
  <c r="B1778" i="19"/>
  <c r="B1779" i="19"/>
  <c r="B1780" i="19"/>
  <c r="B1781" i="19"/>
  <c r="B1782" i="19"/>
  <c r="B1783" i="19"/>
  <c r="B1784" i="19"/>
  <c r="B1785" i="19"/>
  <c r="B1786" i="19"/>
  <c r="B1787" i="19"/>
  <c r="B1788" i="19"/>
  <c r="B1789" i="19"/>
  <c r="B1790" i="19"/>
  <c r="B1791" i="19"/>
  <c r="B1792" i="19"/>
  <c r="B1793" i="19"/>
  <c r="B1794" i="19"/>
  <c r="B1795" i="19"/>
  <c r="B1796" i="19"/>
  <c r="B1797" i="19"/>
  <c r="B1798" i="19"/>
  <c r="B1799" i="19"/>
  <c r="B1800" i="19"/>
  <c r="B1801" i="19"/>
  <c r="B1802" i="19"/>
  <c r="B1803" i="19"/>
  <c r="B1804" i="19"/>
  <c r="B1805" i="19"/>
  <c r="B1806" i="19"/>
  <c r="B1807" i="19"/>
  <c r="B1808" i="19"/>
  <c r="B1809" i="19"/>
  <c r="B1810" i="19"/>
  <c r="B1811" i="19"/>
  <c r="B1812" i="19"/>
  <c r="B1813" i="19"/>
  <c r="B1814" i="19"/>
  <c r="B1815" i="19"/>
  <c r="B1816" i="19"/>
  <c r="B1817" i="19"/>
  <c r="B1818" i="19"/>
  <c r="B1819" i="19"/>
  <c r="B1820" i="19"/>
  <c r="B1821" i="19"/>
  <c r="B1822" i="19"/>
  <c r="B1823" i="19"/>
  <c r="B1824" i="19"/>
  <c r="B1825" i="19"/>
  <c r="B1826" i="19"/>
  <c r="B1827" i="19"/>
  <c r="B1828" i="19"/>
  <c r="B1829" i="19"/>
  <c r="B1830" i="19"/>
  <c r="B1831" i="19"/>
  <c r="B1832" i="19"/>
  <c r="B1833" i="19"/>
  <c r="B1834" i="19"/>
  <c r="B1835" i="19"/>
  <c r="B1836" i="19"/>
  <c r="B1837" i="19"/>
  <c r="B1838" i="19"/>
  <c r="B1839" i="19"/>
  <c r="B1840" i="19"/>
  <c r="B1841" i="19"/>
  <c r="B1842" i="19"/>
  <c r="B1843" i="19"/>
  <c r="B1844" i="19"/>
  <c r="B1845" i="19"/>
  <c r="B1846" i="19"/>
  <c r="B1847" i="19"/>
  <c r="B1848" i="19"/>
  <c r="B1849" i="19"/>
  <c r="B1850" i="19"/>
  <c r="B1851" i="19"/>
  <c r="B1852" i="19"/>
  <c r="B1853" i="19"/>
  <c r="B1854" i="19"/>
  <c r="B1855" i="19"/>
  <c r="B1856" i="19"/>
  <c r="B1857" i="19"/>
  <c r="B1858" i="19"/>
  <c r="B1859" i="19"/>
  <c r="B1860" i="19"/>
  <c r="B1861" i="19"/>
  <c r="B1862" i="19"/>
  <c r="B1863" i="19"/>
  <c r="B1864" i="19"/>
  <c r="B1865" i="19"/>
  <c r="B1866" i="19"/>
  <c r="B1867" i="19"/>
  <c r="B1868" i="19"/>
  <c r="B1869" i="19"/>
  <c r="B1870" i="19"/>
  <c r="B1871" i="19"/>
  <c r="B1872" i="19"/>
  <c r="B1873" i="19"/>
  <c r="B1874" i="19"/>
  <c r="B1875" i="19"/>
  <c r="B1876" i="19"/>
  <c r="B1877" i="19"/>
  <c r="B1878" i="19"/>
  <c r="B1879" i="19"/>
  <c r="B1880" i="19"/>
  <c r="B1881" i="19"/>
  <c r="B1882" i="19"/>
  <c r="B1883" i="19"/>
  <c r="B1884" i="19"/>
  <c r="B1885" i="19"/>
  <c r="B1886" i="19"/>
  <c r="B1887" i="19"/>
  <c r="B1888" i="19"/>
  <c r="B1889" i="19"/>
  <c r="B1890" i="19"/>
  <c r="B1891" i="19"/>
  <c r="B1892" i="19"/>
  <c r="B1893" i="19"/>
  <c r="B1894" i="19"/>
  <c r="B1895" i="19"/>
  <c r="B1896" i="19"/>
  <c r="B1897" i="19"/>
  <c r="B1898" i="19"/>
  <c r="B1899" i="19"/>
  <c r="B1900" i="19"/>
  <c r="B1901" i="19"/>
  <c r="B1902" i="19"/>
  <c r="B1903" i="19"/>
  <c r="B1904" i="19"/>
  <c r="B1905" i="19"/>
  <c r="B1906" i="19"/>
  <c r="B1907" i="19"/>
  <c r="B1908" i="19"/>
  <c r="B1909" i="19"/>
  <c r="B1910" i="19"/>
  <c r="B1911" i="19"/>
  <c r="B1912" i="19"/>
  <c r="B1913" i="19"/>
  <c r="B1914" i="19"/>
  <c r="B1915" i="19"/>
  <c r="B1916" i="19"/>
  <c r="B1917" i="19"/>
  <c r="B1918" i="19"/>
  <c r="B1919" i="19"/>
  <c r="B1920" i="19"/>
  <c r="B1921" i="19"/>
  <c r="B1922" i="19"/>
  <c r="B1923" i="19"/>
  <c r="B1924" i="19"/>
  <c r="B1925" i="19"/>
  <c r="B1926" i="19"/>
  <c r="B1927" i="19"/>
  <c r="B1928" i="19"/>
  <c r="B1929" i="19"/>
  <c r="B1930" i="19"/>
  <c r="B1931" i="19"/>
  <c r="B1932" i="19"/>
  <c r="B1933" i="19"/>
  <c r="B1934" i="19"/>
  <c r="B1935" i="19"/>
  <c r="B1936" i="19"/>
  <c r="B1937" i="19"/>
  <c r="B1938" i="19"/>
  <c r="B1939" i="19"/>
  <c r="B1940" i="19"/>
  <c r="B1941" i="19"/>
  <c r="B1942" i="19"/>
  <c r="B1943" i="19"/>
  <c r="B1944" i="19"/>
  <c r="B1945" i="19"/>
  <c r="B1946" i="19"/>
  <c r="B1947" i="19"/>
  <c r="B1948" i="19"/>
  <c r="B1949" i="19"/>
  <c r="B1950" i="19"/>
  <c r="B1951" i="19"/>
  <c r="B1952" i="19"/>
  <c r="B1953" i="19"/>
  <c r="B1954" i="19"/>
  <c r="B1955" i="19"/>
  <c r="B1956" i="19"/>
  <c r="B1957" i="19"/>
  <c r="B1958" i="19"/>
  <c r="B1959" i="19"/>
  <c r="B1960" i="19"/>
  <c r="B1961" i="19"/>
  <c r="B1962" i="19"/>
  <c r="B1963" i="19"/>
  <c r="B1964" i="19"/>
  <c r="B1965" i="19"/>
  <c r="B1966" i="19"/>
  <c r="B1967" i="19"/>
  <c r="B1968" i="19"/>
  <c r="B1969" i="19"/>
  <c r="B1970" i="19"/>
  <c r="B1971" i="19"/>
  <c r="B1972" i="19"/>
  <c r="B1973" i="19"/>
  <c r="B1974" i="19"/>
  <c r="B1975" i="19"/>
  <c r="B1976" i="19"/>
  <c r="B1977" i="19"/>
  <c r="B1978" i="19"/>
  <c r="B1979" i="19"/>
  <c r="B1980" i="19"/>
  <c r="B1981" i="19"/>
  <c r="B1982" i="19"/>
  <c r="B1983" i="19"/>
  <c r="B1984" i="19"/>
  <c r="B1985" i="19"/>
  <c r="B1986" i="19"/>
  <c r="B1987" i="19"/>
  <c r="B1988" i="19"/>
  <c r="B1989" i="19"/>
  <c r="B1990" i="19"/>
  <c r="B1991" i="19"/>
  <c r="B1992" i="19"/>
  <c r="B1993" i="19"/>
  <c r="B1994" i="19"/>
  <c r="B1995" i="19"/>
  <c r="B1996" i="19"/>
  <c r="B1997" i="19"/>
  <c r="B1998" i="19"/>
  <c r="B1999" i="19"/>
  <c r="B2000" i="19"/>
  <c r="B2001" i="19"/>
  <c r="B2002" i="19"/>
  <c r="B2003" i="19"/>
  <c r="B2004" i="19"/>
  <c r="B2005" i="19"/>
  <c r="B2006" i="19"/>
  <c r="B2007" i="19"/>
  <c r="B2008" i="19"/>
  <c r="B2009" i="19"/>
  <c r="B2010" i="19"/>
  <c r="B2011" i="19"/>
  <c r="B2012" i="19"/>
  <c r="B2013" i="19"/>
  <c r="B2014" i="19"/>
  <c r="B2015" i="19"/>
  <c r="B2016" i="19"/>
  <c r="B2017" i="19"/>
  <c r="B2018" i="19"/>
  <c r="B2019" i="19"/>
  <c r="B2020" i="19"/>
  <c r="B2021" i="19"/>
  <c r="B2022" i="19"/>
  <c r="B2023" i="19"/>
  <c r="B2024" i="19"/>
  <c r="B2025" i="19"/>
  <c r="B2026" i="19"/>
  <c r="B2027" i="19"/>
  <c r="B2028" i="19"/>
  <c r="B2029" i="19"/>
  <c r="B2030" i="19"/>
  <c r="B2031" i="19"/>
  <c r="B2032" i="19"/>
  <c r="B2033" i="19"/>
  <c r="B2034" i="19"/>
  <c r="B2035" i="19"/>
  <c r="B2036" i="19"/>
  <c r="B2037" i="19"/>
  <c r="B2038" i="19"/>
  <c r="B2039" i="19"/>
  <c r="B2040" i="19"/>
  <c r="B2041" i="19"/>
  <c r="B2042" i="19"/>
  <c r="B2043" i="19"/>
  <c r="B2044" i="19"/>
  <c r="B2045" i="19"/>
  <c r="B2046" i="19"/>
  <c r="B2047" i="19"/>
  <c r="B2048" i="19"/>
  <c r="B2049" i="19"/>
  <c r="B2050" i="19"/>
  <c r="B2051" i="19"/>
  <c r="B2052" i="19"/>
  <c r="B2053" i="19"/>
  <c r="B2054" i="19"/>
  <c r="B2055" i="19"/>
  <c r="B2056" i="19"/>
  <c r="B2057" i="19"/>
  <c r="B2058" i="19"/>
  <c r="B2059" i="19"/>
  <c r="B2060" i="19"/>
  <c r="B2061" i="19"/>
  <c r="B2062" i="19"/>
  <c r="B2063" i="19"/>
  <c r="B2064" i="19"/>
  <c r="B2065" i="19"/>
  <c r="B2066" i="19"/>
  <c r="B2067" i="19"/>
  <c r="B2068" i="19"/>
  <c r="B2069" i="19"/>
  <c r="B2070" i="19"/>
  <c r="B2071" i="19"/>
  <c r="B2072" i="19"/>
  <c r="B2073" i="19"/>
  <c r="B2074" i="19"/>
  <c r="B2075" i="19"/>
  <c r="B2076" i="19"/>
  <c r="B2077" i="19"/>
  <c r="B2078" i="19"/>
  <c r="B2079" i="19"/>
  <c r="B2080" i="19"/>
  <c r="B2081" i="19"/>
  <c r="B2082" i="19"/>
  <c r="B2083" i="19"/>
  <c r="B2084" i="19"/>
  <c r="B2085" i="19"/>
  <c r="B2086" i="19"/>
  <c r="B2087" i="19"/>
  <c r="B2088" i="19"/>
  <c r="B2089" i="19"/>
  <c r="B2090" i="19"/>
  <c r="B2091" i="19"/>
  <c r="B2092" i="19"/>
  <c r="B2093" i="19"/>
  <c r="B2094" i="19"/>
  <c r="B2095" i="19"/>
  <c r="B2096" i="19"/>
  <c r="B2097" i="19"/>
  <c r="B2098" i="19"/>
  <c r="B2099" i="19"/>
  <c r="B2100" i="19"/>
  <c r="B2101" i="19"/>
  <c r="B2102" i="19"/>
  <c r="B2103" i="19"/>
  <c r="B2104" i="19"/>
  <c r="B2105" i="19"/>
  <c r="B2106" i="19"/>
  <c r="B2107" i="19"/>
  <c r="B2108" i="19"/>
  <c r="B2109" i="19"/>
  <c r="B2110" i="19"/>
  <c r="B2111" i="19"/>
  <c r="B2112" i="19"/>
  <c r="B2113" i="19"/>
  <c r="B2114" i="19"/>
  <c r="B2115" i="19"/>
  <c r="B2116" i="19"/>
  <c r="B2117" i="19"/>
  <c r="B2118" i="19"/>
  <c r="B2119" i="19"/>
  <c r="B2120" i="19"/>
  <c r="B2121" i="19"/>
  <c r="B2122" i="19"/>
  <c r="B2123" i="19"/>
  <c r="B2124" i="19"/>
  <c r="B2125" i="19"/>
  <c r="B2126" i="19"/>
  <c r="B2127" i="19"/>
  <c r="B2128" i="19"/>
  <c r="B2129" i="19"/>
  <c r="B2130" i="19"/>
  <c r="B2131" i="19"/>
  <c r="B2132" i="19"/>
  <c r="B2133" i="19"/>
  <c r="B2134" i="19"/>
  <c r="B2135" i="19"/>
  <c r="B2136" i="19"/>
  <c r="B2137" i="19"/>
  <c r="B2138" i="19"/>
  <c r="B2139" i="19"/>
  <c r="B2140" i="19"/>
  <c r="B2141" i="19"/>
  <c r="B2142" i="19"/>
  <c r="B2143" i="19"/>
  <c r="B2144" i="19"/>
  <c r="B2145" i="19"/>
  <c r="B2146" i="19"/>
  <c r="B2147" i="19"/>
  <c r="B2148" i="19"/>
  <c r="B2149" i="19"/>
  <c r="B2150" i="19"/>
  <c r="B2151" i="19"/>
  <c r="B2152" i="19"/>
  <c r="B2153" i="19"/>
  <c r="B2154" i="19"/>
  <c r="B2155" i="19"/>
  <c r="B2156" i="19"/>
  <c r="B2157" i="19"/>
  <c r="B2158" i="19"/>
  <c r="B2159" i="19"/>
  <c r="B2160" i="19"/>
  <c r="B2161" i="19"/>
  <c r="B2162" i="19"/>
  <c r="B2163" i="19"/>
  <c r="B2164" i="19"/>
  <c r="B2165" i="19"/>
  <c r="B2166" i="19"/>
  <c r="B2167" i="19"/>
  <c r="B2168" i="19"/>
  <c r="B2169" i="19"/>
  <c r="B2170" i="19"/>
  <c r="B2171" i="19"/>
  <c r="B2172" i="19"/>
  <c r="B2173" i="19"/>
  <c r="B2174" i="19"/>
  <c r="B2175" i="19"/>
  <c r="B2176" i="19"/>
  <c r="B2177" i="19"/>
  <c r="B2178" i="19"/>
  <c r="B2179" i="19"/>
  <c r="B2180" i="19"/>
  <c r="B2181" i="19"/>
  <c r="B2182" i="19"/>
  <c r="B2183" i="19"/>
  <c r="B2184" i="19"/>
  <c r="B2185" i="19"/>
  <c r="B2186" i="19"/>
  <c r="B2187" i="19"/>
  <c r="B2188" i="19"/>
  <c r="B2189" i="19"/>
  <c r="B2190" i="19"/>
  <c r="B2191" i="19"/>
  <c r="B2192" i="19"/>
  <c r="B2193" i="19"/>
  <c r="B2194" i="19"/>
  <c r="B2195" i="19"/>
  <c r="B2196" i="19"/>
  <c r="B2197" i="19"/>
  <c r="B2198" i="19"/>
  <c r="B2199" i="19"/>
  <c r="B2200" i="19"/>
  <c r="B2201" i="19"/>
  <c r="B2202" i="19"/>
  <c r="B2203" i="19"/>
  <c r="B2204" i="19"/>
  <c r="B2205" i="19"/>
  <c r="B2206" i="19"/>
  <c r="B2207" i="19"/>
  <c r="B2208" i="19"/>
  <c r="B2209" i="19"/>
  <c r="B2210" i="19"/>
  <c r="B2211" i="19"/>
  <c r="B2212" i="19"/>
  <c r="B2213" i="19"/>
  <c r="B2214" i="19"/>
  <c r="B2215" i="19"/>
  <c r="B2216" i="19"/>
  <c r="B2217" i="19"/>
  <c r="B2218" i="19"/>
  <c r="B2219" i="19"/>
  <c r="B2220" i="19"/>
  <c r="B2221" i="19"/>
  <c r="B2222" i="19"/>
  <c r="B2223" i="19"/>
  <c r="B2224" i="19"/>
  <c r="B2225" i="19"/>
  <c r="B2226" i="19"/>
  <c r="B2227" i="19"/>
  <c r="B2228" i="19"/>
  <c r="B2229" i="19"/>
  <c r="B2230" i="19"/>
  <c r="B2231" i="19"/>
  <c r="B2232" i="19"/>
  <c r="B2233" i="19"/>
  <c r="B2234" i="19"/>
  <c r="B2235" i="19"/>
  <c r="B2236" i="19"/>
  <c r="B2237" i="19"/>
  <c r="B2238" i="19"/>
  <c r="B2239" i="19"/>
  <c r="B2240" i="19"/>
  <c r="B2241" i="19"/>
  <c r="B2242" i="19"/>
  <c r="B2243" i="19"/>
  <c r="B2244" i="19"/>
  <c r="B2245" i="19"/>
  <c r="B2246" i="19"/>
  <c r="B2247" i="19"/>
  <c r="B2248" i="19"/>
  <c r="B2249" i="19"/>
  <c r="B2250" i="19"/>
  <c r="B2251" i="19"/>
  <c r="B2252" i="19"/>
  <c r="B2253" i="19"/>
  <c r="B2254" i="19"/>
  <c r="B2255" i="19"/>
  <c r="B2256" i="19"/>
  <c r="B2257" i="19"/>
  <c r="B2258" i="19"/>
  <c r="B2259" i="19"/>
  <c r="B2260" i="19"/>
  <c r="B2261" i="19"/>
  <c r="B2262" i="19"/>
  <c r="B2263" i="19"/>
  <c r="B2264" i="19"/>
  <c r="B2265" i="19"/>
  <c r="B2266" i="19"/>
  <c r="B2267" i="19"/>
  <c r="B2268" i="19"/>
  <c r="B2269" i="19"/>
  <c r="B2270" i="19"/>
  <c r="B2271" i="19"/>
  <c r="B2272" i="19"/>
  <c r="B2273" i="19"/>
  <c r="B2274" i="19"/>
  <c r="B2275" i="19"/>
  <c r="B2276" i="19"/>
  <c r="B2277" i="19"/>
  <c r="B2278" i="19"/>
  <c r="B2279" i="19"/>
  <c r="B2280" i="19"/>
  <c r="B2281" i="19"/>
  <c r="B2282" i="19"/>
  <c r="B2283" i="19"/>
  <c r="B2284" i="19"/>
  <c r="B2285" i="19"/>
  <c r="B2286" i="19"/>
  <c r="B2287" i="19"/>
  <c r="B2288" i="19"/>
  <c r="B2289" i="19"/>
  <c r="B2290" i="19"/>
  <c r="B2291" i="19"/>
  <c r="B2292" i="19"/>
  <c r="B2293" i="19"/>
  <c r="B2294" i="19"/>
  <c r="B2295" i="19"/>
  <c r="B2296" i="19"/>
  <c r="B2297" i="19"/>
  <c r="B2298" i="19"/>
  <c r="B2299" i="19"/>
  <c r="B2300" i="19"/>
  <c r="B2301" i="19"/>
  <c r="B2302" i="19"/>
  <c r="B2303" i="19"/>
  <c r="B2304" i="19"/>
  <c r="B2305" i="19"/>
  <c r="B2306" i="19"/>
  <c r="B2307" i="19"/>
  <c r="B2308" i="19"/>
  <c r="B2309" i="19"/>
  <c r="B2310" i="19"/>
  <c r="B2311" i="19"/>
  <c r="B2312" i="19"/>
  <c r="B2313" i="19"/>
  <c r="B2314" i="19"/>
  <c r="B2315" i="19"/>
  <c r="B2316" i="19"/>
  <c r="B2317" i="19"/>
  <c r="B2318" i="19"/>
  <c r="B2319" i="19"/>
  <c r="B2320" i="19"/>
  <c r="B2321" i="19"/>
  <c r="B2322" i="19"/>
  <c r="B2323" i="19"/>
  <c r="B2324" i="19"/>
  <c r="B2325" i="19"/>
  <c r="B2326" i="19"/>
  <c r="B2327" i="19"/>
  <c r="B2328" i="19"/>
  <c r="B2329" i="19"/>
  <c r="B2330" i="19"/>
  <c r="B2331" i="19"/>
  <c r="B2332" i="19"/>
  <c r="B2333" i="19"/>
  <c r="B2334" i="19"/>
  <c r="B2335" i="19"/>
  <c r="B2336" i="19"/>
  <c r="B2337" i="19"/>
  <c r="B2338" i="19"/>
  <c r="B2339" i="19"/>
  <c r="B2340" i="19"/>
  <c r="B2341" i="19"/>
  <c r="B2342" i="19"/>
  <c r="B2343" i="19"/>
  <c r="B2344" i="19"/>
  <c r="B2345" i="19"/>
  <c r="B2346" i="19"/>
  <c r="B2347" i="19"/>
  <c r="B2348" i="19"/>
  <c r="B2349" i="19"/>
  <c r="B2350" i="19"/>
  <c r="B2351" i="19"/>
  <c r="B2352" i="19"/>
  <c r="B2353" i="19"/>
  <c r="B2354" i="19"/>
  <c r="B2355" i="19"/>
  <c r="B2356" i="19"/>
  <c r="B2357" i="19"/>
  <c r="B2358" i="19"/>
  <c r="B2359" i="19"/>
  <c r="B2360" i="19"/>
  <c r="B2361" i="19"/>
  <c r="B2362" i="19"/>
  <c r="B2363" i="19"/>
  <c r="B2364" i="19"/>
  <c r="B2365" i="19"/>
  <c r="B2366" i="19"/>
  <c r="B2367" i="19"/>
  <c r="B2368" i="19"/>
  <c r="B2369" i="19"/>
  <c r="B2370" i="19"/>
  <c r="B2371" i="19"/>
  <c r="B2372" i="19"/>
  <c r="B2373" i="19"/>
  <c r="B2374" i="19"/>
  <c r="B2375" i="19"/>
  <c r="B2376" i="19"/>
  <c r="B2377" i="19"/>
  <c r="B2378" i="19"/>
  <c r="B2379" i="19"/>
  <c r="B2380" i="19"/>
  <c r="B2381" i="19"/>
  <c r="B2382" i="19"/>
  <c r="B2383" i="19"/>
  <c r="B2384" i="19"/>
  <c r="B2385" i="19"/>
  <c r="B2386" i="19"/>
  <c r="B2387" i="19"/>
  <c r="B2388" i="19"/>
  <c r="B2389" i="19"/>
  <c r="B2390" i="19"/>
  <c r="B2391" i="19"/>
  <c r="B2392" i="19"/>
  <c r="B2393" i="19"/>
  <c r="B2394" i="19"/>
  <c r="B2395" i="19"/>
  <c r="B2396" i="19"/>
  <c r="B2397" i="19"/>
  <c r="B2398" i="19"/>
  <c r="B2399" i="19"/>
  <c r="B2400" i="19"/>
  <c r="B2401" i="19"/>
  <c r="B2402" i="19"/>
  <c r="B2403" i="19"/>
  <c r="B2404" i="19"/>
  <c r="B2405" i="19"/>
  <c r="B2406" i="19"/>
  <c r="B2407" i="19"/>
  <c r="B2408" i="19"/>
  <c r="B2409" i="19"/>
  <c r="B2410" i="19"/>
  <c r="B2411" i="19"/>
  <c r="B2412" i="19"/>
  <c r="B2413" i="19"/>
  <c r="B2414" i="19"/>
  <c r="B2415" i="19"/>
  <c r="B2416" i="19"/>
  <c r="B2417" i="19"/>
  <c r="B2418" i="19"/>
  <c r="B2419" i="19"/>
  <c r="B2420" i="19"/>
  <c r="B2421" i="19"/>
  <c r="B2422" i="19"/>
  <c r="B2423" i="19"/>
  <c r="B2424" i="19"/>
  <c r="B2425" i="19"/>
  <c r="B2426" i="19"/>
  <c r="B2427" i="19"/>
  <c r="B2428" i="19"/>
  <c r="B2429" i="19"/>
  <c r="B2430" i="19"/>
  <c r="B2431" i="19"/>
  <c r="B2432" i="19"/>
  <c r="B2433" i="19"/>
  <c r="B2434" i="19"/>
  <c r="B2435" i="19"/>
  <c r="B2436" i="19"/>
  <c r="B2437" i="19"/>
  <c r="B2438" i="19"/>
  <c r="B2439" i="19"/>
  <c r="B2440" i="19"/>
  <c r="B2441" i="19"/>
  <c r="B2442" i="19"/>
  <c r="B2443" i="19"/>
  <c r="B2444" i="19"/>
  <c r="B2445" i="19"/>
  <c r="B2446" i="19"/>
  <c r="B2447" i="19"/>
  <c r="B2448" i="19"/>
  <c r="B2449" i="19"/>
  <c r="B2450" i="19"/>
  <c r="B2451" i="19"/>
  <c r="B2452" i="19"/>
  <c r="B2453" i="19"/>
  <c r="B2454" i="19"/>
  <c r="B2455" i="19"/>
  <c r="B2456" i="19"/>
  <c r="B2457" i="19"/>
  <c r="B2458" i="19"/>
  <c r="B2459" i="19"/>
  <c r="B2460" i="19"/>
  <c r="B2461" i="19"/>
  <c r="B2462" i="19"/>
  <c r="B2463" i="19"/>
  <c r="B2464" i="19"/>
  <c r="B2465" i="19"/>
  <c r="B2466" i="19"/>
  <c r="B2467" i="19"/>
  <c r="B2468" i="19"/>
  <c r="B2469" i="19"/>
  <c r="B2470" i="19"/>
  <c r="B2471" i="19"/>
  <c r="B2472" i="19"/>
  <c r="B2473" i="19"/>
  <c r="B2474" i="19"/>
  <c r="B2475" i="19"/>
  <c r="B2476" i="19"/>
  <c r="B2477" i="19"/>
  <c r="B2478" i="19"/>
  <c r="B2479" i="19"/>
  <c r="B2480" i="19"/>
  <c r="B2481" i="19"/>
  <c r="B2482" i="19"/>
  <c r="B2483" i="19"/>
  <c r="B2484" i="19"/>
  <c r="B2485" i="19"/>
  <c r="B2486" i="19"/>
  <c r="B2487" i="19"/>
  <c r="B2488" i="19"/>
  <c r="B2489" i="19"/>
  <c r="B2490" i="19"/>
  <c r="B2491" i="19"/>
  <c r="B2492" i="19"/>
  <c r="B2493" i="19"/>
  <c r="B2494" i="19"/>
  <c r="B2495" i="19"/>
  <c r="B2496" i="19"/>
  <c r="B2497" i="19"/>
  <c r="B2498" i="19"/>
  <c r="B2499" i="19"/>
  <c r="B2500" i="19"/>
  <c r="B2501" i="19"/>
  <c r="B2502" i="19"/>
  <c r="B2503" i="19"/>
  <c r="B2504" i="19"/>
  <c r="B2505" i="19"/>
  <c r="B2506" i="19"/>
  <c r="B2507" i="19"/>
  <c r="B2508" i="19"/>
  <c r="B2509" i="19"/>
  <c r="B2510" i="19"/>
  <c r="B2511" i="19"/>
  <c r="B2512" i="19"/>
  <c r="B2513" i="19"/>
  <c r="B2514" i="19"/>
  <c r="B2515" i="19"/>
  <c r="B2516" i="19"/>
  <c r="B2517" i="19"/>
  <c r="B2518" i="19"/>
  <c r="B2519" i="19"/>
  <c r="B2520" i="19"/>
  <c r="B2521" i="19"/>
  <c r="B2522" i="19"/>
  <c r="B2523" i="19"/>
  <c r="B2524" i="19"/>
  <c r="B2525" i="19"/>
  <c r="B2526" i="19"/>
  <c r="B2527" i="19"/>
  <c r="B2528" i="19"/>
  <c r="B2529" i="19"/>
  <c r="B2530" i="19"/>
  <c r="B2531" i="19"/>
  <c r="B2532" i="19"/>
  <c r="B2533" i="19"/>
  <c r="B2534" i="19"/>
  <c r="B2535" i="19"/>
  <c r="B2536" i="19"/>
  <c r="B2537" i="19"/>
  <c r="B2538" i="19"/>
  <c r="B2539" i="19"/>
  <c r="B2540" i="19"/>
  <c r="B2541" i="19"/>
  <c r="B2542" i="19"/>
  <c r="B2543" i="19"/>
  <c r="B2544" i="19"/>
  <c r="B2545" i="19"/>
  <c r="B2546" i="19"/>
  <c r="B2547" i="19"/>
  <c r="B2548" i="19"/>
  <c r="B2549" i="19"/>
  <c r="B2550" i="19"/>
  <c r="B2551" i="19"/>
  <c r="B2552" i="19"/>
  <c r="B2553" i="19"/>
  <c r="B2554" i="19"/>
  <c r="B2555" i="19"/>
  <c r="B2556" i="19"/>
  <c r="B2557" i="19"/>
  <c r="B2558" i="19"/>
  <c r="B2559" i="19"/>
  <c r="B2560" i="19"/>
  <c r="B2561" i="19"/>
  <c r="B2562" i="19"/>
  <c r="B2563" i="19"/>
  <c r="B2564" i="19"/>
  <c r="B2565" i="19"/>
  <c r="B2566" i="19"/>
  <c r="B2567" i="19"/>
  <c r="B2568" i="19"/>
  <c r="B2569" i="19"/>
  <c r="B2570" i="19"/>
  <c r="B2571" i="19"/>
  <c r="B2572" i="19"/>
  <c r="B2573" i="19"/>
  <c r="B2574" i="19"/>
  <c r="B2575" i="19"/>
  <c r="B2576" i="19"/>
  <c r="B2577" i="19"/>
  <c r="B2578" i="19"/>
  <c r="B2579" i="19"/>
  <c r="B2580" i="19"/>
  <c r="B2581" i="19"/>
  <c r="B2582" i="19"/>
  <c r="B2583" i="19"/>
  <c r="B2584" i="19"/>
  <c r="B2585" i="19"/>
  <c r="B2586" i="19"/>
  <c r="B2587" i="19"/>
  <c r="B2588" i="19"/>
  <c r="B2589" i="19"/>
  <c r="B2590" i="19"/>
  <c r="B2591" i="19"/>
  <c r="B2592" i="19"/>
  <c r="B2593" i="19"/>
  <c r="B2594" i="19"/>
  <c r="B2595" i="19"/>
  <c r="B2596" i="19"/>
  <c r="B2597" i="19"/>
  <c r="B2598" i="19"/>
  <c r="B2599" i="19"/>
  <c r="B2600" i="19"/>
  <c r="B2601" i="19"/>
  <c r="B2602" i="19"/>
  <c r="B2603" i="19"/>
  <c r="B2604" i="19"/>
  <c r="B2605" i="19"/>
  <c r="B2606" i="19"/>
  <c r="B2607" i="19"/>
  <c r="B2608" i="19"/>
  <c r="B2609" i="19"/>
  <c r="B2610" i="19"/>
  <c r="B2611" i="19"/>
  <c r="B2612" i="19"/>
  <c r="B2613" i="19"/>
  <c r="B2614" i="19"/>
  <c r="B2615" i="19"/>
  <c r="B2616" i="19"/>
  <c r="B2617" i="19"/>
  <c r="B2618" i="19"/>
  <c r="B2619" i="19"/>
  <c r="B2620" i="19"/>
  <c r="B2621" i="19"/>
  <c r="B2622" i="19"/>
  <c r="B2623" i="19"/>
  <c r="B2624" i="19"/>
  <c r="B2625" i="19"/>
  <c r="B2626" i="19"/>
  <c r="B2627" i="19"/>
  <c r="B2628" i="19"/>
  <c r="B2629" i="19"/>
  <c r="B2630" i="19"/>
  <c r="B2631" i="19"/>
  <c r="B2632" i="19"/>
  <c r="B2633" i="19"/>
  <c r="B2634" i="19"/>
  <c r="B2635" i="19"/>
  <c r="B2636" i="19"/>
  <c r="B2637" i="19"/>
  <c r="B2638" i="19"/>
  <c r="B2639" i="19"/>
  <c r="B2640" i="19"/>
  <c r="B2641" i="19"/>
  <c r="B2642" i="19"/>
  <c r="B2643" i="19"/>
  <c r="B2644" i="19"/>
  <c r="B2645" i="19"/>
  <c r="B2646" i="19"/>
  <c r="B2647" i="19"/>
  <c r="B2648" i="19"/>
  <c r="B2649" i="19"/>
  <c r="B2650" i="19"/>
  <c r="B2651" i="19"/>
  <c r="B2652" i="19"/>
  <c r="B2653" i="19"/>
  <c r="B2654" i="19"/>
  <c r="B2655" i="19"/>
  <c r="B2656" i="19"/>
  <c r="B2657" i="19"/>
  <c r="B2658" i="19"/>
  <c r="B2659" i="19"/>
  <c r="B2660" i="19"/>
  <c r="B2661" i="19"/>
  <c r="B2662" i="19"/>
  <c r="B2663" i="19"/>
  <c r="B2664" i="19"/>
  <c r="B2665" i="19"/>
  <c r="B2666" i="19"/>
  <c r="B2667" i="19"/>
  <c r="B2668" i="19"/>
  <c r="B2669" i="19"/>
  <c r="B2670" i="19"/>
  <c r="B2671" i="19"/>
  <c r="B2672" i="19"/>
  <c r="B2673" i="19"/>
  <c r="B2674" i="19"/>
  <c r="B2675" i="19"/>
  <c r="B2676" i="19"/>
  <c r="B2677" i="19"/>
  <c r="B2678" i="19"/>
  <c r="B2679" i="19"/>
  <c r="B2680" i="19"/>
  <c r="B2681" i="19"/>
  <c r="B2682" i="19"/>
  <c r="B2683" i="19"/>
  <c r="B2684" i="19"/>
  <c r="B2685" i="19"/>
  <c r="B2686" i="19"/>
  <c r="B2687" i="19"/>
  <c r="B2688" i="19"/>
  <c r="B2689" i="19"/>
  <c r="B2690" i="19"/>
  <c r="B2691" i="19"/>
  <c r="B2692" i="19"/>
  <c r="B2693" i="19"/>
  <c r="B2694" i="19"/>
  <c r="B2695" i="19"/>
  <c r="B2696" i="19"/>
  <c r="B2697" i="19"/>
  <c r="B2698" i="19"/>
  <c r="B2699" i="19"/>
  <c r="B2700" i="19"/>
  <c r="B2701" i="19"/>
  <c r="B2702" i="19"/>
  <c r="B2703" i="19"/>
  <c r="B2704" i="19"/>
  <c r="B2705" i="19"/>
  <c r="B2706" i="19"/>
  <c r="B2707" i="19"/>
  <c r="B2708" i="19"/>
  <c r="B2709" i="19"/>
  <c r="B2710" i="19"/>
  <c r="B2711" i="19"/>
  <c r="B2712" i="19"/>
  <c r="B2713" i="19"/>
  <c r="B2714" i="19"/>
  <c r="B2715" i="19"/>
  <c r="B2716" i="19"/>
  <c r="B2717" i="19"/>
  <c r="B2718" i="19"/>
  <c r="B2719" i="19"/>
  <c r="B2720" i="19"/>
  <c r="B2721" i="19"/>
  <c r="B2722" i="19"/>
  <c r="B2723" i="19"/>
  <c r="B2724" i="19"/>
  <c r="B2725" i="19"/>
  <c r="B2726" i="19"/>
  <c r="B2727" i="19"/>
  <c r="B2728" i="19"/>
  <c r="B2729" i="19"/>
  <c r="B2730" i="19"/>
  <c r="B2731" i="19"/>
  <c r="B2732" i="19"/>
  <c r="B2733" i="19"/>
  <c r="B2734" i="19"/>
  <c r="B2735" i="19"/>
  <c r="B2736" i="19"/>
  <c r="B2737" i="19"/>
  <c r="B2738" i="19"/>
  <c r="B2739" i="19"/>
  <c r="B2740" i="19"/>
  <c r="B2741" i="19"/>
  <c r="B2742" i="19"/>
  <c r="B2743" i="19"/>
  <c r="B2744" i="19"/>
  <c r="B2745" i="19"/>
  <c r="B2746" i="19"/>
  <c r="B2747" i="19"/>
  <c r="B2748" i="19"/>
  <c r="B2749" i="19"/>
  <c r="B2750" i="19"/>
  <c r="B2751" i="19"/>
  <c r="B2752" i="19"/>
  <c r="B2753" i="19"/>
  <c r="B2754" i="19"/>
  <c r="B2755" i="19"/>
  <c r="B2756" i="19"/>
  <c r="B2757" i="19"/>
  <c r="B2758" i="19"/>
  <c r="B2759" i="19"/>
  <c r="B2760" i="19"/>
  <c r="B2761" i="19"/>
  <c r="B2762" i="19"/>
  <c r="B2763" i="19"/>
  <c r="B2764" i="19"/>
  <c r="B2765" i="19"/>
  <c r="B2766" i="19"/>
  <c r="B2767" i="19"/>
  <c r="B2768" i="19"/>
  <c r="B2769" i="19"/>
  <c r="B2770" i="19"/>
  <c r="B2771" i="19"/>
  <c r="B2772" i="19"/>
  <c r="B2773" i="19"/>
  <c r="B2774" i="19"/>
  <c r="B2775" i="19"/>
  <c r="B2776" i="19"/>
  <c r="B2777" i="19"/>
  <c r="B2778" i="19"/>
  <c r="B2779" i="19"/>
  <c r="B2780" i="19"/>
  <c r="B2781" i="19"/>
  <c r="B2782" i="19"/>
  <c r="B2783" i="19"/>
  <c r="B2784" i="19"/>
  <c r="B2785" i="19"/>
  <c r="B2786" i="19"/>
  <c r="B2787" i="19"/>
  <c r="B2788" i="19"/>
  <c r="B2789" i="19"/>
  <c r="B2790" i="19"/>
  <c r="B2791" i="19"/>
  <c r="B2792" i="19"/>
  <c r="B2793" i="19"/>
  <c r="B2794" i="19"/>
  <c r="B2795" i="19"/>
  <c r="B2796" i="19"/>
  <c r="B2797" i="19"/>
  <c r="B2798" i="19"/>
  <c r="B2799" i="19"/>
  <c r="B2800" i="19"/>
  <c r="B2801" i="19"/>
  <c r="B2802" i="19"/>
  <c r="B2803" i="19"/>
  <c r="B2804" i="19"/>
  <c r="B2805" i="19"/>
  <c r="B2806" i="19"/>
  <c r="B2807" i="19"/>
  <c r="B2808" i="19"/>
  <c r="B2809" i="19"/>
  <c r="B2810" i="19"/>
  <c r="B2811" i="19"/>
  <c r="B2812" i="19"/>
  <c r="B2813" i="19"/>
  <c r="B2814" i="19"/>
  <c r="B2815" i="19"/>
  <c r="B2816" i="19"/>
  <c r="B2817" i="19"/>
  <c r="B2818" i="19"/>
  <c r="B2819" i="19"/>
  <c r="B2820" i="19"/>
  <c r="B2821" i="19"/>
  <c r="B2822" i="19"/>
  <c r="B2823" i="19"/>
  <c r="B2824" i="19"/>
  <c r="B2825" i="19"/>
  <c r="B2826" i="19"/>
  <c r="B2827" i="19"/>
  <c r="B2828" i="19"/>
  <c r="B2829" i="19"/>
  <c r="B2830" i="19"/>
  <c r="B2831" i="19"/>
  <c r="B2832" i="19"/>
  <c r="B2833" i="19"/>
  <c r="B2834" i="19"/>
  <c r="B2835" i="19"/>
  <c r="B2836" i="19"/>
  <c r="B2837" i="19"/>
  <c r="B2838" i="19"/>
  <c r="B2839" i="19"/>
  <c r="B2840" i="19"/>
  <c r="B2841" i="19"/>
  <c r="B2842" i="19"/>
  <c r="B2843" i="19"/>
  <c r="B2844" i="19"/>
  <c r="B2845" i="19"/>
  <c r="B2846" i="19"/>
  <c r="B2847" i="19"/>
  <c r="B2848" i="19"/>
  <c r="B2849" i="19"/>
  <c r="B2850" i="19"/>
  <c r="B2851" i="19"/>
  <c r="B2852" i="19"/>
  <c r="B2853" i="19"/>
  <c r="B2854" i="19"/>
  <c r="B2855" i="19"/>
  <c r="B2856" i="19"/>
  <c r="B2857" i="19"/>
  <c r="B2858" i="19"/>
  <c r="B2859" i="19"/>
  <c r="B2860" i="19"/>
  <c r="B2861" i="19"/>
  <c r="B2862" i="19"/>
  <c r="B2863" i="19"/>
  <c r="B2864" i="19"/>
  <c r="B2865" i="19"/>
  <c r="B2866" i="19"/>
  <c r="B2867" i="19"/>
  <c r="B2868" i="19"/>
  <c r="B2869" i="19"/>
  <c r="B2870" i="19"/>
  <c r="B2871" i="19"/>
  <c r="B2872" i="19"/>
  <c r="B2873" i="19"/>
  <c r="B2874" i="19"/>
  <c r="B2875" i="19"/>
  <c r="B2876" i="19"/>
  <c r="B2877" i="19"/>
  <c r="B2878" i="19"/>
  <c r="B2879" i="19"/>
  <c r="B2880" i="19"/>
  <c r="B2881" i="19"/>
  <c r="B2882" i="19"/>
  <c r="B2883" i="19"/>
  <c r="B2884" i="19"/>
  <c r="B2885" i="19"/>
  <c r="B2886" i="19"/>
  <c r="B2887" i="19"/>
  <c r="B2888" i="19"/>
  <c r="B2889" i="19"/>
  <c r="B2890" i="19"/>
  <c r="B2891" i="19"/>
  <c r="B2892" i="19"/>
  <c r="B2893" i="19"/>
  <c r="B2894" i="19"/>
  <c r="B2895" i="19"/>
  <c r="B2896" i="19"/>
  <c r="B2897" i="19"/>
  <c r="B2898" i="19"/>
  <c r="B2899" i="19"/>
  <c r="B2900" i="19"/>
  <c r="B2901" i="19"/>
  <c r="B2902" i="19"/>
  <c r="B2903" i="19"/>
  <c r="B2904" i="19"/>
  <c r="B2905" i="19"/>
  <c r="B2906" i="19"/>
  <c r="B2907" i="19"/>
  <c r="B2908" i="19"/>
  <c r="B2909" i="19"/>
  <c r="B2910" i="19"/>
  <c r="B2911" i="19"/>
  <c r="B2912" i="19"/>
  <c r="B2913" i="19"/>
  <c r="B2914" i="19"/>
  <c r="B2915" i="19"/>
  <c r="B2916" i="19"/>
  <c r="B2917" i="19"/>
  <c r="B2918" i="19"/>
  <c r="B2919" i="19"/>
  <c r="B2920" i="19"/>
  <c r="B2921" i="19"/>
  <c r="B2922" i="19"/>
  <c r="B2923" i="19"/>
  <c r="B2924" i="19"/>
  <c r="B2925" i="19"/>
  <c r="B2926" i="19"/>
  <c r="B2927" i="19"/>
  <c r="B2928" i="19"/>
  <c r="B2929" i="19"/>
  <c r="B2930" i="19"/>
  <c r="B2931" i="19"/>
  <c r="B2932" i="19"/>
  <c r="B2933" i="19"/>
  <c r="B2934" i="19"/>
  <c r="B2935" i="19"/>
  <c r="B2936" i="19"/>
  <c r="B2937" i="19"/>
  <c r="B2938" i="19"/>
  <c r="B2939" i="19"/>
  <c r="B2940" i="19"/>
  <c r="B2941" i="19"/>
  <c r="B2942" i="19"/>
  <c r="B2943" i="19"/>
  <c r="B2944" i="19"/>
  <c r="B2945" i="19"/>
  <c r="B2946" i="19"/>
  <c r="B2947" i="19"/>
  <c r="B2948" i="19"/>
  <c r="B2949" i="19"/>
  <c r="B2950" i="19"/>
  <c r="B2951" i="19"/>
  <c r="B2952" i="19"/>
  <c r="B2953" i="19"/>
  <c r="B2954" i="19"/>
  <c r="B2955" i="19"/>
  <c r="B2956" i="19"/>
  <c r="B2957" i="19"/>
  <c r="B2958" i="19"/>
  <c r="B2959" i="19"/>
  <c r="B2960" i="19"/>
  <c r="B2961" i="19"/>
  <c r="B2962" i="19"/>
  <c r="B2963" i="19"/>
  <c r="B2964" i="19"/>
  <c r="B2965" i="19"/>
  <c r="B2966" i="19"/>
  <c r="B2967" i="19"/>
  <c r="B2968" i="19"/>
  <c r="B2969" i="19"/>
  <c r="B2970" i="19"/>
  <c r="B2971" i="19"/>
  <c r="B2972" i="19"/>
  <c r="B2973" i="19"/>
  <c r="B2974" i="19"/>
  <c r="B2975" i="19"/>
  <c r="B2976" i="19"/>
  <c r="B2977" i="19"/>
  <c r="B2978" i="19"/>
  <c r="B2979" i="19"/>
  <c r="B2980" i="19"/>
  <c r="B2981" i="19"/>
  <c r="B2982" i="19"/>
  <c r="B2983" i="19"/>
  <c r="B2984" i="19"/>
  <c r="B2985" i="19"/>
  <c r="B2986" i="19"/>
  <c r="B2987" i="19"/>
  <c r="B2988" i="19"/>
  <c r="B2989" i="19"/>
  <c r="B2990" i="19"/>
  <c r="B2991" i="19"/>
  <c r="B2992" i="19"/>
  <c r="B2993" i="19"/>
  <c r="B2994" i="19"/>
  <c r="B2995" i="19"/>
  <c r="B2996" i="19"/>
  <c r="B2997" i="19"/>
  <c r="B2998" i="19"/>
  <c r="B2999" i="19"/>
  <c r="B3000" i="19"/>
  <c r="B3001" i="19"/>
  <c r="B3002" i="19"/>
  <c r="B3003" i="19"/>
  <c r="B3004" i="19"/>
  <c r="B3005" i="19"/>
  <c r="B3006" i="19"/>
  <c r="B3007" i="19"/>
  <c r="B3008" i="19"/>
  <c r="B3009" i="19"/>
  <c r="B3010" i="19"/>
  <c r="B3011" i="19"/>
  <c r="B3012" i="19"/>
  <c r="B3013" i="19"/>
  <c r="B3014" i="19"/>
  <c r="B3015" i="19"/>
  <c r="B3016" i="19"/>
  <c r="B3017" i="19"/>
  <c r="B3018" i="19"/>
  <c r="B3019" i="19"/>
  <c r="B3020" i="19"/>
  <c r="B3021" i="19"/>
  <c r="B3022" i="19"/>
  <c r="B3023" i="19"/>
  <c r="B3024" i="19"/>
  <c r="B3025" i="19"/>
  <c r="B3026" i="19"/>
  <c r="B3027" i="19"/>
  <c r="B3028" i="19"/>
  <c r="B3029" i="19"/>
  <c r="B3030" i="19"/>
  <c r="B3031" i="19"/>
  <c r="B3032" i="19"/>
  <c r="B3033" i="19"/>
  <c r="B3034" i="19"/>
  <c r="B3035" i="19"/>
  <c r="B3036" i="19"/>
  <c r="B3037" i="19"/>
  <c r="B3038" i="19"/>
  <c r="B3039" i="19"/>
  <c r="B3040" i="19"/>
  <c r="B3041" i="19"/>
  <c r="B3042" i="19"/>
  <c r="B3043" i="19"/>
  <c r="B3044" i="19"/>
  <c r="B3045" i="19"/>
  <c r="B3046" i="19"/>
  <c r="B3047" i="19"/>
  <c r="B3048" i="19"/>
  <c r="B3049" i="19"/>
  <c r="B3050" i="19"/>
  <c r="B3051" i="19"/>
  <c r="B3052" i="19"/>
  <c r="B3053" i="19"/>
  <c r="B3054" i="19"/>
  <c r="B3055" i="19"/>
  <c r="B3056" i="19"/>
  <c r="B3057" i="19"/>
  <c r="B3058" i="19"/>
  <c r="B3059" i="19"/>
  <c r="B3060" i="19"/>
  <c r="B3061" i="19"/>
  <c r="B3062" i="19"/>
  <c r="B3063" i="19"/>
  <c r="B3064" i="19"/>
  <c r="B3065" i="19"/>
  <c r="B3066" i="19"/>
  <c r="B3067" i="19"/>
  <c r="B3068" i="19"/>
  <c r="B3069" i="19"/>
  <c r="B3070" i="19"/>
  <c r="B3071" i="19"/>
  <c r="B3072" i="19"/>
  <c r="B3073" i="19"/>
  <c r="B3074" i="19"/>
  <c r="B3075" i="19"/>
  <c r="B3076" i="19"/>
  <c r="B3077" i="19"/>
  <c r="B3078" i="19"/>
  <c r="B3079" i="19"/>
  <c r="B3080" i="19"/>
  <c r="B3081" i="19"/>
  <c r="B3082" i="19"/>
  <c r="B3083" i="19"/>
  <c r="B3084" i="19"/>
  <c r="B3085" i="19"/>
  <c r="B3086" i="19"/>
  <c r="B3087" i="19"/>
  <c r="B3088" i="19"/>
  <c r="B3089" i="19"/>
  <c r="B3090" i="19"/>
  <c r="B3091" i="19"/>
  <c r="B3092" i="19"/>
  <c r="B3093" i="19"/>
  <c r="B3094" i="19"/>
  <c r="B3095" i="19"/>
  <c r="B3096" i="19"/>
  <c r="B3097" i="19"/>
  <c r="B3098" i="19"/>
  <c r="B3099" i="19"/>
  <c r="B3100" i="19"/>
  <c r="B3101" i="19"/>
  <c r="B3102" i="19"/>
  <c r="B3103" i="19"/>
  <c r="B3104" i="19"/>
  <c r="B3105" i="19"/>
  <c r="B3106" i="19"/>
  <c r="B3107" i="19"/>
  <c r="B3108" i="19"/>
  <c r="B3109" i="19"/>
  <c r="B3110" i="19"/>
  <c r="B3111" i="19"/>
  <c r="B3112" i="19"/>
  <c r="B3113" i="19"/>
  <c r="B3114" i="19"/>
  <c r="B3115" i="19"/>
  <c r="B3116" i="19"/>
  <c r="H1237" i="19" l="1"/>
  <c r="I1237" i="19"/>
  <c r="H1246" i="19"/>
  <c r="I1246" i="19"/>
  <c r="H1232" i="19"/>
  <c r="I1232" i="19"/>
  <c r="H1245" i="19"/>
  <c r="I1245" i="19"/>
  <c r="H1243" i="19"/>
  <c r="I1243" i="19"/>
  <c r="H1244" i="19"/>
  <c r="I1244" i="19"/>
  <c r="H1242" i="19"/>
  <c r="I1242" i="19"/>
  <c r="H1241" i="19"/>
  <c r="I1241" i="19"/>
  <c r="H1239" i="19"/>
  <c r="I1239" i="19"/>
  <c r="H1238" i="19"/>
  <c r="I1238" i="19"/>
  <c r="H1236" i="19"/>
  <c r="I1236" i="19"/>
  <c r="H1249" i="19"/>
  <c r="I1249" i="19"/>
  <c r="H1235" i="19"/>
  <c r="I1235" i="19"/>
  <c r="H1240" i="19"/>
  <c r="I1240" i="19"/>
  <c r="H1248" i="19"/>
  <c r="I1248" i="19"/>
  <c r="H1234" i="19"/>
  <c r="I1234" i="19"/>
  <c r="H1247" i="19"/>
  <c r="I1247" i="19"/>
  <c r="H1233" i="19"/>
  <c r="I1233" i="19"/>
  <c r="I1075" i="19"/>
  <c r="I1033" i="19"/>
  <c r="I1074" i="19"/>
  <c r="I1032" i="19"/>
  <c r="I1072" i="19"/>
  <c r="I1044" i="19"/>
  <c r="I1071" i="19"/>
  <c r="I1043" i="19"/>
  <c r="I1029" i="19"/>
  <c r="I1076" i="19"/>
  <c r="I1034" i="19"/>
  <c r="I1073" i="19"/>
  <c r="I1045" i="19"/>
  <c r="I1031" i="19"/>
  <c r="I1030" i="19"/>
  <c r="I1070" i="19"/>
  <c r="I1042" i="19"/>
  <c r="I1153" i="19"/>
  <c r="I1146" i="19"/>
  <c r="I1139" i="19"/>
  <c r="I12" i="19"/>
  <c r="K12" i="19" s="1"/>
  <c r="H1153" i="19"/>
  <c r="H1146" i="19"/>
  <c r="H1139" i="19"/>
  <c r="I13" i="19"/>
  <c r="I27" i="19"/>
  <c r="K27" i="19" s="1"/>
  <c r="I41" i="19"/>
  <c r="K41" i="19" s="1"/>
  <c r="I55" i="19"/>
  <c r="K55" i="19" s="1"/>
  <c r="I1152" i="19"/>
  <c r="I1028" i="19"/>
  <c r="I1069" i="19"/>
  <c r="I1040" i="19"/>
  <c r="I1041" i="19"/>
  <c r="I1067" i="19"/>
  <c r="I1068" i="19"/>
  <c r="I1081" i="19"/>
  <c r="I1039" i="19"/>
  <c r="I1080" i="19"/>
  <c r="I1066" i="19"/>
  <c r="I1038" i="19"/>
  <c r="I1079" i="19"/>
  <c r="I1065" i="19"/>
  <c r="I1037" i="19"/>
  <c r="I1078" i="19"/>
  <c r="I1064" i="19"/>
  <c r="I1036" i="19"/>
  <c r="H1074" i="19"/>
  <c r="H1029" i="19"/>
  <c r="H1043" i="19"/>
  <c r="H1088" i="19"/>
  <c r="H1089" i="19"/>
  <c r="H1096" i="19"/>
  <c r="H1103" i="19"/>
  <c r="H1110" i="19"/>
  <c r="H1117" i="19"/>
  <c r="B3" i="2" a="1"/>
  <c r="B3" i="2" s="1"/>
  <c r="H1090" i="19"/>
  <c r="H1097" i="19"/>
  <c r="H1104" i="19"/>
  <c r="H1091" i="19"/>
  <c r="H1098" i="19"/>
  <c r="H1105" i="19"/>
  <c r="H1112" i="19"/>
  <c r="H1092" i="19"/>
  <c r="H1099" i="19"/>
  <c r="H1106" i="19"/>
  <c r="H1093" i="19"/>
  <c r="H1100" i="19"/>
  <c r="H1068" i="19"/>
  <c r="H1073" i="19"/>
  <c r="H1077" i="19"/>
  <c r="H1034" i="19"/>
  <c r="H1040" i="19"/>
  <c r="J3" i="19"/>
  <c r="J44" i="19"/>
  <c r="J86" i="19"/>
  <c r="J51" i="19"/>
  <c r="J52" i="19"/>
  <c r="J10" i="19"/>
  <c r="J65" i="19"/>
  <c r="J17" i="19"/>
  <c r="J66" i="19"/>
  <c r="J24" i="19"/>
  <c r="J73" i="19"/>
  <c r="J31" i="19"/>
  <c r="J79" i="19"/>
  <c r="K83" i="19"/>
  <c r="K76" i="19"/>
  <c r="K69" i="19"/>
  <c r="K62" i="19"/>
  <c r="K48" i="19"/>
  <c r="K34" i="19"/>
  <c r="K20" i="19"/>
  <c r="K13" i="19"/>
  <c r="K6" i="19"/>
  <c r="H1033" i="19"/>
  <c r="J83" i="19"/>
  <c r="J76" i="19"/>
  <c r="J69" i="19"/>
  <c r="J62" i="19"/>
  <c r="J55" i="19"/>
  <c r="J48" i="19"/>
  <c r="J41" i="19"/>
  <c r="J34" i="19"/>
  <c r="J27" i="19"/>
  <c r="J20" i="19"/>
  <c r="J13" i="19"/>
  <c r="J6" i="19"/>
  <c r="K86" i="19"/>
  <c r="K79" i="19"/>
  <c r="K72" i="19"/>
  <c r="K65" i="19"/>
  <c r="K58" i="19"/>
  <c r="K51" i="19"/>
  <c r="K44" i="19"/>
  <c r="K37" i="19"/>
  <c r="K30" i="19"/>
  <c r="K23" i="19"/>
  <c r="K16" i="19"/>
  <c r="K9" i="19"/>
  <c r="J16" i="19"/>
  <c r="J9" i="19"/>
  <c r="H1067" i="19"/>
  <c r="H1028" i="19"/>
  <c r="H1066" i="19"/>
  <c r="H1032" i="19"/>
  <c r="K68" i="19"/>
  <c r="K61" i="19"/>
  <c r="K54" i="19"/>
  <c r="K47" i="19"/>
  <c r="K40" i="19"/>
  <c r="K33" i="19"/>
  <c r="K26" i="19"/>
  <c r="K19" i="19"/>
  <c r="I5" i="19"/>
  <c r="K5" i="19" s="1"/>
  <c r="H1071" i="19"/>
  <c r="J82" i="19"/>
  <c r="J75" i="19"/>
  <c r="J68" i="19"/>
  <c r="J61" i="19"/>
  <c r="J54" i="19"/>
  <c r="J47" i="19"/>
  <c r="J40" i="19"/>
  <c r="J33" i="19"/>
  <c r="J26" i="19"/>
  <c r="J19" i="19"/>
  <c r="J12" i="19"/>
  <c r="J5" i="19"/>
  <c r="H1081" i="19"/>
  <c r="H1076" i="19"/>
  <c r="H1042" i="19"/>
  <c r="H1041" i="19"/>
  <c r="K85" i="19"/>
  <c r="K78" i="19"/>
  <c r="K71" i="19"/>
  <c r="K64" i="19"/>
  <c r="K57" i="19"/>
  <c r="K50" i="19"/>
  <c r="K43" i="19"/>
  <c r="K36" i="19"/>
  <c r="K29" i="19"/>
  <c r="K22" i="19"/>
  <c r="K15" i="19"/>
  <c r="K8" i="19"/>
  <c r="H1037" i="19"/>
  <c r="H1075" i="19"/>
  <c r="H1031" i="19"/>
  <c r="J85" i="19"/>
  <c r="J78" i="19"/>
  <c r="J71" i="19"/>
  <c r="J64" i="19"/>
  <c r="J57" i="19"/>
  <c r="J50" i="19"/>
  <c r="J43" i="19"/>
  <c r="J36" i="19"/>
  <c r="J29" i="19"/>
  <c r="J22" i="19"/>
  <c r="J15" i="19"/>
  <c r="J8" i="19"/>
  <c r="H1072" i="19"/>
  <c r="H1038" i="19"/>
  <c r="H1080" i="19"/>
  <c r="H1070" i="19"/>
  <c r="H1036" i="19"/>
  <c r="H1079" i="19"/>
  <c r="H1065" i="19"/>
  <c r="H1045" i="19"/>
  <c r="K81" i="19"/>
  <c r="K74" i="19"/>
  <c r="K67" i="19"/>
  <c r="K60" i="19"/>
  <c r="K53" i="19"/>
  <c r="K46" i="19"/>
  <c r="K39" i="19"/>
  <c r="K32" i="19"/>
  <c r="K25" i="19"/>
  <c r="K18" i="19"/>
  <c r="K11" i="19"/>
  <c r="I4" i="19"/>
  <c r="K4" i="19" s="1"/>
  <c r="J81" i="19"/>
  <c r="J74" i="19"/>
  <c r="J67" i="19"/>
  <c r="J60" i="19"/>
  <c r="J53" i="19"/>
  <c r="J46" i="19"/>
  <c r="J39" i="19"/>
  <c r="J32" i="19"/>
  <c r="J25" i="19"/>
  <c r="J18" i="19"/>
  <c r="J11" i="19"/>
  <c r="J4" i="19"/>
  <c r="K84" i="19"/>
  <c r="K77" i="19"/>
  <c r="K70" i="19"/>
  <c r="K63" i="19"/>
  <c r="K56" i="19"/>
  <c r="K49" i="19"/>
  <c r="K42" i="19"/>
  <c r="K35" i="19"/>
  <c r="K28" i="19"/>
  <c r="K21" i="19"/>
  <c r="K14" i="19"/>
  <c r="K7" i="19"/>
  <c r="H1035" i="19"/>
  <c r="H1078" i="19"/>
  <c r="H1064" i="19"/>
  <c r="H1044" i="19"/>
  <c r="H1039" i="19"/>
  <c r="J84" i="19"/>
  <c r="J77" i="19"/>
  <c r="J70" i="19"/>
  <c r="J63" i="19"/>
  <c r="J56" i="19"/>
  <c r="J49" i="19"/>
  <c r="J42" i="19"/>
  <c r="J35" i="19"/>
  <c r="J28" i="19"/>
  <c r="J21" i="19"/>
  <c r="J14" i="19"/>
  <c r="J7" i="19"/>
  <c r="H1069" i="19"/>
  <c r="H1030" i="19"/>
  <c r="K80" i="19"/>
  <c r="K73" i="19"/>
  <c r="K66" i="19"/>
  <c r="K59" i="19"/>
  <c r="K52" i="19"/>
  <c r="K45" i="19"/>
  <c r="K38" i="19"/>
  <c r="K31" i="19"/>
  <c r="K24" i="19"/>
  <c r="K17" i="19"/>
  <c r="K10" i="19"/>
  <c r="I3" i="19"/>
  <c r="K3" i="19" s="1"/>
  <c r="D2" i="2" l="1"/>
  <c r="E2" i="2"/>
  <c r="E3" i="2" a="1"/>
  <c r="E3" i="2" s="1"/>
  <c r="D3" i="2" a="1"/>
  <c r="D3"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Daniel Newby</author>
  </authors>
  <commentList>
    <comment ref="C2" authorId="0" shapeId="0" xr:uid="{08935FB1-44C7-484D-BFBE-EF654E073B3D}">
      <text>
        <r>
          <rPr>
            <b/>
            <sz val="9"/>
            <color indexed="81"/>
            <rFont val="Tahoma"/>
            <family val="2"/>
          </rPr>
          <t>Daniel Newby:</t>
        </r>
        <r>
          <rPr>
            <sz val="9"/>
            <color indexed="81"/>
            <rFont val="Tahoma"/>
            <family val="2"/>
          </rPr>
          <t xml:space="preserve">
Hardcoded due to columns to the right.</t>
        </r>
      </text>
    </comment>
    <comment ref="F2" authorId="0" shapeId="0" xr:uid="{7FE6CCC9-1165-4C37-B869-4FF31DAABE71}">
      <text>
        <r>
          <rPr>
            <b/>
            <sz val="9"/>
            <color indexed="81"/>
            <rFont val="Tahoma"/>
            <family val="2"/>
          </rPr>
          <t>Daniel Newby:</t>
        </r>
        <r>
          <rPr>
            <sz val="9"/>
            <color indexed="81"/>
            <rFont val="Tahoma"/>
            <family val="2"/>
          </rPr>
          <t xml:space="preserve">
Saved on Daily Sheet due to formatting.</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7EC1F97-DCE4-425B-85E1-F873AD741BD9}" keepAlive="1" name="Query - _combined_data" description="Connection to the '_combined_data' query in the workbook." type="5" refreshedVersion="0" background="1">
    <dbPr connection="Provider=Microsoft.Mashup.OleDb.1;Data Source=$Workbook$;Location=_combined_data;Extended Properties=&quot;&quot;" command="SELECT * FROM [_combined_data]"/>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<sst xmlns="http://schemas.openxmlformats.org/spreadsheetml/2006/main" count="3812" uniqueCount="139">
  <si>
    <t>How this workbook works</t>
  </si>
  <si>
    <t>1. Log sheet</t>
  </si>
  <si>
    <t xml:space="preserve">   Each day, add one new row per camera to the table (just type into the row directly below the last one - the table expands automatically).</t>
  </si>
  <si>
    <t xml:space="preserve">   Columns: Date, Camera, Wand Count, World Error, Image Error.</t>
  </si>
  <si>
    <t xml:space="preserve">   The Camera column has a dropdown so names stay consistent.</t>
  </si>
  <si>
    <t>2. Daily Summary sheet</t>
  </si>
  <si>
    <t xml:space="preserve">   Automatically averages World Error and Image Error across all cameras for each date, and counts how many cameras were logged that day (flags red if it isn't 17, so you notice a missed camera). Pre-built with formulas for the next ~150 days - nothing to edit.</t>
  </si>
  <si>
    <t xml:space="preserve">   Chart: average error trend over time, across the whole rig.</t>
  </si>
  <si>
    <t>3. Camera Trend sheet</t>
  </si>
  <si>
    <t xml:space="preserve">   Pick a camera from the dropdown in the highlighted cell and its own error history over time appears in the table and chart below. Useful for spotting a camera that's drifting or degrading.</t>
  </si>
  <si>
    <t>4. Lists sheet</t>
  </si>
  <si>
    <t xml:space="preserve">   Just holds the camera name list that powers the dropdowns. Hidden by default - unhide it (right-click any sheet tab) if you add or retire a camera.</t>
  </si>
  <si>
    <t>Cells you edit day-to-day are highlighted in pale yellow. Everything else is a formula and updates itself.</t>
  </si>
  <si>
    <t>Camera</t>
  </si>
  <si>
    <t>#1 (Vero v2.2)</t>
  </si>
  <si>
    <t>#2 (Vero v2.2)</t>
  </si>
  <si>
    <t>#3 (Vero v2.2)</t>
  </si>
  <si>
    <t>#4 (Vero v2.2)</t>
  </si>
  <si>
    <t>#5 (Vero v2.2)</t>
  </si>
  <si>
    <t>#6 (Vero v2.2)</t>
  </si>
  <si>
    <t>#7 (Vero v2.2)</t>
  </si>
  <si>
    <t>#9 (Vero v2.2)</t>
  </si>
  <si>
    <t>#10 (Vero v2.2)</t>
  </si>
  <si>
    <t>#11 (Vero v2.2)</t>
  </si>
  <si>
    <t>#12 (Vero v2.2)</t>
  </si>
  <si>
    <t>#13 (Vero v2.2)</t>
  </si>
  <si>
    <t>#14 (Vero v2.2)</t>
  </si>
  <si>
    <t>#15 (Vero v2.2)</t>
  </si>
  <si>
    <t>#16 (Vero v2.2)</t>
  </si>
  <si>
    <t>#17 (Vero v2.2)</t>
  </si>
  <si>
    <t>#18 (Vero v2.2)</t>
  </si>
  <si>
    <t>Date</t>
  </si>
  <si>
    <t>Wand Count</t>
  </si>
  <si>
    <t>World Error</t>
  </si>
  <si>
    <t>Image Error</t>
  </si>
  <si>
    <t>World Error (Avg.)</t>
  </si>
  <si>
    <t>Image Error (Avg.)</t>
  </si>
  <si>
    <t>Beats average?</t>
  </si>
  <si>
    <t>World</t>
  </si>
  <si>
    <t>Image</t>
  </si>
  <si>
    <t>#8 (Vero v2.2)</t>
  </si>
  <si>
    <t>Daily</t>
  </si>
  <si>
    <t>Error</t>
  </si>
  <si>
    <t>UPDATE THIS TAB</t>
  </si>
  <si>
    <t>VERY OUT OF DATE</t>
  </si>
  <si>
    <t>Key 1</t>
  </si>
  <si>
    <r>
      <t xml:space="preserve">Key 1
</t>
    </r>
    <r>
      <rPr>
        <sz val="10"/>
        <color rgb="FFFFFFFF"/>
        <rFont val="Arial"/>
        <family val="2"/>
      </rPr>
      <t>(Category)</t>
    </r>
  </si>
  <si>
    <t>Key Category</t>
  </si>
  <si>
    <t>Trial</t>
  </si>
  <si>
    <t>Key 2</t>
  </si>
  <si>
    <t>n/a</t>
  </si>
  <si>
    <t>Average Errors (This Set)</t>
  </si>
  <si>
    <t>Error (Camera Entry)</t>
  </si>
  <si>
    <t>Averages (Set)</t>
  </si>
  <si>
    <t>Calibration health metric - pixel error in tracking</t>
  </si>
  <si>
    <t>Image error modified by camera distance</t>
  </si>
  <si>
    <t>Frames tracking wand during calibration</t>
  </si>
  <si>
    <t>Identity for camera</t>
  </si>
  <si>
    <t>Day calibration data was recorded</t>
  </si>
  <si>
    <t>Whether log refers to an bugged calibration, daily baselines, or a calibration experiment.</t>
  </si>
  <si>
    <t>For errors/experiments multiple may be in one day - sets should have max 1 of each camera</t>
  </si>
  <si>
    <t>Data should be input in this column.</t>
  </si>
  <si>
    <r>
      <rPr>
        <b/>
        <sz val="8"/>
        <color theme="1"/>
        <rFont val="Calibri"/>
        <family val="2"/>
      </rPr>
      <t>Automatic formula</t>
    </r>
    <r>
      <rPr>
        <sz val="8"/>
        <color theme="1"/>
        <rFont val="Calibri"/>
        <family val="2"/>
      </rPr>
      <t xml:space="preserve"> - do not modify this column.</t>
    </r>
  </si>
  <si>
    <t>HEADER COLOURS</t>
  </si>
  <si>
    <t>HEADER NAMES</t>
  </si>
  <si>
    <t>Header Key Tables</t>
  </si>
  <si>
    <r>
      <rPr>
        <b/>
        <sz val="8"/>
        <color theme="0"/>
        <rFont val="Arial"/>
        <family val="2"/>
      </rPr>
      <t>Instructions</t>
    </r>
    <r>
      <rPr>
        <sz val="8"/>
        <color theme="0"/>
        <rFont val="Arial"/>
        <family val="2"/>
      </rPr>
      <t xml:space="preserve"> - Input Vicon Nexus error sets after any new calibration. </t>
    </r>
    <r>
      <rPr>
        <u/>
        <sz val="8"/>
        <color theme="0"/>
        <rFont val="Arial"/>
        <family val="2"/>
      </rPr>
      <t>Refer to header key tables for more info</t>
    </r>
    <r>
      <rPr>
        <sz val="8"/>
        <color theme="0"/>
        <rFont val="Arial"/>
        <family val="2"/>
      </rPr>
      <t>.</t>
    </r>
  </si>
  <si>
    <t>Cross-referencing all entries under key1+2 w/date, averages the world &amp; image error
Formatted green if error lower than avg. &amp; formatted bkg red if error is higher than avg.</t>
  </si>
  <si>
    <t>HIDDEN SHEETS</t>
  </si>
  <si>
    <t>Data-Lists</t>
  </si>
  <si>
    <t>Sheets</t>
  </si>
  <si>
    <t>Labelling</t>
  </si>
  <si>
    <t>Log</t>
  </si>
  <si>
    <t>Recap Pages</t>
  </si>
  <si>
    <t>Daily, Trial, Error</t>
  </si>
  <si>
    <t>Daily Trends</t>
  </si>
  <si>
    <t>Daily Performance</t>
  </si>
  <si>
    <t>Daily Error Rates</t>
  </si>
  <si>
    <t>Problem Cameras</t>
  </si>
  <si>
    <t>Sheets should have own to-dos</t>
  </si>
  <si>
    <t>Daily Tracking Dates</t>
  </si>
  <si>
    <r>
      <t xml:space="preserve">Key 2
</t>
    </r>
    <r>
      <rPr>
        <sz val="8"/>
        <color rgb="FFFFFFFF"/>
        <rFont val="Arial"/>
        <family val="2"/>
      </rPr>
      <t>(Precision)</t>
    </r>
  </si>
  <si>
    <t>shelf-baseline</t>
  </si>
  <si>
    <t>shelf-trial</t>
  </si>
  <si>
    <t>31/07-error1</t>
  </si>
  <si>
    <t>31/07-error2</t>
  </si>
  <si>
    <t>03/08-error1</t>
  </si>
  <si>
    <t>03/08-error2</t>
  </si>
  <si>
    <t>auto-stop-2000-v1</t>
  </si>
  <si>
    <t>auto-stop-1000-base</t>
  </si>
  <si>
    <t>auto-stop-2000-v2</t>
  </si>
  <si>
    <t>auto-stop-1500-v1</t>
  </si>
  <si>
    <t>auto-stop-1500-v2</t>
  </si>
  <si>
    <t>auto-stop-1000-v2</t>
  </si>
  <si>
    <t>auto-stop-1000-v3</t>
  </si>
  <si>
    <t>Wand-Wave-A1</t>
  </si>
  <si>
    <t>Wand-Wave-A2</t>
  </si>
  <si>
    <t>Wand-Wave-A3</t>
  </si>
  <si>
    <t>Wand-Wave-B1</t>
  </si>
  <si>
    <t>Wand-Wave-B2</t>
  </si>
  <si>
    <t>Wand-Wave-B3</t>
  </si>
  <si>
    <t>Wand-Wave-D1</t>
  </si>
  <si>
    <t>Wand-Wave-E1</t>
  </si>
  <si>
    <t>Wand-Wave-F1</t>
  </si>
  <si>
    <t>Wand-Wave-D2</t>
  </si>
  <si>
    <t>Wand-Wave-D3</t>
  </si>
  <si>
    <t>Wand-Wave-E2</t>
  </si>
  <si>
    <t>Wand-Wave-E3</t>
  </si>
  <si>
    <t>Wand-Wave-F2</t>
  </si>
  <si>
    <t>Wand-Wave-F3</t>
  </si>
  <si>
    <t>Wand Wave Type</t>
  </si>
  <si>
    <t>The spreadsheet relies on this information don't tinker with it if you aren't prepared to fix it afterwards!
Bolded entries are hardcoded. Other entries are formulas or lookups.</t>
  </si>
  <si>
    <t>Wand-Wave-G1</t>
  </si>
  <si>
    <t>Wand-Wave-G2</t>
  </si>
  <si>
    <t>Wand-Wave-G3</t>
  </si>
  <si>
    <t>didn't-set-volume</t>
  </si>
  <si>
    <t>Wand-Wave-A4</t>
  </si>
  <si>
    <t>Wand-Wave-B4</t>
  </si>
  <si>
    <t>Wand-Wave-C1</t>
  </si>
  <si>
    <t>Wand-Wave-C2</t>
  </si>
  <si>
    <t>Wand-Wave-C3</t>
  </si>
  <si>
    <t>Wand-Wave-C4</t>
  </si>
  <si>
    <t>Wand-Wave-D4</t>
  </si>
  <si>
    <t>Wand-Wave-E4</t>
  </si>
  <si>
    <t>Wand-Wave-F4</t>
  </si>
  <si>
    <t>Wand-Wave-G4</t>
  </si>
  <si>
    <t>Frame Count</t>
  </si>
  <si>
    <t>cannot-set-volume</t>
  </si>
  <si>
    <t>pre-calibrate-1</t>
  </si>
  <si>
    <t>pre-calibrate-2</t>
  </si>
  <si>
    <t>20/08-error1</t>
  </si>
  <si>
    <t>speed_cam11_slow_1</t>
  </si>
  <si>
    <t>speed_cam11_slow_2</t>
  </si>
  <si>
    <t>speed_cam11_fast_1</t>
  </si>
  <si>
    <t>speed_cam11_fast_2</t>
  </si>
  <si>
    <t>speed_cam11_slow_3</t>
  </si>
  <si>
    <t>speed_cam11_fast_3</t>
  </si>
  <si>
    <t>no-reset-grayscale-all</t>
  </si>
  <si>
    <t>reflection-trial-2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</si>
</sst>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33" x14ac:knownFonts="1">
    <font>
      <sz val="11"/>
      <color theme="1"/>
      <name val="Calibri"/>
      <family val="2"/>
      <charset val="1"/>
    </font>
    <font>
      <b/>
      <sz val="14"/>
      <name val="Arial"/>
      <family val="2"/>
    </font>
    <font>
      <sz val="11"/>
      <name val="Arial"/>
      <family val="2"/>
    </font>
    <font>
      <b/>
      <sz val="11"/>
      <name val="Arial"/>
      <family val="2"/>
    </font>
    <font>
      <b/>
      <sz val="12"/>
      <color rgb="FFFFFFFF"/>
      <name val="Arial"/>
      <family val="2"/>
    </font>
    <font>
      <b/>
      <sz val="10"/>
      <color rgb="FFFFFFFF"/>
      <name val="Arial"/>
      <family val="2"/>
    </font>
    <font>
      <b/>
      <sz val="11"/>
      <color theme="1"/>
      <name val="Calibri"/>
      <family val="2"/>
    </font>
    <font>
      <sz val="10"/>
      <color rgb="FFFFFFFF"/>
      <name val="Arial"/>
      <family val="2"/>
    </font>
    <font>
      <sz val="9"/>
      <color indexed="81"/>
      <name val="Tahoma"/>
      <family val="2"/>
    </font>
    <font>
      <b/>
      <sz val="9"/>
      <color indexed="81"/>
      <name val="Tahoma"/>
      <family val="2"/>
    </font>
    <font>
      <sz val="11"/>
      <color theme="1"/>
      <name val="Arial"/>
      <family val="2"/>
    </font>
    <font>
      <sz val="10"/>
      <color theme="1"/>
      <name val="Arial"/>
      <family val="2"/>
    </font>
    <font>
      <b/>
      <sz val="11"/>
      <color theme="1"/>
      <name val="Arial"/>
      <family val="2"/>
    </font>
    <font>
      <b/>
      <sz val="10"/>
      <color theme="0"/>
      <name val="Arial"/>
      <family val="2"/>
    </font>
    <font>
      <sz val="11"/>
      <color theme="1"/>
      <name val="Calibri"/>
      <family val="2"/>
    </font>
    <font>
      <b/>
      <sz val="12"/>
      <color theme="0"/>
      <name val="Arial"/>
      <family val="2"/>
    </font>
    <font>
      <b/>
      <sz val="10"/>
      <color theme="0"/>
      <name val="Calibri"/>
      <family val="2"/>
    </font>
    <font>
      <b/>
      <sz val="24"/>
      <color rgb="FFFF0000"/>
      <name val="Calibri"/>
      <family val="2"/>
    </font>
    <font>
      <sz val="8"/>
      <color rgb="FFFFFFFF"/>
      <name val="Arial"/>
      <family val="2"/>
    </font>
    <font>
      <sz val="10"/>
      <name val="Arial"/>
      <family val="2"/>
    </font>
    <font>
      <sz val="10"/>
      <color theme="0"/>
      <name val="Arial"/>
      <family val="2"/>
    </font>
    <font>
      <sz val="8"/>
      <color theme="1"/>
      <name val="Calibri"/>
      <family val="2"/>
      <charset val="1"/>
    </font>
    <font>
      <sz val="8"/>
      <color theme="1"/>
      <name val="Calibri"/>
      <family val="2"/>
    </font>
    <font>
      <b/>
      <sz val="8"/>
      <color theme="1"/>
      <name val="Calibri"/>
      <family val="2"/>
    </font>
    <font>
      <sz val="8"/>
      <name val="Arial"/>
      <family val="2"/>
    </font>
    <font>
      <sz val="8"/>
      <color theme="0"/>
      <name val="Arial"/>
      <family val="2"/>
    </font>
    <font>
      <b/>
      <sz val="8"/>
      <color theme="0"/>
      <name val="Arial"/>
      <family val="2"/>
    </font>
    <font>
      <u/>
      <sz val="8"/>
      <color theme="0"/>
      <name val="Arial"/>
      <family val="2"/>
    </font>
    <font>
      <b/>
      <u/>
      <sz val="14"/>
      <color theme="0"/>
      <name val="Calibri"/>
      <family val="2"/>
    </font>
    <font>
      <sz val="8"/>
      <color theme="1"/>
      <name val="Arial"/>
      <family val="2"/>
    </font>
    <font>
      <b/>
      <sz val="8"/>
      <color rgb="FFFFFFFF"/>
      <name val="Arial"/>
      <family val="2"/>
    </font>
    <font>
      <b/>
      <sz val="11"/>
      <color rgb="FFFF0000"/>
      <name val="Arial"/>
      <family val="2"/>
    </font>
    <font>
      <sz val="8"/>
      <name val="Calibri"/>
      <family val="2"/>
      <charset val="1"/>
    </font>
  </fonts>
  <fills count="12">
    <fill>
      <patternFill patternType="none"/>
    </fill>
    <fill>
      <patternFill patternType="gray125"/>
    </fill>
    <fill>
      <patternFill patternType="solid">
        <fgColor theme="1" tint="0.34998626667073579"/>
        <bgColor indexed="64"/>
      </patternFill>
    </fill>
    <fill>
      <patternFill patternType="solid">
        <fgColor theme="0"/>
        <bgColor indexed="64"/>
      </patternFill>
    </fill>
    <fill>
      <patternFill patternType="solid">
        <fgColor theme="0" tint="-0.14999847407452621"/>
        <bgColor indexed="64"/>
      </patternFill>
    </fill>
    <fill>
      <patternFill patternType="solid">
        <fgColor rgb="FFFF7128"/>
        <bgColor indexed="64"/>
      </patternFill>
    </fill>
    <fill>
      <patternFill patternType="solid">
        <fgColor rgb="FFE26B0A"/>
        <bgColor indexed="64"/>
      </patternFill>
    </fill>
    <fill>
      <patternFill patternType="solid">
        <fgColor rgb="FFFFCCCC"/>
        <bgColor indexed="64"/>
      </patternFill>
    </fill>
    <fill>
      <patternFill patternType="solid">
        <fgColor rgb="FFFF7128"/>
        <bgColor rgb="FF003366"/>
      </patternFill>
    </fill>
    <fill>
      <patternFill patternType="solid">
        <fgColor theme="1" tint="0.249977111117893"/>
        <bgColor indexed="64"/>
      </patternFill>
    </fill>
    <fill>
      <patternFill patternType="solid">
        <fgColor rgb="FF1F4E78"/>
        <bgColor indexed="64"/>
      </patternFill>
    </fill>
    <fill>
      <patternFill patternType="solid">
        <fgColor theme="3" tint="0.39997558519241921"/>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right style="thin">
        <color indexed="64"/>
      </right>
      <top style="thin">
        <color indexed="64"/>
      </top>
      <bottom/>
      <diagonal/>
    </border>
    <border>
      <left/>
      <right/>
      <top style="thin">
        <color indexed="64"/>
      </top>
      <bottom/>
      <diagonal/>
    </border>
  </borders>
  <cellStyleXfs count="1">
    <xf numFmtId="0" fontId="0" fillId="0" borderId="0"/>
  </cellStyleXfs>
  <cellXfs count="63">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14" fontId="2" fillId="0" borderId="0" xfId="0" applyNumberFormat="1" applyFont="1" applyAlignment="1">
      <alignment horizontal="center" vertical="center"/>
    </xf>
    <xf numFmtId="14" fontId="10" fillId="0" borderId="0" xfId="0" applyNumberFormat="1" applyFont="1" applyAlignment="1">
      <alignment horizontal="center" vertical="center"/>
    </xf>
    <xf numFmtId="0" fontId="10" fillId="0" borderId="0" xfId="0" applyFont="1" applyAlignment="1">
      <alignment horizontal="center" vertical="center"/>
    </xf>
    <xf numFmtId="0" fontId="6" fillId="0" borderId="0" xfId="0" applyFont="1"/>
    <xf numFmtId="0" fontId="12" fillId="0" borderId="0" xfId="0" applyFont="1" applyAlignment="1">
      <alignment horizontal="center" vertical="center"/>
    </xf>
    <xf numFmtId="0" fontId="17" fillId="0" borderId="0" xfId="0" applyFont="1"/>
    <xf numFmtId="0" fontId="0" fillId="0" borderId="0" xfId="0" applyAlignment="1">
      <alignment vertical="center"/>
    </xf>
    <xf numFmtId="0" fontId="13" fillId="6" borderId="1" xfId="0" applyFont="1" applyFill="1" applyBorder="1" applyAlignment="1">
      <alignment horizontal="center" vertical="center"/>
    </xf>
    <xf numFmtId="0" fontId="11" fillId="0" borderId="4" xfId="0" applyFont="1" applyBorder="1" applyAlignment="1">
      <alignment horizontal="center" vertical="center"/>
    </xf>
    <xf numFmtId="0" fontId="11" fillId="0" borderId="8" xfId="0" applyFont="1" applyBorder="1" applyAlignment="1">
      <alignment horizontal="center" vertical="center"/>
    </xf>
    <xf numFmtId="0" fontId="11" fillId="0" borderId="3" xfId="0" applyFont="1" applyBorder="1" applyAlignment="1">
      <alignment horizontal="center" vertical="center"/>
    </xf>
    <xf numFmtId="0" fontId="11" fillId="3" borderId="4" xfId="0" applyFont="1" applyFill="1" applyBorder="1" applyAlignment="1">
      <alignment horizontal="center" vertical="center"/>
    </xf>
    <xf numFmtId="0" fontId="11" fillId="3" borderId="3" xfId="0" applyFont="1" applyFill="1" applyBorder="1" applyAlignment="1">
      <alignment horizontal="center" vertical="center"/>
    </xf>
    <xf numFmtId="0" fontId="5" fillId="8" borderId="1" xfId="0" applyFont="1" applyFill="1" applyBorder="1" applyAlignment="1">
      <alignment horizontal="center" vertical="center" wrapText="1"/>
    </xf>
    <xf numFmtId="1" fontId="19" fillId="0" borderId="0" xfId="0" applyNumberFormat="1" applyFont="1" applyAlignment="1">
      <alignment horizontal="center" vertical="center"/>
    </xf>
    <xf numFmtId="14" fontId="19" fillId="0" borderId="0" xfId="0" applyNumberFormat="1" applyFont="1" applyAlignment="1">
      <alignment horizontal="center" vertical="center"/>
    </xf>
    <xf numFmtId="0" fontId="19" fillId="0" borderId="8" xfId="0" applyFont="1" applyBorder="1" applyAlignment="1">
      <alignment horizontal="center" vertical="center"/>
    </xf>
    <xf numFmtId="164" fontId="19" fillId="0" borderId="4" xfId="0" applyNumberFormat="1" applyFont="1" applyBorder="1" applyAlignment="1">
      <alignment horizontal="center" vertical="center"/>
    </xf>
    <xf numFmtId="164" fontId="19" fillId="0" borderId="3" xfId="0" applyNumberFormat="1" applyFont="1" applyBorder="1" applyAlignment="1">
      <alignment horizontal="center" vertical="center"/>
    </xf>
    <xf numFmtId="1" fontId="11" fillId="0" borderId="0" xfId="0" applyNumberFormat="1" applyFont="1" applyAlignment="1">
      <alignment horizontal="center" vertical="center"/>
    </xf>
    <xf numFmtId="14" fontId="15" fillId="10" borderId="5" xfId="0" applyNumberFormat="1" applyFont="1" applyFill="1" applyBorder="1" applyAlignment="1">
      <alignment horizontal="center" vertical="center" wrapText="1"/>
    </xf>
    <xf numFmtId="0" fontId="4" fillId="10" borderId="1" xfId="0" applyFont="1" applyFill="1" applyBorder="1" applyAlignment="1">
      <alignment horizontal="center" vertical="center" wrapText="1"/>
    </xf>
    <xf numFmtId="0" fontId="5" fillId="10" borderId="1" xfId="0" applyFont="1" applyFill="1" applyBorder="1" applyAlignment="1">
      <alignment horizontal="center" vertical="center" wrapText="1"/>
    </xf>
    <xf numFmtId="0" fontId="14" fillId="0" borderId="0" xfId="0" applyFont="1" applyAlignment="1">
      <alignment horizontal="right" vertical="center" indent="1"/>
    </xf>
    <xf numFmtId="0" fontId="15" fillId="5" borderId="1" xfId="0" applyFont="1" applyFill="1" applyBorder="1" applyAlignment="1">
      <alignment horizontal="center" vertical="center"/>
    </xf>
    <xf numFmtId="0" fontId="24" fillId="0" borderId="0" xfId="0" applyFont="1" applyAlignment="1">
      <alignment horizontal="center" vertical="center"/>
    </xf>
    <xf numFmtId="0" fontId="29" fillId="0" borderId="0" xfId="0" applyFont="1" applyAlignment="1">
      <alignment horizontal="center" vertical="center"/>
    </xf>
    <xf numFmtId="0" fontId="30" fillId="10" borderId="5" xfId="0" applyFont="1" applyFill="1" applyBorder="1" applyAlignment="1">
      <alignment horizontal="center" vertical="center" wrapText="1"/>
    </xf>
    <xf numFmtId="1" fontId="4" fillId="11" borderId="5" xfId="0" applyNumberFormat="1" applyFont="1" applyFill="1" applyBorder="1" applyAlignment="1">
      <alignment horizontal="center" vertical="center" wrapText="1"/>
    </xf>
    <xf numFmtId="14" fontId="15" fillId="5" borderId="1" xfId="0" applyNumberFormat="1" applyFont="1" applyFill="1" applyBorder="1" applyAlignment="1">
      <alignment horizontal="center" vertical="center"/>
    </xf>
    <xf numFmtId="0" fontId="3" fillId="0" borderId="0" xfId="0" applyFont="1" applyAlignment="1">
      <alignment horizontal="center" vertical="center"/>
    </xf>
    <xf numFmtId="1" fontId="4" fillId="10" borderId="7" xfId="0" applyNumberFormat="1" applyFont="1" applyFill="1" applyBorder="1" applyAlignment="1">
      <alignment horizontal="center" vertical="center" wrapText="1"/>
    </xf>
    <xf numFmtId="0" fontId="21" fillId="4" borderId="1" xfId="0" applyFont="1" applyFill="1" applyBorder="1" applyAlignment="1">
      <alignment horizontal="left" vertical="center" wrapText="1" indent="1"/>
    </xf>
    <xf numFmtId="0" fontId="16" fillId="5" borderId="11" xfId="0" applyFont="1" applyFill="1" applyBorder="1" applyAlignment="1">
      <alignment horizontal="right" vertical="center" indent="1"/>
    </xf>
    <xf numFmtId="0" fontId="16" fillId="5" borderId="10" xfId="0" applyFont="1" applyFill="1" applyBorder="1" applyAlignment="1">
      <alignment horizontal="right" vertical="center" indent="1"/>
    </xf>
    <xf numFmtId="0" fontId="16" fillId="5" borderId="0" xfId="0" applyFont="1" applyFill="1" applyAlignment="1">
      <alignment horizontal="right" vertical="center" indent="1"/>
    </xf>
    <xf numFmtId="0" fontId="16" fillId="5" borderId="3" xfId="0" applyFont="1" applyFill="1" applyBorder="1" applyAlignment="1">
      <alignment horizontal="right" vertical="center" indent="1"/>
    </xf>
    <xf numFmtId="0" fontId="21" fillId="4" borderId="5" xfId="0" applyFont="1" applyFill="1" applyBorder="1" applyAlignment="1">
      <alignment horizontal="left" indent="1"/>
    </xf>
    <xf numFmtId="0" fontId="21" fillId="4" borderId="7" xfId="0" applyFont="1" applyFill="1" applyBorder="1" applyAlignment="1">
      <alignment horizontal="left" indent="1"/>
    </xf>
    <xf numFmtId="0" fontId="21" fillId="4" borderId="6" xfId="0" applyFont="1" applyFill="1" applyBorder="1" applyAlignment="1">
      <alignment horizontal="left" indent="1"/>
    </xf>
    <xf numFmtId="0" fontId="16" fillId="5" borderId="1" xfId="0" applyFont="1" applyFill="1" applyBorder="1" applyAlignment="1">
      <alignment horizontal="right" vertical="center" indent="1"/>
    </xf>
    <xf numFmtId="0" fontId="21" fillId="4" borderId="1" xfId="0" applyFont="1" applyFill="1" applyBorder="1" applyAlignment="1">
      <alignment horizontal="left" indent="1"/>
    </xf>
    <xf numFmtId="0" fontId="25" fillId="2" borderId="9" xfId="0" applyFont="1" applyFill="1" applyBorder="1" applyAlignment="1">
      <alignment horizontal="left" vertical="center" wrapText="1" indent="1"/>
    </xf>
    <xf numFmtId="0" fontId="20" fillId="2" borderId="9" xfId="0" applyFont="1" applyFill="1" applyBorder="1" applyAlignment="1">
      <alignment horizontal="left" vertical="center" wrapText="1" indent="1"/>
    </xf>
    <xf numFmtId="0" fontId="20" fillId="2" borderId="2" xfId="0" applyFont="1" applyFill="1" applyBorder="1" applyAlignment="1">
      <alignment horizontal="left" vertical="center" wrapText="1" indent="1"/>
    </xf>
    <xf numFmtId="0" fontId="16" fillId="5" borderId="5" xfId="0" applyFont="1" applyFill="1" applyBorder="1" applyAlignment="1">
      <alignment horizontal="right" vertical="center" indent="1"/>
    </xf>
    <xf numFmtId="0" fontId="16" fillId="5" borderId="6" xfId="0" applyFont="1" applyFill="1" applyBorder="1" applyAlignment="1">
      <alignment horizontal="right" vertical="center" indent="1"/>
    </xf>
    <xf numFmtId="0" fontId="4" fillId="10" borderId="1" xfId="0" applyFont="1" applyFill="1" applyBorder="1" applyAlignment="1">
      <alignment horizontal="center" vertical="center"/>
    </xf>
    <xf numFmtId="0" fontId="4" fillId="8" borderId="1" xfId="0" applyFont="1" applyFill="1" applyBorder="1" applyAlignment="1">
      <alignment horizontal="center" vertical="center"/>
    </xf>
    <xf numFmtId="0" fontId="15" fillId="6" borderId="1" xfId="0" applyFont="1" applyFill="1" applyBorder="1" applyAlignment="1">
      <alignment horizontal="center" vertical="center" wrapText="1"/>
    </xf>
    <xf numFmtId="0" fontId="28" fillId="2" borderId="1" xfId="0" applyFont="1" applyFill="1" applyBorder="1" applyAlignment="1">
      <alignment horizontal="center" vertical="center"/>
    </xf>
    <xf numFmtId="0" fontId="16" fillId="9" borderId="5" xfId="0" applyFont="1" applyFill="1" applyBorder="1" applyAlignment="1">
      <alignment horizontal="center" vertical="center"/>
    </xf>
    <xf numFmtId="0" fontId="16" fillId="9" borderId="6" xfId="0" applyFont="1" applyFill="1" applyBorder="1" applyAlignment="1">
      <alignment horizontal="center" vertical="center"/>
    </xf>
    <xf numFmtId="0" fontId="16" fillId="9" borderId="1" xfId="0" applyFont="1" applyFill="1" applyBorder="1" applyAlignment="1">
      <alignment horizontal="center" vertical="center"/>
    </xf>
    <xf numFmtId="0" fontId="0" fillId="10" borderId="1" xfId="0" applyFill="1" applyBorder="1" applyAlignment="1">
      <alignment horizontal="right" vertical="center" indent="1"/>
    </xf>
    <xf numFmtId="0" fontId="0" fillId="5" borderId="1" xfId="0" applyFill="1" applyBorder="1" applyAlignment="1">
      <alignment horizontal="right" vertical="center" indent="1"/>
    </xf>
    <xf numFmtId="0" fontId="22" fillId="7" borderId="1" xfId="0" applyFont="1" applyFill="1" applyBorder="1" applyAlignment="1">
      <alignment horizontal="left" indent="1"/>
    </xf>
    <xf numFmtId="0" fontId="31" fillId="4" borderId="1" xfId="0" applyFont="1" applyFill="1" applyBorder="1" applyAlignment="1">
      <alignment horizontal="left" vertical="center" wrapText="1" indent="1"/>
    </xf>
    <xf numFmtId="0" fontId="31" fillId="4" borderId="1" xfId="0" applyFont="1" applyFill="1" applyBorder="1" applyAlignment="1">
      <alignment horizontal="left" vertical="center" indent="1"/>
    </xf>
  </cellXfs>
  <cellStyles count="1">
    <cellStyle name="Normal" xfId="0" builtinId="0"/>
  </cellStyles>
  <dxfs count="17">
    <dxf>
      <fill>
        <patternFill>
          <bgColor rgb="FF92D050"/>
        </patternFill>
      </fill>
    </dxf>
    <dxf>
      <fill>
        <patternFill>
          <bgColor rgb="FFFF4F4F"/>
        </patternFill>
      </fill>
    </dxf>
    <dxf>
      <fill>
        <patternFill>
          <bgColor rgb="FF92D050"/>
        </patternFill>
      </fill>
    </dxf>
    <dxf>
      <font>
        <b/>
        <i val="0"/>
        <color theme="0" tint="-4.9989318521683403E-2"/>
      </font>
      <fill>
        <patternFill>
          <bgColor rgb="FFFF0000"/>
        </patternFill>
      </fill>
    </dxf>
    <dxf>
      <fill>
        <patternFill>
          <bgColor rgb="FF92D050"/>
        </patternFill>
      </fill>
    </dxf>
    <dxf>
      <font>
        <b/>
        <i val="0"/>
        <color theme="0" tint="-4.9989318521683403E-2"/>
      </font>
      <fill>
        <patternFill>
          <bgColor rgb="FFFF0000"/>
        </patternFill>
      </fill>
    </dxf>
    <dxf>
      <fill>
        <patternFill>
          <bgColor rgb="FFC5D9F1"/>
        </patternFill>
      </fill>
    </dxf>
    <dxf>
      <fill>
        <patternFill>
          <bgColor rgb="FFFFCCCC"/>
        </patternFill>
      </fill>
    </dxf>
    <dxf>
      <fill>
        <patternFill>
          <bgColor rgb="FFFDE9D9"/>
        </patternFill>
      </fill>
    </dxf>
    <dxf>
      <font>
        <b val="0"/>
        <i val="0"/>
        <strike val="0"/>
        <outline val="0"/>
        <shadow val="0"/>
        <u val="none"/>
        <vertAlign val="baseline"/>
        <sz val="10"/>
        <name val="Arial"/>
        <family val="2"/>
        <scheme val="none"/>
      </font>
      <numFmt numFmtId="0" formatCode="General"/>
      <fill>
        <patternFill patternType="solid">
          <fgColor indexed="64"/>
          <bgColor theme="0"/>
        </patternFill>
      </fill>
      <alignment horizontal="center" vertical="center" textRotation="0" wrapText="0" indent="0" justifyLastLine="0" shrinkToFit="0" readingOrder="0"/>
    </dxf>
    <dxf>
      <font>
        <b val="0"/>
        <i val="0"/>
        <strike val="0"/>
        <outline val="0"/>
        <shadow val="0"/>
        <u val="none"/>
        <vertAlign val="baseline"/>
        <sz val="10"/>
        <name val="Arial"/>
        <family val="2"/>
        <scheme val="none"/>
      </font>
      <fill>
        <patternFill patternType="none">
          <bgColor auto="1"/>
        </patternFill>
      </fill>
      <alignment horizontal="center" vertical="center" textRotation="0" wrapText="0" indent="0" justifyLastLine="0" shrinkToFit="0" readingOrder="0"/>
    </dxf>
    <dxf>
      <font>
        <b val="0"/>
        <i val="0"/>
        <strike val="0"/>
        <outline val="0"/>
        <shadow val="0"/>
        <u val="none"/>
        <vertAlign val="baseline"/>
        <sz val="10"/>
        <name val="Arial"/>
        <family val="2"/>
        <scheme val="none"/>
      </font>
      <fill>
        <patternFill patternType="none">
          <bgColor auto="1"/>
        </patternFill>
      </fill>
      <alignment horizontal="center" vertical="center" textRotation="0" wrapText="0" indent="0" justifyLastLine="0" shrinkToFit="0" readingOrder="0"/>
    </dxf>
    <dxf>
      <font>
        <b val="0"/>
        <i val="0"/>
        <strike val="0"/>
        <outline val="0"/>
        <shadow val="0"/>
        <u val="none"/>
        <vertAlign val="baseline"/>
        <sz val="10"/>
        <name val="Arial"/>
        <family val="2"/>
        <scheme val="none"/>
      </font>
      <numFmt numFmtId="1" formatCode="0"/>
      <fill>
        <patternFill patternType="none">
          <bgColor auto="1"/>
        </patternFill>
      </fill>
      <alignment horizontal="center" vertical="center" textRotation="0" wrapText="0" indent="0" justifyLastLine="0" shrinkToFit="0" readingOrder="0"/>
    </dxf>
    <dxf>
      <font>
        <b val="0"/>
        <i val="0"/>
        <strike val="0"/>
        <outline val="0"/>
        <shadow val="0"/>
        <u val="none"/>
        <vertAlign val="baseline"/>
        <sz val="10"/>
        <name val="Arial"/>
        <family val="2"/>
        <scheme val="none"/>
      </font>
      <fill>
        <patternFill patternType="none">
          <fgColor rgb="FFFFFFFF"/>
          <bgColor auto="1"/>
        </patternFill>
      </fill>
      <alignment horizontal="center" vertical="center" textRotation="0" wrapText="0" indent="0" justifyLastLine="0" shrinkToFit="0" readingOrder="0"/>
    </dxf>
    <dxf>
      <font>
        <b val="0"/>
        <i val="0"/>
        <strike val="0"/>
        <outline val="0"/>
        <shadow val="0"/>
        <u val="none"/>
        <vertAlign val="baseline"/>
        <sz val="10"/>
        <color auto="1"/>
        <name val="Arial"/>
        <family val="2"/>
        <scheme val="none"/>
      </font>
      <numFmt numFmtId="19" formatCode="dd/mm/yyyy"/>
      <fill>
        <patternFill patternType="none">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rgb="FFFFFFFF"/>
        <name val="Arial"/>
        <scheme val="none"/>
      </font>
      <alignment horizontal="center" vertical="center" textRotation="0" wrapText="1" indent="0" justifyLastLine="0" shrinkToFit="0" readingOrder="0"/>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78787"/>
      <rgbColor rgb="FF9999FF"/>
      <rgbColor rgb="FFBE4B48"/>
      <rgbColor rgb="FFFFF9DB"/>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4A7EBB"/>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mruColors>
      <color rgb="FFFDE9D9"/>
      <color rgb="FFFF7128"/>
      <color rgb="FFF8696B"/>
      <color rgb="FF63BE7B"/>
      <color rgb="FF1F4E78"/>
      <color rgb="FFFFEB84"/>
      <color rgb="FFFFEF9C"/>
      <color rgb="FFF2F2F2"/>
      <color rgb="FFE26B0A"/>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10" Type="http://schemas.openxmlformats.org/officeDocument/2006/relationships/customXml" Target="../customXml/item1.xml"/><Relationship Id="rId4" Type="http://schemas.openxmlformats.org/officeDocument/2006/relationships/theme" Target="theme/theme1.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11174E4-10B8-4B30-8B2E-2E9A5AE08333}" name="CalibrationLog3" displayName="CalibrationLog3" ref="C2:H549" totalsRowShown="0" headerRowDxfId="16" dataDxfId="15">
  <autoFilter ref="C2:H549" xr:uid="{00000000-0009-0000-0100-000001000000}"/>
  <tableColumns count="6">
    <tableColumn id="1" xr3:uid="{51B67423-B1B1-4A16-BBCC-834944FAE191}" name="Date" dataDxfId="14"/>
    <tableColumn id="2" xr3:uid="{FABEBB3C-66EB-4956-95C9-CBB40C9E32E4}" name="Camera" dataDxfId="13"/>
    <tableColumn id="3" xr3:uid="{766E62E6-E8D6-460F-BDF5-449F20A2F47C}" name="Frame Count" dataDxfId="12"/>
    <tableColumn id="4" xr3:uid="{132E3B4C-B94B-4FD9-BB91-C8476EF47049}" name="World Error" dataDxfId="11"/>
    <tableColumn id="5" xr3:uid="{9AE105E3-C1BC-4C8A-A3F2-7EACB47F9196}" name="Image Error" dataDxfId="10"/>
    <tableColumn id="6" xr3:uid="{0CE6588A-9807-4091-8B8E-16270637A441}" name="World Error (Avg.)" dataDxfId="9">
      <calculatedColumnFormula>IFERROR(AVERAGEIFS($F:$F, $A:$A, $A3, $B:$B,$B3, $C:$C,$C3),"")</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8"/>
  <sheetViews>
    <sheetView showGridLines="0" zoomScaleNormal="100" workbookViewId="0">
      <selection activeCell="D18" sqref="D18"/>
    </sheetView>
  </sheetViews>
  <sheetFormatPr defaultColWidth="8.6640625" defaultRowHeight="14.4" x14ac:dyDescent="0.3"/>
  <cols>
    <col min="1" max="1" width="100" customWidth="1"/>
  </cols>
  <sheetData>
    <row r="1" spans="1:5" ht="17.399999999999999" x14ac:dyDescent="0.3">
      <c r="A1" s="1" t="s">
        <v>0</v>
      </c>
    </row>
    <row r="2" spans="1:5" x14ac:dyDescent="0.3">
      <c r="A2" s="2"/>
    </row>
    <row r="3" spans="1:5" ht="31.2" x14ac:dyDescent="0.6">
      <c r="A3" s="3" t="s">
        <v>1</v>
      </c>
      <c r="C3" s="9" t="s">
        <v>43</v>
      </c>
    </row>
    <row r="4" spans="1:5" ht="31.2" x14ac:dyDescent="0.6">
      <c r="A4" s="2" t="s">
        <v>2</v>
      </c>
      <c r="C4" s="9" t="s">
        <v>44</v>
      </c>
    </row>
    <row r="5" spans="1:5" x14ac:dyDescent="0.3">
      <c r="A5" s="2" t="s">
        <v>3</v>
      </c>
    </row>
    <row r="6" spans="1:5" x14ac:dyDescent="0.3">
      <c r="A6" s="2" t="s">
        <v>4</v>
      </c>
      <c r="D6" t="s">
        <v>68</v>
      </c>
    </row>
    <row r="7" spans="1:5" x14ac:dyDescent="0.3">
      <c r="A7" s="2"/>
      <c r="D7" t="s">
        <v>69</v>
      </c>
    </row>
    <row r="8" spans="1:5" x14ac:dyDescent="0.3">
      <c r="A8" s="3" t="s">
        <v>5</v>
      </c>
    </row>
    <row r="9" spans="1:5" ht="41.4" x14ac:dyDescent="0.3">
      <c r="A9" s="2" t="s">
        <v>6</v>
      </c>
      <c r="D9" t="s">
        <v>70</v>
      </c>
    </row>
    <row r="10" spans="1:5" x14ac:dyDescent="0.3">
      <c r="A10" s="2" t="s">
        <v>7</v>
      </c>
      <c r="D10" t="s">
        <v>71</v>
      </c>
    </row>
    <row r="11" spans="1:5" x14ac:dyDescent="0.3">
      <c r="A11" s="2"/>
      <c r="D11" t="s">
        <v>72</v>
      </c>
    </row>
    <row r="12" spans="1:5" x14ac:dyDescent="0.3">
      <c r="A12" s="3" t="s">
        <v>8</v>
      </c>
      <c r="D12" t="s">
        <v>73</v>
      </c>
      <c r="E12" t="s">
        <v>74</v>
      </c>
    </row>
    <row r="13" spans="1:5" ht="27.6" x14ac:dyDescent="0.3">
      <c r="A13" s="2" t="s">
        <v>9</v>
      </c>
      <c r="D13" t="s">
        <v>75</v>
      </c>
    </row>
    <row r="14" spans="1:5" x14ac:dyDescent="0.3">
      <c r="A14" s="2"/>
      <c r="D14" t="s">
        <v>76</v>
      </c>
    </row>
    <row r="15" spans="1:5" x14ac:dyDescent="0.3">
      <c r="A15" s="3" t="s">
        <v>10</v>
      </c>
      <c r="D15" t="s">
        <v>77</v>
      </c>
    </row>
    <row r="16" spans="1:5" ht="27.6" x14ac:dyDescent="0.3">
      <c r="A16" s="2" t="s">
        <v>11</v>
      </c>
      <c r="D16" t="s">
        <v>78</v>
      </c>
    </row>
    <row r="17" spans="1:4" x14ac:dyDescent="0.3">
      <c r="A17" s="2"/>
    </row>
    <row r="18" spans="1:4" ht="27.6" x14ac:dyDescent="0.3">
      <c r="A18" s="3" t="s">
        <v>12</v>
      </c>
      <c r="D18" s="7" t="s">
        <v>79</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1"/>
  </sheetPr>
  <dimension ref="A1:N46"/>
  <sheetViews>
    <sheetView showZeros="0" zoomScaleNormal="100" workbookViewId="0">
      <selection activeCell="F4" sqref="F4"/>
    </sheetView>
  </sheetViews>
  <sheetFormatPr defaultColWidth="8.6640625" defaultRowHeight="13.8" x14ac:dyDescent="0.3"/>
  <cols>
    <col min="1" max="1" width="25.77734375" style="6" customWidth="1"/>
    <col min="2" max="2" width="25.77734375" style="5" customWidth="1"/>
    <col min="3" max="6" width="25.77734375" style="6" customWidth="1"/>
    <col min="7" max="16384" width="8.6640625" style="6"/>
  </cols>
  <sheetData>
    <row r="1" spans="1:14" ht="30" customHeight="1" x14ac:dyDescent="0.3">
      <c r="A1" s="61" t="s">
        <v>111</v>
      </c>
      <c r="B1" s="62"/>
      <c r="C1" s="62"/>
      <c r="D1" s="62"/>
      <c r="E1" s="62"/>
      <c r="F1" s="62"/>
      <c r="G1" s="62"/>
      <c r="H1" s="62"/>
      <c r="I1" s="62"/>
      <c r="J1" s="62"/>
      <c r="K1" s="62"/>
      <c r="L1" s="62"/>
      <c r="M1" s="62"/>
      <c r="N1" s="62"/>
    </row>
    <row r="2" spans="1:14" ht="15.6" x14ac:dyDescent="0.3">
      <c r="A2" s="28" t="s">
        <v>13</v>
      </c>
      <c r="B2" s="33" t="s">
        <v>80</v>
      </c>
      <c r="C2" s="28" t="s">
        <v>47</v>
      </c>
      <c r="D2" s="28" t="str">
        <f>CONCATENATE("Subkeys (", $C$4, ")")</f>
        <v>Subkeys (Error)</v>
      </c>
      <c r="E2" s="28" t="str">
        <f>CONCATENATE("Subkeys (", $C$5, ")")</f>
        <v>Subkeys (Trial)</v>
      </c>
      <c r="F2" s="28" t="s">
        <v>110</v>
      </c>
    </row>
    <row r="3" spans="1:14" x14ac:dyDescent="0.3">
      <c r="A3" s="34" t="s">
        <v>14</v>
      </c>
      <c r="B3" s="4" cm="1">
        <f t="array" ref="B3:B26">_xlfn.CHOOSECOLS(_xlfn.UNIQUE(_xlfn._xlws.FILTER(Log!$A:$C,Log!$A:$A="Daily")),3)</f>
        <v>46228</v>
      </c>
      <c r="C3" s="8" t="s">
        <v>41</v>
      </c>
      <c r="D3" s="6" t="str" cm="1">
        <f t="array" ref="D3:D10">_xlfn._xlws.SORT(_xlfn.UNIQUE(_xlfn._xlws.FILTER(Log!B3:B9962, Log!A3:A9962=C4)))</f>
        <v>03/08-error1</v>
      </c>
      <c r="E3" s="6" t="str" cm="1">
        <f t="array" ref="E3:E46">_xlfn._xlws.SORT(_xlfn.UNIQUE(_xlfn._xlws.FILTER(Log!B3:B9962, Log!A3:A9962=C5)))</f>
        <v>auto-stop-1000-base</v>
      </c>
      <c r="F3" s="6" t="e" cm="1">
        <f t="array" ref="F3">#REF!</f>
        <v>#REF!</v>
      </c>
    </row>
    <row r="4" spans="1:14" x14ac:dyDescent="0.3">
      <c r="A4" s="34" t="s">
        <v>15</v>
      </c>
      <c r="B4" s="4">
        <v>46230</v>
      </c>
      <c r="C4" s="8" t="s">
        <v>42</v>
      </c>
      <c r="D4" s="6" t="str">
        <v>03/08-error2</v>
      </c>
      <c r="E4" s="6" t="str">
        <v>auto-stop-1000-v2</v>
      </c>
    </row>
    <row r="5" spans="1:14" x14ac:dyDescent="0.3">
      <c r="A5" s="34" t="s">
        <v>16</v>
      </c>
      <c r="B5" s="4">
        <v>46231</v>
      </c>
      <c r="C5" s="8" t="s">
        <v>48</v>
      </c>
      <c r="D5" s="6" t="str">
        <v>20/08-error1</v>
      </c>
      <c r="E5" s="6" t="str">
        <v>auto-stop-1000-v3</v>
      </c>
    </row>
    <row r="6" spans="1:14" x14ac:dyDescent="0.3">
      <c r="A6" s="34" t="s">
        <v>17</v>
      </c>
      <c r="B6" s="4">
        <v>46232</v>
      </c>
      <c r="D6" s="6" t="str">
        <v>31/07-error1</v>
      </c>
      <c r="E6" s="6" t="str">
        <v>auto-stop-1500-v1</v>
      </c>
    </row>
    <row r="7" spans="1:14" x14ac:dyDescent="0.3">
      <c r="A7" s="34" t="s">
        <v>18</v>
      </c>
      <c r="B7" s="4">
        <v>46233</v>
      </c>
      <c r="D7" s="6" t="str">
        <v>31/07-error2</v>
      </c>
      <c r="E7" s="6" t="str">
        <v>auto-stop-1500-v2</v>
      </c>
    </row>
    <row r="8" spans="1:14" x14ac:dyDescent="0.3">
      <c r="A8" s="34" t="s">
        <v>19</v>
      </c>
      <c r="B8" s="4">
        <v>46234</v>
      </c>
      <c r="D8" s="6" t="str">
        <v>cannot-set-volume</v>
      </c>
      <c r="E8" s="6" t="str">
        <v>auto-stop-2000-v1</v>
      </c>
    </row>
    <row r="9" spans="1:14" x14ac:dyDescent="0.3">
      <c r="A9" s="34" t="s">
        <v>20</v>
      </c>
      <c r="B9" s="4">
        <v>46235</v>
      </c>
      <c r="D9" s="6" t="str">
        <v>didn't-set-volume</v>
      </c>
      <c r="E9" s="6" t="str">
        <v>auto-stop-2000-v2</v>
      </c>
    </row>
    <row r="10" spans="1:14" x14ac:dyDescent="0.3">
      <c r="A10" s="34" t="s">
        <v>40</v>
      </c>
      <c r="B10" s="4">
        <v>46237</v>
      </c>
      <c r="D10" s="6" t="str">
        <v>no-reset-grayscale-all</v>
      </c>
      <c r="E10" s="6" t="str">
        <v>reflection-trial-2</v>
      </c>
    </row>
    <row r="11" spans="1:14" x14ac:dyDescent="0.3">
      <c r="A11" s="34" t="s">
        <v>21</v>
      </c>
      <c r="B11" s="4">
        <v>46238</v>
      </c>
      <c r="E11" s="6" t="str">
        <v>shelf-baseline</v>
      </c>
    </row>
    <row r="12" spans="1:14" x14ac:dyDescent="0.3">
      <c r="A12" s="34" t="s">
        <v>22</v>
      </c>
      <c r="B12" s="4">
        <v>46239</v>
      </c>
      <c r="E12" s="6" t="str">
        <v>shelf-trial</v>
      </c>
    </row>
    <row r="13" spans="1:14" x14ac:dyDescent="0.3">
      <c r="A13" s="34" t="s">
        <v>23</v>
      </c>
      <c r="B13" s="4">
        <v>46240</v>
      </c>
      <c r="E13" s="6" t="str">
        <v>speed_cam11_fast_1</v>
      </c>
    </row>
    <row r="14" spans="1:14" x14ac:dyDescent="0.3">
      <c r="A14" s="34" t="s">
        <v>24</v>
      </c>
      <c r="B14" s="5">
        <v>46242</v>
      </c>
      <c r="E14" s="6" t="str">
        <v>speed_cam11_fast_2</v>
      </c>
    </row>
    <row r="15" spans="1:14" x14ac:dyDescent="0.3">
      <c r="A15" s="34" t="s">
        <v>25</v>
      </c>
      <c r="B15" s="5">
        <v>46244</v>
      </c>
      <c r="E15" s="6" t="str">
        <v>speed_cam11_fast_3</v>
      </c>
    </row>
    <row r="16" spans="1:14" x14ac:dyDescent="0.3">
      <c r="A16" s="34" t="s">
        <v>26</v>
      </c>
      <c r="B16" s="5">
        <v>46245</v>
      </c>
      <c r="E16" s="6" t="str">
        <v>speed_cam11_slow_1</v>
      </c>
    </row>
    <row r="17" spans="1:5" x14ac:dyDescent="0.3">
      <c r="A17" s="34" t="s">
        <v>27</v>
      </c>
      <c r="B17" s="5">
        <v>46246</v>
      </c>
      <c r="E17" s="6" t="str">
        <v>speed_cam11_slow_2</v>
      </c>
    </row>
    <row r="18" spans="1:5" x14ac:dyDescent="0.3">
      <c r="A18" s="34" t="s">
        <v>28</v>
      </c>
      <c r="B18" s="5">
        <v>46247</v>
      </c>
      <c r="E18" s="6" t="str">
        <v>speed_cam11_slow_3</v>
      </c>
    </row>
    <row r="19" spans="1:5" x14ac:dyDescent="0.3">
      <c r="A19" s="34" t="s">
        <v>29</v>
      </c>
      <c r="B19" s="5">
        <v>46248</v>
      </c>
      <c r="E19" s="6" t="str">
        <v>Wand-Wave-A1</v>
      </c>
    </row>
    <row r="20" spans="1:5" x14ac:dyDescent="0.3">
      <c r="A20" s="34" t="s">
        <v>30</v>
      </c>
      <c r="B20" s="5">
        <v>46251</v>
      </c>
      <c r="E20" s="6" t="str">
        <v>Wand-Wave-A2</v>
      </c>
    </row>
    <row r="21" spans="1:5" x14ac:dyDescent="0.3">
      <c r="B21" s="5">
        <v>46251</v>
      </c>
      <c r="E21" s="6" t="str">
        <v>Wand-Wave-A3</v>
      </c>
    </row>
    <row r="22" spans="1:5" x14ac:dyDescent="0.3">
      <c r="B22" s="5">
        <v>46251</v>
      </c>
      <c r="E22" s="6" t="str">
        <v>Wand-Wave-A4</v>
      </c>
    </row>
    <row r="23" spans="1:5" x14ac:dyDescent="0.3">
      <c r="B23" s="5">
        <v>46252</v>
      </c>
      <c r="E23" s="6" t="str">
        <v>Wand-Wave-B1</v>
      </c>
    </row>
    <row r="24" spans="1:5" x14ac:dyDescent="0.3">
      <c r="B24" s="5">
        <v>46253</v>
      </c>
      <c r="E24" s="6" t="str">
        <v>Wand-Wave-B2</v>
      </c>
    </row>
    <row r="25" spans="1:5" x14ac:dyDescent="0.3">
      <c r="B25" s="5">
        <v>46254</v>
      </c>
      <c r="E25" s="6" t="str">
        <v>Wand-Wave-B3</v>
      </c>
    </row>
    <row r="26" spans="1:5" x14ac:dyDescent="0.3">
      <c r="B26" s="5">
        <v>46255</v>
      </c>
      <c r="E26" s="6" t="str">
        <v>Wand-Wave-B4</v>
      </c>
    </row>
    <row r="27" spans="1:5" x14ac:dyDescent="0.3">
      <c r="E27" s="6" t="str">
        <v>Wand-Wave-C1</v>
      </c>
    </row>
    <row r="28" spans="1:5" x14ac:dyDescent="0.3">
      <c r="E28" s="6" t="str">
        <v>Wand-Wave-C2</v>
      </c>
    </row>
    <row r="29" spans="1:5" x14ac:dyDescent="0.3">
      <c r="E29" s="6" t="str">
        <v>Wand-Wave-C3</v>
      </c>
    </row>
    <row r="30" spans="1:5" x14ac:dyDescent="0.3">
      <c r="E30" s="6" t="str">
        <v>Wand-Wave-C4</v>
      </c>
    </row>
    <row r="31" spans="1:5" x14ac:dyDescent="0.3">
      <c r="E31" s="6" t="str">
        <v>Wand-Wave-D1</v>
      </c>
    </row>
    <row r="32" spans="1:5" x14ac:dyDescent="0.3">
      <c r="E32" s="6" t="str">
        <v>Wand-Wave-D2</v>
      </c>
    </row>
    <row r="33" spans="5:5" x14ac:dyDescent="0.3">
      <c r="E33" s="6" t="str">
        <v>Wand-Wave-D3</v>
      </c>
    </row>
    <row r="34" spans="5:5" x14ac:dyDescent="0.3">
      <c r="E34" s="6" t="str">
        <v>Wand-Wave-D4</v>
      </c>
    </row>
    <row r="35" spans="5:5" x14ac:dyDescent="0.3">
      <c r="E35" s="6" t="str">
        <v>Wand-Wave-E1</v>
      </c>
    </row>
    <row r="36" spans="5:5" x14ac:dyDescent="0.3">
      <c r="E36" s="6" t="str">
        <v>Wand-Wave-E2</v>
      </c>
    </row>
    <row r="37" spans="5:5" x14ac:dyDescent="0.3">
      <c r="E37" s="6" t="str">
        <v>Wand-Wave-E3</v>
      </c>
    </row>
    <row r="38" spans="5:5" x14ac:dyDescent="0.3">
      <c r="E38" s="6" t="str">
        <v>Wand-Wave-E4</v>
      </c>
    </row>
    <row r="39" spans="5:5" x14ac:dyDescent="0.3">
      <c r="E39" s="6" t="str">
        <v>Wand-Wave-F1</v>
      </c>
    </row>
    <row r="40" spans="5:5" x14ac:dyDescent="0.3">
      <c r="E40" s="6" t="str">
        <v>Wand-Wave-F2</v>
      </c>
    </row>
    <row r="41" spans="5:5" x14ac:dyDescent="0.3">
      <c r="E41" s="6" t="str">
        <v>Wand-Wave-F3</v>
      </c>
    </row>
    <row r="42" spans="5:5" x14ac:dyDescent="0.3">
      <c r="E42" s="6" t="str">
        <v>Wand-Wave-F4</v>
      </c>
    </row>
    <row r="43" spans="5:5" x14ac:dyDescent="0.3">
      <c r="E43" s="6" t="str">
        <v>Wand-Wave-G1</v>
      </c>
    </row>
    <row r="44" spans="5:5" x14ac:dyDescent="0.3">
      <c r="E44" s="6" t="str">
        <v>Wand-Wave-G2</v>
      </c>
    </row>
    <row r="45" spans="5:5" x14ac:dyDescent="0.3">
      <c r="E45" s="6" t="str">
        <v>Wand-Wave-G3</v>
      </c>
    </row>
    <row r="46" spans="5:5" x14ac:dyDescent="0.3">
      <c r="E46" s="6" t="str">
        <v>Wand-Wave-G4</v>
      </c>
    </row>
  </sheetData>
  <mergeCells count="1">
    <mergeCell ref="A1:N1"/>
  </mergeCells>
  <pageMargins left="0.75" right="0.75" top="1" bottom="1" header="0.511811023622047" footer="0.511811023622047"/>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B0C6E-D617-4DC8-8712-B2E5391E139C}">
  <sheetPr>
    <tabColor theme="3" tint="-0.249977111117893"/>
  </sheetPr>
  <dimension ref="A1:U3116"/>
  <sheetViews>
    <sheetView showZeros="0" tabSelected="1" zoomScaleNormal="100" workbookViewId="0">
      <pane ySplit="2" topLeftCell="A1234" activePane="bottomLeft" state="frozen"/>
      <selection pane="bottomLeft" activeCell="E1240" sqref="E1240"/>
    </sheetView>
  </sheetViews>
  <sheetFormatPr defaultColWidth="8.6640625" defaultRowHeight="14.4" x14ac:dyDescent="0.3"/>
  <cols>
    <col min="1" max="1" width="10.77734375" style="23" customWidth="1"/>
    <col min="2" max="2" width="15.77734375" style="30" customWidth="1"/>
    <col min="3" max="3" width="17.109375" style="19" customWidth="1"/>
    <col min="4" max="4" width="19.33203125" style="13" customWidth="1"/>
    <col min="5" max="5" width="17.44140625" style="23" customWidth="1"/>
    <col min="6" max="6" width="17.44140625" style="12" customWidth="1"/>
    <col min="7" max="7" width="17.44140625" style="14" customWidth="1"/>
    <col min="8" max="8" width="19.88671875" style="15" customWidth="1"/>
    <col min="9" max="9" width="19.88671875" style="16" customWidth="1"/>
    <col min="10" max="10" width="0" style="12" hidden="1" customWidth="1"/>
    <col min="11" max="11" width="0" style="14" hidden="1" customWidth="1"/>
  </cols>
  <sheetData>
    <row r="1" spans="1:21" ht="19.95" customHeight="1" x14ac:dyDescent="0.3">
      <c r="A1" s="46" t="s">
        <v>66</v>
      </c>
      <c r="B1" s="47"/>
      <c r="C1" s="47"/>
      <c r="D1" s="47"/>
      <c r="E1" s="48"/>
      <c r="F1" s="51" t="s">
        <v>52</v>
      </c>
      <c r="G1" s="51"/>
      <c r="H1" s="52" t="s">
        <v>51</v>
      </c>
      <c r="I1" s="52"/>
      <c r="J1" s="53" t="s">
        <v>37</v>
      </c>
      <c r="K1" s="53"/>
    </row>
    <row r="2" spans="1:21" s="10" customFormat="1" ht="34.950000000000003" customHeight="1" x14ac:dyDescent="0.3">
      <c r="A2" s="32" t="s">
        <v>46</v>
      </c>
      <c r="B2" s="31" t="s">
        <v>81</v>
      </c>
      <c r="C2" s="24" t="s">
        <v>31</v>
      </c>
      <c r="D2" s="25" t="s">
        <v>13</v>
      </c>
      <c r="E2" s="35" t="s">
        <v>126</v>
      </c>
      <c r="F2" s="26" t="s">
        <v>33</v>
      </c>
      <c r="G2" s="26" t="s">
        <v>34</v>
      </c>
      <c r="H2" s="17" t="s">
        <v>35</v>
      </c>
      <c r="I2" s="17" t="s">
        <v>36</v>
      </c>
      <c r="J2" s="11" t="s">
        <v>38</v>
      </c>
      <c r="K2" s="11" t="s">
        <v>39</v>
      </c>
    </row>
    <row r="3" spans="1:21" x14ac:dyDescent="0.3">
      <c r="A3" s="18" t="s">
        <v>41</v>
      </c>
      <c r="B3" s="29" t="s">
        <v>50</v>
      </c>
      <c r="C3" s="19">
        <v>46228</v>
      </c>
      <c r="D3" s="20" t="s">
        <v>14</v>
      </c>
      <c r="E3" s="18">
        <v>2306</v>
      </c>
      <c r="F3" s="21">
        <v>0.274982</v>
      </c>
      <c r="G3" s="22">
        <v>7.9356800000000005E-2</v>
      </c>
      <c r="H3" s="15">
        <f t="shared" ref="H3:H66" si="0">IFERROR(AVERAGEIFS($F:$F, $A:$A, $A3, $B:$B,$B3, $C:$C,$C3),"")</f>
        <v>0.3911837647058824</v>
      </c>
      <c r="I3" s="16">
        <f>IFERROR(AVERAGEIFS($G:$G, $A:$A, $A3, $B:$B,$B3, $C:$C,$C3),"")</f>
        <v>9.2278499999999999E-2</v>
      </c>
      <c r="J3" s="12" t="str">
        <f t="shared" ref="J3:J34" si="1">IF(AND(F3&lt;&gt;"", H3&lt;&gt;""), IF(F3&lt;H3,"Yes","No"), "")</f>
        <v>Yes</v>
      </c>
      <c r="K3" s="13" t="str">
        <f t="shared" ref="K3:K34" si="2">IF(AND(G3&lt;&gt;"", I3&lt;&gt;""), IF(G3&lt;I3,"Yes","No"), "")</f>
        <v>Yes</v>
      </c>
    </row>
    <row r="4" spans="1:21" ht="18" x14ac:dyDescent="0.3">
      <c r="A4" s="18" t="s">
        <v>41</v>
      </c>
      <c r="B4" s="29" t="s">
        <v>50</v>
      </c>
      <c r="C4" s="19">
        <v>46228</v>
      </c>
      <c r="D4" s="20" t="s">
        <v>15</v>
      </c>
      <c r="E4" s="18">
        <v>2392</v>
      </c>
      <c r="F4" s="21">
        <v>0.42184300000000002</v>
      </c>
      <c r="G4" s="22">
        <v>0.112306</v>
      </c>
      <c r="H4" s="15">
        <f t="shared" si="0"/>
        <v>0.3911837647058824</v>
      </c>
      <c r="I4" s="16">
        <f>IFERROR(AVERAGEIFS($G:$G, $A:$A, $A4, $B:$B,$B4, $C:$C,$C4),"")</f>
        <v>9.2278499999999999E-2</v>
      </c>
      <c r="J4" s="12" t="str">
        <f t="shared" si="1"/>
        <v>No</v>
      </c>
      <c r="K4" s="13" t="str">
        <f t="shared" si="2"/>
        <v>No</v>
      </c>
      <c r="M4" s="54" t="s">
        <v>65</v>
      </c>
      <c r="N4" s="54"/>
      <c r="O4" s="54"/>
    </row>
    <row r="5" spans="1:21" x14ac:dyDescent="0.3">
      <c r="A5" s="18" t="s">
        <v>41</v>
      </c>
      <c r="B5" s="29" t="s">
        <v>50</v>
      </c>
      <c r="C5" s="19">
        <v>46228</v>
      </c>
      <c r="D5" s="20" t="s">
        <v>16</v>
      </c>
      <c r="E5" s="18">
        <v>1810</v>
      </c>
      <c r="F5" s="21">
        <v>0.39858399999999999</v>
      </c>
      <c r="G5" s="22">
        <v>9.2427499999999996E-2</v>
      </c>
      <c r="H5" s="15">
        <f t="shared" si="0"/>
        <v>0.3911837647058824</v>
      </c>
      <c r="I5" s="16">
        <f>IFERROR(AVERAGEIFS($G:$G, $A:$A, $A5, $B:$B,$B5, $C:$C,$C5),"")</f>
        <v>9.2278499999999999E-2</v>
      </c>
      <c r="J5" s="12" t="str">
        <f t="shared" si="1"/>
        <v>No</v>
      </c>
      <c r="K5" s="13" t="str">
        <f t="shared" si="2"/>
        <v>No</v>
      </c>
    </row>
    <row r="6" spans="1:21" x14ac:dyDescent="0.3">
      <c r="A6" s="18" t="s">
        <v>41</v>
      </c>
      <c r="B6" s="29" t="s">
        <v>50</v>
      </c>
      <c r="C6" s="19">
        <v>46228</v>
      </c>
      <c r="D6" s="20" t="s">
        <v>17</v>
      </c>
      <c r="E6" s="18">
        <v>2277</v>
      </c>
      <c r="F6" s="21">
        <v>0.62003600000000003</v>
      </c>
      <c r="G6" s="22">
        <v>0.12157900000000001</v>
      </c>
      <c r="H6" s="15">
        <f t="shared" si="0"/>
        <v>0.3911837647058824</v>
      </c>
      <c r="I6" s="16">
        <f t="shared" ref="I6:I66" si="3">IFERROR(AVERAGEIFS($G:$G, $A:$A, $A6, $B:$B,$B6, $C:$C,$C6),"")</f>
        <v>9.2278499999999999E-2</v>
      </c>
      <c r="J6" s="12" t="str">
        <f t="shared" si="1"/>
        <v>No</v>
      </c>
      <c r="K6" s="13" t="str">
        <f t="shared" si="2"/>
        <v>No</v>
      </c>
      <c r="M6" s="55" t="s">
        <v>64</v>
      </c>
      <c r="N6" s="56"/>
    </row>
    <row r="7" spans="1:21" x14ac:dyDescent="0.3">
      <c r="A7" s="18" t="s">
        <v>41</v>
      </c>
      <c r="B7" s="29" t="s">
        <v>50</v>
      </c>
      <c r="C7" s="19">
        <v>46228</v>
      </c>
      <c r="D7" s="20" t="s">
        <v>18</v>
      </c>
      <c r="E7" s="18">
        <v>2240</v>
      </c>
      <c r="F7" s="21">
        <v>0.19189300000000001</v>
      </c>
      <c r="G7" s="22">
        <v>4.4366900000000001E-2</v>
      </c>
      <c r="H7" s="15">
        <f t="shared" si="0"/>
        <v>0.3911837647058824</v>
      </c>
      <c r="I7" s="16">
        <f t="shared" si="3"/>
        <v>9.2278499999999999E-2</v>
      </c>
      <c r="J7" s="12" t="str">
        <f t="shared" si="1"/>
        <v>Yes</v>
      </c>
      <c r="K7" s="13" t="str">
        <f t="shared" si="2"/>
        <v>Yes</v>
      </c>
      <c r="M7" s="49" t="s">
        <v>45</v>
      </c>
      <c r="N7" s="50"/>
      <c r="O7" s="41" t="s">
        <v>59</v>
      </c>
      <c r="P7" s="42"/>
      <c r="Q7" s="42"/>
      <c r="R7" s="42"/>
      <c r="S7" s="42"/>
      <c r="T7" s="42"/>
      <c r="U7" s="43"/>
    </row>
    <row r="8" spans="1:21" x14ac:dyDescent="0.3">
      <c r="A8" s="18" t="s">
        <v>41</v>
      </c>
      <c r="B8" s="29" t="s">
        <v>50</v>
      </c>
      <c r="C8" s="19">
        <v>46228</v>
      </c>
      <c r="D8" s="20" t="s">
        <v>19</v>
      </c>
      <c r="E8" s="18">
        <v>2754</v>
      </c>
      <c r="F8" s="21">
        <v>0.44223499999999999</v>
      </c>
      <c r="G8" s="22">
        <v>8.9975399999999997E-2</v>
      </c>
      <c r="H8" s="15">
        <f t="shared" si="0"/>
        <v>0.3911837647058824</v>
      </c>
      <c r="I8" s="16">
        <f t="shared" si="3"/>
        <v>9.2278499999999999E-2</v>
      </c>
      <c r="J8" s="12" t="str">
        <f t="shared" si="1"/>
        <v>No</v>
      </c>
      <c r="K8" s="13" t="str">
        <f t="shared" si="2"/>
        <v>Yes</v>
      </c>
      <c r="M8" s="49" t="s">
        <v>49</v>
      </c>
      <c r="N8" s="50"/>
      <c r="O8" s="41" t="s">
        <v>60</v>
      </c>
      <c r="P8" s="42"/>
      <c r="Q8" s="42"/>
      <c r="R8" s="42"/>
      <c r="S8" s="42"/>
      <c r="T8" s="42"/>
      <c r="U8" s="43"/>
    </row>
    <row r="9" spans="1:21" x14ac:dyDescent="0.3">
      <c r="A9" s="18" t="s">
        <v>41</v>
      </c>
      <c r="B9" s="29" t="s">
        <v>50</v>
      </c>
      <c r="C9" s="19">
        <v>46228</v>
      </c>
      <c r="D9" s="20" t="s">
        <v>20</v>
      </c>
      <c r="E9" s="18">
        <v>3007</v>
      </c>
      <c r="F9" s="21">
        <v>0.50989600000000002</v>
      </c>
      <c r="G9" s="22">
        <v>0.102799</v>
      </c>
      <c r="H9" s="15">
        <f t="shared" si="0"/>
        <v>0.3911837647058824</v>
      </c>
      <c r="I9" s="16">
        <f t="shared" si="3"/>
        <v>9.2278499999999999E-2</v>
      </c>
      <c r="J9" s="12" t="str">
        <f t="shared" si="1"/>
        <v>No</v>
      </c>
      <c r="K9" s="13" t="str">
        <f t="shared" si="2"/>
        <v>No</v>
      </c>
      <c r="M9" s="49" t="s">
        <v>31</v>
      </c>
      <c r="N9" s="50"/>
      <c r="O9" s="41" t="s">
        <v>58</v>
      </c>
      <c r="P9" s="42"/>
      <c r="Q9" s="42"/>
      <c r="R9" s="42"/>
      <c r="S9" s="42"/>
      <c r="T9" s="42"/>
      <c r="U9" s="43"/>
    </row>
    <row r="10" spans="1:21" x14ac:dyDescent="0.3">
      <c r="A10" s="18" t="s">
        <v>41</v>
      </c>
      <c r="B10" s="29" t="s">
        <v>50</v>
      </c>
      <c r="C10" s="19">
        <v>46228</v>
      </c>
      <c r="D10" s="20" t="s">
        <v>21</v>
      </c>
      <c r="E10" s="18">
        <v>2832</v>
      </c>
      <c r="F10" s="21">
        <v>0.39593499999999998</v>
      </c>
      <c r="G10" s="22">
        <v>7.95796E-2</v>
      </c>
      <c r="H10" s="15">
        <f t="shared" si="0"/>
        <v>0.3911837647058824</v>
      </c>
      <c r="I10" s="16">
        <f t="shared" si="3"/>
        <v>9.2278499999999999E-2</v>
      </c>
      <c r="J10" s="12" t="str">
        <f t="shared" si="1"/>
        <v>No</v>
      </c>
      <c r="K10" s="13" t="str">
        <f t="shared" si="2"/>
        <v>Yes</v>
      </c>
      <c r="M10" s="49" t="s">
        <v>13</v>
      </c>
      <c r="N10" s="50"/>
      <c r="O10" s="41" t="s">
        <v>57</v>
      </c>
      <c r="P10" s="42"/>
      <c r="Q10" s="42"/>
      <c r="R10" s="42"/>
      <c r="S10" s="42"/>
      <c r="T10" s="42"/>
      <c r="U10" s="43"/>
    </row>
    <row r="11" spans="1:21" x14ac:dyDescent="0.3">
      <c r="A11" s="18" t="s">
        <v>41</v>
      </c>
      <c r="B11" s="29" t="s">
        <v>50</v>
      </c>
      <c r="C11" s="19">
        <v>46228</v>
      </c>
      <c r="D11" s="20" t="s">
        <v>22</v>
      </c>
      <c r="E11" s="18">
        <v>2120</v>
      </c>
      <c r="F11" s="21">
        <v>0.49960599999999999</v>
      </c>
      <c r="G11" s="22">
        <v>0.13203699999999999</v>
      </c>
      <c r="H11" s="15">
        <f t="shared" si="0"/>
        <v>0.3911837647058824</v>
      </c>
      <c r="I11" s="16">
        <f t="shared" si="3"/>
        <v>9.2278499999999999E-2</v>
      </c>
      <c r="J11" s="12" t="str">
        <f t="shared" si="1"/>
        <v>No</v>
      </c>
      <c r="K11" s="13" t="str">
        <f t="shared" si="2"/>
        <v>No</v>
      </c>
      <c r="M11" s="44" t="s">
        <v>32</v>
      </c>
      <c r="N11" s="44"/>
      <c r="O11" s="45" t="s">
        <v>56</v>
      </c>
      <c r="P11" s="45"/>
      <c r="Q11" s="45"/>
      <c r="R11" s="45"/>
      <c r="S11" s="45"/>
      <c r="T11" s="45"/>
      <c r="U11" s="45"/>
    </row>
    <row r="12" spans="1:21" x14ac:dyDescent="0.3">
      <c r="A12" s="18" t="s">
        <v>41</v>
      </c>
      <c r="B12" s="29" t="s">
        <v>50</v>
      </c>
      <c r="C12" s="19">
        <v>46228</v>
      </c>
      <c r="D12" s="20" t="s">
        <v>23</v>
      </c>
      <c r="E12" s="18">
        <v>1471</v>
      </c>
      <c r="F12" s="21">
        <v>0.13059299999999999</v>
      </c>
      <c r="G12" s="22">
        <v>4.5056100000000002E-2</v>
      </c>
      <c r="H12" s="15">
        <f t="shared" si="0"/>
        <v>0.3911837647058824</v>
      </c>
      <c r="I12" s="16">
        <f t="shared" si="3"/>
        <v>9.2278499999999999E-2</v>
      </c>
      <c r="J12" s="12" t="str">
        <f t="shared" si="1"/>
        <v>Yes</v>
      </c>
      <c r="K12" s="13" t="str">
        <f t="shared" si="2"/>
        <v>Yes</v>
      </c>
      <c r="M12" s="44" t="s">
        <v>33</v>
      </c>
      <c r="N12" s="44"/>
      <c r="O12" s="45" t="s">
        <v>55</v>
      </c>
      <c r="P12" s="45"/>
      <c r="Q12" s="45"/>
      <c r="R12" s="45"/>
      <c r="S12" s="45"/>
      <c r="T12" s="45"/>
      <c r="U12" s="45"/>
    </row>
    <row r="13" spans="1:21" x14ac:dyDescent="0.3">
      <c r="A13" s="18" t="s">
        <v>41</v>
      </c>
      <c r="B13" s="29" t="s">
        <v>50</v>
      </c>
      <c r="C13" s="19">
        <v>46228</v>
      </c>
      <c r="D13" s="20" t="s">
        <v>24</v>
      </c>
      <c r="E13" s="18">
        <v>1657</v>
      </c>
      <c r="F13" s="21">
        <v>0.428371</v>
      </c>
      <c r="G13" s="22">
        <v>0.14066300000000001</v>
      </c>
      <c r="H13" s="15">
        <f t="shared" si="0"/>
        <v>0.3911837647058824</v>
      </c>
      <c r="I13" s="16">
        <f t="shared" si="3"/>
        <v>9.2278499999999999E-2</v>
      </c>
      <c r="J13" s="12" t="str">
        <f t="shared" si="1"/>
        <v>No</v>
      </c>
      <c r="K13" s="13" t="str">
        <f t="shared" si="2"/>
        <v>No</v>
      </c>
      <c r="M13" s="44" t="s">
        <v>34</v>
      </c>
      <c r="N13" s="44"/>
      <c r="O13" s="45" t="s">
        <v>54</v>
      </c>
      <c r="P13" s="45"/>
      <c r="Q13" s="45"/>
      <c r="R13" s="45"/>
      <c r="S13" s="45"/>
      <c r="T13" s="45"/>
      <c r="U13" s="45"/>
    </row>
    <row r="14" spans="1:21" x14ac:dyDescent="0.3">
      <c r="A14" s="18" t="s">
        <v>41</v>
      </c>
      <c r="B14" s="29" t="s">
        <v>50</v>
      </c>
      <c r="C14" s="19">
        <v>46228</v>
      </c>
      <c r="D14" s="20" t="s">
        <v>25</v>
      </c>
      <c r="E14" s="18">
        <v>1007</v>
      </c>
      <c r="F14" s="21">
        <v>0.16838600000000001</v>
      </c>
      <c r="G14" s="22">
        <v>4.2415799999999997E-2</v>
      </c>
      <c r="H14" s="15">
        <f t="shared" si="0"/>
        <v>0.3911837647058824</v>
      </c>
      <c r="I14" s="16">
        <f t="shared" si="3"/>
        <v>9.2278499999999999E-2</v>
      </c>
      <c r="J14" s="12" t="str">
        <f t="shared" si="1"/>
        <v>Yes</v>
      </c>
      <c r="K14" s="13" t="str">
        <f t="shared" si="2"/>
        <v>Yes</v>
      </c>
      <c r="M14" s="37" t="s">
        <v>53</v>
      </c>
      <c r="N14" s="38"/>
      <c r="O14" s="36" t="s">
        <v>67</v>
      </c>
      <c r="P14" s="36"/>
      <c r="Q14" s="36"/>
      <c r="R14" s="36"/>
      <c r="S14" s="36"/>
      <c r="T14" s="36"/>
      <c r="U14" s="36"/>
    </row>
    <row r="15" spans="1:21" x14ac:dyDescent="0.3">
      <c r="A15" s="18" t="s">
        <v>41</v>
      </c>
      <c r="B15" s="29" t="s">
        <v>50</v>
      </c>
      <c r="C15" s="19">
        <v>46228</v>
      </c>
      <c r="D15" s="20" t="s">
        <v>26</v>
      </c>
      <c r="E15" s="18">
        <v>2022</v>
      </c>
      <c r="F15" s="21">
        <v>0.160743</v>
      </c>
      <c r="G15" s="22">
        <v>4.9050299999999998E-2</v>
      </c>
      <c r="H15" s="15">
        <f t="shared" si="0"/>
        <v>0.3911837647058824</v>
      </c>
      <c r="I15" s="16">
        <f t="shared" si="3"/>
        <v>9.2278499999999999E-2</v>
      </c>
      <c r="J15" s="12" t="str">
        <f t="shared" si="1"/>
        <v>Yes</v>
      </c>
      <c r="K15" s="13" t="str">
        <f t="shared" si="2"/>
        <v>Yes</v>
      </c>
      <c r="M15" s="39"/>
      <c r="N15" s="40"/>
      <c r="O15" s="36"/>
      <c r="P15" s="36"/>
      <c r="Q15" s="36"/>
      <c r="R15" s="36"/>
      <c r="S15" s="36"/>
      <c r="T15" s="36"/>
      <c r="U15" s="36"/>
    </row>
    <row r="16" spans="1:21" x14ac:dyDescent="0.3">
      <c r="A16" s="18" t="s">
        <v>41</v>
      </c>
      <c r="B16" s="29" t="s">
        <v>50</v>
      </c>
      <c r="C16" s="19">
        <v>46228</v>
      </c>
      <c r="D16" s="20" t="s">
        <v>27</v>
      </c>
      <c r="E16" s="18">
        <v>1985</v>
      </c>
      <c r="F16" s="21">
        <v>0.43960500000000002</v>
      </c>
      <c r="G16" s="22">
        <v>0.10267900000000001</v>
      </c>
      <c r="H16" s="15">
        <f t="shared" si="0"/>
        <v>0.3911837647058824</v>
      </c>
      <c r="I16" s="16">
        <f t="shared" si="3"/>
        <v>9.2278499999999999E-2</v>
      </c>
      <c r="J16" s="12" t="str">
        <f t="shared" si="1"/>
        <v>No</v>
      </c>
      <c r="K16" s="13" t="str">
        <f t="shared" si="2"/>
        <v>No</v>
      </c>
      <c r="M16" s="27"/>
      <c r="N16" s="27"/>
    </row>
    <row r="17" spans="1:18" x14ac:dyDescent="0.3">
      <c r="A17" s="18" t="s">
        <v>41</v>
      </c>
      <c r="B17" s="29" t="s">
        <v>50</v>
      </c>
      <c r="C17" s="19">
        <v>46228</v>
      </c>
      <c r="D17" s="20" t="s">
        <v>28</v>
      </c>
      <c r="E17" s="18">
        <v>1540</v>
      </c>
      <c r="F17" s="21">
        <v>0.64795899999999995</v>
      </c>
      <c r="G17" s="22">
        <v>0.147318</v>
      </c>
      <c r="H17" s="15">
        <f t="shared" si="0"/>
        <v>0.3911837647058824</v>
      </c>
      <c r="I17" s="16">
        <f t="shared" si="3"/>
        <v>9.2278499999999999E-2</v>
      </c>
      <c r="J17" s="12" t="str">
        <f t="shared" si="1"/>
        <v>No</v>
      </c>
      <c r="K17" s="13" t="str">
        <f t="shared" si="2"/>
        <v>No</v>
      </c>
      <c r="M17" s="57" t="s">
        <v>63</v>
      </c>
      <c r="N17" s="57"/>
    </row>
    <row r="18" spans="1:18" x14ac:dyDescent="0.3">
      <c r="A18" s="18" t="s">
        <v>41</v>
      </c>
      <c r="B18" s="29" t="s">
        <v>50</v>
      </c>
      <c r="C18" s="19">
        <v>46228</v>
      </c>
      <c r="D18" s="20" t="s">
        <v>29</v>
      </c>
      <c r="E18" s="18">
        <v>1892</v>
      </c>
      <c r="F18" s="21">
        <v>0.37152299999999999</v>
      </c>
      <c r="G18" s="22">
        <v>7.7194100000000002E-2</v>
      </c>
      <c r="H18" s="15">
        <f t="shared" si="0"/>
        <v>0.3911837647058824</v>
      </c>
      <c r="I18" s="16">
        <f t="shared" si="3"/>
        <v>9.2278499999999999E-2</v>
      </c>
      <c r="J18" s="12" t="str">
        <f t="shared" si="1"/>
        <v>Yes</v>
      </c>
      <c r="K18" s="13" t="str">
        <f t="shared" si="2"/>
        <v>Yes</v>
      </c>
      <c r="M18" s="58"/>
      <c r="N18" s="58"/>
      <c r="O18" s="60" t="s">
        <v>61</v>
      </c>
      <c r="P18" s="60"/>
      <c r="Q18" s="60"/>
      <c r="R18" s="60"/>
    </row>
    <row r="19" spans="1:18" x14ac:dyDescent="0.3">
      <c r="A19" s="18" t="s">
        <v>41</v>
      </c>
      <c r="B19" s="29" t="s">
        <v>50</v>
      </c>
      <c r="C19" s="19">
        <v>46228</v>
      </c>
      <c r="D19" s="20" t="s">
        <v>30</v>
      </c>
      <c r="E19" s="18">
        <v>1460</v>
      </c>
      <c r="F19" s="21">
        <v>0.54793400000000003</v>
      </c>
      <c r="G19" s="22">
        <v>0.109931</v>
      </c>
      <c r="H19" s="15">
        <f t="shared" si="0"/>
        <v>0.3911837647058824</v>
      </c>
      <c r="I19" s="16">
        <f t="shared" si="3"/>
        <v>9.2278499999999999E-2</v>
      </c>
      <c r="J19" s="12" t="str">
        <f t="shared" si="1"/>
        <v>No</v>
      </c>
      <c r="K19" s="13" t="str">
        <f t="shared" si="2"/>
        <v>No</v>
      </c>
      <c r="M19" s="59"/>
      <c r="N19" s="59"/>
      <c r="O19" s="60" t="s">
        <v>62</v>
      </c>
      <c r="P19" s="60"/>
      <c r="Q19" s="60"/>
      <c r="R19" s="60"/>
    </row>
    <row r="20" spans="1:18" x14ac:dyDescent="0.3">
      <c r="A20" s="18" t="s">
        <v>41</v>
      </c>
      <c r="B20" s="29" t="s">
        <v>50</v>
      </c>
      <c r="C20" s="19">
        <v>46230</v>
      </c>
      <c r="D20" s="20" t="s">
        <v>14</v>
      </c>
      <c r="E20" s="18">
        <v>1939</v>
      </c>
      <c r="F20" s="21">
        <v>0.38631799999999999</v>
      </c>
      <c r="G20" s="22">
        <v>0.10861</v>
      </c>
      <c r="H20" s="15">
        <f t="shared" si="0"/>
        <v>0.3804177222222222</v>
      </c>
      <c r="I20" s="16">
        <f t="shared" si="3"/>
        <v>9.1966633333333339E-2</v>
      </c>
      <c r="J20" s="12" t="str">
        <f t="shared" si="1"/>
        <v>No</v>
      </c>
      <c r="K20" s="13" t="str">
        <f t="shared" si="2"/>
        <v>No</v>
      </c>
    </row>
    <row r="21" spans="1:18" x14ac:dyDescent="0.3">
      <c r="A21" s="18" t="s">
        <v>41</v>
      </c>
      <c r="B21" s="29" t="s">
        <v>50</v>
      </c>
      <c r="C21" s="19">
        <v>46230</v>
      </c>
      <c r="D21" s="20" t="s">
        <v>15</v>
      </c>
      <c r="E21" s="18">
        <v>2172</v>
      </c>
      <c r="F21" s="21">
        <v>0.40509299999999998</v>
      </c>
      <c r="G21" s="22">
        <v>0.10678</v>
      </c>
      <c r="H21" s="15">
        <f t="shared" si="0"/>
        <v>0.3804177222222222</v>
      </c>
      <c r="I21" s="16">
        <f t="shared" si="3"/>
        <v>9.1966633333333339E-2</v>
      </c>
      <c r="J21" s="12" t="str">
        <f t="shared" si="1"/>
        <v>No</v>
      </c>
      <c r="K21" s="13" t="str">
        <f t="shared" si="2"/>
        <v>No</v>
      </c>
    </row>
    <row r="22" spans="1:18" x14ac:dyDescent="0.3">
      <c r="A22" s="18" t="s">
        <v>41</v>
      </c>
      <c r="B22" s="29" t="s">
        <v>50</v>
      </c>
      <c r="C22" s="19">
        <v>46230</v>
      </c>
      <c r="D22" s="20" t="s">
        <v>16</v>
      </c>
      <c r="E22" s="18">
        <v>1359</v>
      </c>
      <c r="F22" s="21">
        <v>0.42063299999999998</v>
      </c>
      <c r="G22" s="22">
        <v>9.8741200000000001E-2</v>
      </c>
      <c r="H22" s="15">
        <f t="shared" si="0"/>
        <v>0.3804177222222222</v>
      </c>
      <c r="I22" s="16">
        <f t="shared" si="3"/>
        <v>9.1966633333333339E-2</v>
      </c>
      <c r="J22" s="12" t="str">
        <f t="shared" si="1"/>
        <v>No</v>
      </c>
      <c r="K22" s="13" t="str">
        <f t="shared" si="2"/>
        <v>No</v>
      </c>
    </row>
    <row r="23" spans="1:18" x14ac:dyDescent="0.3">
      <c r="A23" s="18" t="s">
        <v>41</v>
      </c>
      <c r="B23" s="29" t="s">
        <v>50</v>
      </c>
      <c r="C23" s="19">
        <v>46230</v>
      </c>
      <c r="D23" s="20" t="s">
        <v>17</v>
      </c>
      <c r="E23" s="18">
        <v>1819</v>
      </c>
      <c r="F23" s="21">
        <v>0.610344</v>
      </c>
      <c r="G23" s="22">
        <v>0.120907</v>
      </c>
      <c r="H23" s="15">
        <f t="shared" si="0"/>
        <v>0.3804177222222222</v>
      </c>
      <c r="I23" s="16">
        <f t="shared" si="3"/>
        <v>9.1966633333333339E-2</v>
      </c>
      <c r="J23" s="12" t="str">
        <f t="shared" si="1"/>
        <v>No</v>
      </c>
      <c r="K23" s="13" t="str">
        <f t="shared" si="2"/>
        <v>No</v>
      </c>
    </row>
    <row r="24" spans="1:18" x14ac:dyDescent="0.3">
      <c r="A24" s="18" t="s">
        <v>41</v>
      </c>
      <c r="B24" s="29" t="s">
        <v>50</v>
      </c>
      <c r="C24" s="19">
        <v>46230</v>
      </c>
      <c r="D24" s="20" t="s">
        <v>18</v>
      </c>
      <c r="E24" s="18">
        <v>1541</v>
      </c>
      <c r="F24" s="21">
        <v>0.28196100000000002</v>
      </c>
      <c r="G24" s="22">
        <v>6.7092299999999994E-2</v>
      </c>
      <c r="H24" s="15">
        <f t="shared" si="0"/>
        <v>0.3804177222222222</v>
      </c>
      <c r="I24" s="16">
        <f t="shared" si="3"/>
        <v>9.1966633333333339E-2</v>
      </c>
      <c r="J24" s="12" t="str">
        <f t="shared" si="1"/>
        <v>Yes</v>
      </c>
      <c r="K24" s="13" t="str">
        <f t="shared" si="2"/>
        <v>Yes</v>
      </c>
    </row>
    <row r="25" spans="1:18" x14ac:dyDescent="0.3">
      <c r="A25" s="18" t="s">
        <v>41</v>
      </c>
      <c r="B25" s="29" t="s">
        <v>50</v>
      </c>
      <c r="C25" s="19">
        <v>46230</v>
      </c>
      <c r="D25" s="20" t="s">
        <v>19</v>
      </c>
      <c r="E25" s="18">
        <v>1296</v>
      </c>
      <c r="F25" s="21">
        <v>0.35003099999999998</v>
      </c>
      <c r="G25" s="22">
        <v>7.3608499999999993E-2</v>
      </c>
      <c r="H25" s="15">
        <f t="shared" si="0"/>
        <v>0.3804177222222222</v>
      </c>
      <c r="I25" s="16">
        <f t="shared" si="3"/>
        <v>9.1966633333333339E-2</v>
      </c>
      <c r="J25" s="12" t="str">
        <f t="shared" si="1"/>
        <v>Yes</v>
      </c>
      <c r="K25" s="13" t="str">
        <f t="shared" si="2"/>
        <v>Yes</v>
      </c>
    </row>
    <row r="26" spans="1:18" x14ac:dyDescent="0.3">
      <c r="A26" s="18" t="s">
        <v>41</v>
      </c>
      <c r="B26" s="29" t="s">
        <v>50</v>
      </c>
      <c r="C26" s="19">
        <v>46230</v>
      </c>
      <c r="D26" s="20" t="s">
        <v>20</v>
      </c>
      <c r="E26" s="18">
        <v>1470</v>
      </c>
      <c r="F26" s="21">
        <v>0.36660399999999999</v>
      </c>
      <c r="G26" s="22">
        <v>7.6716000000000006E-2</v>
      </c>
      <c r="H26" s="15">
        <f t="shared" si="0"/>
        <v>0.3804177222222222</v>
      </c>
      <c r="I26" s="16">
        <f t="shared" si="3"/>
        <v>9.1966633333333339E-2</v>
      </c>
      <c r="J26" s="12" t="str">
        <f t="shared" si="1"/>
        <v>Yes</v>
      </c>
      <c r="K26" s="13" t="str">
        <f t="shared" si="2"/>
        <v>Yes</v>
      </c>
    </row>
    <row r="27" spans="1:18" x14ac:dyDescent="0.3">
      <c r="A27" s="18" t="s">
        <v>41</v>
      </c>
      <c r="B27" s="29" t="s">
        <v>50</v>
      </c>
      <c r="C27" s="19">
        <v>46230</v>
      </c>
      <c r="D27" s="20" t="s">
        <v>40</v>
      </c>
      <c r="E27" s="18">
        <v>1162</v>
      </c>
      <c r="F27" s="21">
        <v>0.162101</v>
      </c>
      <c r="G27" s="22">
        <v>4.9118500000000002E-2</v>
      </c>
      <c r="H27" s="15">
        <f t="shared" si="0"/>
        <v>0.3804177222222222</v>
      </c>
      <c r="I27" s="16">
        <f t="shared" si="3"/>
        <v>9.1966633333333339E-2</v>
      </c>
      <c r="J27" s="12" t="str">
        <f t="shared" si="1"/>
        <v>Yes</v>
      </c>
      <c r="K27" s="13" t="str">
        <f t="shared" si="2"/>
        <v>Yes</v>
      </c>
    </row>
    <row r="28" spans="1:18" x14ac:dyDescent="0.3">
      <c r="A28" s="18" t="s">
        <v>41</v>
      </c>
      <c r="B28" s="29" t="s">
        <v>50</v>
      </c>
      <c r="C28" s="19">
        <v>46230</v>
      </c>
      <c r="D28" s="20" t="s">
        <v>21</v>
      </c>
      <c r="E28" s="18">
        <v>2611</v>
      </c>
      <c r="F28" s="21">
        <v>0.42067700000000002</v>
      </c>
      <c r="G28" s="22">
        <v>8.1860199999999994E-2</v>
      </c>
      <c r="H28" s="15">
        <f t="shared" si="0"/>
        <v>0.3804177222222222</v>
      </c>
      <c r="I28" s="16">
        <f t="shared" si="3"/>
        <v>9.1966633333333339E-2</v>
      </c>
      <c r="J28" s="12" t="str">
        <f t="shared" si="1"/>
        <v>No</v>
      </c>
      <c r="K28" s="13" t="str">
        <f t="shared" si="2"/>
        <v>Yes</v>
      </c>
    </row>
    <row r="29" spans="1:18" x14ac:dyDescent="0.3">
      <c r="A29" s="18" t="s">
        <v>41</v>
      </c>
      <c r="B29" s="29" t="s">
        <v>50</v>
      </c>
      <c r="C29" s="19">
        <v>46230</v>
      </c>
      <c r="D29" s="20" t="s">
        <v>22</v>
      </c>
      <c r="E29" s="18">
        <v>1449</v>
      </c>
      <c r="F29" s="21">
        <v>0.45557700000000001</v>
      </c>
      <c r="G29" s="22">
        <v>0.123795</v>
      </c>
      <c r="H29" s="15">
        <f t="shared" si="0"/>
        <v>0.3804177222222222</v>
      </c>
      <c r="I29" s="16">
        <f t="shared" si="3"/>
        <v>9.1966633333333339E-2</v>
      </c>
      <c r="J29" s="12" t="str">
        <f t="shared" si="1"/>
        <v>No</v>
      </c>
      <c r="K29" s="13" t="str">
        <f t="shared" si="2"/>
        <v>No</v>
      </c>
    </row>
    <row r="30" spans="1:18" x14ac:dyDescent="0.3">
      <c r="A30" s="18" t="s">
        <v>41</v>
      </c>
      <c r="B30" s="29" t="s">
        <v>50</v>
      </c>
      <c r="C30" s="19">
        <v>46230</v>
      </c>
      <c r="D30" s="20" t="s">
        <v>23</v>
      </c>
      <c r="E30" s="18">
        <v>1005</v>
      </c>
      <c r="F30" s="21">
        <v>0.43718499999999999</v>
      </c>
      <c r="G30" s="22">
        <v>0.14344199999999999</v>
      </c>
      <c r="H30" s="15">
        <f t="shared" si="0"/>
        <v>0.3804177222222222</v>
      </c>
      <c r="I30" s="16">
        <f t="shared" si="3"/>
        <v>9.1966633333333339E-2</v>
      </c>
      <c r="J30" s="12" t="str">
        <f t="shared" si="1"/>
        <v>No</v>
      </c>
      <c r="K30" s="13" t="str">
        <f t="shared" si="2"/>
        <v>No</v>
      </c>
    </row>
    <row r="31" spans="1:18" x14ac:dyDescent="0.3">
      <c r="A31" s="18" t="s">
        <v>41</v>
      </c>
      <c r="B31" s="29" t="s">
        <v>50</v>
      </c>
      <c r="C31" s="19">
        <v>46230</v>
      </c>
      <c r="D31" s="20" t="s">
        <v>24</v>
      </c>
      <c r="E31" s="18">
        <v>2076</v>
      </c>
      <c r="F31" s="21">
        <v>0.30209799999999998</v>
      </c>
      <c r="G31" s="22">
        <v>9.3080999999999997E-2</v>
      </c>
      <c r="H31" s="15">
        <f t="shared" si="0"/>
        <v>0.3804177222222222</v>
      </c>
      <c r="I31" s="16">
        <f t="shared" si="3"/>
        <v>9.1966633333333339E-2</v>
      </c>
      <c r="J31" s="12" t="str">
        <f t="shared" si="1"/>
        <v>Yes</v>
      </c>
      <c r="K31" s="13" t="str">
        <f t="shared" si="2"/>
        <v>No</v>
      </c>
    </row>
    <row r="32" spans="1:18" x14ac:dyDescent="0.3">
      <c r="A32" s="18" t="s">
        <v>41</v>
      </c>
      <c r="B32" s="29" t="s">
        <v>50</v>
      </c>
      <c r="C32" s="19">
        <v>46230</v>
      </c>
      <c r="D32" s="20" t="s">
        <v>25</v>
      </c>
      <c r="E32" s="18">
        <v>1159</v>
      </c>
      <c r="F32" s="21">
        <v>0.18565499999999999</v>
      </c>
      <c r="G32" s="22">
        <v>4.46854E-2</v>
      </c>
      <c r="H32" s="15">
        <f t="shared" si="0"/>
        <v>0.3804177222222222</v>
      </c>
      <c r="I32" s="16">
        <f t="shared" si="3"/>
        <v>9.1966633333333339E-2</v>
      </c>
      <c r="J32" s="12" t="str">
        <f t="shared" si="1"/>
        <v>Yes</v>
      </c>
      <c r="K32" s="13" t="str">
        <f t="shared" si="2"/>
        <v>Yes</v>
      </c>
    </row>
    <row r="33" spans="1:11" x14ac:dyDescent="0.3">
      <c r="A33" s="18" t="s">
        <v>41</v>
      </c>
      <c r="B33" s="29" t="s">
        <v>50</v>
      </c>
      <c r="C33" s="19">
        <v>46230</v>
      </c>
      <c r="D33" s="20" t="s">
        <v>26</v>
      </c>
      <c r="E33" s="18">
        <v>1409</v>
      </c>
      <c r="F33" s="21">
        <v>0.21656300000000001</v>
      </c>
      <c r="G33" s="22">
        <v>6.9651900000000003E-2</v>
      </c>
      <c r="H33" s="15">
        <f t="shared" si="0"/>
        <v>0.3804177222222222</v>
      </c>
      <c r="I33" s="16">
        <f t="shared" si="3"/>
        <v>9.1966633333333339E-2</v>
      </c>
      <c r="J33" s="12" t="str">
        <f t="shared" si="1"/>
        <v>Yes</v>
      </c>
      <c r="K33" s="13" t="str">
        <f t="shared" si="2"/>
        <v>Yes</v>
      </c>
    </row>
    <row r="34" spans="1:11" x14ac:dyDescent="0.3">
      <c r="A34" s="18" t="s">
        <v>41</v>
      </c>
      <c r="B34" s="29" t="s">
        <v>50</v>
      </c>
      <c r="C34" s="19">
        <v>46230</v>
      </c>
      <c r="D34" s="20" t="s">
        <v>27</v>
      </c>
      <c r="E34" s="18">
        <v>1914</v>
      </c>
      <c r="F34" s="21">
        <v>0.46116299999999999</v>
      </c>
      <c r="G34" s="22">
        <v>0.104768</v>
      </c>
      <c r="H34" s="15">
        <f t="shared" si="0"/>
        <v>0.3804177222222222</v>
      </c>
      <c r="I34" s="16">
        <f t="shared" si="3"/>
        <v>9.1966633333333339E-2</v>
      </c>
      <c r="J34" s="12" t="str">
        <f t="shared" si="1"/>
        <v>No</v>
      </c>
      <c r="K34" s="13" t="str">
        <f t="shared" si="2"/>
        <v>No</v>
      </c>
    </row>
    <row r="35" spans="1:11" x14ac:dyDescent="0.3">
      <c r="A35" s="18" t="s">
        <v>41</v>
      </c>
      <c r="B35" s="29" t="s">
        <v>50</v>
      </c>
      <c r="C35" s="19">
        <v>46230</v>
      </c>
      <c r="D35" s="20" t="s">
        <v>28</v>
      </c>
      <c r="E35" s="18">
        <v>1154</v>
      </c>
      <c r="F35" s="21">
        <v>0.49668299999999999</v>
      </c>
      <c r="G35" s="22">
        <v>0.111633</v>
      </c>
      <c r="H35" s="15">
        <f t="shared" si="0"/>
        <v>0.3804177222222222</v>
      </c>
      <c r="I35" s="16">
        <f t="shared" si="3"/>
        <v>9.1966633333333339E-2</v>
      </c>
      <c r="J35" s="12" t="str">
        <f t="shared" ref="J35:J66" si="4">IF(AND(F35&lt;&gt;"", H35&lt;&gt;""), IF(F35&lt;H35,"Yes","No"), "")</f>
        <v>No</v>
      </c>
      <c r="K35" s="13" t="str">
        <f t="shared" ref="K35:K66" si="5">IF(AND(G35&lt;&gt;"", I35&lt;&gt;""), IF(G35&lt;I35,"Yes","No"), "")</f>
        <v>No</v>
      </c>
    </row>
    <row r="36" spans="1:11" x14ac:dyDescent="0.3">
      <c r="A36" s="18" t="s">
        <v>41</v>
      </c>
      <c r="B36" s="29" t="s">
        <v>50</v>
      </c>
      <c r="C36" s="19">
        <v>46230</v>
      </c>
      <c r="D36" s="20" t="s">
        <v>29</v>
      </c>
      <c r="E36" s="18">
        <v>1614</v>
      </c>
      <c r="F36" s="21">
        <v>0.32052799999999998</v>
      </c>
      <c r="G36" s="22">
        <v>6.6401399999999999E-2</v>
      </c>
      <c r="H36" s="15">
        <f t="shared" si="0"/>
        <v>0.3804177222222222</v>
      </c>
      <c r="I36" s="16">
        <f t="shared" si="3"/>
        <v>9.1966633333333339E-2</v>
      </c>
      <c r="J36" s="12" t="str">
        <f t="shared" si="4"/>
        <v>Yes</v>
      </c>
      <c r="K36" s="13" t="str">
        <f t="shared" si="5"/>
        <v>Yes</v>
      </c>
    </row>
    <row r="37" spans="1:11" x14ac:dyDescent="0.3">
      <c r="A37" s="18" t="s">
        <v>41</v>
      </c>
      <c r="B37" s="29" t="s">
        <v>50</v>
      </c>
      <c r="C37" s="19">
        <v>46230</v>
      </c>
      <c r="D37" s="20" t="s">
        <v>30</v>
      </c>
      <c r="E37" s="18">
        <v>1342</v>
      </c>
      <c r="F37" s="21">
        <v>0.56830499999999995</v>
      </c>
      <c r="G37" s="22">
        <v>0.114508</v>
      </c>
      <c r="H37" s="15">
        <f t="shared" si="0"/>
        <v>0.3804177222222222</v>
      </c>
      <c r="I37" s="16">
        <f t="shared" si="3"/>
        <v>9.1966633333333339E-2</v>
      </c>
      <c r="J37" s="12" t="str">
        <f t="shared" si="4"/>
        <v>No</v>
      </c>
      <c r="K37" s="13" t="str">
        <f t="shared" si="5"/>
        <v>No</v>
      </c>
    </row>
    <row r="38" spans="1:11" x14ac:dyDescent="0.3">
      <c r="A38" s="18" t="s">
        <v>41</v>
      </c>
      <c r="B38" s="29" t="s">
        <v>50</v>
      </c>
      <c r="C38" s="19">
        <v>46231</v>
      </c>
      <c r="D38" s="20" t="s">
        <v>14</v>
      </c>
      <c r="E38" s="18">
        <v>2192</v>
      </c>
      <c r="F38" s="21">
        <v>0.32684800000000003</v>
      </c>
      <c r="G38" s="22">
        <v>9.1957899999999995E-2</v>
      </c>
      <c r="H38" s="15">
        <f t="shared" si="0"/>
        <v>0.3508782777777778</v>
      </c>
      <c r="I38" s="16">
        <f t="shared" si="3"/>
        <v>8.4730411111111126E-2</v>
      </c>
      <c r="J38" s="12" t="str">
        <f t="shared" si="4"/>
        <v>Yes</v>
      </c>
      <c r="K38" s="13" t="str">
        <f t="shared" si="5"/>
        <v>No</v>
      </c>
    </row>
    <row r="39" spans="1:11" x14ac:dyDescent="0.3">
      <c r="A39" s="18" t="s">
        <v>41</v>
      </c>
      <c r="B39" s="29" t="s">
        <v>50</v>
      </c>
      <c r="C39" s="19">
        <v>46231</v>
      </c>
      <c r="D39" s="20" t="s">
        <v>15</v>
      </c>
      <c r="E39" s="18">
        <v>2430</v>
      </c>
      <c r="F39" s="21">
        <v>0.55680700000000005</v>
      </c>
      <c r="G39" s="22">
        <v>0.14671400000000001</v>
      </c>
      <c r="H39" s="15">
        <f t="shared" si="0"/>
        <v>0.3508782777777778</v>
      </c>
      <c r="I39" s="16">
        <f t="shared" si="3"/>
        <v>8.4730411111111126E-2</v>
      </c>
      <c r="J39" s="12" t="str">
        <f t="shared" si="4"/>
        <v>No</v>
      </c>
      <c r="K39" s="13" t="str">
        <f t="shared" si="5"/>
        <v>No</v>
      </c>
    </row>
    <row r="40" spans="1:11" x14ac:dyDescent="0.3">
      <c r="A40" s="18" t="s">
        <v>41</v>
      </c>
      <c r="B40" s="29" t="s">
        <v>50</v>
      </c>
      <c r="C40" s="19">
        <v>46231</v>
      </c>
      <c r="D40" s="20" t="s">
        <v>16</v>
      </c>
      <c r="E40" s="18">
        <v>1832</v>
      </c>
      <c r="F40" s="21">
        <v>0.34914299999999998</v>
      </c>
      <c r="G40" s="22">
        <v>8.1951999999999997E-2</v>
      </c>
      <c r="H40" s="15">
        <f t="shared" si="0"/>
        <v>0.3508782777777778</v>
      </c>
      <c r="I40" s="16">
        <f t="shared" si="3"/>
        <v>8.4730411111111126E-2</v>
      </c>
      <c r="J40" s="12" t="str">
        <f t="shared" si="4"/>
        <v>Yes</v>
      </c>
      <c r="K40" s="13" t="str">
        <f t="shared" si="5"/>
        <v>Yes</v>
      </c>
    </row>
    <row r="41" spans="1:11" x14ac:dyDescent="0.3">
      <c r="A41" s="18" t="s">
        <v>41</v>
      </c>
      <c r="B41" s="29" t="s">
        <v>50</v>
      </c>
      <c r="C41" s="19">
        <v>46231</v>
      </c>
      <c r="D41" s="20" t="s">
        <v>17</v>
      </c>
      <c r="E41" s="18">
        <v>2081</v>
      </c>
      <c r="F41" s="21">
        <v>0.55386500000000005</v>
      </c>
      <c r="G41" s="22">
        <v>0.109685</v>
      </c>
      <c r="H41" s="15">
        <f t="shared" si="0"/>
        <v>0.3508782777777778</v>
      </c>
      <c r="I41" s="16">
        <f t="shared" si="3"/>
        <v>8.4730411111111126E-2</v>
      </c>
      <c r="J41" s="12" t="str">
        <f t="shared" si="4"/>
        <v>No</v>
      </c>
      <c r="K41" s="13" t="str">
        <f t="shared" si="5"/>
        <v>No</v>
      </c>
    </row>
    <row r="42" spans="1:11" x14ac:dyDescent="0.3">
      <c r="A42" s="18" t="s">
        <v>41</v>
      </c>
      <c r="B42" s="29" t="s">
        <v>50</v>
      </c>
      <c r="C42" s="19">
        <v>46231</v>
      </c>
      <c r="D42" s="20" t="s">
        <v>18</v>
      </c>
      <c r="E42" s="18">
        <v>2109</v>
      </c>
      <c r="F42" s="21">
        <v>0.32659700000000003</v>
      </c>
      <c r="G42" s="22">
        <v>7.7769500000000005E-2</v>
      </c>
      <c r="H42" s="15">
        <f t="shared" si="0"/>
        <v>0.3508782777777778</v>
      </c>
      <c r="I42" s="16">
        <f t="shared" si="3"/>
        <v>8.4730411111111126E-2</v>
      </c>
      <c r="J42" s="12" t="str">
        <f t="shared" si="4"/>
        <v>Yes</v>
      </c>
      <c r="K42" s="13" t="str">
        <f t="shared" si="5"/>
        <v>Yes</v>
      </c>
    </row>
    <row r="43" spans="1:11" x14ac:dyDescent="0.3">
      <c r="A43" s="18" t="s">
        <v>41</v>
      </c>
      <c r="B43" s="29" t="s">
        <v>50</v>
      </c>
      <c r="C43" s="19">
        <v>46231</v>
      </c>
      <c r="D43" s="20" t="s">
        <v>19</v>
      </c>
      <c r="E43" s="18">
        <v>2103</v>
      </c>
      <c r="F43" s="21">
        <v>0.39977800000000002</v>
      </c>
      <c r="G43" s="22">
        <v>8.4118100000000001E-2</v>
      </c>
      <c r="H43" s="15">
        <f t="shared" si="0"/>
        <v>0.3508782777777778</v>
      </c>
      <c r="I43" s="16">
        <f t="shared" si="3"/>
        <v>8.4730411111111126E-2</v>
      </c>
      <c r="J43" s="12" t="str">
        <f t="shared" si="4"/>
        <v>No</v>
      </c>
      <c r="K43" s="13" t="str">
        <f t="shared" si="5"/>
        <v>Yes</v>
      </c>
    </row>
    <row r="44" spans="1:11" x14ac:dyDescent="0.3">
      <c r="A44" s="18" t="s">
        <v>41</v>
      </c>
      <c r="B44" s="29" t="s">
        <v>50</v>
      </c>
      <c r="C44" s="19">
        <v>46231</v>
      </c>
      <c r="D44" s="20" t="s">
        <v>20</v>
      </c>
      <c r="E44" s="18">
        <v>2171</v>
      </c>
      <c r="F44" s="21">
        <v>0.42612899999999998</v>
      </c>
      <c r="G44" s="22">
        <v>8.9207099999999998E-2</v>
      </c>
      <c r="H44" s="15">
        <f t="shared" si="0"/>
        <v>0.3508782777777778</v>
      </c>
      <c r="I44" s="16">
        <f t="shared" si="3"/>
        <v>8.4730411111111126E-2</v>
      </c>
      <c r="J44" s="12" t="str">
        <f t="shared" si="4"/>
        <v>No</v>
      </c>
      <c r="K44" s="13" t="str">
        <f t="shared" si="5"/>
        <v>No</v>
      </c>
    </row>
    <row r="45" spans="1:11" x14ac:dyDescent="0.3">
      <c r="A45" s="18" t="s">
        <v>41</v>
      </c>
      <c r="B45" s="29" t="s">
        <v>50</v>
      </c>
      <c r="C45" s="19">
        <v>46231</v>
      </c>
      <c r="D45" s="20" t="s">
        <v>40</v>
      </c>
      <c r="E45" s="18">
        <v>1004</v>
      </c>
      <c r="F45" s="21">
        <v>0.157855</v>
      </c>
      <c r="G45" s="22">
        <v>4.7859600000000002E-2</v>
      </c>
      <c r="H45" s="15">
        <f t="shared" si="0"/>
        <v>0.3508782777777778</v>
      </c>
      <c r="I45" s="16">
        <f t="shared" si="3"/>
        <v>8.4730411111111126E-2</v>
      </c>
      <c r="J45" s="12" t="str">
        <f t="shared" si="4"/>
        <v>Yes</v>
      </c>
      <c r="K45" s="13" t="str">
        <f t="shared" si="5"/>
        <v>Yes</v>
      </c>
    </row>
    <row r="46" spans="1:11" x14ac:dyDescent="0.3">
      <c r="A46" s="18" t="s">
        <v>41</v>
      </c>
      <c r="B46" s="29" t="s">
        <v>50</v>
      </c>
      <c r="C46" s="19">
        <v>46231</v>
      </c>
      <c r="D46" s="20" t="s">
        <v>21</v>
      </c>
      <c r="E46" s="18">
        <v>2717</v>
      </c>
      <c r="F46" s="21">
        <v>0.35114800000000002</v>
      </c>
      <c r="G46" s="22">
        <v>6.8267099999999997E-2</v>
      </c>
      <c r="H46" s="15">
        <f t="shared" si="0"/>
        <v>0.3508782777777778</v>
      </c>
      <c r="I46" s="16">
        <f t="shared" si="3"/>
        <v>8.4730411111111126E-2</v>
      </c>
      <c r="J46" s="12" t="str">
        <f t="shared" si="4"/>
        <v>No</v>
      </c>
      <c r="K46" s="13" t="str">
        <f t="shared" si="5"/>
        <v>Yes</v>
      </c>
    </row>
    <row r="47" spans="1:11" x14ac:dyDescent="0.3">
      <c r="A47" s="18" t="s">
        <v>41</v>
      </c>
      <c r="B47" s="29" t="s">
        <v>50</v>
      </c>
      <c r="C47" s="19">
        <v>46231</v>
      </c>
      <c r="D47" s="20" t="s">
        <v>22</v>
      </c>
      <c r="E47" s="18">
        <v>1748</v>
      </c>
      <c r="F47" s="21">
        <v>0.508247</v>
      </c>
      <c r="G47" s="22">
        <v>0.13811000000000001</v>
      </c>
      <c r="H47" s="15">
        <f t="shared" si="0"/>
        <v>0.3508782777777778</v>
      </c>
      <c r="I47" s="16">
        <f t="shared" si="3"/>
        <v>8.4730411111111126E-2</v>
      </c>
      <c r="J47" s="12" t="str">
        <f t="shared" si="4"/>
        <v>No</v>
      </c>
      <c r="K47" s="13" t="str">
        <f t="shared" si="5"/>
        <v>No</v>
      </c>
    </row>
    <row r="48" spans="1:11" x14ac:dyDescent="0.3">
      <c r="A48" s="18" t="s">
        <v>41</v>
      </c>
      <c r="B48" s="29" t="s">
        <v>50</v>
      </c>
      <c r="C48" s="19">
        <v>46231</v>
      </c>
      <c r="D48" s="20" t="s">
        <v>23</v>
      </c>
      <c r="E48" s="18">
        <v>1329</v>
      </c>
      <c r="F48" s="21">
        <v>0.36122100000000001</v>
      </c>
      <c r="G48" s="22">
        <v>0.118642</v>
      </c>
      <c r="H48" s="15">
        <f t="shared" si="0"/>
        <v>0.3508782777777778</v>
      </c>
      <c r="I48" s="16">
        <f t="shared" si="3"/>
        <v>8.4730411111111126E-2</v>
      </c>
      <c r="J48" s="12" t="str">
        <f t="shared" si="4"/>
        <v>No</v>
      </c>
      <c r="K48" s="13" t="str">
        <f t="shared" si="5"/>
        <v>No</v>
      </c>
    </row>
    <row r="49" spans="1:11" x14ac:dyDescent="0.3">
      <c r="A49" s="18" t="s">
        <v>41</v>
      </c>
      <c r="B49" s="29" t="s">
        <v>50</v>
      </c>
      <c r="C49" s="19">
        <v>46231</v>
      </c>
      <c r="D49" s="20" t="s">
        <v>24</v>
      </c>
      <c r="E49" s="18">
        <v>1653</v>
      </c>
      <c r="F49" s="21">
        <v>0.19215299999999999</v>
      </c>
      <c r="G49" s="22">
        <v>5.9232199999999999E-2</v>
      </c>
      <c r="H49" s="15">
        <f t="shared" si="0"/>
        <v>0.3508782777777778</v>
      </c>
      <c r="I49" s="16">
        <f t="shared" si="3"/>
        <v>8.4730411111111126E-2</v>
      </c>
      <c r="J49" s="12" t="str">
        <f t="shared" si="4"/>
        <v>Yes</v>
      </c>
      <c r="K49" s="13" t="str">
        <f t="shared" si="5"/>
        <v>Yes</v>
      </c>
    </row>
    <row r="50" spans="1:11" x14ac:dyDescent="0.3">
      <c r="A50" s="18" t="s">
        <v>41</v>
      </c>
      <c r="B50" s="29" t="s">
        <v>50</v>
      </c>
      <c r="C50" s="19">
        <v>46231</v>
      </c>
      <c r="D50" s="20" t="s">
        <v>25</v>
      </c>
      <c r="E50" s="18">
        <v>1260</v>
      </c>
      <c r="F50" s="21">
        <v>0.220161</v>
      </c>
      <c r="G50" s="22">
        <v>5.2973800000000001E-2</v>
      </c>
      <c r="H50" s="15">
        <f t="shared" si="0"/>
        <v>0.3508782777777778</v>
      </c>
      <c r="I50" s="16">
        <f t="shared" si="3"/>
        <v>8.4730411111111126E-2</v>
      </c>
      <c r="J50" s="12" t="str">
        <f t="shared" si="4"/>
        <v>Yes</v>
      </c>
      <c r="K50" s="13" t="str">
        <f t="shared" si="5"/>
        <v>Yes</v>
      </c>
    </row>
    <row r="51" spans="1:11" x14ac:dyDescent="0.3">
      <c r="A51" s="18" t="s">
        <v>41</v>
      </c>
      <c r="B51" s="29" t="s">
        <v>50</v>
      </c>
      <c r="C51" s="19">
        <v>46231</v>
      </c>
      <c r="D51" s="20" t="s">
        <v>26</v>
      </c>
      <c r="E51" s="18">
        <v>1442</v>
      </c>
      <c r="F51" s="21">
        <v>0.19145999999999999</v>
      </c>
      <c r="G51" s="22">
        <v>6.1579000000000002E-2</v>
      </c>
      <c r="H51" s="15">
        <f t="shared" si="0"/>
        <v>0.3508782777777778</v>
      </c>
      <c r="I51" s="16">
        <f t="shared" si="3"/>
        <v>8.4730411111111126E-2</v>
      </c>
      <c r="J51" s="12" t="str">
        <f t="shared" si="4"/>
        <v>Yes</v>
      </c>
      <c r="K51" s="13" t="str">
        <f t="shared" si="5"/>
        <v>Yes</v>
      </c>
    </row>
    <row r="52" spans="1:11" x14ac:dyDescent="0.3">
      <c r="A52" s="18" t="s">
        <v>41</v>
      </c>
      <c r="B52" s="29" t="s">
        <v>50</v>
      </c>
      <c r="C52" s="19">
        <v>46231</v>
      </c>
      <c r="D52" s="20" t="s">
        <v>27</v>
      </c>
      <c r="E52" s="18">
        <v>1990</v>
      </c>
      <c r="F52" s="21">
        <v>0.29572300000000001</v>
      </c>
      <c r="G52" s="22">
        <v>6.7059099999999996E-2</v>
      </c>
      <c r="H52" s="15">
        <f t="shared" si="0"/>
        <v>0.3508782777777778</v>
      </c>
      <c r="I52" s="16">
        <f t="shared" si="3"/>
        <v>8.4730411111111126E-2</v>
      </c>
      <c r="J52" s="12" t="str">
        <f t="shared" si="4"/>
        <v>Yes</v>
      </c>
      <c r="K52" s="13" t="str">
        <f t="shared" si="5"/>
        <v>Yes</v>
      </c>
    </row>
    <row r="53" spans="1:11" x14ac:dyDescent="0.3">
      <c r="A53" s="18" t="s">
        <v>41</v>
      </c>
      <c r="B53" s="29" t="s">
        <v>50</v>
      </c>
      <c r="C53" s="19">
        <v>46231</v>
      </c>
      <c r="D53" s="20" t="s">
        <v>28</v>
      </c>
      <c r="E53" s="18">
        <v>1384</v>
      </c>
      <c r="F53" s="21">
        <v>0.29070200000000002</v>
      </c>
      <c r="G53" s="22">
        <v>6.5277500000000002E-2</v>
      </c>
      <c r="H53" s="15">
        <f t="shared" si="0"/>
        <v>0.3508782777777778</v>
      </c>
      <c r="I53" s="16">
        <f t="shared" si="3"/>
        <v>8.4730411111111126E-2</v>
      </c>
      <c r="J53" s="12" t="str">
        <f t="shared" si="4"/>
        <v>Yes</v>
      </c>
      <c r="K53" s="13" t="str">
        <f t="shared" si="5"/>
        <v>Yes</v>
      </c>
    </row>
    <row r="54" spans="1:11" x14ac:dyDescent="0.3">
      <c r="A54" s="18" t="s">
        <v>41</v>
      </c>
      <c r="B54" s="29" t="s">
        <v>50</v>
      </c>
      <c r="C54" s="19">
        <v>46231</v>
      </c>
      <c r="D54" s="20" t="s">
        <v>29</v>
      </c>
      <c r="E54" s="18">
        <v>2118</v>
      </c>
      <c r="F54" s="21">
        <v>0.33533099999999999</v>
      </c>
      <c r="G54" s="22">
        <v>6.9472199999999998E-2</v>
      </c>
      <c r="H54" s="15">
        <f t="shared" si="0"/>
        <v>0.3508782777777778</v>
      </c>
      <c r="I54" s="16">
        <f t="shared" si="3"/>
        <v>8.4730411111111126E-2</v>
      </c>
      <c r="J54" s="12" t="str">
        <f t="shared" si="4"/>
        <v>Yes</v>
      </c>
      <c r="K54" s="13" t="str">
        <f t="shared" si="5"/>
        <v>Yes</v>
      </c>
    </row>
    <row r="55" spans="1:11" x14ac:dyDescent="0.3">
      <c r="A55" s="18" t="s">
        <v>41</v>
      </c>
      <c r="B55" s="29" t="s">
        <v>50</v>
      </c>
      <c r="C55" s="19">
        <v>46231</v>
      </c>
      <c r="D55" s="20" t="s">
        <v>30</v>
      </c>
      <c r="E55" s="18">
        <v>1432</v>
      </c>
      <c r="F55" s="21">
        <v>0.47264099999999998</v>
      </c>
      <c r="G55" s="22">
        <v>9.5271300000000003E-2</v>
      </c>
      <c r="H55" s="15">
        <f t="shared" si="0"/>
        <v>0.3508782777777778</v>
      </c>
      <c r="I55" s="16">
        <f t="shared" si="3"/>
        <v>8.4730411111111126E-2</v>
      </c>
      <c r="J55" s="12" t="str">
        <f t="shared" si="4"/>
        <v>No</v>
      </c>
      <c r="K55" s="13" t="str">
        <f t="shared" si="5"/>
        <v>No</v>
      </c>
    </row>
    <row r="56" spans="1:11" x14ac:dyDescent="0.3">
      <c r="A56" s="18" t="s">
        <v>41</v>
      </c>
      <c r="B56" s="29" t="s">
        <v>50</v>
      </c>
      <c r="C56" s="19">
        <v>46232</v>
      </c>
      <c r="D56" s="20" t="s">
        <v>14</v>
      </c>
      <c r="E56" s="18">
        <v>2734</v>
      </c>
      <c r="F56" s="21">
        <v>0.28613699999999997</v>
      </c>
      <c r="G56" s="22">
        <v>8.0479400000000006E-2</v>
      </c>
      <c r="H56" s="15">
        <f t="shared" si="0"/>
        <v>0.36980916666666658</v>
      </c>
      <c r="I56" s="16">
        <f t="shared" si="3"/>
        <v>8.8881683333333336E-2</v>
      </c>
      <c r="J56" s="12" t="str">
        <f t="shared" si="4"/>
        <v>Yes</v>
      </c>
      <c r="K56" s="13" t="str">
        <f t="shared" si="5"/>
        <v>Yes</v>
      </c>
    </row>
    <row r="57" spans="1:11" x14ac:dyDescent="0.3">
      <c r="A57" s="18" t="s">
        <v>41</v>
      </c>
      <c r="B57" s="29" t="s">
        <v>50</v>
      </c>
      <c r="C57" s="19">
        <v>46232</v>
      </c>
      <c r="D57" s="20" t="s">
        <v>15</v>
      </c>
      <c r="E57" s="18">
        <v>2228</v>
      </c>
      <c r="F57" s="21">
        <v>0.39689600000000003</v>
      </c>
      <c r="G57" s="22">
        <v>0.104628</v>
      </c>
      <c r="H57" s="15">
        <f t="shared" si="0"/>
        <v>0.36980916666666658</v>
      </c>
      <c r="I57" s="16">
        <f t="shared" si="3"/>
        <v>8.8881683333333336E-2</v>
      </c>
      <c r="J57" s="12" t="str">
        <f t="shared" si="4"/>
        <v>No</v>
      </c>
      <c r="K57" s="13" t="str">
        <f t="shared" si="5"/>
        <v>No</v>
      </c>
    </row>
    <row r="58" spans="1:11" x14ac:dyDescent="0.3">
      <c r="A58" s="18" t="s">
        <v>41</v>
      </c>
      <c r="B58" s="29" t="s">
        <v>50</v>
      </c>
      <c r="C58" s="19">
        <v>46232</v>
      </c>
      <c r="D58" s="20" t="s">
        <v>16</v>
      </c>
      <c r="E58" s="18">
        <v>1998</v>
      </c>
      <c r="F58" s="21">
        <v>0.45231500000000002</v>
      </c>
      <c r="G58" s="22">
        <v>0.106193</v>
      </c>
      <c r="H58" s="15">
        <f t="shared" si="0"/>
        <v>0.36980916666666658</v>
      </c>
      <c r="I58" s="16">
        <f t="shared" si="3"/>
        <v>8.8881683333333336E-2</v>
      </c>
      <c r="J58" s="12" t="str">
        <f t="shared" si="4"/>
        <v>No</v>
      </c>
      <c r="K58" s="13" t="str">
        <f t="shared" si="5"/>
        <v>No</v>
      </c>
    </row>
    <row r="59" spans="1:11" x14ac:dyDescent="0.3">
      <c r="A59" s="18" t="s">
        <v>41</v>
      </c>
      <c r="B59" s="29" t="s">
        <v>50</v>
      </c>
      <c r="C59" s="19">
        <v>46232</v>
      </c>
      <c r="D59" s="20" t="s">
        <v>17</v>
      </c>
      <c r="E59" s="18">
        <v>2381</v>
      </c>
      <c r="F59" s="21">
        <v>0.56917399999999996</v>
      </c>
      <c r="G59" s="22">
        <v>0.112651</v>
      </c>
      <c r="H59" s="15">
        <f t="shared" si="0"/>
        <v>0.36980916666666658</v>
      </c>
      <c r="I59" s="16">
        <f t="shared" si="3"/>
        <v>8.8881683333333336E-2</v>
      </c>
      <c r="J59" s="12" t="str">
        <f t="shared" si="4"/>
        <v>No</v>
      </c>
      <c r="K59" s="13" t="str">
        <f t="shared" si="5"/>
        <v>No</v>
      </c>
    </row>
    <row r="60" spans="1:11" x14ac:dyDescent="0.3">
      <c r="A60" s="18" t="s">
        <v>41</v>
      </c>
      <c r="B60" s="29" t="s">
        <v>50</v>
      </c>
      <c r="C60" s="19">
        <v>46232</v>
      </c>
      <c r="D60" s="20" t="s">
        <v>18</v>
      </c>
      <c r="E60" s="18">
        <v>1925</v>
      </c>
      <c r="F60" s="21">
        <v>0.27124799999999999</v>
      </c>
      <c r="G60" s="22">
        <v>6.4562400000000006E-2</v>
      </c>
      <c r="H60" s="15">
        <f t="shared" si="0"/>
        <v>0.36980916666666658</v>
      </c>
      <c r="I60" s="16">
        <f t="shared" si="3"/>
        <v>8.8881683333333336E-2</v>
      </c>
      <c r="J60" s="12" t="str">
        <f t="shared" si="4"/>
        <v>Yes</v>
      </c>
      <c r="K60" s="13" t="str">
        <f t="shared" si="5"/>
        <v>Yes</v>
      </c>
    </row>
    <row r="61" spans="1:11" x14ac:dyDescent="0.3">
      <c r="A61" s="18" t="s">
        <v>41</v>
      </c>
      <c r="B61" s="29" t="s">
        <v>50</v>
      </c>
      <c r="C61" s="19">
        <v>46232</v>
      </c>
      <c r="D61" s="20" t="s">
        <v>19</v>
      </c>
      <c r="E61" s="18">
        <v>1532</v>
      </c>
      <c r="F61" s="21">
        <v>0.38306699999999999</v>
      </c>
      <c r="G61" s="22">
        <v>8.06085E-2</v>
      </c>
      <c r="H61" s="15">
        <f t="shared" si="0"/>
        <v>0.36980916666666658</v>
      </c>
      <c r="I61" s="16">
        <f t="shared" si="3"/>
        <v>8.8881683333333336E-2</v>
      </c>
      <c r="J61" s="12" t="str">
        <f t="shared" si="4"/>
        <v>No</v>
      </c>
      <c r="K61" s="13" t="str">
        <f t="shared" si="5"/>
        <v>Yes</v>
      </c>
    </row>
    <row r="62" spans="1:11" x14ac:dyDescent="0.3">
      <c r="A62" s="18" t="s">
        <v>41</v>
      </c>
      <c r="B62" s="29" t="s">
        <v>50</v>
      </c>
      <c r="C62" s="19">
        <v>46232</v>
      </c>
      <c r="D62" s="20" t="s">
        <v>20</v>
      </c>
      <c r="E62" s="18">
        <v>1844</v>
      </c>
      <c r="F62" s="21">
        <v>0.39710200000000001</v>
      </c>
      <c r="G62" s="22">
        <v>8.3112099999999994E-2</v>
      </c>
      <c r="H62" s="15">
        <f t="shared" si="0"/>
        <v>0.36980916666666658</v>
      </c>
      <c r="I62" s="16">
        <f t="shared" si="3"/>
        <v>8.8881683333333336E-2</v>
      </c>
      <c r="J62" s="12" t="str">
        <f t="shared" si="4"/>
        <v>No</v>
      </c>
      <c r="K62" s="13" t="str">
        <f t="shared" si="5"/>
        <v>Yes</v>
      </c>
    </row>
    <row r="63" spans="1:11" x14ac:dyDescent="0.3">
      <c r="A63" s="18" t="s">
        <v>41</v>
      </c>
      <c r="B63" s="29" t="s">
        <v>50</v>
      </c>
      <c r="C63" s="19">
        <v>46232</v>
      </c>
      <c r="D63" s="20" t="s">
        <v>40</v>
      </c>
      <c r="E63" s="18">
        <v>1024</v>
      </c>
      <c r="F63" s="21">
        <v>0.228356</v>
      </c>
      <c r="G63" s="22">
        <v>6.9231899999999999E-2</v>
      </c>
      <c r="H63" s="15">
        <f t="shared" si="0"/>
        <v>0.36980916666666658</v>
      </c>
      <c r="I63" s="16">
        <f t="shared" si="3"/>
        <v>8.8881683333333336E-2</v>
      </c>
      <c r="J63" s="12" t="str">
        <f t="shared" si="4"/>
        <v>Yes</v>
      </c>
      <c r="K63" s="13" t="str">
        <f t="shared" si="5"/>
        <v>Yes</v>
      </c>
    </row>
    <row r="64" spans="1:11" x14ac:dyDescent="0.3">
      <c r="A64" s="18" t="s">
        <v>41</v>
      </c>
      <c r="B64" s="29" t="s">
        <v>50</v>
      </c>
      <c r="C64" s="19">
        <v>46232</v>
      </c>
      <c r="D64" s="20" t="s">
        <v>21</v>
      </c>
      <c r="E64" s="18">
        <v>3094</v>
      </c>
      <c r="F64" s="21">
        <v>0.439106</v>
      </c>
      <c r="G64" s="22">
        <v>8.5488999999999996E-2</v>
      </c>
      <c r="H64" s="15">
        <f t="shared" si="0"/>
        <v>0.36980916666666658</v>
      </c>
      <c r="I64" s="16">
        <f t="shared" si="3"/>
        <v>8.8881683333333336E-2</v>
      </c>
      <c r="J64" s="12" t="str">
        <f t="shared" si="4"/>
        <v>No</v>
      </c>
      <c r="K64" s="13" t="str">
        <f t="shared" si="5"/>
        <v>Yes</v>
      </c>
    </row>
    <row r="65" spans="1:11" x14ac:dyDescent="0.3">
      <c r="A65" s="18" t="s">
        <v>41</v>
      </c>
      <c r="B65" s="29" t="s">
        <v>50</v>
      </c>
      <c r="C65" s="19">
        <v>46232</v>
      </c>
      <c r="D65" s="20" t="s">
        <v>22</v>
      </c>
      <c r="E65" s="18">
        <v>2382</v>
      </c>
      <c r="F65" s="21">
        <v>0.50203399999999998</v>
      </c>
      <c r="G65" s="22">
        <v>0.136459</v>
      </c>
      <c r="H65" s="15">
        <f t="shared" si="0"/>
        <v>0.36980916666666658</v>
      </c>
      <c r="I65" s="16">
        <f t="shared" si="3"/>
        <v>8.8881683333333336E-2</v>
      </c>
      <c r="J65" s="12" t="str">
        <f t="shared" si="4"/>
        <v>No</v>
      </c>
      <c r="K65" s="13" t="str">
        <f t="shared" si="5"/>
        <v>No</v>
      </c>
    </row>
    <row r="66" spans="1:11" x14ac:dyDescent="0.3">
      <c r="A66" s="18" t="s">
        <v>41</v>
      </c>
      <c r="B66" s="29" t="s">
        <v>50</v>
      </c>
      <c r="C66" s="19">
        <v>46232</v>
      </c>
      <c r="D66" s="20" t="s">
        <v>23</v>
      </c>
      <c r="E66" s="18">
        <v>1548</v>
      </c>
      <c r="F66" s="21">
        <v>0.40054099999999998</v>
      </c>
      <c r="G66" s="22">
        <v>0.13156499999999999</v>
      </c>
      <c r="H66" s="15">
        <f t="shared" si="0"/>
        <v>0.36980916666666658</v>
      </c>
      <c r="I66" s="16">
        <f t="shared" si="3"/>
        <v>8.8881683333333336E-2</v>
      </c>
      <c r="J66" s="12" t="str">
        <f t="shared" si="4"/>
        <v>No</v>
      </c>
      <c r="K66" s="13" t="str">
        <f t="shared" si="5"/>
        <v>No</v>
      </c>
    </row>
    <row r="67" spans="1:11" x14ac:dyDescent="0.3">
      <c r="A67" s="18" t="s">
        <v>41</v>
      </c>
      <c r="B67" s="29" t="s">
        <v>50</v>
      </c>
      <c r="C67" s="19">
        <v>46232</v>
      </c>
      <c r="D67" s="20" t="s">
        <v>24</v>
      </c>
      <c r="E67" s="18">
        <v>2980</v>
      </c>
      <c r="F67" s="21">
        <v>0.20336000000000001</v>
      </c>
      <c r="G67" s="22">
        <v>6.2631199999999998E-2</v>
      </c>
      <c r="H67" s="15">
        <f t="shared" ref="H67:H130" si="6">IFERROR(AVERAGEIFS($F:$F, $A:$A, $A67, $B:$B,$B67, $C:$C,$C67),"")</f>
        <v>0.36980916666666658</v>
      </c>
      <c r="I67" s="16">
        <f t="shared" ref="I67:I130" si="7">IFERROR(AVERAGEIFS($G:$G, $A:$A, $A67, $B:$B,$B67, $C:$C,$C67),"")</f>
        <v>8.8881683333333336E-2</v>
      </c>
      <c r="J67" s="12" t="str">
        <f t="shared" ref="J67:J86" si="8">IF(AND(F67&lt;&gt;"", H67&lt;&gt;""), IF(F67&lt;H67,"Yes","No"), "")</f>
        <v>Yes</v>
      </c>
      <c r="K67" s="13" t="str">
        <f t="shared" ref="K67:K86" si="9">IF(AND(G67&lt;&gt;"", I67&lt;&gt;""), IF(G67&lt;I67,"Yes","No"), "")</f>
        <v>Yes</v>
      </c>
    </row>
    <row r="68" spans="1:11" x14ac:dyDescent="0.3">
      <c r="A68" s="18" t="s">
        <v>41</v>
      </c>
      <c r="B68" s="29" t="s">
        <v>50</v>
      </c>
      <c r="C68" s="19">
        <v>46232</v>
      </c>
      <c r="D68" s="20" t="s">
        <v>25</v>
      </c>
      <c r="E68" s="18">
        <v>1004</v>
      </c>
      <c r="F68" s="21">
        <v>0.25667299999999998</v>
      </c>
      <c r="G68" s="22">
        <v>6.1802799999999998E-2</v>
      </c>
      <c r="H68" s="15">
        <f t="shared" si="6"/>
        <v>0.36980916666666658</v>
      </c>
      <c r="I68" s="16">
        <f t="shared" si="7"/>
        <v>8.8881683333333336E-2</v>
      </c>
      <c r="J68" s="12" t="str">
        <f t="shared" si="8"/>
        <v>Yes</v>
      </c>
      <c r="K68" s="13" t="str">
        <f t="shared" si="9"/>
        <v>Yes</v>
      </c>
    </row>
    <row r="69" spans="1:11" x14ac:dyDescent="0.3">
      <c r="A69" s="18" t="s">
        <v>41</v>
      </c>
      <c r="B69" s="29" t="s">
        <v>50</v>
      </c>
      <c r="C69" s="19">
        <v>46232</v>
      </c>
      <c r="D69" s="20" t="s">
        <v>26</v>
      </c>
      <c r="E69" s="18">
        <v>2309</v>
      </c>
      <c r="F69" s="21">
        <v>0.18460799999999999</v>
      </c>
      <c r="G69" s="22">
        <v>5.9381200000000002E-2</v>
      </c>
      <c r="H69" s="15">
        <f t="shared" si="6"/>
        <v>0.36980916666666658</v>
      </c>
      <c r="I69" s="16">
        <f t="shared" si="7"/>
        <v>8.8881683333333336E-2</v>
      </c>
      <c r="J69" s="12" t="str">
        <f t="shared" si="8"/>
        <v>Yes</v>
      </c>
      <c r="K69" s="13" t="str">
        <f t="shared" si="9"/>
        <v>Yes</v>
      </c>
    </row>
    <row r="70" spans="1:11" x14ac:dyDescent="0.3">
      <c r="A70" s="18" t="s">
        <v>41</v>
      </c>
      <c r="B70" s="29" t="s">
        <v>50</v>
      </c>
      <c r="C70" s="19">
        <v>46232</v>
      </c>
      <c r="D70" s="20" t="s">
        <v>27</v>
      </c>
      <c r="E70" s="18">
        <v>2107</v>
      </c>
      <c r="F70" s="21">
        <v>0.437442</v>
      </c>
      <c r="G70" s="22">
        <v>9.9357200000000007E-2</v>
      </c>
      <c r="H70" s="15">
        <f t="shared" si="6"/>
        <v>0.36980916666666658</v>
      </c>
      <c r="I70" s="16">
        <f t="shared" si="7"/>
        <v>8.8881683333333336E-2</v>
      </c>
      <c r="J70" s="12" t="str">
        <f t="shared" si="8"/>
        <v>No</v>
      </c>
      <c r="K70" s="13" t="str">
        <f t="shared" si="9"/>
        <v>No</v>
      </c>
    </row>
    <row r="71" spans="1:11" x14ac:dyDescent="0.3">
      <c r="A71" s="18" t="s">
        <v>41</v>
      </c>
      <c r="B71" s="29" t="s">
        <v>50</v>
      </c>
      <c r="C71" s="19">
        <v>46232</v>
      </c>
      <c r="D71" s="20" t="s">
        <v>28</v>
      </c>
      <c r="E71" s="18">
        <v>1476</v>
      </c>
      <c r="F71" s="21">
        <v>0.355014</v>
      </c>
      <c r="G71" s="22">
        <v>7.9746600000000001E-2</v>
      </c>
      <c r="H71" s="15">
        <f t="shared" si="6"/>
        <v>0.36980916666666658</v>
      </c>
      <c r="I71" s="16">
        <f t="shared" si="7"/>
        <v>8.8881683333333336E-2</v>
      </c>
      <c r="J71" s="12" t="str">
        <f t="shared" si="8"/>
        <v>Yes</v>
      </c>
      <c r="K71" s="13" t="str">
        <f t="shared" si="9"/>
        <v>Yes</v>
      </c>
    </row>
    <row r="72" spans="1:11" x14ac:dyDescent="0.3">
      <c r="A72" s="18" t="s">
        <v>41</v>
      </c>
      <c r="B72" s="29" t="s">
        <v>50</v>
      </c>
      <c r="C72" s="19">
        <v>46232</v>
      </c>
      <c r="D72" s="20" t="s">
        <v>29</v>
      </c>
      <c r="E72" s="18">
        <v>1689</v>
      </c>
      <c r="F72" s="21">
        <v>0.354182</v>
      </c>
      <c r="G72" s="22">
        <v>7.3407E-2</v>
      </c>
      <c r="H72" s="15">
        <f t="shared" si="6"/>
        <v>0.36980916666666658</v>
      </c>
      <c r="I72" s="16">
        <f t="shared" si="7"/>
        <v>8.8881683333333336E-2</v>
      </c>
      <c r="J72" s="12" t="str">
        <f t="shared" si="8"/>
        <v>Yes</v>
      </c>
      <c r="K72" s="13" t="str">
        <f t="shared" si="9"/>
        <v>Yes</v>
      </c>
    </row>
    <row r="73" spans="1:11" x14ac:dyDescent="0.3">
      <c r="A73" s="18" t="s">
        <v>41</v>
      </c>
      <c r="B73" s="29" t="s">
        <v>50</v>
      </c>
      <c r="C73" s="19">
        <v>46232</v>
      </c>
      <c r="D73" s="20" t="s">
        <v>30</v>
      </c>
      <c r="E73" s="18">
        <v>2001</v>
      </c>
      <c r="F73" s="21">
        <v>0.53930999999999996</v>
      </c>
      <c r="G73" s="22">
        <v>0.10856499999999999</v>
      </c>
      <c r="H73" s="15">
        <f t="shared" si="6"/>
        <v>0.36980916666666658</v>
      </c>
      <c r="I73" s="16">
        <f t="shared" si="7"/>
        <v>8.8881683333333336E-2</v>
      </c>
      <c r="J73" s="12" t="str">
        <f t="shared" si="8"/>
        <v>No</v>
      </c>
      <c r="K73" s="13" t="str">
        <f t="shared" si="9"/>
        <v>No</v>
      </c>
    </row>
    <row r="74" spans="1:11" x14ac:dyDescent="0.3">
      <c r="A74" s="18" t="s">
        <v>41</v>
      </c>
      <c r="B74" s="29" t="s">
        <v>50</v>
      </c>
      <c r="C74" s="19">
        <v>46233</v>
      </c>
      <c r="D74" s="20" t="s">
        <v>14</v>
      </c>
      <c r="E74" s="18">
        <v>2638</v>
      </c>
      <c r="F74" s="21">
        <v>0.21954399999999999</v>
      </c>
      <c r="G74" s="22">
        <v>6.17744E-2</v>
      </c>
      <c r="H74" s="15">
        <f t="shared" si="6"/>
        <v>0.32767977777777779</v>
      </c>
      <c r="I74" s="16">
        <f t="shared" si="7"/>
        <v>7.9198327777777758E-2</v>
      </c>
      <c r="J74" s="12" t="str">
        <f t="shared" si="8"/>
        <v>Yes</v>
      </c>
      <c r="K74" s="13" t="str">
        <f t="shared" si="9"/>
        <v>Yes</v>
      </c>
    </row>
    <row r="75" spans="1:11" x14ac:dyDescent="0.3">
      <c r="A75" s="18" t="s">
        <v>41</v>
      </c>
      <c r="B75" s="29" t="s">
        <v>50</v>
      </c>
      <c r="C75" s="19">
        <v>46233</v>
      </c>
      <c r="D75" s="20" t="s">
        <v>15</v>
      </c>
      <c r="E75" s="18">
        <v>2543</v>
      </c>
      <c r="F75" s="21">
        <v>0.37991200000000003</v>
      </c>
      <c r="G75" s="22">
        <v>0.10016</v>
      </c>
      <c r="H75" s="15">
        <f t="shared" si="6"/>
        <v>0.32767977777777779</v>
      </c>
      <c r="I75" s="16">
        <f t="shared" si="7"/>
        <v>7.9198327777777758E-2</v>
      </c>
      <c r="J75" s="12" t="str">
        <f t="shared" si="8"/>
        <v>No</v>
      </c>
      <c r="K75" s="13" t="str">
        <f t="shared" si="9"/>
        <v>No</v>
      </c>
    </row>
    <row r="76" spans="1:11" x14ac:dyDescent="0.3">
      <c r="A76" s="18" t="s">
        <v>41</v>
      </c>
      <c r="B76" s="29" t="s">
        <v>50</v>
      </c>
      <c r="C76" s="19">
        <v>46233</v>
      </c>
      <c r="D76" s="20" t="s">
        <v>16</v>
      </c>
      <c r="E76" s="18">
        <v>2200</v>
      </c>
      <c r="F76" s="21">
        <v>0.43276999999999999</v>
      </c>
      <c r="G76" s="22">
        <v>0.101578</v>
      </c>
      <c r="H76" s="15">
        <f t="shared" si="6"/>
        <v>0.32767977777777779</v>
      </c>
      <c r="I76" s="16">
        <f t="shared" si="7"/>
        <v>7.9198327777777758E-2</v>
      </c>
      <c r="J76" s="12" t="str">
        <f t="shared" si="8"/>
        <v>No</v>
      </c>
      <c r="K76" s="13" t="str">
        <f t="shared" si="9"/>
        <v>No</v>
      </c>
    </row>
    <row r="77" spans="1:11" x14ac:dyDescent="0.3">
      <c r="A77" s="18" t="s">
        <v>41</v>
      </c>
      <c r="B77" s="29" t="s">
        <v>50</v>
      </c>
      <c r="C77" s="19">
        <v>46233</v>
      </c>
      <c r="D77" s="20" t="s">
        <v>17</v>
      </c>
      <c r="E77" s="18">
        <v>2099</v>
      </c>
      <c r="F77" s="21">
        <v>0.45406200000000002</v>
      </c>
      <c r="G77" s="22">
        <v>8.9885099999999996E-2</v>
      </c>
      <c r="H77" s="15">
        <f t="shared" si="6"/>
        <v>0.32767977777777779</v>
      </c>
      <c r="I77" s="16">
        <f t="shared" si="7"/>
        <v>7.9198327777777758E-2</v>
      </c>
      <c r="J77" s="12" t="str">
        <f t="shared" si="8"/>
        <v>No</v>
      </c>
      <c r="K77" s="13" t="str">
        <f t="shared" si="9"/>
        <v>No</v>
      </c>
    </row>
    <row r="78" spans="1:11" x14ac:dyDescent="0.3">
      <c r="A78" s="18" t="s">
        <v>41</v>
      </c>
      <c r="B78" s="29" t="s">
        <v>50</v>
      </c>
      <c r="C78" s="19">
        <v>46233</v>
      </c>
      <c r="D78" s="20" t="s">
        <v>18</v>
      </c>
      <c r="E78" s="18">
        <v>2275</v>
      </c>
      <c r="F78" s="21">
        <v>0.258108</v>
      </c>
      <c r="G78" s="22">
        <v>6.1423999999999999E-2</v>
      </c>
      <c r="H78" s="15">
        <f t="shared" si="6"/>
        <v>0.32767977777777779</v>
      </c>
      <c r="I78" s="16">
        <f t="shared" si="7"/>
        <v>7.9198327777777758E-2</v>
      </c>
      <c r="J78" s="12" t="str">
        <f t="shared" si="8"/>
        <v>Yes</v>
      </c>
      <c r="K78" s="13" t="str">
        <f t="shared" si="9"/>
        <v>Yes</v>
      </c>
    </row>
    <row r="79" spans="1:11" x14ac:dyDescent="0.3">
      <c r="A79" s="18" t="s">
        <v>41</v>
      </c>
      <c r="B79" s="29" t="s">
        <v>50</v>
      </c>
      <c r="C79" s="19">
        <v>46233</v>
      </c>
      <c r="D79" s="20" t="s">
        <v>19</v>
      </c>
      <c r="E79" s="18">
        <v>1741</v>
      </c>
      <c r="F79" s="21">
        <v>0.33665899999999999</v>
      </c>
      <c r="G79" s="22">
        <v>7.0834300000000003E-2</v>
      </c>
      <c r="H79" s="15">
        <f t="shared" si="6"/>
        <v>0.32767977777777779</v>
      </c>
      <c r="I79" s="16">
        <f t="shared" si="7"/>
        <v>7.9198327777777758E-2</v>
      </c>
      <c r="J79" s="12" t="str">
        <f t="shared" si="8"/>
        <v>No</v>
      </c>
      <c r="K79" s="13" t="str">
        <f t="shared" si="9"/>
        <v>Yes</v>
      </c>
    </row>
    <row r="80" spans="1:11" x14ac:dyDescent="0.3">
      <c r="A80" s="18" t="s">
        <v>41</v>
      </c>
      <c r="B80" s="29" t="s">
        <v>50</v>
      </c>
      <c r="C80" s="19">
        <v>46233</v>
      </c>
      <c r="D80" s="20" t="s">
        <v>20</v>
      </c>
      <c r="E80" s="18">
        <v>1921</v>
      </c>
      <c r="F80" s="21">
        <v>0.380859</v>
      </c>
      <c r="G80" s="22">
        <v>7.9699599999999995E-2</v>
      </c>
      <c r="H80" s="15">
        <f t="shared" si="6"/>
        <v>0.32767977777777779</v>
      </c>
      <c r="I80" s="16">
        <f t="shared" si="7"/>
        <v>7.9198327777777758E-2</v>
      </c>
      <c r="J80" s="12" t="str">
        <f t="shared" si="8"/>
        <v>No</v>
      </c>
      <c r="K80" s="13" t="str">
        <f t="shared" si="9"/>
        <v>No</v>
      </c>
    </row>
    <row r="81" spans="1:11" x14ac:dyDescent="0.3">
      <c r="A81" s="18" t="s">
        <v>41</v>
      </c>
      <c r="B81" s="29" t="s">
        <v>50</v>
      </c>
      <c r="C81" s="19">
        <v>46233</v>
      </c>
      <c r="D81" s="20" t="s">
        <v>40</v>
      </c>
      <c r="E81" s="18">
        <v>1045</v>
      </c>
      <c r="F81" s="21">
        <v>0.211755</v>
      </c>
      <c r="G81" s="22">
        <v>6.4197799999999999E-2</v>
      </c>
      <c r="H81" s="15">
        <f t="shared" si="6"/>
        <v>0.32767977777777779</v>
      </c>
      <c r="I81" s="16">
        <f t="shared" si="7"/>
        <v>7.9198327777777758E-2</v>
      </c>
      <c r="J81" s="12" t="str">
        <f t="shared" si="8"/>
        <v>Yes</v>
      </c>
      <c r="K81" s="13" t="str">
        <f t="shared" si="9"/>
        <v>Yes</v>
      </c>
    </row>
    <row r="82" spans="1:11" x14ac:dyDescent="0.3">
      <c r="A82" s="18" t="s">
        <v>41</v>
      </c>
      <c r="B82" s="29" t="s">
        <v>50</v>
      </c>
      <c r="C82" s="19">
        <v>46233</v>
      </c>
      <c r="D82" s="20" t="s">
        <v>21</v>
      </c>
      <c r="E82" s="18">
        <v>2515</v>
      </c>
      <c r="F82" s="21">
        <v>0.42335200000000001</v>
      </c>
      <c r="G82" s="22">
        <v>8.2395399999999994E-2</v>
      </c>
      <c r="H82" s="15">
        <f t="shared" si="6"/>
        <v>0.32767977777777779</v>
      </c>
      <c r="I82" s="16">
        <f t="shared" si="7"/>
        <v>7.9198327777777758E-2</v>
      </c>
      <c r="J82" s="12" t="str">
        <f t="shared" si="8"/>
        <v>No</v>
      </c>
      <c r="K82" s="13" t="str">
        <f t="shared" si="9"/>
        <v>No</v>
      </c>
    </row>
    <row r="83" spans="1:11" x14ac:dyDescent="0.3">
      <c r="A83" s="18" t="s">
        <v>41</v>
      </c>
      <c r="B83" s="29" t="s">
        <v>50</v>
      </c>
      <c r="C83" s="19">
        <v>46233</v>
      </c>
      <c r="D83" s="20" t="s">
        <v>22</v>
      </c>
      <c r="E83" s="18">
        <v>2236</v>
      </c>
      <c r="F83" s="21">
        <v>0.26177600000000001</v>
      </c>
      <c r="G83" s="22">
        <v>7.1129800000000007E-2</v>
      </c>
      <c r="H83" s="15">
        <f t="shared" si="6"/>
        <v>0.32767977777777779</v>
      </c>
      <c r="I83" s="16">
        <f t="shared" si="7"/>
        <v>7.9198327777777758E-2</v>
      </c>
      <c r="J83" s="12" t="str">
        <f t="shared" si="8"/>
        <v>Yes</v>
      </c>
      <c r="K83" s="13" t="str">
        <f t="shared" si="9"/>
        <v>Yes</v>
      </c>
    </row>
    <row r="84" spans="1:11" x14ac:dyDescent="0.3">
      <c r="A84" s="18" t="s">
        <v>41</v>
      </c>
      <c r="B84" s="29" t="s">
        <v>50</v>
      </c>
      <c r="C84" s="19">
        <v>46233</v>
      </c>
      <c r="D84" s="20" t="s">
        <v>23</v>
      </c>
      <c r="E84" s="18">
        <v>1438</v>
      </c>
      <c r="F84" s="21">
        <v>0.37280799999999997</v>
      </c>
      <c r="G84" s="22">
        <v>0.12241299999999999</v>
      </c>
      <c r="H84" s="15">
        <f t="shared" si="6"/>
        <v>0.32767977777777779</v>
      </c>
      <c r="I84" s="16">
        <f t="shared" si="7"/>
        <v>7.9198327777777758E-2</v>
      </c>
      <c r="J84" s="12" t="str">
        <f t="shared" si="8"/>
        <v>No</v>
      </c>
      <c r="K84" s="13" t="str">
        <f t="shared" si="9"/>
        <v>No</v>
      </c>
    </row>
    <row r="85" spans="1:11" x14ac:dyDescent="0.3">
      <c r="A85" s="18" t="s">
        <v>41</v>
      </c>
      <c r="B85" s="29" t="s">
        <v>50</v>
      </c>
      <c r="C85" s="19">
        <v>46233</v>
      </c>
      <c r="D85" s="20" t="s">
        <v>24</v>
      </c>
      <c r="E85" s="18">
        <v>2455</v>
      </c>
      <c r="F85" s="21">
        <v>0.27420699999999998</v>
      </c>
      <c r="G85" s="22">
        <v>8.4493100000000002E-2</v>
      </c>
      <c r="H85" s="15">
        <f t="shared" si="6"/>
        <v>0.32767977777777779</v>
      </c>
      <c r="I85" s="16">
        <f t="shared" si="7"/>
        <v>7.9198327777777758E-2</v>
      </c>
      <c r="J85" s="12" t="str">
        <f t="shared" si="8"/>
        <v>Yes</v>
      </c>
      <c r="K85" s="13" t="str">
        <f t="shared" si="9"/>
        <v>No</v>
      </c>
    </row>
    <row r="86" spans="1:11" x14ac:dyDescent="0.3">
      <c r="A86" s="18" t="s">
        <v>41</v>
      </c>
      <c r="B86" s="29" t="s">
        <v>50</v>
      </c>
      <c r="C86" s="19">
        <v>46233</v>
      </c>
      <c r="D86" s="20" t="s">
        <v>25</v>
      </c>
      <c r="E86" s="18">
        <v>1004</v>
      </c>
      <c r="F86" s="21">
        <v>0.21171599999999999</v>
      </c>
      <c r="G86" s="22">
        <v>5.0948300000000002E-2</v>
      </c>
      <c r="H86" s="15">
        <f t="shared" si="6"/>
        <v>0.32767977777777779</v>
      </c>
      <c r="I86" s="16">
        <f t="shared" si="7"/>
        <v>7.9198327777777758E-2</v>
      </c>
      <c r="J86" s="12" t="str">
        <f t="shared" si="8"/>
        <v>Yes</v>
      </c>
      <c r="K86" s="13" t="str">
        <f t="shared" si="9"/>
        <v>Yes</v>
      </c>
    </row>
    <row r="87" spans="1:11" x14ac:dyDescent="0.3">
      <c r="A87" s="18" t="s">
        <v>41</v>
      </c>
      <c r="B87" s="29" t="s">
        <v>50</v>
      </c>
      <c r="C87" s="19">
        <v>46233</v>
      </c>
      <c r="D87" s="20" t="s">
        <v>26</v>
      </c>
      <c r="E87" s="18">
        <v>1995</v>
      </c>
      <c r="F87" s="21">
        <v>0.23136799999999999</v>
      </c>
      <c r="G87" s="22">
        <v>7.4430300000000005E-2</v>
      </c>
      <c r="H87" s="15">
        <f t="shared" si="6"/>
        <v>0.32767977777777779</v>
      </c>
      <c r="I87" s="16">
        <f t="shared" si="7"/>
        <v>7.9198327777777758E-2</v>
      </c>
    </row>
    <row r="88" spans="1:11" x14ac:dyDescent="0.3">
      <c r="A88" s="18" t="s">
        <v>41</v>
      </c>
      <c r="B88" s="29" t="s">
        <v>50</v>
      </c>
      <c r="C88" s="19">
        <v>46233</v>
      </c>
      <c r="D88" s="20" t="s">
        <v>27</v>
      </c>
      <c r="E88" s="18">
        <v>1717</v>
      </c>
      <c r="F88" s="21">
        <v>0.34229399999999999</v>
      </c>
      <c r="G88" s="22">
        <v>7.7721700000000005E-2</v>
      </c>
      <c r="H88" s="15">
        <f t="shared" si="6"/>
        <v>0.32767977777777779</v>
      </c>
      <c r="I88" s="16">
        <f t="shared" si="7"/>
        <v>7.9198327777777758E-2</v>
      </c>
    </row>
    <row r="89" spans="1:11" x14ac:dyDescent="0.3">
      <c r="A89" s="18" t="s">
        <v>41</v>
      </c>
      <c r="B89" s="29" t="s">
        <v>50</v>
      </c>
      <c r="C89" s="19">
        <v>46233</v>
      </c>
      <c r="D89" s="20" t="s">
        <v>28</v>
      </c>
      <c r="E89" s="18">
        <v>1307</v>
      </c>
      <c r="F89" s="21">
        <v>0.328457</v>
      </c>
      <c r="G89" s="22">
        <v>7.3749300000000004E-2</v>
      </c>
      <c r="H89" s="15">
        <f t="shared" si="6"/>
        <v>0.32767977777777779</v>
      </c>
      <c r="I89" s="16">
        <f t="shared" si="7"/>
        <v>7.9198327777777758E-2</v>
      </c>
    </row>
    <row r="90" spans="1:11" x14ac:dyDescent="0.3">
      <c r="A90" s="18" t="s">
        <v>41</v>
      </c>
      <c r="B90" s="29" t="s">
        <v>50</v>
      </c>
      <c r="C90" s="19">
        <v>46233</v>
      </c>
      <c r="D90" s="20" t="s">
        <v>29</v>
      </c>
      <c r="E90" s="18">
        <v>2040</v>
      </c>
      <c r="F90" s="21">
        <v>0.33388400000000001</v>
      </c>
      <c r="G90" s="22">
        <v>6.9205000000000003E-2</v>
      </c>
      <c r="H90" s="15">
        <f t="shared" si="6"/>
        <v>0.32767977777777779</v>
      </c>
      <c r="I90" s="16">
        <f t="shared" si="7"/>
        <v>7.9198327777777758E-2</v>
      </c>
    </row>
    <row r="91" spans="1:11" x14ac:dyDescent="0.3">
      <c r="A91" s="18" t="s">
        <v>41</v>
      </c>
      <c r="B91" s="29" t="s">
        <v>50</v>
      </c>
      <c r="C91" s="19">
        <v>46233</v>
      </c>
      <c r="D91" s="20" t="s">
        <v>30</v>
      </c>
      <c r="E91" s="18">
        <v>1599</v>
      </c>
      <c r="F91" s="21">
        <v>0.44470500000000002</v>
      </c>
      <c r="G91" s="22">
        <v>8.9530799999999994E-2</v>
      </c>
      <c r="H91" s="15">
        <f t="shared" si="6"/>
        <v>0.32767977777777779</v>
      </c>
      <c r="I91" s="16">
        <f t="shared" si="7"/>
        <v>7.9198327777777758E-2</v>
      </c>
    </row>
    <row r="92" spans="1:11" x14ac:dyDescent="0.3">
      <c r="A92" s="18" t="s">
        <v>42</v>
      </c>
      <c r="B92" s="29" t="s">
        <v>84</v>
      </c>
      <c r="C92" s="19">
        <v>46234</v>
      </c>
      <c r="D92" s="20" t="s">
        <v>14</v>
      </c>
      <c r="E92" s="18">
        <v>1541</v>
      </c>
      <c r="F92" s="21">
        <v>0.18859999999999999</v>
      </c>
      <c r="G92" s="22">
        <v>5.1705500000000001E-2</v>
      </c>
      <c r="H92" s="15">
        <f t="shared" si="6"/>
        <v>0.33997577777777777</v>
      </c>
      <c r="I92" s="16">
        <f t="shared" si="7"/>
        <v>8.2925216666666662E-2</v>
      </c>
      <c r="J92" s="12" t="str">
        <f t="shared" ref="J92:J127" si="10">IF(AND(F92&lt;&gt;"", H92&lt;&gt;""), IF(F92&lt;H92,"Yes","No"), "")</f>
        <v>Yes</v>
      </c>
      <c r="K92" s="13" t="str">
        <f t="shared" ref="K92:K127" si="11">IF(AND(G92&lt;&gt;"", I92&lt;&gt;""), IF(G92&lt;I92,"Yes","No"), "")</f>
        <v>Yes</v>
      </c>
    </row>
    <row r="93" spans="1:11" x14ac:dyDescent="0.3">
      <c r="A93" s="18" t="s">
        <v>42</v>
      </c>
      <c r="B93" s="29" t="s">
        <v>84</v>
      </c>
      <c r="C93" s="19">
        <v>46234</v>
      </c>
      <c r="D93" s="20" t="s">
        <v>15</v>
      </c>
      <c r="E93" s="18">
        <v>1446</v>
      </c>
      <c r="F93" s="21">
        <v>0.37837399999999999</v>
      </c>
      <c r="G93" s="22">
        <v>9.5171599999999995E-2</v>
      </c>
      <c r="H93" s="15">
        <f t="shared" si="6"/>
        <v>0.33997577777777777</v>
      </c>
      <c r="I93" s="16">
        <f t="shared" si="7"/>
        <v>8.2925216666666662E-2</v>
      </c>
      <c r="J93" s="12" t="str">
        <f t="shared" si="10"/>
        <v>No</v>
      </c>
      <c r="K93" s="13" t="str">
        <f t="shared" si="11"/>
        <v>No</v>
      </c>
    </row>
    <row r="94" spans="1:11" x14ac:dyDescent="0.3">
      <c r="A94" s="18" t="s">
        <v>42</v>
      </c>
      <c r="B94" s="29" t="s">
        <v>84</v>
      </c>
      <c r="C94" s="19">
        <v>46234</v>
      </c>
      <c r="D94" s="20" t="s">
        <v>16</v>
      </c>
      <c r="E94" s="18">
        <v>1243</v>
      </c>
      <c r="F94" s="21">
        <v>0.459372</v>
      </c>
      <c r="G94" s="22">
        <v>9.7981299999999993E-2</v>
      </c>
      <c r="H94" s="15">
        <f t="shared" si="6"/>
        <v>0.33997577777777777</v>
      </c>
      <c r="I94" s="16">
        <f t="shared" si="7"/>
        <v>8.2925216666666662E-2</v>
      </c>
      <c r="J94" s="12" t="str">
        <f t="shared" si="10"/>
        <v>No</v>
      </c>
      <c r="K94" s="13" t="str">
        <f t="shared" si="11"/>
        <v>No</v>
      </c>
    </row>
    <row r="95" spans="1:11" x14ac:dyDescent="0.3">
      <c r="A95" s="18" t="s">
        <v>42</v>
      </c>
      <c r="B95" s="29" t="s">
        <v>84</v>
      </c>
      <c r="C95" s="19">
        <v>46234</v>
      </c>
      <c r="D95" s="20" t="s">
        <v>17</v>
      </c>
      <c r="E95" s="18">
        <v>1644</v>
      </c>
      <c r="F95" s="21">
        <v>0.409022</v>
      </c>
      <c r="G95" s="22">
        <v>8.4034999999999999E-2</v>
      </c>
      <c r="H95" s="15">
        <f t="shared" si="6"/>
        <v>0.33997577777777777</v>
      </c>
      <c r="I95" s="16">
        <f t="shared" si="7"/>
        <v>8.2925216666666662E-2</v>
      </c>
      <c r="J95" s="12" t="str">
        <f t="shared" si="10"/>
        <v>No</v>
      </c>
      <c r="K95" s="13" t="str">
        <f t="shared" si="11"/>
        <v>No</v>
      </c>
    </row>
    <row r="96" spans="1:11" x14ac:dyDescent="0.3">
      <c r="A96" s="18" t="s">
        <v>42</v>
      </c>
      <c r="B96" s="29" t="s">
        <v>84</v>
      </c>
      <c r="C96" s="19">
        <v>46234</v>
      </c>
      <c r="D96" s="20" t="s">
        <v>18</v>
      </c>
      <c r="E96" s="18">
        <v>1405</v>
      </c>
      <c r="F96" s="21">
        <v>0.258108</v>
      </c>
      <c r="G96" s="22">
        <v>6.1423999999999999E-2</v>
      </c>
      <c r="H96" s="15">
        <f t="shared" si="6"/>
        <v>0.33997577777777777</v>
      </c>
      <c r="I96" s="16">
        <f t="shared" si="7"/>
        <v>8.2925216666666662E-2</v>
      </c>
      <c r="J96" s="12" t="str">
        <f t="shared" si="10"/>
        <v>Yes</v>
      </c>
      <c r="K96" s="13" t="str">
        <f t="shared" si="11"/>
        <v>Yes</v>
      </c>
    </row>
    <row r="97" spans="1:11" x14ac:dyDescent="0.3">
      <c r="A97" s="18" t="s">
        <v>42</v>
      </c>
      <c r="B97" s="29" t="s">
        <v>84</v>
      </c>
      <c r="C97" s="19">
        <v>46234</v>
      </c>
      <c r="D97" s="20" t="s">
        <v>19</v>
      </c>
      <c r="E97" s="18">
        <v>1581</v>
      </c>
      <c r="F97" s="21">
        <v>0.44827699999999998</v>
      </c>
      <c r="G97" s="22">
        <v>8.4727499999999997E-2</v>
      </c>
      <c r="H97" s="15">
        <f t="shared" si="6"/>
        <v>0.33997577777777777</v>
      </c>
      <c r="I97" s="16">
        <f t="shared" si="7"/>
        <v>8.2925216666666662E-2</v>
      </c>
      <c r="J97" s="12" t="str">
        <f t="shared" si="10"/>
        <v>No</v>
      </c>
      <c r="K97" s="13" t="str">
        <f t="shared" si="11"/>
        <v>No</v>
      </c>
    </row>
    <row r="98" spans="1:11" x14ac:dyDescent="0.3">
      <c r="A98" s="18" t="s">
        <v>42</v>
      </c>
      <c r="B98" s="29" t="s">
        <v>84</v>
      </c>
      <c r="C98" s="19">
        <v>46234</v>
      </c>
      <c r="D98" s="20" t="s">
        <v>20</v>
      </c>
      <c r="E98" s="18">
        <v>1629</v>
      </c>
      <c r="F98" s="21">
        <v>0.380859</v>
      </c>
      <c r="G98" s="22">
        <v>7.9699599999999995E-2</v>
      </c>
      <c r="H98" s="15">
        <f t="shared" si="6"/>
        <v>0.33997577777777777</v>
      </c>
      <c r="I98" s="16">
        <f t="shared" si="7"/>
        <v>8.2925216666666662E-2</v>
      </c>
      <c r="J98" s="12" t="str">
        <f t="shared" si="10"/>
        <v>No</v>
      </c>
      <c r="K98" s="13" t="str">
        <f t="shared" si="11"/>
        <v>Yes</v>
      </c>
    </row>
    <row r="99" spans="1:11" x14ac:dyDescent="0.3">
      <c r="A99" s="18" t="s">
        <v>42</v>
      </c>
      <c r="B99" s="29" t="s">
        <v>84</v>
      </c>
      <c r="C99" s="19">
        <v>46234</v>
      </c>
      <c r="D99" s="20" t="s">
        <v>40</v>
      </c>
      <c r="E99" s="18">
        <v>1169</v>
      </c>
      <c r="F99" s="21">
        <v>0.179396</v>
      </c>
      <c r="G99" s="22">
        <v>4.7875099999999997E-2</v>
      </c>
      <c r="H99" s="15">
        <f t="shared" si="6"/>
        <v>0.33997577777777777</v>
      </c>
      <c r="I99" s="16">
        <f t="shared" si="7"/>
        <v>8.2925216666666662E-2</v>
      </c>
      <c r="J99" s="12" t="str">
        <f t="shared" si="10"/>
        <v>Yes</v>
      </c>
      <c r="K99" s="13" t="str">
        <f t="shared" si="11"/>
        <v>Yes</v>
      </c>
    </row>
    <row r="100" spans="1:11" x14ac:dyDescent="0.3">
      <c r="A100" s="18" t="s">
        <v>42</v>
      </c>
      <c r="B100" s="29" t="s">
        <v>84</v>
      </c>
      <c r="C100" s="19">
        <v>46234</v>
      </c>
      <c r="D100" s="20" t="s">
        <v>21</v>
      </c>
      <c r="E100" s="18">
        <v>2986</v>
      </c>
      <c r="F100" s="21">
        <v>0.386212</v>
      </c>
      <c r="G100" s="22">
        <v>8.4019499999999997E-2</v>
      </c>
      <c r="H100" s="15">
        <f t="shared" si="6"/>
        <v>0.33997577777777777</v>
      </c>
      <c r="I100" s="16">
        <f t="shared" si="7"/>
        <v>8.2925216666666662E-2</v>
      </c>
      <c r="J100" s="12" t="str">
        <f t="shared" si="10"/>
        <v>No</v>
      </c>
      <c r="K100" s="13" t="str">
        <f t="shared" si="11"/>
        <v>No</v>
      </c>
    </row>
    <row r="101" spans="1:11" x14ac:dyDescent="0.3">
      <c r="A101" s="18" t="s">
        <v>42</v>
      </c>
      <c r="B101" s="29" t="s">
        <v>84</v>
      </c>
      <c r="C101" s="19">
        <v>46234</v>
      </c>
      <c r="D101" s="20" t="s">
        <v>22</v>
      </c>
      <c r="E101" s="18">
        <v>2137</v>
      </c>
      <c r="F101" s="21">
        <v>0.32669700000000002</v>
      </c>
      <c r="G101" s="22">
        <v>8.8852399999999998E-2</v>
      </c>
      <c r="H101" s="15">
        <f t="shared" si="6"/>
        <v>0.33997577777777777</v>
      </c>
      <c r="I101" s="16">
        <f t="shared" si="7"/>
        <v>8.2925216666666662E-2</v>
      </c>
      <c r="J101" s="12" t="str">
        <f t="shared" si="10"/>
        <v>Yes</v>
      </c>
      <c r="K101" s="13" t="str">
        <f t="shared" si="11"/>
        <v>No</v>
      </c>
    </row>
    <row r="102" spans="1:11" x14ac:dyDescent="0.3">
      <c r="A102" s="18" t="s">
        <v>42</v>
      </c>
      <c r="B102" s="29" t="s">
        <v>84</v>
      </c>
      <c r="C102" s="19">
        <v>46234</v>
      </c>
      <c r="D102" s="20" t="s">
        <v>23</v>
      </c>
      <c r="E102" s="18">
        <v>1151</v>
      </c>
      <c r="F102" s="21">
        <v>0.45461600000000002</v>
      </c>
      <c r="G102" s="22">
        <v>0.15438299999999999</v>
      </c>
      <c r="H102" s="15">
        <f t="shared" si="6"/>
        <v>0.33997577777777777</v>
      </c>
      <c r="I102" s="16">
        <f t="shared" si="7"/>
        <v>8.2925216666666662E-2</v>
      </c>
      <c r="J102" s="12" t="str">
        <f t="shared" si="10"/>
        <v>No</v>
      </c>
      <c r="K102" s="13" t="str">
        <f t="shared" si="11"/>
        <v>No</v>
      </c>
    </row>
    <row r="103" spans="1:11" x14ac:dyDescent="0.3">
      <c r="A103" s="18" t="s">
        <v>42</v>
      </c>
      <c r="B103" s="29" t="s">
        <v>84</v>
      </c>
      <c r="C103" s="19">
        <v>46234</v>
      </c>
      <c r="D103" s="20" t="s">
        <v>24</v>
      </c>
      <c r="E103" s="18">
        <v>2704</v>
      </c>
      <c r="F103" s="21">
        <v>0.20849699999999999</v>
      </c>
      <c r="G103" s="22">
        <v>7.3032299999999994E-2</v>
      </c>
      <c r="H103" s="15">
        <f t="shared" si="6"/>
        <v>0.33997577777777777</v>
      </c>
      <c r="I103" s="16">
        <f t="shared" si="7"/>
        <v>8.2925216666666662E-2</v>
      </c>
      <c r="J103" s="12" t="str">
        <f t="shared" si="10"/>
        <v>Yes</v>
      </c>
      <c r="K103" s="13" t="str">
        <f t="shared" si="11"/>
        <v>Yes</v>
      </c>
    </row>
    <row r="104" spans="1:11" ht="15.6" customHeight="1" x14ac:dyDescent="0.3">
      <c r="A104" s="18" t="s">
        <v>42</v>
      </c>
      <c r="B104" s="29" t="s">
        <v>84</v>
      </c>
      <c r="C104" s="19">
        <v>46234</v>
      </c>
      <c r="D104" s="20" t="s">
        <v>25</v>
      </c>
      <c r="E104" s="18">
        <v>1078</v>
      </c>
      <c r="F104" s="21">
        <v>0.28194599999999997</v>
      </c>
      <c r="G104" s="22">
        <v>7.7457600000000001E-2</v>
      </c>
      <c r="H104" s="15">
        <f t="shared" si="6"/>
        <v>0.33997577777777777</v>
      </c>
      <c r="I104" s="16">
        <f t="shared" si="7"/>
        <v>8.2925216666666662E-2</v>
      </c>
      <c r="J104" s="12" t="str">
        <f t="shared" si="10"/>
        <v>Yes</v>
      </c>
      <c r="K104" s="13" t="str">
        <f t="shared" si="11"/>
        <v>Yes</v>
      </c>
    </row>
    <row r="105" spans="1:11" ht="15.6" customHeight="1" x14ac:dyDescent="0.3">
      <c r="A105" s="18" t="s">
        <v>42</v>
      </c>
      <c r="B105" s="29" t="s">
        <v>84</v>
      </c>
      <c r="C105" s="19">
        <v>46234</v>
      </c>
      <c r="D105" s="20" t="s">
        <v>26</v>
      </c>
      <c r="E105" s="18">
        <v>2003</v>
      </c>
      <c r="F105" s="21">
        <v>0.2571</v>
      </c>
      <c r="G105" s="22">
        <v>7.6537599999999997E-2</v>
      </c>
      <c r="H105" s="15">
        <f t="shared" si="6"/>
        <v>0.33997577777777777</v>
      </c>
      <c r="I105" s="16">
        <f t="shared" si="7"/>
        <v>8.2925216666666662E-2</v>
      </c>
      <c r="J105" s="12" t="str">
        <f t="shared" si="10"/>
        <v>Yes</v>
      </c>
      <c r="K105" s="13" t="str">
        <f t="shared" si="11"/>
        <v>Yes</v>
      </c>
    </row>
    <row r="106" spans="1:11" x14ac:dyDescent="0.3">
      <c r="A106" s="18" t="s">
        <v>42</v>
      </c>
      <c r="B106" s="29" t="s">
        <v>84</v>
      </c>
      <c r="C106" s="19">
        <v>46234</v>
      </c>
      <c r="D106" s="20" t="s">
        <v>27</v>
      </c>
      <c r="E106" s="18">
        <v>1623</v>
      </c>
      <c r="F106" s="21">
        <v>0.29575499999999999</v>
      </c>
      <c r="G106" s="22">
        <v>7.5998399999999994E-2</v>
      </c>
      <c r="H106" s="15">
        <f t="shared" si="6"/>
        <v>0.33997577777777777</v>
      </c>
      <c r="I106" s="16">
        <f t="shared" si="7"/>
        <v>8.2925216666666662E-2</v>
      </c>
      <c r="J106" s="12" t="str">
        <f t="shared" si="10"/>
        <v>Yes</v>
      </c>
      <c r="K106" s="13" t="str">
        <f t="shared" si="11"/>
        <v>Yes</v>
      </c>
    </row>
    <row r="107" spans="1:11" x14ac:dyDescent="0.3">
      <c r="A107" s="18" t="s">
        <v>42</v>
      </c>
      <c r="B107" s="29" t="s">
        <v>84</v>
      </c>
      <c r="C107" s="19">
        <v>46234</v>
      </c>
      <c r="D107" s="20" t="s">
        <v>28</v>
      </c>
      <c r="E107" s="18">
        <v>1004</v>
      </c>
      <c r="F107" s="21">
        <v>0.310892</v>
      </c>
      <c r="G107" s="22">
        <v>7.6906100000000005E-2</v>
      </c>
      <c r="H107" s="15">
        <f t="shared" si="6"/>
        <v>0.33997577777777777</v>
      </c>
      <c r="I107" s="16">
        <f t="shared" si="7"/>
        <v>8.2925216666666662E-2</v>
      </c>
      <c r="J107" s="12" t="str">
        <f t="shared" si="10"/>
        <v>Yes</v>
      </c>
      <c r="K107" s="13" t="str">
        <f t="shared" si="11"/>
        <v>Yes</v>
      </c>
    </row>
    <row r="108" spans="1:11" x14ac:dyDescent="0.3">
      <c r="A108" s="18" t="s">
        <v>42</v>
      </c>
      <c r="B108" s="29" t="s">
        <v>84</v>
      </c>
      <c r="C108" s="19">
        <v>46234</v>
      </c>
      <c r="D108" s="20" t="s">
        <v>29</v>
      </c>
      <c r="E108" s="18">
        <v>1142</v>
      </c>
      <c r="F108" s="21">
        <v>0.43532500000000002</v>
      </c>
      <c r="G108" s="22">
        <v>8.5073599999999999E-2</v>
      </c>
      <c r="H108" s="15">
        <f t="shared" si="6"/>
        <v>0.33997577777777777</v>
      </c>
      <c r="I108" s="16">
        <f t="shared" si="7"/>
        <v>8.2925216666666662E-2</v>
      </c>
      <c r="J108" s="12" t="str">
        <f t="shared" si="10"/>
        <v>No</v>
      </c>
      <c r="K108" s="13" t="str">
        <f t="shared" si="11"/>
        <v>No</v>
      </c>
    </row>
    <row r="109" spans="1:11" x14ac:dyDescent="0.3">
      <c r="A109" s="18" t="s">
        <v>42</v>
      </c>
      <c r="B109" s="29" t="s">
        <v>84</v>
      </c>
      <c r="C109" s="19">
        <v>46234</v>
      </c>
      <c r="D109" s="20" t="s">
        <v>30</v>
      </c>
      <c r="E109" s="18">
        <v>1237</v>
      </c>
      <c r="F109" s="21">
        <v>0.46051599999999998</v>
      </c>
      <c r="G109" s="22">
        <v>9.7773799999999994E-2</v>
      </c>
      <c r="H109" s="15">
        <f t="shared" si="6"/>
        <v>0.33997577777777777</v>
      </c>
      <c r="I109" s="16">
        <f t="shared" si="7"/>
        <v>8.2925216666666662E-2</v>
      </c>
      <c r="J109" s="12" t="str">
        <f t="shared" si="10"/>
        <v>No</v>
      </c>
      <c r="K109" s="13" t="str">
        <f t="shared" si="11"/>
        <v>No</v>
      </c>
    </row>
    <row r="110" spans="1:11" x14ac:dyDescent="0.3">
      <c r="A110" s="18" t="s">
        <v>42</v>
      </c>
      <c r="B110" s="29" t="s">
        <v>85</v>
      </c>
      <c r="C110" s="19">
        <v>46234</v>
      </c>
      <c r="D110" s="20" t="s">
        <v>14</v>
      </c>
      <c r="E110" s="18">
        <v>2967</v>
      </c>
      <c r="F110" s="21">
        <v>0.37851400000000002</v>
      </c>
      <c r="G110" s="22">
        <v>0.107513</v>
      </c>
      <c r="H110" s="15">
        <f t="shared" si="6"/>
        <v>0.35394088888888903</v>
      </c>
      <c r="I110" s="16">
        <f t="shared" si="7"/>
        <v>8.5412650000000007E-2</v>
      </c>
      <c r="J110" s="12" t="str">
        <f t="shared" si="10"/>
        <v>No</v>
      </c>
      <c r="K110" s="13" t="str">
        <f t="shared" si="11"/>
        <v>No</v>
      </c>
    </row>
    <row r="111" spans="1:11" x14ac:dyDescent="0.3">
      <c r="A111" s="18" t="s">
        <v>42</v>
      </c>
      <c r="B111" s="29" t="s">
        <v>85</v>
      </c>
      <c r="C111" s="19">
        <v>46234</v>
      </c>
      <c r="D111" s="20" t="s">
        <v>15</v>
      </c>
      <c r="E111" s="18">
        <v>3153</v>
      </c>
      <c r="F111" s="21">
        <v>0.38189000000000001</v>
      </c>
      <c r="G111" s="22">
        <v>9.9818900000000002E-2</v>
      </c>
      <c r="H111" s="15">
        <f t="shared" si="6"/>
        <v>0.35394088888888903</v>
      </c>
      <c r="I111" s="16">
        <f t="shared" si="7"/>
        <v>8.5412650000000007E-2</v>
      </c>
      <c r="J111" s="12" t="str">
        <f t="shared" si="10"/>
        <v>No</v>
      </c>
      <c r="K111" s="13" t="str">
        <f t="shared" si="11"/>
        <v>No</v>
      </c>
    </row>
    <row r="112" spans="1:11" x14ac:dyDescent="0.3">
      <c r="A112" s="18" t="s">
        <v>42</v>
      </c>
      <c r="B112" s="29" t="s">
        <v>85</v>
      </c>
      <c r="C112" s="19">
        <v>46234</v>
      </c>
      <c r="D112" s="20" t="s">
        <v>16</v>
      </c>
      <c r="E112" s="18">
        <v>2357</v>
      </c>
      <c r="F112" s="21">
        <v>0.44205800000000001</v>
      </c>
      <c r="G112" s="22">
        <v>9.9856100000000003E-2</v>
      </c>
      <c r="H112" s="15">
        <f t="shared" si="6"/>
        <v>0.35394088888888903</v>
      </c>
      <c r="I112" s="16">
        <f t="shared" si="7"/>
        <v>8.5412650000000007E-2</v>
      </c>
      <c r="J112" s="12" t="str">
        <f t="shared" si="10"/>
        <v>No</v>
      </c>
      <c r="K112" s="13" t="str">
        <f t="shared" si="11"/>
        <v>No</v>
      </c>
    </row>
    <row r="113" spans="1:11" x14ac:dyDescent="0.3">
      <c r="A113" s="18" t="s">
        <v>42</v>
      </c>
      <c r="B113" s="29" t="s">
        <v>85</v>
      </c>
      <c r="C113" s="19">
        <v>46234</v>
      </c>
      <c r="D113" s="20" t="s">
        <v>17</v>
      </c>
      <c r="E113" s="18">
        <v>1635</v>
      </c>
      <c r="F113" s="21">
        <v>0.44906299999999999</v>
      </c>
      <c r="G113" s="22">
        <v>8.9386699999999999E-2</v>
      </c>
      <c r="H113" s="15">
        <f t="shared" si="6"/>
        <v>0.35394088888888903</v>
      </c>
      <c r="I113" s="16">
        <f t="shared" si="7"/>
        <v>8.5412650000000007E-2</v>
      </c>
      <c r="J113" s="12" t="str">
        <f t="shared" si="10"/>
        <v>No</v>
      </c>
      <c r="K113" s="13" t="str">
        <f t="shared" si="11"/>
        <v>No</v>
      </c>
    </row>
    <row r="114" spans="1:11" x14ac:dyDescent="0.3">
      <c r="A114" s="18" t="s">
        <v>42</v>
      </c>
      <c r="B114" s="29" t="s">
        <v>85</v>
      </c>
      <c r="C114" s="19">
        <v>46234</v>
      </c>
      <c r="D114" s="20" t="s">
        <v>18</v>
      </c>
      <c r="E114" s="18">
        <v>2767</v>
      </c>
      <c r="F114" s="21">
        <v>0.29396899999999998</v>
      </c>
      <c r="G114" s="22">
        <v>6.61577E-2</v>
      </c>
      <c r="H114" s="15">
        <f t="shared" si="6"/>
        <v>0.35394088888888903</v>
      </c>
      <c r="I114" s="16">
        <f t="shared" si="7"/>
        <v>8.5412650000000007E-2</v>
      </c>
      <c r="J114" s="12" t="str">
        <f t="shared" si="10"/>
        <v>Yes</v>
      </c>
      <c r="K114" s="13" t="str">
        <f t="shared" si="11"/>
        <v>Yes</v>
      </c>
    </row>
    <row r="115" spans="1:11" x14ac:dyDescent="0.3">
      <c r="A115" s="18" t="s">
        <v>42</v>
      </c>
      <c r="B115" s="29" t="s">
        <v>85</v>
      </c>
      <c r="C115" s="19">
        <v>46234</v>
      </c>
      <c r="D115" s="20" t="s">
        <v>19</v>
      </c>
      <c r="E115" s="18">
        <v>2209</v>
      </c>
      <c r="F115" s="21">
        <v>0.36777599999999999</v>
      </c>
      <c r="G115" s="22">
        <v>7.3182899999999995E-2</v>
      </c>
      <c r="H115" s="15">
        <f t="shared" si="6"/>
        <v>0.35394088888888903</v>
      </c>
      <c r="I115" s="16">
        <f t="shared" si="7"/>
        <v>8.5412650000000007E-2</v>
      </c>
      <c r="J115" s="12" t="str">
        <f t="shared" si="10"/>
        <v>No</v>
      </c>
      <c r="K115" s="13" t="str">
        <f t="shared" si="11"/>
        <v>Yes</v>
      </c>
    </row>
    <row r="116" spans="1:11" x14ac:dyDescent="0.3">
      <c r="A116" s="18" t="s">
        <v>42</v>
      </c>
      <c r="B116" s="29" t="s">
        <v>85</v>
      </c>
      <c r="C116" s="19">
        <v>46234</v>
      </c>
      <c r="D116" s="20" t="s">
        <v>20</v>
      </c>
      <c r="E116" s="18">
        <v>2074</v>
      </c>
      <c r="F116" s="21">
        <v>0.380859</v>
      </c>
      <c r="G116" s="22">
        <v>7.9699599999999995E-2</v>
      </c>
      <c r="H116" s="15">
        <f t="shared" si="6"/>
        <v>0.35394088888888903</v>
      </c>
      <c r="I116" s="16">
        <f t="shared" si="7"/>
        <v>8.5412650000000007E-2</v>
      </c>
      <c r="J116" s="12" t="str">
        <f t="shared" si="10"/>
        <v>No</v>
      </c>
      <c r="K116" s="13" t="str">
        <f t="shared" si="11"/>
        <v>Yes</v>
      </c>
    </row>
    <row r="117" spans="1:11" x14ac:dyDescent="0.3">
      <c r="A117" s="18" t="s">
        <v>42</v>
      </c>
      <c r="B117" s="29" t="s">
        <v>85</v>
      </c>
      <c r="C117" s="19">
        <v>46234</v>
      </c>
      <c r="D117" s="20" t="s">
        <v>40</v>
      </c>
      <c r="E117" s="18">
        <v>1315</v>
      </c>
      <c r="F117" s="21">
        <v>0.18341299999999999</v>
      </c>
      <c r="G117" s="22">
        <v>5.1520099999999999E-2</v>
      </c>
      <c r="H117" s="15">
        <f t="shared" si="6"/>
        <v>0.35394088888888903</v>
      </c>
      <c r="I117" s="16">
        <f t="shared" si="7"/>
        <v>8.5412650000000007E-2</v>
      </c>
      <c r="J117" s="12" t="str">
        <f t="shared" si="10"/>
        <v>Yes</v>
      </c>
      <c r="K117" s="13" t="str">
        <f t="shared" si="11"/>
        <v>Yes</v>
      </c>
    </row>
    <row r="118" spans="1:11" x14ac:dyDescent="0.3">
      <c r="A118" s="18" t="s">
        <v>42</v>
      </c>
      <c r="B118" s="29" t="s">
        <v>85</v>
      </c>
      <c r="C118" s="19">
        <v>46234</v>
      </c>
      <c r="D118" s="20" t="s">
        <v>21</v>
      </c>
      <c r="E118" s="18">
        <v>2535</v>
      </c>
      <c r="F118" s="21">
        <v>0.38918999999999998</v>
      </c>
      <c r="G118" s="22">
        <v>8.0030699999999996E-2</v>
      </c>
      <c r="H118" s="15">
        <f t="shared" si="6"/>
        <v>0.35394088888888903</v>
      </c>
      <c r="I118" s="16">
        <f t="shared" si="7"/>
        <v>8.5412650000000007E-2</v>
      </c>
      <c r="J118" s="12" t="str">
        <f t="shared" si="10"/>
        <v>No</v>
      </c>
      <c r="K118" s="13" t="str">
        <f t="shared" si="11"/>
        <v>Yes</v>
      </c>
    </row>
    <row r="119" spans="1:11" x14ac:dyDescent="0.3">
      <c r="A119" s="18" t="s">
        <v>42</v>
      </c>
      <c r="B119" s="29" t="s">
        <v>85</v>
      </c>
      <c r="C119" s="19">
        <v>46234</v>
      </c>
      <c r="D119" s="20" t="s">
        <v>22</v>
      </c>
      <c r="E119" s="18">
        <v>1694</v>
      </c>
      <c r="F119" s="21">
        <v>0.37492999999999999</v>
      </c>
      <c r="G119" s="22">
        <v>0.100217</v>
      </c>
      <c r="H119" s="15">
        <f t="shared" si="6"/>
        <v>0.35394088888888903</v>
      </c>
      <c r="I119" s="16">
        <f t="shared" si="7"/>
        <v>8.5412650000000007E-2</v>
      </c>
      <c r="J119" s="12" t="str">
        <f t="shared" si="10"/>
        <v>No</v>
      </c>
      <c r="K119" s="13" t="str">
        <f t="shared" si="11"/>
        <v>No</v>
      </c>
    </row>
    <row r="120" spans="1:11" x14ac:dyDescent="0.3">
      <c r="A120" s="18" t="s">
        <v>42</v>
      </c>
      <c r="B120" s="29" t="s">
        <v>85</v>
      </c>
      <c r="C120" s="19">
        <v>46234</v>
      </c>
      <c r="D120" s="20" t="s">
        <v>23</v>
      </c>
      <c r="E120" s="18">
        <v>1603</v>
      </c>
      <c r="F120" s="21">
        <v>0.31156699999999998</v>
      </c>
      <c r="G120" s="22">
        <v>0.10693999999999999</v>
      </c>
      <c r="H120" s="15">
        <f t="shared" si="6"/>
        <v>0.35394088888888903</v>
      </c>
      <c r="I120" s="16">
        <f t="shared" si="7"/>
        <v>8.5412650000000007E-2</v>
      </c>
      <c r="J120" s="12" t="str">
        <f t="shared" si="10"/>
        <v>Yes</v>
      </c>
      <c r="K120" s="13" t="str">
        <f t="shared" si="11"/>
        <v>No</v>
      </c>
    </row>
    <row r="121" spans="1:11" x14ac:dyDescent="0.3">
      <c r="A121" s="18" t="s">
        <v>42</v>
      </c>
      <c r="B121" s="29" t="s">
        <v>85</v>
      </c>
      <c r="C121" s="19">
        <v>46234</v>
      </c>
      <c r="D121" s="20" t="s">
        <v>24</v>
      </c>
      <c r="E121" s="18">
        <v>2651</v>
      </c>
      <c r="F121" s="21">
        <v>0.230654</v>
      </c>
      <c r="G121" s="22">
        <v>7.7063900000000005E-2</v>
      </c>
      <c r="H121" s="15">
        <f t="shared" si="6"/>
        <v>0.35394088888888903</v>
      </c>
      <c r="I121" s="16">
        <f t="shared" si="7"/>
        <v>8.5412650000000007E-2</v>
      </c>
      <c r="J121" s="12" t="str">
        <f t="shared" si="10"/>
        <v>Yes</v>
      </c>
      <c r="K121" s="13" t="str">
        <f t="shared" si="11"/>
        <v>Yes</v>
      </c>
    </row>
    <row r="122" spans="1:11" x14ac:dyDescent="0.3">
      <c r="A122" s="18" t="s">
        <v>42</v>
      </c>
      <c r="B122" s="29" t="s">
        <v>85</v>
      </c>
      <c r="C122" s="19">
        <v>46234</v>
      </c>
      <c r="D122" s="20" t="s">
        <v>25</v>
      </c>
      <c r="E122" s="18">
        <v>1114</v>
      </c>
      <c r="F122" s="21">
        <v>0.27549600000000002</v>
      </c>
      <c r="G122" s="22">
        <v>7.1046899999999996E-2</v>
      </c>
      <c r="H122" s="15">
        <f t="shared" si="6"/>
        <v>0.35394088888888903</v>
      </c>
      <c r="I122" s="16">
        <f t="shared" si="7"/>
        <v>8.5412650000000007E-2</v>
      </c>
      <c r="J122" s="12" t="str">
        <f t="shared" si="10"/>
        <v>Yes</v>
      </c>
      <c r="K122" s="13" t="str">
        <f t="shared" si="11"/>
        <v>Yes</v>
      </c>
    </row>
    <row r="123" spans="1:11" x14ac:dyDescent="0.3">
      <c r="A123" s="18" t="s">
        <v>42</v>
      </c>
      <c r="B123" s="29" t="s">
        <v>85</v>
      </c>
      <c r="C123" s="19">
        <v>46234</v>
      </c>
      <c r="D123" s="20" t="s">
        <v>26</v>
      </c>
      <c r="E123" s="18">
        <v>1709</v>
      </c>
      <c r="F123" s="21">
        <v>0.180475</v>
      </c>
      <c r="G123" s="22">
        <v>5.4836299999999998E-2</v>
      </c>
      <c r="H123" s="15">
        <f t="shared" si="6"/>
        <v>0.35394088888888903</v>
      </c>
      <c r="I123" s="16">
        <f t="shared" si="7"/>
        <v>8.5412650000000007E-2</v>
      </c>
      <c r="J123" s="12" t="str">
        <f t="shared" si="10"/>
        <v>Yes</v>
      </c>
      <c r="K123" s="13" t="str">
        <f t="shared" si="11"/>
        <v>Yes</v>
      </c>
    </row>
    <row r="124" spans="1:11" x14ac:dyDescent="0.3">
      <c r="A124" s="18" t="s">
        <v>42</v>
      </c>
      <c r="B124" s="29" t="s">
        <v>85</v>
      </c>
      <c r="C124" s="19">
        <v>46234</v>
      </c>
      <c r="D124" s="20" t="s">
        <v>27</v>
      </c>
      <c r="E124" s="18">
        <v>1262</v>
      </c>
      <c r="F124" s="21">
        <v>0.42054999999999998</v>
      </c>
      <c r="G124" s="22">
        <v>0.10097399999999999</v>
      </c>
      <c r="H124" s="15">
        <f t="shared" si="6"/>
        <v>0.35394088888888903</v>
      </c>
      <c r="I124" s="16">
        <f t="shared" si="7"/>
        <v>8.5412650000000007E-2</v>
      </c>
      <c r="J124" s="12" t="str">
        <f t="shared" si="10"/>
        <v>No</v>
      </c>
      <c r="K124" s="13" t="str">
        <f t="shared" si="11"/>
        <v>No</v>
      </c>
    </row>
    <row r="125" spans="1:11" x14ac:dyDescent="0.3">
      <c r="A125" s="18" t="s">
        <v>42</v>
      </c>
      <c r="B125" s="29" t="s">
        <v>85</v>
      </c>
      <c r="C125" s="19">
        <v>46234</v>
      </c>
      <c r="D125" s="20" t="s">
        <v>28</v>
      </c>
      <c r="E125" s="18">
        <v>1001</v>
      </c>
      <c r="F125" s="21">
        <v>0.40851799999999999</v>
      </c>
      <c r="G125" s="22">
        <v>9.5214099999999996E-2</v>
      </c>
      <c r="H125" s="15">
        <f t="shared" si="6"/>
        <v>0.35394088888888903</v>
      </c>
      <c r="I125" s="16">
        <f t="shared" si="7"/>
        <v>8.5412650000000007E-2</v>
      </c>
      <c r="J125" s="12" t="str">
        <f t="shared" si="10"/>
        <v>No</v>
      </c>
      <c r="K125" s="13" t="str">
        <f t="shared" si="11"/>
        <v>No</v>
      </c>
    </row>
    <row r="126" spans="1:11" x14ac:dyDescent="0.3">
      <c r="A126" s="18" t="s">
        <v>42</v>
      </c>
      <c r="B126" s="29" t="s">
        <v>85</v>
      </c>
      <c r="C126" s="19">
        <v>46234</v>
      </c>
      <c r="D126" s="20" t="s">
        <v>29</v>
      </c>
      <c r="E126" s="18">
        <v>2829</v>
      </c>
      <c r="F126" s="21">
        <v>0.40667599999999998</v>
      </c>
      <c r="G126" s="22">
        <v>8.2854800000000006E-2</v>
      </c>
      <c r="H126" s="15">
        <f t="shared" si="6"/>
        <v>0.35394088888888903</v>
      </c>
      <c r="I126" s="16">
        <f t="shared" si="7"/>
        <v>8.5412650000000007E-2</v>
      </c>
      <c r="J126" s="12" t="str">
        <f t="shared" si="10"/>
        <v>No</v>
      </c>
      <c r="K126" s="13" t="str">
        <f t="shared" si="11"/>
        <v>Yes</v>
      </c>
    </row>
    <row r="127" spans="1:11" x14ac:dyDescent="0.3">
      <c r="A127" s="18" t="s">
        <v>42</v>
      </c>
      <c r="B127" s="29" t="s">
        <v>85</v>
      </c>
      <c r="C127" s="19">
        <v>46234</v>
      </c>
      <c r="D127" s="20" t="s">
        <v>30</v>
      </c>
      <c r="E127" s="18">
        <v>1504</v>
      </c>
      <c r="F127" s="21">
        <v>0.495338</v>
      </c>
      <c r="G127" s="22">
        <v>0.101115</v>
      </c>
      <c r="H127" s="15">
        <f t="shared" si="6"/>
        <v>0.35394088888888903</v>
      </c>
      <c r="I127" s="16">
        <f t="shared" si="7"/>
        <v>8.5412650000000007E-2</v>
      </c>
      <c r="J127" s="12" t="str">
        <f t="shared" si="10"/>
        <v>No</v>
      </c>
      <c r="K127" s="13" t="str">
        <f t="shared" si="11"/>
        <v>No</v>
      </c>
    </row>
    <row r="128" spans="1:11" x14ac:dyDescent="0.3">
      <c r="A128" s="18" t="s">
        <v>41</v>
      </c>
      <c r="B128" s="29" t="s">
        <v>50</v>
      </c>
      <c r="C128" s="19">
        <v>46234</v>
      </c>
      <c r="D128" s="20" t="s">
        <v>14</v>
      </c>
      <c r="E128" s="18">
        <v>3975</v>
      </c>
      <c r="F128" s="21">
        <v>0.52360899999999999</v>
      </c>
      <c r="G128" s="22">
        <v>0.147318</v>
      </c>
      <c r="H128" s="15">
        <f t="shared" si="6"/>
        <v>0.39170800000000006</v>
      </c>
      <c r="I128" s="16">
        <f t="shared" si="7"/>
        <v>9.6186149999999998E-2</v>
      </c>
    </row>
    <row r="129" spans="1:9" x14ac:dyDescent="0.3">
      <c r="A129" s="18" t="s">
        <v>41</v>
      </c>
      <c r="B129" s="29" t="s">
        <v>50</v>
      </c>
      <c r="C129" s="19">
        <v>46234</v>
      </c>
      <c r="D129" s="20" t="s">
        <v>15</v>
      </c>
      <c r="E129" s="18">
        <v>3665</v>
      </c>
      <c r="F129" s="21">
        <v>0.45449699999999998</v>
      </c>
      <c r="G129" s="22">
        <v>0.119767</v>
      </c>
      <c r="H129" s="15">
        <f t="shared" si="6"/>
        <v>0.39170800000000006</v>
      </c>
      <c r="I129" s="16">
        <f t="shared" si="7"/>
        <v>9.6186149999999998E-2</v>
      </c>
    </row>
    <row r="130" spans="1:9" x14ac:dyDescent="0.3">
      <c r="A130" s="18" t="s">
        <v>41</v>
      </c>
      <c r="B130" s="29" t="s">
        <v>50</v>
      </c>
      <c r="C130" s="19">
        <v>46234</v>
      </c>
      <c r="D130" s="20" t="s">
        <v>16</v>
      </c>
      <c r="E130" s="18">
        <v>2763</v>
      </c>
      <c r="F130" s="21">
        <v>0.40343299999999999</v>
      </c>
      <c r="G130" s="22">
        <v>9.4635200000000003E-2</v>
      </c>
      <c r="H130" s="15">
        <f t="shared" si="6"/>
        <v>0.39170800000000006</v>
      </c>
      <c r="I130" s="16">
        <f t="shared" si="7"/>
        <v>9.6186149999999998E-2</v>
      </c>
    </row>
    <row r="131" spans="1:9" x14ac:dyDescent="0.3">
      <c r="A131" s="18" t="s">
        <v>41</v>
      </c>
      <c r="B131" s="29" t="s">
        <v>50</v>
      </c>
      <c r="C131" s="19">
        <v>46234</v>
      </c>
      <c r="D131" s="20" t="s">
        <v>17</v>
      </c>
      <c r="E131" s="18">
        <v>2377</v>
      </c>
      <c r="F131" s="21">
        <v>0.53664000000000001</v>
      </c>
      <c r="G131" s="22">
        <v>0.106142</v>
      </c>
      <c r="H131" s="15">
        <f t="shared" ref="H131:H194" si="12">IFERROR(AVERAGEIFS($F:$F, $A:$A, $A131, $B:$B,$B131, $C:$C,$C131),"")</f>
        <v>0.39170800000000006</v>
      </c>
      <c r="I131" s="16">
        <f t="shared" ref="I131:I194" si="13">IFERROR(AVERAGEIFS($G:$G, $A:$A, $A131, $B:$B,$B131, $C:$C,$C131),"")</f>
        <v>9.6186149999999998E-2</v>
      </c>
    </row>
    <row r="132" spans="1:9" x14ac:dyDescent="0.3">
      <c r="A132" s="18" t="s">
        <v>41</v>
      </c>
      <c r="B132" s="29" t="s">
        <v>50</v>
      </c>
      <c r="C132" s="19">
        <v>46234</v>
      </c>
      <c r="D132" s="20" t="s">
        <v>18</v>
      </c>
      <c r="E132" s="18">
        <v>3135</v>
      </c>
      <c r="F132" s="21">
        <v>0.218719</v>
      </c>
      <c r="G132" s="22">
        <v>5.20276E-2</v>
      </c>
      <c r="H132" s="15">
        <f t="shared" si="12"/>
        <v>0.39170800000000006</v>
      </c>
      <c r="I132" s="16">
        <f t="shared" si="13"/>
        <v>9.6186149999999998E-2</v>
      </c>
    </row>
    <row r="133" spans="1:9" x14ac:dyDescent="0.3">
      <c r="A133" s="18" t="s">
        <v>41</v>
      </c>
      <c r="B133" s="29" t="s">
        <v>50</v>
      </c>
      <c r="C133" s="19">
        <v>46234</v>
      </c>
      <c r="D133" s="20" t="s">
        <v>19</v>
      </c>
      <c r="E133" s="18">
        <v>2511</v>
      </c>
      <c r="F133" s="21">
        <v>0.355244</v>
      </c>
      <c r="G133" s="22">
        <v>7.4700000000000003E-2</v>
      </c>
      <c r="H133" s="15">
        <f t="shared" si="12"/>
        <v>0.39170800000000006</v>
      </c>
      <c r="I133" s="16">
        <f t="shared" si="13"/>
        <v>9.6186149999999998E-2</v>
      </c>
    </row>
    <row r="134" spans="1:9" x14ac:dyDescent="0.3">
      <c r="A134" s="18" t="s">
        <v>41</v>
      </c>
      <c r="B134" s="29" t="s">
        <v>50</v>
      </c>
      <c r="C134" s="19">
        <v>46234</v>
      </c>
      <c r="D134" s="20" t="s">
        <v>20</v>
      </c>
      <c r="E134" s="18">
        <v>2587</v>
      </c>
      <c r="F134" s="21">
        <v>0.37267099999999997</v>
      </c>
      <c r="G134" s="22">
        <v>7.7942899999999996E-2</v>
      </c>
      <c r="H134" s="15">
        <f t="shared" si="12"/>
        <v>0.39170800000000006</v>
      </c>
      <c r="I134" s="16">
        <f t="shared" si="13"/>
        <v>9.6186149999999998E-2</v>
      </c>
    </row>
    <row r="135" spans="1:9" x14ac:dyDescent="0.3">
      <c r="A135" s="18" t="s">
        <v>41</v>
      </c>
      <c r="B135" s="29" t="s">
        <v>50</v>
      </c>
      <c r="C135" s="19">
        <v>46234</v>
      </c>
      <c r="D135" s="20" t="s">
        <v>40</v>
      </c>
      <c r="E135" s="18">
        <v>1502</v>
      </c>
      <c r="F135" s="21">
        <v>0.264567</v>
      </c>
      <c r="G135" s="22">
        <v>8.0192100000000002E-2</v>
      </c>
      <c r="H135" s="15">
        <f t="shared" si="12"/>
        <v>0.39170800000000006</v>
      </c>
      <c r="I135" s="16">
        <f t="shared" si="13"/>
        <v>9.6186149999999998E-2</v>
      </c>
    </row>
    <row r="136" spans="1:9" x14ac:dyDescent="0.3">
      <c r="A136" s="18" t="s">
        <v>41</v>
      </c>
      <c r="B136" s="29" t="s">
        <v>50</v>
      </c>
      <c r="C136" s="19">
        <v>46234</v>
      </c>
      <c r="D136" s="20" t="s">
        <v>21</v>
      </c>
      <c r="E136" s="18">
        <v>3787</v>
      </c>
      <c r="F136" s="21">
        <v>0.47795700000000002</v>
      </c>
      <c r="G136" s="22">
        <v>9.3003100000000005E-2</v>
      </c>
      <c r="H136" s="15">
        <f t="shared" si="12"/>
        <v>0.39170800000000006</v>
      </c>
      <c r="I136" s="16">
        <f t="shared" si="13"/>
        <v>9.6186149999999998E-2</v>
      </c>
    </row>
    <row r="137" spans="1:9" x14ac:dyDescent="0.3">
      <c r="A137" s="18" t="s">
        <v>41</v>
      </c>
      <c r="B137" s="29" t="s">
        <v>50</v>
      </c>
      <c r="C137" s="19">
        <v>46234</v>
      </c>
      <c r="D137" s="20" t="s">
        <v>22</v>
      </c>
      <c r="E137" s="18">
        <v>2437</v>
      </c>
      <c r="F137" s="21">
        <v>0.51614400000000005</v>
      </c>
      <c r="G137" s="22">
        <v>0.14021400000000001</v>
      </c>
      <c r="H137" s="15">
        <f t="shared" si="12"/>
        <v>0.39170800000000006</v>
      </c>
      <c r="I137" s="16">
        <f t="shared" si="13"/>
        <v>9.6186149999999998E-2</v>
      </c>
    </row>
    <row r="138" spans="1:9" x14ac:dyDescent="0.3">
      <c r="A138" s="18" t="s">
        <v>41</v>
      </c>
      <c r="B138" s="29" t="s">
        <v>50</v>
      </c>
      <c r="C138" s="19">
        <v>46234</v>
      </c>
      <c r="D138" s="20" t="s">
        <v>23</v>
      </c>
      <c r="E138" s="18">
        <v>2126</v>
      </c>
      <c r="F138" s="21">
        <v>0.61609199999999997</v>
      </c>
      <c r="G138" s="22">
        <v>0.202345</v>
      </c>
      <c r="H138" s="15">
        <f t="shared" si="12"/>
        <v>0.39170800000000006</v>
      </c>
      <c r="I138" s="16">
        <f t="shared" si="13"/>
        <v>9.6186149999999998E-2</v>
      </c>
    </row>
    <row r="139" spans="1:9" x14ac:dyDescent="0.3">
      <c r="A139" s="18" t="s">
        <v>41</v>
      </c>
      <c r="B139" s="29" t="s">
        <v>50</v>
      </c>
      <c r="C139" s="19">
        <v>46234</v>
      </c>
      <c r="D139" s="20" t="s">
        <v>24</v>
      </c>
      <c r="E139" s="18">
        <v>4033</v>
      </c>
      <c r="F139" s="21">
        <v>0.26639000000000002</v>
      </c>
      <c r="G139" s="22">
        <v>8.19878E-2</v>
      </c>
      <c r="H139" s="15">
        <f t="shared" si="12"/>
        <v>0.39170800000000006</v>
      </c>
      <c r="I139" s="16">
        <f t="shared" si="13"/>
        <v>9.6186149999999998E-2</v>
      </c>
    </row>
    <row r="140" spans="1:9" x14ac:dyDescent="0.3">
      <c r="A140" s="18" t="s">
        <v>41</v>
      </c>
      <c r="B140" s="29" t="s">
        <v>50</v>
      </c>
      <c r="C140" s="19">
        <v>46234</v>
      </c>
      <c r="D140" s="20" t="s">
        <v>25</v>
      </c>
      <c r="E140" s="18">
        <v>1548</v>
      </c>
      <c r="F140" s="21">
        <v>0.24405299999999999</v>
      </c>
      <c r="G140" s="22">
        <v>5.8651200000000001E-2</v>
      </c>
      <c r="H140" s="15">
        <f t="shared" si="12"/>
        <v>0.39170800000000006</v>
      </c>
      <c r="I140" s="16">
        <f t="shared" si="13"/>
        <v>9.6186149999999998E-2</v>
      </c>
    </row>
    <row r="141" spans="1:9" x14ac:dyDescent="0.3">
      <c r="A141" s="18" t="s">
        <v>41</v>
      </c>
      <c r="B141" s="29" t="s">
        <v>50</v>
      </c>
      <c r="C141" s="19">
        <v>46234</v>
      </c>
      <c r="D141" s="20" t="s">
        <v>26</v>
      </c>
      <c r="E141" s="18">
        <v>2915</v>
      </c>
      <c r="F141" s="21">
        <v>0.163774</v>
      </c>
      <c r="G141" s="22">
        <v>5.2653600000000002E-2</v>
      </c>
      <c r="H141" s="15">
        <f t="shared" si="12"/>
        <v>0.39170800000000006</v>
      </c>
      <c r="I141" s="16">
        <f t="shared" si="13"/>
        <v>9.6186149999999998E-2</v>
      </c>
    </row>
    <row r="142" spans="1:9" x14ac:dyDescent="0.3">
      <c r="A142" s="18" t="s">
        <v>41</v>
      </c>
      <c r="B142" s="29" t="s">
        <v>50</v>
      </c>
      <c r="C142" s="19">
        <v>46234</v>
      </c>
      <c r="D142" s="20" t="s">
        <v>27</v>
      </c>
      <c r="E142" s="18">
        <v>2017</v>
      </c>
      <c r="F142" s="21">
        <v>0.41799900000000001</v>
      </c>
      <c r="G142" s="22">
        <v>9.4883999999999996E-2</v>
      </c>
      <c r="H142" s="15">
        <f t="shared" si="12"/>
        <v>0.39170800000000006</v>
      </c>
      <c r="I142" s="16">
        <f t="shared" si="13"/>
        <v>9.6186149999999998E-2</v>
      </c>
    </row>
    <row r="143" spans="1:9" x14ac:dyDescent="0.3">
      <c r="A143" s="18" t="s">
        <v>41</v>
      </c>
      <c r="B143" s="29" t="s">
        <v>50</v>
      </c>
      <c r="C143" s="19">
        <v>46234</v>
      </c>
      <c r="D143" s="20" t="s">
        <v>28</v>
      </c>
      <c r="E143" s="18">
        <v>1610</v>
      </c>
      <c r="F143" s="21">
        <v>0.32311099999999998</v>
      </c>
      <c r="G143" s="22">
        <v>7.2502700000000003E-2</v>
      </c>
      <c r="H143" s="15">
        <f t="shared" si="12"/>
        <v>0.39170800000000006</v>
      </c>
      <c r="I143" s="16">
        <f t="shared" si="13"/>
        <v>9.6186149999999998E-2</v>
      </c>
    </row>
    <row r="144" spans="1:9" x14ac:dyDescent="0.3">
      <c r="A144" s="18" t="s">
        <v>41</v>
      </c>
      <c r="B144" s="29" t="s">
        <v>50</v>
      </c>
      <c r="C144" s="19">
        <v>46234</v>
      </c>
      <c r="D144" s="20" t="s">
        <v>29</v>
      </c>
      <c r="E144" s="18">
        <v>2718</v>
      </c>
      <c r="F144" s="21">
        <v>0.375027</v>
      </c>
      <c r="G144" s="22">
        <v>7.7646499999999993E-2</v>
      </c>
      <c r="H144" s="15">
        <f t="shared" si="12"/>
        <v>0.39170800000000006</v>
      </c>
      <c r="I144" s="16">
        <f t="shared" si="13"/>
        <v>9.6186149999999998E-2</v>
      </c>
    </row>
    <row r="145" spans="1:9" x14ac:dyDescent="0.3">
      <c r="A145" s="18" t="s">
        <v>41</v>
      </c>
      <c r="B145" s="29" t="s">
        <v>50</v>
      </c>
      <c r="C145" s="19">
        <v>46234</v>
      </c>
      <c r="D145" s="20" t="s">
        <v>30</v>
      </c>
      <c r="E145" s="18">
        <v>2001</v>
      </c>
      <c r="F145" s="21">
        <v>0.52081699999999997</v>
      </c>
      <c r="G145" s="22">
        <v>0.104738</v>
      </c>
      <c r="H145" s="15">
        <f t="shared" si="12"/>
        <v>0.39170800000000006</v>
      </c>
      <c r="I145" s="16">
        <f t="shared" si="13"/>
        <v>9.6186149999999998E-2</v>
      </c>
    </row>
    <row r="146" spans="1:9" x14ac:dyDescent="0.3">
      <c r="A146" s="18" t="s">
        <v>41</v>
      </c>
      <c r="B146" s="29" t="s">
        <v>50</v>
      </c>
      <c r="C146" s="19">
        <v>46235</v>
      </c>
      <c r="D146" s="20" t="s">
        <v>14</v>
      </c>
      <c r="E146" s="18">
        <v>3111</v>
      </c>
      <c r="F146" s="21">
        <v>0.38656600000000002</v>
      </c>
      <c r="G146" s="22">
        <v>0.10890900000000001</v>
      </c>
      <c r="H146" s="15">
        <f t="shared" si="12"/>
        <v>0.5529641111111111</v>
      </c>
      <c r="I146" s="16">
        <f t="shared" si="13"/>
        <v>0.12669717222222221</v>
      </c>
    </row>
    <row r="147" spans="1:9" x14ac:dyDescent="0.3">
      <c r="A147" s="18" t="s">
        <v>41</v>
      </c>
      <c r="B147" s="29" t="s">
        <v>50</v>
      </c>
      <c r="C147" s="19">
        <v>46235</v>
      </c>
      <c r="D147" s="20" t="s">
        <v>15</v>
      </c>
      <c r="E147" s="18">
        <v>2814</v>
      </c>
      <c r="F147" s="21">
        <v>0.48407099999999997</v>
      </c>
      <c r="G147" s="22">
        <v>0.127695</v>
      </c>
      <c r="H147" s="15">
        <f t="shared" si="12"/>
        <v>0.5529641111111111</v>
      </c>
      <c r="I147" s="16">
        <f t="shared" si="13"/>
        <v>0.12669717222222221</v>
      </c>
    </row>
    <row r="148" spans="1:9" x14ac:dyDescent="0.3">
      <c r="A148" s="18" t="s">
        <v>41</v>
      </c>
      <c r="B148" s="29" t="s">
        <v>50</v>
      </c>
      <c r="C148" s="19">
        <v>46235</v>
      </c>
      <c r="D148" s="20" t="s">
        <v>16</v>
      </c>
      <c r="E148" s="18">
        <v>2201</v>
      </c>
      <c r="F148" s="21">
        <v>0.54380600000000001</v>
      </c>
      <c r="G148" s="22">
        <v>0.12779199999999999</v>
      </c>
      <c r="H148" s="15">
        <f t="shared" si="12"/>
        <v>0.5529641111111111</v>
      </c>
      <c r="I148" s="16">
        <f t="shared" si="13"/>
        <v>0.12669717222222221</v>
      </c>
    </row>
    <row r="149" spans="1:9" x14ac:dyDescent="0.3">
      <c r="A149" s="18" t="s">
        <v>41</v>
      </c>
      <c r="B149" s="29" t="s">
        <v>50</v>
      </c>
      <c r="C149" s="19">
        <v>46235</v>
      </c>
      <c r="D149" s="20" t="s">
        <v>17</v>
      </c>
      <c r="E149" s="18">
        <v>2352</v>
      </c>
      <c r="F149" s="21">
        <v>0.47246100000000002</v>
      </c>
      <c r="G149" s="22">
        <v>9.3412599999999998E-2</v>
      </c>
      <c r="H149" s="15">
        <f t="shared" si="12"/>
        <v>0.5529641111111111</v>
      </c>
      <c r="I149" s="16">
        <f t="shared" si="13"/>
        <v>0.12669717222222221</v>
      </c>
    </row>
    <row r="150" spans="1:9" x14ac:dyDescent="0.3">
      <c r="A150" s="18" t="s">
        <v>41</v>
      </c>
      <c r="B150" s="29" t="s">
        <v>50</v>
      </c>
      <c r="C150" s="19">
        <v>46235</v>
      </c>
      <c r="D150" s="20" t="s">
        <v>18</v>
      </c>
      <c r="E150" s="18">
        <v>2814</v>
      </c>
      <c r="F150" s="21">
        <v>0.38531199999999999</v>
      </c>
      <c r="G150" s="22">
        <v>9.1877600000000004E-2</v>
      </c>
      <c r="H150" s="15">
        <f t="shared" si="12"/>
        <v>0.5529641111111111</v>
      </c>
      <c r="I150" s="16">
        <f t="shared" si="13"/>
        <v>0.12669717222222221</v>
      </c>
    </row>
    <row r="151" spans="1:9" x14ac:dyDescent="0.3">
      <c r="A151" s="18" t="s">
        <v>41</v>
      </c>
      <c r="B151" s="29" t="s">
        <v>50</v>
      </c>
      <c r="C151" s="19">
        <v>46235</v>
      </c>
      <c r="D151" s="20" t="s">
        <v>19</v>
      </c>
      <c r="E151" s="18">
        <v>2708</v>
      </c>
      <c r="F151" s="21">
        <v>1.47159</v>
      </c>
      <c r="G151" s="22">
        <v>0.31046400000000002</v>
      </c>
      <c r="H151" s="15">
        <f t="shared" si="12"/>
        <v>0.5529641111111111</v>
      </c>
      <c r="I151" s="16">
        <f t="shared" si="13"/>
        <v>0.12669717222222221</v>
      </c>
    </row>
    <row r="152" spans="1:9" x14ac:dyDescent="0.3">
      <c r="A152" s="18" t="s">
        <v>41</v>
      </c>
      <c r="B152" s="29" t="s">
        <v>50</v>
      </c>
      <c r="C152" s="19">
        <v>46235</v>
      </c>
      <c r="D152" s="20" t="s">
        <v>20</v>
      </c>
      <c r="E152" s="18">
        <v>2700</v>
      </c>
      <c r="F152" s="21">
        <v>0.81003099999999995</v>
      </c>
      <c r="G152" s="22">
        <v>0.169795</v>
      </c>
      <c r="H152" s="15">
        <f t="shared" si="12"/>
        <v>0.5529641111111111</v>
      </c>
      <c r="I152" s="16">
        <f t="shared" si="13"/>
        <v>0.12669717222222221</v>
      </c>
    </row>
    <row r="153" spans="1:9" x14ac:dyDescent="0.3">
      <c r="A153" s="18" t="s">
        <v>41</v>
      </c>
      <c r="B153" s="29" t="s">
        <v>50</v>
      </c>
      <c r="C153" s="19">
        <v>46235</v>
      </c>
      <c r="D153" s="20" t="s">
        <v>40</v>
      </c>
      <c r="E153" s="18">
        <v>1503</v>
      </c>
      <c r="F153" s="21">
        <v>0.204627</v>
      </c>
      <c r="G153" s="22">
        <v>6.2046299999999999E-2</v>
      </c>
      <c r="H153" s="15">
        <f t="shared" si="12"/>
        <v>0.5529641111111111</v>
      </c>
      <c r="I153" s="16">
        <f t="shared" si="13"/>
        <v>0.12669717222222221</v>
      </c>
    </row>
    <row r="154" spans="1:9" x14ac:dyDescent="0.3">
      <c r="A154" s="18" t="s">
        <v>41</v>
      </c>
      <c r="B154" s="29" t="s">
        <v>50</v>
      </c>
      <c r="C154" s="19">
        <v>46235</v>
      </c>
      <c r="D154" s="20" t="s">
        <v>21</v>
      </c>
      <c r="E154" s="18">
        <v>3742</v>
      </c>
      <c r="F154" s="21">
        <v>1.2650600000000001</v>
      </c>
      <c r="G154" s="22">
        <v>0.246172</v>
      </c>
      <c r="H154" s="15">
        <f t="shared" si="12"/>
        <v>0.5529641111111111</v>
      </c>
      <c r="I154" s="16">
        <f t="shared" si="13"/>
        <v>0.12669717222222221</v>
      </c>
    </row>
    <row r="155" spans="1:9" x14ac:dyDescent="0.3">
      <c r="A155" s="18" t="s">
        <v>41</v>
      </c>
      <c r="B155" s="29" t="s">
        <v>50</v>
      </c>
      <c r="C155" s="19">
        <v>46235</v>
      </c>
      <c r="D155" s="20" t="s">
        <v>22</v>
      </c>
      <c r="E155" s="18">
        <v>2339</v>
      </c>
      <c r="F155" s="21">
        <v>0.37946099999999999</v>
      </c>
      <c r="G155" s="22">
        <v>0.10304000000000001</v>
      </c>
      <c r="H155" s="15">
        <f t="shared" si="12"/>
        <v>0.5529641111111111</v>
      </c>
      <c r="I155" s="16">
        <f t="shared" si="13"/>
        <v>0.12669717222222221</v>
      </c>
    </row>
    <row r="156" spans="1:9" x14ac:dyDescent="0.3">
      <c r="A156" s="18" t="s">
        <v>41</v>
      </c>
      <c r="B156" s="29" t="s">
        <v>50</v>
      </c>
      <c r="C156" s="19">
        <v>46235</v>
      </c>
      <c r="D156" s="20" t="s">
        <v>23</v>
      </c>
      <c r="E156" s="18">
        <v>1576</v>
      </c>
      <c r="F156" s="21">
        <v>0.21701799999999999</v>
      </c>
      <c r="G156" s="22">
        <v>7.1269700000000005E-2</v>
      </c>
      <c r="H156" s="15">
        <f t="shared" si="12"/>
        <v>0.5529641111111111</v>
      </c>
      <c r="I156" s="16">
        <f t="shared" si="13"/>
        <v>0.12669717222222221</v>
      </c>
    </row>
    <row r="157" spans="1:9" x14ac:dyDescent="0.3">
      <c r="A157" s="18" t="s">
        <v>41</v>
      </c>
      <c r="B157" s="29" t="s">
        <v>50</v>
      </c>
      <c r="C157" s="19">
        <v>46235</v>
      </c>
      <c r="D157" s="20" t="s">
        <v>24</v>
      </c>
      <c r="E157" s="18">
        <v>2915</v>
      </c>
      <c r="F157" s="21">
        <v>0.22855900000000001</v>
      </c>
      <c r="G157" s="22">
        <v>7.0344799999999999E-2</v>
      </c>
      <c r="H157" s="15">
        <f t="shared" si="12"/>
        <v>0.5529641111111111</v>
      </c>
      <c r="I157" s="16">
        <f t="shared" si="13"/>
        <v>0.12669717222222221</v>
      </c>
    </row>
    <row r="158" spans="1:9" x14ac:dyDescent="0.3">
      <c r="A158" s="18" t="s">
        <v>41</v>
      </c>
      <c r="B158" s="29" t="s">
        <v>50</v>
      </c>
      <c r="C158" s="19">
        <v>46235</v>
      </c>
      <c r="D158" s="20" t="s">
        <v>25</v>
      </c>
      <c r="E158" s="18">
        <v>1546</v>
      </c>
      <c r="F158" s="21">
        <v>0.228106</v>
      </c>
      <c r="G158" s="22">
        <v>5.4853300000000001E-2</v>
      </c>
      <c r="H158" s="15">
        <f t="shared" si="12"/>
        <v>0.5529641111111111</v>
      </c>
      <c r="I158" s="16">
        <f t="shared" si="13"/>
        <v>0.12669717222222221</v>
      </c>
    </row>
    <row r="159" spans="1:9" x14ac:dyDescent="0.3">
      <c r="A159" s="18" t="s">
        <v>41</v>
      </c>
      <c r="B159" s="29" t="s">
        <v>50</v>
      </c>
      <c r="C159" s="19">
        <v>46235</v>
      </c>
      <c r="D159" s="20" t="s">
        <v>26</v>
      </c>
      <c r="E159" s="18">
        <v>2440</v>
      </c>
      <c r="F159" s="21">
        <v>0.24538699999999999</v>
      </c>
      <c r="G159" s="22">
        <v>7.8953300000000004E-2</v>
      </c>
      <c r="H159" s="15">
        <f t="shared" si="12"/>
        <v>0.5529641111111111</v>
      </c>
      <c r="I159" s="16">
        <f t="shared" si="13"/>
        <v>0.12669717222222221</v>
      </c>
    </row>
    <row r="160" spans="1:9" x14ac:dyDescent="0.3">
      <c r="A160" s="18" t="s">
        <v>41</v>
      </c>
      <c r="B160" s="29" t="s">
        <v>50</v>
      </c>
      <c r="C160" s="19">
        <v>46235</v>
      </c>
      <c r="D160" s="20" t="s">
        <v>27</v>
      </c>
      <c r="E160" s="18">
        <v>1812</v>
      </c>
      <c r="F160" s="21">
        <v>0.716615</v>
      </c>
      <c r="G160" s="22">
        <v>0.16242100000000001</v>
      </c>
      <c r="H160" s="15">
        <f t="shared" si="12"/>
        <v>0.5529641111111111</v>
      </c>
      <c r="I160" s="16">
        <f t="shared" si="13"/>
        <v>0.12669717222222221</v>
      </c>
    </row>
    <row r="161" spans="1:11" x14ac:dyDescent="0.3">
      <c r="A161" s="18" t="s">
        <v>41</v>
      </c>
      <c r="B161" s="29" t="s">
        <v>50</v>
      </c>
      <c r="C161" s="19">
        <v>46235</v>
      </c>
      <c r="D161" s="20" t="s">
        <v>28</v>
      </c>
      <c r="E161" s="18">
        <v>1530</v>
      </c>
      <c r="F161" s="21">
        <v>0.38388800000000001</v>
      </c>
      <c r="G161" s="22">
        <v>8.6132899999999998E-2</v>
      </c>
      <c r="H161" s="15">
        <f t="shared" si="12"/>
        <v>0.5529641111111111</v>
      </c>
      <c r="I161" s="16">
        <f t="shared" si="13"/>
        <v>0.12669717222222221</v>
      </c>
    </row>
    <row r="162" spans="1:11" x14ac:dyDescent="0.3">
      <c r="A162" s="18" t="s">
        <v>41</v>
      </c>
      <c r="B162" s="29" t="s">
        <v>50</v>
      </c>
      <c r="C162" s="19">
        <v>46235</v>
      </c>
      <c r="D162" s="20" t="s">
        <v>29</v>
      </c>
      <c r="E162" s="18">
        <v>2305</v>
      </c>
      <c r="F162" s="21">
        <v>1.05867</v>
      </c>
      <c r="G162" s="22">
        <v>0.22051299999999999</v>
      </c>
      <c r="H162" s="15">
        <f t="shared" si="12"/>
        <v>0.5529641111111111</v>
      </c>
      <c r="I162" s="16">
        <f t="shared" si="13"/>
        <v>0.12669717222222221</v>
      </c>
    </row>
    <row r="163" spans="1:11" x14ac:dyDescent="0.3">
      <c r="A163" s="18" t="s">
        <v>41</v>
      </c>
      <c r="B163" s="29" t="s">
        <v>50</v>
      </c>
      <c r="C163" s="19">
        <v>46235</v>
      </c>
      <c r="D163" s="20" t="s">
        <v>30</v>
      </c>
      <c r="E163" s="18">
        <v>2080</v>
      </c>
      <c r="F163" s="21">
        <v>0.47212599999999999</v>
      </c>
      <c r="G163" s="22">
        <v>9.48576E-2</v>
      </c>
      <c r="H163" s="15">
        <f t="shared" si="12"/>
        <v>0.5529641111111111</v>
      </c>
      <c r="I163" s="16">
        <f t="shared" si="13"/>
        <v>0.12669717222222221</v>
      </c>
    </row>
    <row r="164" spans="1:11" x14ac:dyDescent="0.3">
      <c r="A164" s="18" t="s">
        <v>42</v>
      </c>
      <c r="B164" s="29" t="s">
        <v>86</v>
      </c>
      <c r="C164" s="19">
        <v>46237</v>
      </c>
      <c r="D164" s="20" t="s">
        <v>14</v>
      </c>
      <c r="E164" s="18">
        <v>3346</v>
      </c>
      <c r="F164" s="21">
        <v>0.32430599999999998</v>
      </c>
      <c r="G164" s="22">
        <v>9.8802500000000001E-2</v>
      </c>
      <c r="H164" s="15">
        <f t="shared" si="12"/>
        <v>0.31301488888888884</v>
      </c>
      <c r="I164" s="16">
        <f t="shared" si="13"/>
        <v>7.651850555555556E-2</v>
      </c>
      <c r="J164" s="12" t="str">
        <f t="shared" ref="J164:J199" si="14">IF(AND(F164&lt;&gt;"", H164&lt;&gt;""), IF(F164&lt;H164,"Yes","No"), "")</f>
        <v>No</v>
      </c>
      <c r="K164" s="13" t="str">
        <f t="shared" ref="K164:K199" si="15">IF(AND(G164&lt;&gt;"", I164&lt;&gt;""), IF(G164&lt;I164,"Yes","No"), "")</f>
        <v>No</v>
      </c>
    </row>
    <row r="165" spans="1:11" x14ac:dyDescent="0.3">
      <c r="A165" s="18" t="s">
        <v>42</v>
      </c>
      <c r="B165" s="29" t="s">
        <v>86</v>
      </c>
      <c r="C165" s="19">
        <v>46237</v>
      </c>
      <c r="D165" s="20" t="s">
        <v>15</v>
      </c>
      <c r="E165" s="18">
        <v>3063</v>
      </c>
      <c r="F165" s="21">
        <v>0.35386699999999999</v>
      </c>
      <c r="G165" s="22">
        <v>9.9645899999999996E-2</v>
      </c>
      <c r="H165" s="15">
        <f t="shared" si="12"/>
        <v>0.31301488888888884</v>
      </c>
      <c r="I165" s="16">
        <f t="shared" si="13"/>
        <v>7.651850555555556E-2</v>
      </c>
      <c r="J165" s="12" t="str">
        <f t="shared" si="14"/>
        <v>No</v>
      </c>
      <c r="K165" s="13" t="str">
        <f t="shared" si="15"/>
        <v>No</v>
      </c>
    </row>
    <row r="166" spans="1:11" x14ac:dyDescent="0.3">
      <c r="A166" s="18" t="s">
        <v>42</v>
      </c>
      <c r="B166" s="29" t="s">
        <v>86</v>
      </c>
      <c r="C166" s="19">
        <v>46237</v>
      </c>
      <c r="D166" s="20" t="s">
        <v>16</v>
      </c>
      <c r="E166" s="18">
        <v>2034</v>
      </c>
      <c r="F166" s="21">
        <v>0.34923700000000002</v>
      </c>
      <c r="G166" s="22">
        <v>8.7392399999999995E-2</v>
      </c>
      <c r="H166" s="15">
        <f t="shared" si="12"/>
        <v>0.31301488888888884</v>
      </c>
      <c r="I166" s="16">
        <f t="shared" si="13"/>
        <v>7.651850555555556E-2</v>
      </c>
      <c r="J166" s="12" t="str">
        <f t="shared" si="14"/>
        <v>No</v>
      </c>
      <c r="K166" s="13" t="str">
        <f t="shared" si="15"/>
        <v>No</v>
      </c>
    </row>
    <row r="167" spans="1:11" x14ac:dyDescent="0.3">
      <c r="A167" s="18" t="s">
        <v>42</v>
      </c>
      <c r="B167" s="29" t="s">
        <v>86</v>
      </c>
      <c r="C167" s="19">
        <v>46237</v>
      </c>
      <c r="D167" s="20" t="s">
        <v>17</v>
      </c>
      <c r="E167" s="18">
        <v>2205</v>
      </c>
      <c r="F167" s="21">
        <v>0.47246100000000002</v>
      </c>
      <c r="G167" s="22">
        <v>9.3412599999999998E-2</v>
      </c>
      <c r="H167" s="15">
        <f t="shared" si="12"/>
        <v>0.31301488888888884</v>
      </c>
      <c r="I167" s="16">
        <f t="shared" si="13"/>
        <v>7.651850555555556E-2</v>
      </c>
      <c r="J167" s="12" t="str">
        <f t="shared" si="14"/>
        <v>No</v>
      </c>
      <c r="K167" s="13" t="str">
        <f t="shared" si="15"/>
        <v>No</v>
      </c>
    </row>
    <row r="168" spans="1:11" x14ac:dyDescent="0.3">
      <c r="A168" s="18" t="s">
        <v>42</v>
      </c>
      <c r="B168" s="29" t="s">
        <v>86</v>
      </c>
      <c r="C168" s="19">
        <v>46237</v>
      </c>
      <c r="D168" s="20" t="s">
        <v>18</v>
      </c>
      <c r="E168" s="18">
        <v>2383</v>
      </c>
      <c r="F168" s="21">
        <v>0.23527000000000001</v>
      </c>
      <c r="G168" s="22">
        <v>5.8520999999999997E-2</v>
      </c>
      <c r="H168" s="15">
        <f t="shared" si="12"/>
        <v>0.31301488888888884</v>
      </c>
      <c r="I168" s="16">
        <f t="shared" si="13"/>
        <v>7.651850555555556E-2</v>
      </c>
      <c r="J168" s="12" t="str">
        <f t="shared" si="14"/>
        <v>Yes</v>
      </c>
      <c r="K168" s="13" t="str">
        <f t="shared" si="15"/>
        <v>Yes</v>
      </c>
    </row>
    <row r="169" spans="1:11" x14ac:dyDescent="0.3">
      <c r="A169" s="18" t="s">
        <v>42</v>
      </c>
      <c r="B169" s="29" t="s">
        <v>86</v>
      </c>
      <c r="C169" s="19">
        <v>46237</v>
      </c>
      <c r="D169" s="20" t="s">
        <v>19</v>
      </c>
      <c r="E169" s="18">
        <v>2170</v>
      </c>
      <c r="F169" s="21">
        <v>0.31478899999999999</v>
      </c>
      <c r="G169" s="22">
        <v>6.7531099999999997E-2</v>
      </c>
      <c r="H169" s="15">
        <f t="shared" si="12"/>
        <v>0.31301488888888884</v>
      </c>
      <c r="I169" s="16">
        <f t="shared" si="13"/>
        <v>7.651850555555556E-2</v>
      </c>
      <c r="J169" s="12" t="str">
        <f t="shared" si="14"/>
        <v>No</v>
      </c>
      <c r="K169" s="13" t="str">
        <f t="shared" si="15"/>
        <v>Yes</v>
      </c>
    </row>
    <row r="170" spans="1:11" x14ac:dyDescent="0.3">
      <c r="A170" s="18" t="s">
        <v>42</v>
      </c>
      <c r="B170" s="29" t="s">
        <v>86</v>
      </c>
      <c r="C170" s="19">
        <v>46237</v>
      </c>
      <c r="D170" s="20" t="s">
        <v>20</v>
      </c>
      <c r="E170" s="18">
        <v>2313</v>
      </c>
      <c r="F170" s="21">
        <v>0.30069600000000002</v>
      </c>
      <c r="G170" s="22">
        <v>6.3357800000000006E-2</v>
      </c>
      <c r="H170" s="15">
        <f t="shared" si="12"/>
        <v>0.31301488888888884</v>
      </c>
      <c r="I170" s="16">
        <f t="shared" si="13"/>
        <v>7.651850555555556E-2</v>
      </c>
      <c r="J170" s="12" t="str">
        <f t="shared" si="14"/>
        <v>Yes</v>
      </c>
      <c r="K170" s="13" t="str">
        <f t="shared" si="15"/>
        <v>Yes</v>
      </c>
    </row>
    <row r="171" spans="1:11" x14ac:dyDescent="0.3">
      <c r="A171" s="18" t="s">
        <v>42</v>
      </c>
      <c r="B171" s="29" t="s">
        <v>86</v>
      </c>
      <c r="C171" s="19">
        <v>46237</v>
      </c>
      <c r="D171" s="20" t="s">
        <v>40</v>
      </c>
      <c r="E171" s="18">
        <v>1596</v>
      </c>
      <c r="F171" s="21">
        <v>0.167988</v>
      </c>
      <c r="G171" s="22">
        <v>4.9786400000000001E-2</v>
      </c>
      <c r="H171" s="15">
        <f t="shared" si="12"/>
        <v>0.31301488888888884</v>
      </c>
      <c r="I171" s="16">
        <f t="shared" si="13"/>
        <v>7.651850555555556E-2</v>
      </c>
      <c r="J171" s="12" t="str">
        <f t="shared" si="14"/>
        <v>Yes</v>
      </c>
      <c r="K171" s="13" t="str">
        <f t="shared" si="15"/>
        <v>Yes</v>
      </c>
    </row>
    <row r="172" spans="1:11" x14ac:dyDescent="0.3">
      <c r="A172" s="18" t="s">
        <v>42</v>
      </c>
      <c r="B172" s="29" t="s">
        <v>86</v>
      </c>
      <c r="C172" s="19">
        <v>46237</v>
      </c>
      <c r="D172" s="20" t="s">
        <v>21</v>
      </c>
      <c r="E172" s="18">
        <v>3368</v>
      </c>
      <c r="F172" s="21">
        <v>0.44997300000000001</v>
      </c>
      <c r="G172" s="22">
        <v>8.5777199999999998E-2</v>
      </c>
      <c r="H172" s="15">
        <f t="shared" si="12"/>
        <v>0.31301488888888884</v>
      </c>
      <c r="I172" s="16">
        <f t="shared" si="13"/>
        <v>7.651850555555556E-2</v>
      </c>
      <c r="J172" s="12" t="str">
        <f t="shared" si="14"/>
        <v>No</v>
      </c>
      <c r="K172" s="13" t="str">
        <f t="shared" si="15"/>
        <v>No</v>
      </c>
    </row>
    <row r="173" spans="1:11" x14ac:dyDescent="0.3">
      <c r="A173" s="18" t="s">
        <v>42</v>
      </c>
      <c r="B173" s="29" t="s">
        <v>86</v>
      </c>
      <c r="C173" s="19">
        <v>46237</v>
      </c>
      <c r="D173" s="20" t="s">
        <v>22</v>
      </c>
      <c r="E173" s="18">
        <v>1671</v>
      </c>
      <c r="F173" s="21">
        <v>0.47886200000000001</v>
      </c>
      <c r="G173" s="22">
        <v>0.12086</v>
      </c>
      <c r="H173" s="15">
        <f t="shared" si="12"/>
        <v>0.31301488888888884</v>
      </c>
      <c r="I173" s="16">
        <f t="shared" si="13"/>
        <v>7.651850555555556E-2</v>
      </c>
      <c r="J173" s="12" t="str">
        <f t="shared" si="14"/>
        <v>No</v>
      </c>
      <c r="K173" s="13" t="str">
        <f t="shared" si="15"/>
        <v>No</v>
      </c>
    </row>
    <row r="174" spans="1:11" x14ac:dyDescent="0.3">
      <c r="A174" s="18" t="s">
        <v>42</v>
      </c>
      <c r="B174" s="29" t="s">
        <v>86</v>
      </c>
      <c r="C174" s="19">
        <v>46237</v>
      </c>
      <c r="D174" s="20" t="s">
        <v>23</v>
      </c>
      <c r="E174" s="18">
        <v>1504</v>
      </c>
      <c r="F174" s="21">
        <v>0.31255899999999998</v>
      </c>
      <c r="G174" s="22">
        <v>0.110626</v>
      </c>
      <c r="H174" s="15">
        <f t="shared" si="12"/>
        <v>0.31301488888888884</v>
      </c>
      <c r="I174" s="16">
        <f t="shared" si="13"/>
        <v>7.651850555555556E-2</v>
      </c>
      <c r="J174" s="12" t="str">
        <f t="shared" si="14"/>
        <v>Yes</v>
      </c>
      <c r="K174" s="13" t="str">
        <f t="shared" si="15"/>
        <v>No</v>
      </c>
    </row>
    <row r="175" spans="1:11" x14ac:dyDescent="0.3">
      <c r="A175" s="18" t="s">
        <v>42</v>
      </c>
      <c r="B175" s="29" t="s">
        <v>86</v>
      </c>
      <c r="C175" s="19">
        <v>46237</v>
      </c>
      <c r="D175" s="20" t="s">
        <v>24</v>
      </c>
      <c r="E175" s="18">
        <v>2776</v>
      </c>
      <c r="F175" s="21">
        <v>0.242114</v>
      </c>
      <c r="G175" s="22">
        <v>7.6394299999999998E-2</v>
      </c>
      <c r="H175" s="15">
        <f t="shared" si="12"/>
        <v>0.31301488888888884</v>
      </c>
      <c r="I175" s="16">
        <f t="shared" si="13"/>
        <v>7.651850555555556E-2</v>
      </c>
      <c r="J175" s="12" t="str">
        <f t="shared" si="14"/>
        <v>Yes</v>
      </c>
      <c r="K175" s="13" t="str">
        <f t="shared" si="15"/>
        <v>Yes</v>
      </c>
    </row>
    <row r="176" spans="1:11" x14ac:dyDescent="0.3">
      <c r="A176" s="18" t="s">
        <v>42</v>
      </c>
      <c r="B176" s="29" t="s">
        <v>86</v>
      </c>
      <c r="C176" s="19">
        <v>46237</v>
      </c>
      <c r="D176" s="20" t="s">
        <v>25</v>
      </c>
      <c r="E176" s="18">
        <v>1564</v>
      </c>
      <c r="F176" s="21">
        <v>0.26510299999999998</v>
      </c>
      <c r="G176" s="22">
        <v>6.3127500000000003E-2</v>
      </c>
      <c r="H176" s="15">
        <f t="shared" si="12"/>
        <v>0.31301488888888884</v>
      </c>
      <c r="I176" s="16">
        <f t="shared" si="13"/>
        <v>7.651850555555556E-2</v>
      </c>
      <c r="J176" s="12" t="str">
        <f t="shared" si="14"/>
        <v>Yes</v>
      </c>
      <c r="K176" s="13" t="str">
        <f t="shared" si="15"/>
        <v>Yes</v>
      </c>
    </row>
    <row r="177" spans="1:11" x14ac:dyDescent="0.3">
      <c r="A177" s="18" t="s">
        <v>42</v>
      </c>
      <c r="B177" s="29" t="s">
        <v>86</v>
      </c>
      <c r="C177" s="19">
        <v>46237</v>
      </c>
      <c r="D177" s="20" t="s">
        <v>26</v>
      </c>
      <c r="E177" s="18">
        <v>2134</v>
      </c>
      <c r="F177" s="21">
        <v>0.18260199999999999</v>
      </c>
      <c r="G177" s="22">
        <v>5.5004400000000002E-2</v>
      </c>
      <c r="H177" s="15">
        <f t="shared" si="12"/>
        <v>0.31301488888888884</v>
      </c>
      <c r="I177" s="16">
        <f t="shared" si="13"/>
        <v>7.651850555555556E-2</v>
      </c>
      <c r="J177" s="12" t="str">
        <f t="shared" si="14"/>
        <v>Yes</v>
      </c>
      <c r="K177" s="13" t="str">
        <f t="shared" si="15"/>
        <v>Yes</v>
      </c>
    </row>
    <row r="178" spans="1:11" x14ac:dyDescent="0.3">
      <c r="A178" s="18" t="s">
        <v>42</v>
      </c>
      <c r="B178" s="29" t="s">
        <v>86</v>
      </c>
      <c r="C178" s="19">
        <v>46237</v>
      </c>
      <c r="D178" s="20" t="s">
        <v>27</v>
      </c>
      <c r="E178" s="18">
        <v>1805</v>
      </c>
      <c r="F178" s="21">
        <v>0.33567200000000003</v>
      </c>
      <c r="G178" s="22">
        <v>7.3140200000000002E-2</v>
      </c>
      <c r="H178" s="15">
        <f t="shared" si="12"/>
        <v>0.31301488888888884</v>
      </c>
      <c r="I178" s="16">
        <f t="shared" si="13"/>
        <v>7.651850555555556E-2</v>
      </c>
      <c r="J178" s="12" t="str">
        <f t="shared" si="14"/>
        <v>No</v>
      </c>
      <c r="K178" s="13" t="str">
        <f t="shared" si="15"/>
        <v>Yes</v>
      </c>
    </row>
    <row r="179" spans="1:11" x14ac:dyDescent="0.3">
      <c r="A179" s="18" t="s">
        <v>42</v>
      </c>
      <c r="B179" s="29" t="s">
        <v>86</v>
      </c>
      <c r="C179" s="19">
        <v>46237</v>
      </c>
      <c r="D179" s="20" t="s">
        <v>28</v>
      </c>
      <c r="E179" s="18">
        <v>1506</v>
      </c>
      <c r="F179" s="21">
        <v>0.237599</v>
      </c>
      <c r="G179" s="22">
        <v>5.0320799999999999E-2</v>
      </c>
      <c r="H179" s="15">
        <f t="shared" si="12"/>
        <v>0.31301488888888884</v>
      </c>
      <c r="I179" s="16">
        <f t="shared" si="13"/>
        <v>7.651850555555556E-2</v>
      </c>
      <c r="J179" s="12" t="str">
        <f t="shared" si="14"/>
        <v>Yes</v>
      </c>
      <c r="K179" s="13" t="str">
        <f t="shared" si="15"/>
        <v>Yes</v>
      </c>
    </row>
    <row r="180" spans="1:11" x14ac:dyDescent="0.3">
      <c r="A180" s="18" t="s">
        <v>42</v>
      </c>
      <c r="B180" s="29" t="s">
        <v>86</v>
      </c>
      <c r="C180" s="19">
        <v>46237</v>
      </c>
      <c r="D180" s="20" t="s">
        <v>29</v>
      </c>
      <c r="E180" s="18">
        <v>2592</v>
      </c>
      <c r="F180" s="21">
        <v>0.24665599999999999</v>
      </c>
      <c r="G180" s="22">
        <v>5.4342500000000002E-2</v>
      </c>
      <c r="H180" s="15">
        <f t="shared" si="12"/>
        <v>0.31301488888888884</v>
      </c>
      <c r="I180" s="16">
        <f t="shared" si="13"/>
        <v>7.651850555555556E-2</v>
      </c>
      <c r="J180" s="12" t="str">
        <f t="shared" si="14"/>
        <v>Yes</v>
      </c>
      <c r="K180" s="13" t="str">
        <f t="shared" si="15"/>
        <v>Yes</v>
      </c>
    </row>
    <row r="181" spans="1:11" x14ac:dyDescent="0.3">
      <c r="A181" s="18" t="s">
        <v>42</v>
      </c>
      <c r="B181" s="29" t="s">
        <v>86</v>
      </c>
      <c r="C181" s="19">
        <v>46237</v>
      </c>
      <c r="D181" s="20" t="s">
        <v>30</v>
      </c>
      <c r="E181" s="18">
        <v>1991</v>
      </c>
      <c r="F181" s="21">
        <v>0.364514</v>
      </c>
      <c r="G181" s="22">
        <v>6.9290500000000005E-2</v>
      </c>
      <c r="H181" s="15">
        <f t="shared" si="12"/>
        <v>0.31301488888888884</v>
      </c>
      <c r="I181" s="16">
        <f t="shared" si="13"/>
        <v>7.651850555555556E-2</v>
      </c>
      <c r="J181" s="12" t="str">
        <f t="shared" si="14"/>
        <v>No</v>
      </c>
      <c r="K181" s="13" t="str">
        <f t="shared" si="15"/>
        <v>Yes</v>
      </c>
    </row>
    <row r="182" spans="1:11" x14ac:dyDescent="0.3">
      <c r="A182" s="18" t="s">
        <v>42</v>
      </c>
      <c r="B182" s="29" t="s">
        <v>87</v>
      </c>
      <c r="C182" s="19">
        <v>46237</v>
      </c>
      <c r="D182" s="20" t="s">
        <v>14</v>
      </c>
      <c r="E182" s="18">
        <v>2529</v>
      </c>
      <c r="F182" s="21">
        <v>0.19736899999999999</v>
      </c>
      <c r="G182" s="22">
        <v>5.3979199999999998E-2</v>
      </c>
      <c r="H182" s="15">
        <f t="shared" si="12"/>
        <v>0.32503816666666663</v>
      </c>
      <c r="I182" s="16">
        <f t="shared" si="13"/>
        <v>7.8212433333333331E-2</v>
      </c>
      <c r="J182" s="12" t="str">
        <f t="shared" si="14"/>
        <v>Yes</v>
      </c>
      <c r="K182" s="13" t="str">
        <f t="shared" si="15"/>
        <v>Yes</v>
      </c>
    </row>
    <row r="183" spans="1:11" x14ac:dyDescent="0.3">
      <c r="A183" s="18" t="s">
        <v>42</v>
      </c>
      <c r="B183" s="29" t="s">
        <v>87</v>
      </c>
      <c r="C183" s="19">
        <v>46237</v>
      </c>
      <c r="D183" s="20" t="s">
        <v>15</v>
      </c>
      <c r="E183" s="18">
        <v>2434</v>
      </c>
      <c r="F183" s="21">
        <v>0.40239999999999998</v>
      </c>
      <c r="G183" s="22">
        <v>0.102562</v>
      </c>
      <c r="H183" s="15">
        <f t="shared" si="12"/>
        <v>0.32503816666666663</v>
      </c>
      <c r="I183" s="16">
        <f t="shared" si="13"/>
        <v>7.8212433333333331E-2</v>
      </c>
      <c r="J183" s="12" t="str">
        <f t="shared" si="14"/>
        <v>No</v>
      </c>
      <c r="K183" s="13" t="str">
        <f t="shared" si="15"/>
        <v>No</v>
      </c>
    </row>
    <row r="184" spans="1:11" x14ac:dyDescent="0.3">
      <c r="A184" s="18" t="s">
        <v>42</v>
      </c>
      <c r="B184" s="29" t="s">
        <v>87</v>
      </c>
      <c r="C184" s="19">
        <v>46237</v>
      </c>
      <c r="D184" s="20" t="s">
        <v>16</v>
      </c>
      <c r="E184" s="18">
        <v>2472</v>
      </c>
      <c r="F184" s="21">
        <v>0.373303</v>
      </c>
      <c r="G184" s="22">
        <v>8.31152E-2</v>
      </c>
      <c r="H184" s="15">
        <f t="shared" si="12"/>
        <v>0.32503816666666663</v>
      </c>
      <c r="I184" s="16">
        <f t="shared" si="13"/>
        <v>7.8212433333333331E-2</v>
      </c>
      <c r="J184" s="12" t="str">
        <f t="shared" si="14"/>
        <v>No</v>
      </c>
      <c r="K184" s="13" t="str">
        <f t="shared" si="15"/>
        <v>No</v>
      </c>
    </row>
    <row r="185" spans="1:11" x14ac:dyDescent="0.3">
      <c r="A185" s="18" t="s">
        <v>42</v>
      </c>
      <c r="B185" s="29" t="s">
        <v>87</v>
      </c>
      <c r="C185" s="19">
        <v>46237</v>
      </c>
      <c r="D185" s="20" t="s">
        <v>17</v>
      </c>
      <c r="E185" s="18">
        <v>2227</v>
      </c>
      <c r="F185" s="21">
        <v>0.44384499999999999</v>
      </c>
      <c r="G185" s="22">
        <v>9.0625700000000003E-2</v>
      </c>
      <c r="H185" s="15">
        <f t="shared" si="12"/>
        <v>0.32503816666666663</v>
      </c>
      <c r="I185" s="16">
        <f t="shared" si="13"/>
        <v>7.8212433333333331E-2</v>
      </c>
      <c r="J185" s="12" t="str">
        <f t="shared" si="14"/>
        <v>No</v>
      </c>
      <c r="K185" s="13" t="str">
        <f t="shared" si="15"/>
        <v>No</v>
      </c>
    </row>
    <row r="186" spans="1:11" x14ac:dyDescent="0.3">
      <c r="A186" s="18" t="s">
        <v>42</v>
      </c>
      <c r="B186" s="29" t="s">
        <v>87</v>
      </c>
      <c r="C186" s="19">
        <v>46237</v>
      </c>
      <c r="D186" s="20" t="s">
        <v>18</v>
      </c>
      <c r="E186" s="18">
        <v>2847</v>
      </c>
      <c r="F186" s="21">
        <v>0.23527000000000001</v>
      </c>
      <c r="G186" s="22">
        <v>5.8520999999999997E-2</v>
      </c>
      <c r="H186" s="15">
        <f t="shared" si="12"/>
        <v>0.32503816666666663</v>
      </c>
      <c r="I186" s="16">
        <f t="shared" si="13"/>
        <v>7.8212433333333331E-2</v>
      </c>
      <c r="J186" s="12" t="str">
        <f t="shared" si="14"/>
        <v>Yes</v>
      </c>
      <c r="K186" s="13" t="str">
        <f t="shared" si="15"/>
        <v>Yes</v>
      </c>
    </row>
    <row r="187" spans="1:11" x14ac:dyDescent="0.3">
      <c r="A187" s="18" t="s">
        <v>42</v>
      </c>
      <c r="B187" s="29" t="s">
        <v>87</v>
      </c>
      <c r="C187" s="19">
        <v>46237</v>
      </c>
      <c r="D187" s="20" t="s">
        <v>19</v>
      </c>
      <c r="E187" s="18">
        <v>2586</v>
      </c>
      <c r="F187" s="21">
        <v>0.384272</v>
      </c>
      <c r="G187" s="22">
        <v>7.7091900000000005E-2</v>
      </c>
      <c r="H187" s="15">
        <f t="shared" si="12"/>
        <v>0.32503816666666663</v>
      </c>
      <c r="I187" s="16">
        <f t="shared" si="13"/>
        <v>7.8212433333333331E-2</v>
      </c>
      <c r="J187" s="12" t="str">
        <f t="shared" si="14"/>
        <v>No</v>
      </c>
      <c r="K187" s="13" t="str">
        <f t="shared" si="15"/>
        <v>Yes</v>
      </c>
    </row>
    <row r="188" spans="1:11" x14ac:dyDescent="0.3">
      <c r="A188" s="18" t="s">
        <v>42</v>
      </c>
      <c r="B188" s="29" t="s">
        <v>87</v>
      </c>
      <c r="C188" s="19">
        <v>46237</v>
      </c>
      <c r="D188" s="20" t="s">
        <v>20</v>
      </c>
      <c r="E188" s="18">
        <v>2350</v>
      </c>
      <c r="F188" s="21">
        <v>0.36795899999999998</v>
      </c>
      <c r="G188" s="22">
        <v>7.3715699999999995E-2</v>
      </c>
      <c r="H188" s="15">
        <f t="shared" si="12"/>
        <v>0.32503816666666663</v>
      </c>
      <c r="I188" s="16">
        <f t="shared" si="13"/>
        <v>7.8212433333333331E-2</v>
      </c>
      <c r="J188" s="12" t="str">
        <f t="shared" si="14"/>
        <v>No</v>
      </c>
      <c r="K188" s="13" t="str">
        <f t="shared" si="15"/>
        <v>Yes</v>
      </c>
    </row>
    <row r="189" spans="1:11" x14ac:dyDescent="0.3">
      <c r="A189" s="18" t="s">
        <v>42</v>
      </c>
      <c r="B189" s="29" t="s">
        <v>87</v>
      </c>
      <c r="C189" s="19">
        <v>46237</v>
      </c>
      <c r="D189" s="20" t="s">
        <v>40</v>
      </c>
      <c r="E189" s="18">
        <v>1620</v>
      </c>
      <c r="F189" s="21">
        <v>0.18529899999999999</v>
      </c>
      <c r="G189" s="22">
        <v>5.3656599999999999E-2</v>
      </c>
      <c r="H189" s="15">
        <f t="shared" si="12"/>
        <v>0.32503816666666663</v>
      </c>
      <c r="I189" s="16">
        <f t="shared" si="13"/>
        <v>7.8212433333333331E-2</v>
      </c>
      <c r="J189" s="12" t="str">
        <f t="shared" si="14"/>
        <v>Yes</v>
      </c>
      <c r="K189" s="13" t="str">
        <f t="shared" si="15"/>
        <v>Yes</v>
      </c>
    </row>
    <row r="190" spans="1:11" x14ac:dyDescent="0.3">
      <c r="A190" s="18" t="s">
        <v>42</v>
      </c>
      <c r="B190" s="29" t="s">
        <v>87</v>
      </c>
      <c r="C190" s="19">
        <v>46237</v>
      </c>
      <c r="D190" s="20" t="s">
        <v>21</v>
      </c>
      <c r="E190" s="18">
        <v>4051</v>
      </c>
      <c r="F190" s="21">
        <v>0.44907000000000002</v>
      </c>
      <c r="G190" s="22">
        <v>9.1503399999999999E-2</v>
      </c>
      <c r="H190" s="15">
        <f t="shared" si="12"/>
        <v>0.32503816666666663</v>
      </c>
      <c r="I190" s="16">
        <f t="shared" si="13"/>
        <v>7.8212433333333331E-2</v>
      </c>
      <c r="J190" s="12" t="str">
        <f t="shared" si="14"/>
        <v>No</v>
      </c>
      <c r="K190" s="13" t="str">
        <f t="shared" si="15"/>
        <v>No</v>
      </c>
    </row>
    <row r="191" spans="1:11" x14ac:dyDescent="0.3">
      <c r="A191" s="18" t="s">
        <v>42</v>
      </c>
      <c r="B191" s="29" t="s">
        <v>87</v>
      </c>
      <c r="C191" s="19">
        <v>46237</v>
      </c>
      <c r="D191" s="20" t="s">
        <v>22</v>
      </c>
      <c r="E191" s="18">
        <v>2289</v>
      </c>
      <c r="F191" s="21">
        <v>0.40045399999999998</v>
      </c>
      <c r="G191" s="22">
        <v>0.111335</v>
      </c>
      <c r="H191" s="15">
        <f t="shared" si="12"/>
        <v>0.32503816666666663</v>
      </c>
      <c r="I191" s="16">
        <f t="shared" si="13"/>
        <v>7.8212433333333331E-2</v>
      </c>
      <c r="J191" s="12" t="str">
        <f t="shared" si="14"/>
        <v>No</v>
      </c>
      <c r="K191" s="13" t="str">
        <f t="shared" si="15"/>
        <v>No</v>
      </c>
    </row>
    <row r="192" spans="1:11" x14ac:dyDescent="0.3">
      <c r="A192" s="18" t="s">
        <v>42</v>
      </c>
      <c r="B192" s="29" t="s">
        <v>87</v>
      </c>
      <c r="C192" s="19">
        <v>46237</v>
      </c>
      <c r="D192" s="20" t="s">
        <v>23</v>
      </c>
      <c r="E192" s="18">
        <v>1649</v>
      </c>
      <c r="F192" s="21">
        <v>0.31080999999999998</v>
      </c>
      <c r="G192" s="22">
        <v>0.101536</v>
      </c>
      <c r="H192" s="15">
        <f t="shared" si="12"/>
        <v>0.32503816666666663</v>
      </c>
      <c r="I192" s="16">
        <f t="shared" si="13"/>
        <v>7.8212433333333331E-2</v>
      </c>
      <c r="J192" s="12" t="str">
        <f t="shared" si="14"/>
        <v>Yes</v>
      </c>
      <c r="K192" s="13" t="str">
        <f t="shared" si="15"/>
        <v>No</v>
      </c>
    </row>
    <row r="193" spans="1:11" x14ac:dyDescent="0.3">
      <c r="A193" s="18" t="s">
        <v>42</v>
      </c>
      <c r="B193" s="29" t="s">
        <v>87</v>
      </c>
      <c r="C193" s="19">
        <v>46237</v>
      </c>
      <c r="D193" s="20" t="s">
        <v>24</v>
      </c>
      <c r="E193" s="18">
        <v>3170</v>
      </c>
      <c r="F193" s="21">
        <v>0.20591000000000001</v>
      </c>
      <c r="G193" s="22">
        <v>6.5986100000000006E-2</v>
      </c>
      <c r="H193" s="15">
        <f t="shared" si="12"/>
        <v>0.32503816666666663</v>
      </c>
      <c r="I193" s="16">
        <f t="shared" si="13"/>
        <v>7.8212433333333331E-2</v>
      </c>
      <c r="J193" s="12" t="str">
        <f t="shared" si="14"/>
        <v>Yes</v>
      </c>
      <c r="K193" s="13" t="str">
        <f t="shared" si="15"/>
        <v>Yes</v>
      </c>
    </row>
    <row r="194" spans="1:11" x14ac:dyDescent="0.3">
      <c r="A194" s="18" t="s">
        <v>42</v>
      </c>
      <c r="B194" s="29" t="s">
        <v>87</v>
      </c>
      <c r="C194" s="19">
        <v>46237</v>
      </c>
      <c r="D194" s="20" t="s">
        <v>25</v>
      </c>
      <c r="E194" s="18">
        <v>1504</v>
      </c>
      <c r="F194" s="21">
        <v>0.21273800000000001</v>
      </c>
      <c r="G194" s="22">
        <v>5.37966E-2</v>
      </c>
      <c r="H194" s="15">
        <f t="shared" si="12"/>
        <v>0.32503816666666663</v>
      </c>
      <c r="I194" s="16">
        <f t="shared" si="13"/>
        <v>7.8212433333333331E-2</v>
      </c>
      <c r="J194" s="12" t="str">
        <f t="shared" si="14"/>
        <v>Yes</v>
      </c>
      <c r="K194" s="13" t="str">
        <f t="shared" si="15"/>
        <v>Yes</v>
      </c>
    </row>
    <row r="195" spans="1:11" x14ac:dyDescent="0.3">
      <c r="A195" s="18" t="s">
        <v>42</v>
      </c>
      <c r="B195" s="29" t="s">
        <v>87</v>
      </c>
      <c r="C195" s="19">
        <v>46237</v>
      </c>
      <c r="D195" s="20" t="s">
        <v>26</v>
      </c>
      <c r="E195" s="18">
        <v>1926</v>
      </c>
      <c r="F195" s="21">
        <v>0.206868</v>
      </c>
      <c r="G195" s="22">
        <v>6.5720299999999995E-2</v>
      </c>
      <c r="H195" s="15">
        <f t="shared" ref="H195:H258" si="16">IFERROR(AVERAGEIFS($F:$F, $A:$A, $A195, $B:$B,$B195, $C:$C,$C195),"")</f>
        <v>0.32503816666666663</v>
      </c>
      <c r="I195" s="16">
        <f t="shared" ref="I195:I258" si="17">IFERROR(AVERAGEIFS($G:$G, $A:$A, $A195, $B:$B,$B195, $C:$C,$C195),"")</f>
        <v>7.8212433333333331E-2</v>
      </c>
      <c r="J195" s="12" t="str">
        <f t="shared" si="14"/>
        <v>Yes</v>
      </c>
      <c r="K195" s="13" t="str">
        <f t="shared" si="15"/>
        <v>Yes</v>
      </c>
    </row>
    <row r="196" spans="1:11" x14ac:dyDescent="0.3">
      <c r="A196" s="18" t="s">
        <v>42</v>
      </c>
      <c r="B196" s="29" t="s">
        <v>87</v>
      </c>
      <c r="C196" s="19">
        <v>46237</v>
      </c>
      <c r="D196" s="20" t="s">
        <v>27</v>
      </c>
      <c r="E196" s="18">
        <v>2047</v>
      </c>
      <c r="F196" s="21">
        <v>0.34014499999999998</v>
      </c>
      <c r="G196" s="22">
        <v>8.1698800000000002E-2</v>
      </c>
      <c r="H196" s="15">
        <f t="shared" si="16"/>
        <v>0.32503816666666663</v>
      </c>
      <c r="I196" s="16">
        <f t="shared" si="17"/>
        <v>7.8212433333333331E-2</v>
      </c>
      <c r="J196" s="12" t="str">
        <f t="shared" si="14"/>
        <v>No</v>
      </c>
      <c r="K196" s="13" t="str">
        <f t="shared" si="15"/>
        <v>No</v>
      </c>
    </row>
    <row r="197" spans="1:11" x14ac:dyDescent="0.3">
      <c r="A197" s="18" t="s">
        <v>42</v>
      </c>
      <c r="B197" s="29" t="s">
        <v>87</v>
      </c>
      <c r="C197" s="19">
        <v>46237</v>
      </c>
      <c r="D197" s="20" t="s">
        <v>28</v>
      </c>
      <c r="E197" s="18">
        <v>1611</v>
      </c>
      <c r="F197" s="21">
        <v>0.33842299999999997</v>
      </c>
      <c r="G197" s="22">
        <v>8.0177899999999996E-2</v>
      </c>
      <c r="H197" s="15">
        <f t="shared" si="16"/>
        <v>0.32503816666666663</v>
      </c>
      <c r="I197" s="16">
        <f t="shared" si="17"/>
        <v>7.8212433333333331E-2</v>
      </c>
      <c r="J197" s="12" t="str">
        <f t="shared" si="14"/>
        <v>No</v>
      </c>
      <c r="K197" s="13" t="str">
        <f t="shared" si="15"/>
        <v>No</v>
      </c>
    </row>
    <row r="198" spans="1:11" x14ac:dyDescent="0.3">
      <c r="A198" s="18" t="s">
        <v>42</v>
      </c>
      <c r="B198" s="29" t="s">
        <v>87</v>
      </c>
      <c r="C198" s="19">
        <v>46237</v>
      </c>
      <c r="D198" s="20" t="s">
        <v>29</v>
      </c>
      <c r="E198" s="18">
        <v>2467</v>
      </c>
      <c r="F198" s="21">
        <v>0.383046</v>
      </c>
      <c r="G198" s="22">
        <v>7.6463900000000001E-2</v>
      </c>
      <c r="H198" s="15">
        <f t="shared" si="16"/>
        <v>0.32503816666666663</v>
      </c>
      <c r="I198" s="16">
        <f t="shared" si="17"/>
        <v>7.8212433333333331E-2</v>
      </c>
      <c r="J198" s="12" t="str">
        <f t="shared" si="14"/>
        <v>No</v>
      </c>
      <c r="K198" s="13" t="str">
        <f t="shared" si="15"/>
        <v>Yes</v>
      </c>
    </row>
    <row r="199" spans="1:11" x14ac:dyDescent="0.3">
      <c r="A199" s="18" t="s">
        <v>42</v>
      </c>
      <c r="B199" s="29" t="s">
        <v>87</v>
      </c>
      <c r="C199" s="19">
        <v>46237</v>
      </c>
      <c r="D199" s="20" t="s">
        <v>30</v>
      </c>
      <c r="E199" s="18">
        <v>1997</v>
      </c>
      <c r="F199" s="21">
        <v>0.41350599999999998</v>
      </c>
      <c r="G199" s="22">
        <v>8.6338499999999999E-2</v>
      </c>
      <c r="H199" s="15">
        <f t="shared" si="16"/>
        <v>0.32503816666666663</v>
      </c>
      <c r="I199" s="16">
        <f t="shared" si="17"/>
        <v>7.8212433333333331E-2</v>
      </c>
      <c r="J199" s="12" t="str">
        <f t="shared" si="14"/>
        <v>No</v>
      </c>
      <c r="K199" s="13" t="str">
        <f t="shared" si="15"/>
        <v>No</v>
      </c>
    </row>
    <row r="200" spans="1:11" x14ac:dyDescent="0.3">
      <c r="A200" s="18" t="s">
        <v>41</v>
      </c>
      <c r="B200" s="29" t="s">
        <v>50</v>
      </c>
      <c r="C200" s="19">
        <v>46237</v>
      </c>
      <c r="D200" s="20" t="s">
        <v>14</v>
      </c>
      <c r="E200" s="18">
        <v>2303</v>
      </c>
      <c r="F200" s="21">
        <v>0.18865100000000001</v>
      </c>
      <c r="G200" s="22">
        <v>5.7477100000000003E-2</v>
      </c>
      <c r="H200" s="15">
        <f t="shared" si="16"/>
        <v>0.37600283333333329</v>
      </c>
      <c r="I200" s="16">
        <f t="shared" si="17"/>
        <v>9.034650000000001E-2</v>
      </c>
    </row>
    <row r="201" spans="1:11" x14ac:dyDescent="0.3">
      <c r="A201" s="18" t="s">
        <v>41</v>
      </c>
      <c r="B201" s="29" t="s">
        <v>50</v>
      </c>
      <c r="C201" s="19">
        <v>46237</v>
      </c>
      <c r="D201" s="20" t="s">
        <v>15</v>
      </c>
      <c r="E201" s="18">
        <v>2379</v>
      </c>
      <c r="F201" s="21">
        <v>0.37706499999999998</v>
      </c>
      <c r="G201" s="22">
        <v>0.10617699999999999</v>
      </c>
      <c r="H201" s="15">
        <f t="shared" si="16"/>
        <v>0.37600283333333329</v>
      </c>
      <c r="I201" s="16">
        <f t="shared" si="17"/>
        <v>9.034650000000001E-2</v>
      </c>
    </row>
    <row r="202" spans="1:11" x14ac:dyDescent="0.3">
      <c r="A202" s="18" t="s">
        <v>41</v>
      </c>
      <c r="B202" s="29" t="s">
        <v>50</v>
      </c>
      <c r="C202" s="19">
        <v>46237</v>
      </c>
      <c r="D202" s="20" t="s">
        <v>16</v>
      </c>
      <c r="E202" s="18">
        <v>2183</v>
      </c>
      <c r="F202" s="21">
        <v>0.47255399999999997</v>
      </c>
      <c r="G202" s="22">
        <v>0.118227</v>
      </c>
      <c r="H202" s="15">
        <f t="shared" si="16"/>
        <v>0.37600283333333329</v>
      </c>
      <c r="I202" s="16">
        <f t="shared" si="17"/>
        <v>9.034650000000001E-2</v>
      </c>
    </row>
    <row r="203" spans="1:11" x14ac:dyDescent="0.3">
      <c r="A203" s="18" t="s">
        <v>41</v>
      </c>
      <c r="B203" s="29" t="s">
        <v>50</v>
      </c>
      <c r="C203" s="19">
        <v>46237</v>
      </c>
      <c r="D203" s="20" t="s">
        <v>17</v>
      </c>
      <c r="E203" s="18">
        <v>2342</v>
      </c>
      <c r="F203" s="21">
        <v>0.44384499999999999</v>
      </c>
      <c r="G203" s="22">
        <v>9.0625700000000003E-2</v>
      </c>
      <c r="H203" s="15">
        <f t="shared" si="16"/>
        <v>0.37600283333333329</v>
      </c>
      <c r="I203" s="16">
        <f t="shared" si="17"/>
        <v>9.034650000000001E-2</v>
      </c>
    </row>
    <row r="204" spans="1:11" x14ac:dyDescent="0.3">
      <c r="A204" s="18" t="s">
        <v>41</v>
      </c>
      <c r="B204" s="29" t="s">
        <v>50</v>
      </c>
      <c r="C204" s="19">
        <v>46237</v>
      </c>
      <c r="D204" s="20" t="s">
        <v>18</v>
      </c>
      <c r="E204" s="18">
        <v>2076</v>
      </c>
      <c r="F204" s="21">
        <v>0.28808499999999998</v>
      </c>
      <c r="G204" s="22">
        <v>7.16387E-2</v>
      </c>
      <c r="H204" s="15">
        <f t="shared" si="16"/>
        <v>0.37600283333333329</v>
      </c>
      <c r="I204" s="16">
        <f t="shared" si="17"/>
        <v>9.034650000000001E-2</v>
      </c>
    </row>
    <row r="205" spans="1:11" x14ac:dyDescent="0.3">
      <c r="A205" s="18" t="s">
        <v>41</v>
      </c>
      <c r="B205" s="29" t="s">
        <v>50</v>
      </c>
      <c r="C205" s="19">
        <v>46237</v>
      </c>
      <c r="D205" s="20" t="s">
        <v>19</v>
      </c>
      <c r="E205" s="18">
        <v>2133</v>
      </c>
      <c r="F205" s="21">
        <v>0.44758999999999999</v>
      </c>
      <c r="G205" s="22">
        <v>9.6034400000000006E-2</v>
      </c>
      <c r="H205" s="15">
        <f t="shared" si="16"/>
        <v>0.37600283333333329</v>
      </c>
      <c r="I205" s="16">
        <f t="shared" si="17"/>
        <v>9.034650000000001E-2</v>
      </c>
    </row>
    <row r="206" spans="1:11" x14ac:dyDescent="0.3">
      <c r="A206" s="18" t="s">
        <v>41</v>
      </c>
      <c r="B206" s="29" t="s">
        <v>50</v>
      </c>
      <c r="C206" s="19">
        <v>46237</v>
      </c>
      <c r="D206" s="20" t="s">
        <v>20</v>
      </c>
      <c r="E206" s="18">
        <v>2387</v>
      </c>
      <c r="F206" s="21">
        <v>0.48196299999999997</v>
      </c>
      <c r="G206" s="22">
        <v>0.10152</v>
      </c>
      <c r="H206" s="15">
        <f t="shared" si="16"/>
        <v>0.37600283333333329</v>
      </c>
      <c r="I206" s="16">
        <f t="shared" si="17"/>
        <v>9.034650000000001E-2</v>
      </c>
    </row>
    <row r="207" spans="1:11" x14ac:dyDescent="0.3">
      <c r="A207" s="18" t="s">
        <v>41</v>
      </c>
      <c r="B207" s="29" t="s">
        <v>50</v>
      </c>
      <c r="C207" s="19">
        <v>46237</v>
      </c>
      <c r="D207" s="20" t="s">
        <v>40</v>
      </c>
      <c r="E207" s="18">
        <v>1147</v>
      </c>
      <c r="F207" s="21">
        <v>0.29599300000000001</v>
      </c>
      <c r="G207" s="22">
        <v>8.7792800000000004E-2</v>
      </c>
      <c r="H207" s="15">
        <f t="shared" si="16"/>
        <v>0.37600283333333329</v>
      </c>
      <c r="I207" s="16">
        <f t="shared" si="17"/>
        <v>9.034650000000001E-2</v>
      </c>
    </row>
    <row r="208" spans="1:11" x14ac:dyDescent="0.3">
      <c r="A208" s="18" t="s">
        <v>41</v>
      </c>
      <c r="B208" s="29" t="s">
        <v>50</v>
      </c>
      <c r="C208" s="19">
        <v>46237</v>
      </c>
      <c r="D208" s="20" t="s">
        <v>21</v>
      </c>
      <c r="E208" s="18">
        <v>3654</v>
      </c>
      <c r="F208" s="21">
        <v>0.40145799999999998</v>
      </c>
      <c r="G208" s="22">
        <v>7.6540499999999997E-2</v>
      </c>
      <c r="H208" s="15">
        <f t="shared" si="16"/>
        <v>0.37600283333333329</v>
      </c>
      <c r="I208" s="16">
        <f t="shared" si="17"/>
        <v>9.034650000000001E-2</v>
      </c>
    </row>
    <row r="209" spans="1:9" x14ac:dyDescent="0.3">
      <c r="A209" s="18" t="s">
        <v>41</v>
      </c>
      <c r="B209" s="29" t="s">
        <v>50</v>
      </c>
      <c r="C209" s="19">
        <v>46237</v>
      </c>
      <c r="D209" s="20" t="s">
        <v>22</v>
      </c>
      <c r="E209" s="18">
        <v>2570</v>
      </c>
      <c r="F209" s="21">
        <v>0.32884799999999997</v>
      </c>
      <c r="G209" s="22">
        <v>8.3027799999999999E-2</v>
      </c>
      <c r="H209" s="15">
        <f t="shared" si="16"/>
        <v>0.37600283333333329</v>
      </c>
      <c r="I209" s="16">
        <f t="shared" si="17"/>
        <v>9.034650000000001E-2</v>
      </c>
    </row>
    <row r="210" spans="1:9" x14ac:dyDescent="0.3">
      <c r="A210" s="18" t="s">
        <v>41</v>
      </c>
      <c r="B210" s="29" t="s">
        <v>50</v>
      </c>
      <c r="C210" s="19">
        <v>46237</v>
      </c>
      <c r="D210" s="20" t="s">
        <v>23</v>
      </c>
      <c r="E210" s="18">
        <v>1090</v>
      </c>
      <c r="F210" s="21">
        <v>0.27263700000000002</v>
      </c>
      <c r="G210" s="22">
        <v>9.6549800000000005E-2</v>
      </c>
      <c r="H210" s="15">
        <f t="shared" si="16"/>
        <v>0.37600283333333329</v>
      </c>
      <c r="I210" s="16">
        <f t="shared" si="17"/>
        <v>9.034650000000001E-2</v>
      </c>
    </row>
    <row r="211" spans="1:9" x14ac:dyDescent="0.3">
      <c r="A211" s="18" t="s">
        <v>41</v>
      </c>
      <c r="B211" s="29" t="s">
        <v>50</v>
      </c>
      <c r="C211" s="19">
        <v>46237</v>
      </c>
      <c r="D211" s="20" t="s">
        <v>24</v>
      </c>
      <c r="E211" s="18">
        <v>2661</v>
      </c>
      <c r="F211" s="21">
        <v>0.389735</v>
      </c>
      <c r="G211" s="22">
        <v>0.12311800000000001</v>
      </c>
      <c r="H211" s="15">
        <f t="shared" si="16"/>
        <v>0.37600283333333329</v>
      </c>
      <c r="I211" s="16">
        <f t="shared" si="17"/>
        <v>9.034650000000001E-2</v>
      </c>
    </row>
    <row r="212" spans="1:9" x14ac:dyDescent="0.3">
      <c r="A212" s="18" t="s">
        <v>41</v>
      </c>
      <c r="B212" s="29" t="s">
        <v>50</v>
      </c>
      <c r="C212" s="19">
        <v>46237</v>
      </c>
      <c r="D212" s="20" t="s">
        <v>25</v>
      </c>
      <c r="E212" s="18">
        <v>1004</v>
      </c>
      <c r="F212" s="21">
        <v>0.179206</v>
      </c>
      <c r="G212" s="22">
        <v>4.2684399999999997E-2</v>
      </c>
      <c r="H212" s="15">
        <f t="shared" si="16"/>
        <v>0.37600283333333329</v>
      </c>
      <c r="I212" s="16">
        <f t="shared" si="17"/>
        <v>9.034650000000001E-2</v>
      </c>
    </row>
    <row r="213" spans="1:9" x14ac:dyDescent="0.3">
      <c r="A213" s="18" t="s">
        <v>41</v>
      </c>
      <c r="B213" s="29" t="s">
        <v>50</v>
      </c>
      <c r="C213" s="19">
        <v>46237</v>
      </c>
      <c r="D213" s="20" t="s">
        <v>26</v>
      </c>
      <c r="E213" s="18">
        <v>2844</v>
      </c>
      <c r="F213" s="21">
        <v>0.230881</v>
      </c>
      <c r="G213" s="22">
        <v>6.9537399999999999E-2</v>
      </c>
      <c r="H213" s="15">
        <f t="shared" si="16"/>
        <v>0.37600283333333329</v>
      </c>
      <c r="I213" s="16">
        <f t="shared" si="17"/>
        <v>9.034650000000001E-2</v>
      </c>
    </row>
    <row r="214" spans="1:9" x14ac:dyDescent="0.3">
      <c r="A214" s="18" t="s">
        <v>41</v>
      </c>
      <c r="B214" s="29" t="s">
        <v>50</v>
      </c>
      <c r="C214" s="19">
        <v>46237</v>
      </c>
      <c r="D214" s="20" t="s">
        <v>27</v>
      </c>
      <c r="E214" s="18">
        <v>2740</v>
      </c>
      <c r="F214" s="21">
        <v>0.37662899999999999</v>
      </c>
      <c r="G214" s="22">
        <v>8.2053500000000001E-2</v>
      </c>
      <c r="H214" s="15">
        <f t="shared" si="16"/>
        <v>0.37600283333333329</v>
      </c>
      <c r="I214" s="16">
        <f t="shared" si="17"/>
        <v>9.034650000000001E-2</v>
      </c>
    </row>
    <row r="215" spans="1:9" x14ac:dyDescent="0.3">
      <c r="A215" s="18" t="s">
        <v>41</v>
      </c>
      <c r="B215" s="29" t="s">
        <v>50</v>
      </c>
      <c r="C215" s="19">
        <v>46237</v>
      </c>
      <c r="D215" s="20" t="s">
        <v>28</v>
      </c>
      <c r="E215" s="18">
        <v>1675</v>
      </c>
      <c r="F215" s="21">
        <v>0.451706</v>
      </c>
      <c r="G215" s="22">
        <v>9.5755999999999994E-2</v>
      </c>
      <c r="H215" s="15">
        <f t="shared" si="16"/>
        <v>0.37600283333333329</v>
      </c>
      <c r="I215" s="16">
        <f t="shared" si="17"/>
        <v>9.034650000000001E-2</v>
      </c>
    </row>
    <row r="216" spans="1:9" x14ac:dyDescent="0.3">
      <c r="A216" s="18" t="s">
        <v>41</v>
      </c>
      <c r="B216" s="29" t="s">
        <v>50</v>
      </c>
      <c r="C216" s="19">
        <v>46237</v>
      </c>
      <c r="D216" s="20" t="s">
        <v>29</v>
      </c>
      <c r="E216" s="18">
        <v>1654</v>
      </c>
      <c r="F216" s="21">
        <v>0.34387499999999999</v>
      </c>
      <c r="G216" s="22">
        <v>7.5786900000000004E-2</v>
      </c>
      <c r="H216" s="15">
        <f t="shared" si="16"/>
        <v>0.37600283333333329</v>
      </c>
      <c r="I216" s="16">
        <f t="shared" si="17"/>
        <v>9.034650000000001E-2</v>
      </c>
    </row>
    <row r="217" spans="1:9" x14ac:dyDescent="0.3">
      <c r="A217" s="18" t="s">
        <v>41</v>
      </c>
      <c r="B217" s="29" t="s">
        <v>50</v>
      </c>
      <c r="C217" s="19">
        <v>46237</v>
      </c>
      <c r="D217" s="20" t="s">
        <v>30</v>
      </c>
      <c r="E217" s="18">
        <v>1257</v>
      </c>
      <c r="F217" s="21">
        <v>0.79732999999999998</v>
      </c>
      <c r="G217" s="22">
        <v>0.15168999999999999</v>
      </c>
      <c r="H217" s="15">
        <f t="shared" si="16"/>
        <v>0.37600283333333329</v>
      </c>
      <c r="I217" s="16">
        <f t="shared" si="17"/>
        <v>9.034650000000001E-2</v>
      </c>
    </row>
    <row r="218" spans="1:9" x14ac:dyDescent="0.3">
      <c r="A218" s="18" t="s">
        <v>41</v>
      </c>
      <c r="B218" s="29" t="s">
        <v>50</v>
      </c>
      <c r="C218" s="19">
        <v>46238</v>
      </c>
      <c r="D218" s="20" t="s">
        <v>14</v>
      </c>
      <c r="E218" s="18">
        <v>2658</v>
      </c>
      <c r="F218" s="21">
        <v>0.44472400000000001</v>
      </c>
      <c r="G218" s="22">
        <v>0.12504399999999999</v>
      </c>
      <c r="H218" s="15">
        <f t="shared" si="16"/>
        <v>0.40401527777777774</v>
      </c>
      <c r="I218" s="16">
        <f t="shared" si="17"/>
        <v>9.6629455555555549E-2</v>
      </c>
    </row>
    <row r="219" spans="1:9" x14ac:dyDescent="0.3">
      <c r="A219" s="18" t="s">
        <v>41</v>
      </c>
      <c r="B219" s="29" t="s">
        <v>50</v>
      </c>
      <c r="C219" s="19">
        <v>46238</v>
      </c>
      <c r="D219" s="20" t="s">
        <v>15</v>
      </c>
      <c r="E219" s="18">
        <v>2455</v>
      </c>
      <c r="F219" s="21">
        <v>0.42122500000000002</v>
      </c>
      <c r="G219" s="22">
        <v>0.110958</v>
      </c>
      <c r="H219" s="15">
        <f t="shared" si="16"/>
        <v>0.40401527777777774</v>
      </c>
      <c r="I219" s="16">
        <f t="shared" si="17"/>
        <v>9.6629455555555549E-2</v>
      </c>
    </row>
    <row r="220" spans="1:9" x14ac:dyDescent="0.3">
      <c r="A220" s="18" t="s">
        <v>41</v>
      </c>
      <c r="B220" s="29" t="s">
        <v>50</v>
      </c>
      <c r="C220" s="19">
        <v>46238</v>
      </c>
      <c r="D220" s="20" t="s">
        <v>16</v>
      </c>
      <c r="E220" s="18">
        <v>1886</v>
      </c>
      <c r="F220" s="21">
        <v>0.52118500000000001</v>
      </c>
      <c r="G220" s="22">
        <v>0.122268</v>
      </c>
      <c r="H220" s="15">
        <f t="shared" si="16"/>
        <v>0.40401527777777774</v>
      </c>
      <c r="I220" s="16">
        <f t="shared" si="17"/>
        <v>9.6629455555555549E-2</v>
      </c>
    </row>
    <row r="221" spans="1:9" x14ac:dyDescent="0.3">
      <c r="A221" s="18" t="s">
        <v>41</v>
      </c>
      <c r="B221" s="29" t="s">
        <v>50</v>
      </c>
      <c r="C221" s="19">
        <v>46238</v>
      </c>
      <c r="D221" s="20" t="s">
        <v>17</v>
      </c>
      <c r="E221" s="18">
        <v>2407</v>
      </c>
      <c r="F221" s="21">
        <v>0.57407399999999997</v>
      </c>
      <c r="G221" s="22">
        <v>0.113594</v>
      </c>
      <c r="H221" s="15">
        <f t="shared" si="16"/>
        <v>0.40401527777777774</v>
      </c>
      <c r="I221" s="16">
        <f t="shared" si="17"/>
        <v>9.6629455555555549E-2</v>
      </c>
    </row>
    <row r="222" spans="1:9" x14ac:dyDescent="0.3">
      <c r="A222" s="18" t="s">
        <v>41</v>
      </c>
      <c r="B222" s="29" t="s">
        <v>50</v>
      </c>
      <c r="C222" s="19">
        <v>46238</v>
      </c>
      <c r="D222" s="20" t="s">
        <v>18</v>
      </c>
      <c r="E222" s="18">
        <v>2194</v>
      </c>
      <c r="F222" s="21">
        <v>0.301788</v>
      </c>
      <c r="G222" s="22">
        <v>7.17666E-2</v>
      </c>
      <c r="H222" s="15">
        <f t="shared" si="16"/>
        <v>0.40401527777777774</v>
      </c>
      <c r="I222" s="16">
        <f t="shared" si="17"/>
        <v>9.6629455555555549E-2</v>
      </c>
    </row>
    <row r="223" spans="1:9" x14ac:dyDescent="0.3">
      <c r="A223" s="18" t="s">
        <v>41</v>
      </c>
      <c r="B223" s="29" t="s">
        <v>50</v>
      </c>
      <c r="C223" s="19">
        <v>46238</v>
      </c>
      <c r="D223" s="20" t="s">
        <v>19</v>
      </c>
      <c r="E223" s="18">
        <v>2273</v>
      </c>
      <c r="F223" s="21">
        <v>0.49380499999999999</v>
      </c>
      <c r="G223" s="22">
        <v>0.103851</v>
      </c>
      <c r="H223" s="15">
        <f t="shared" si="16"/>
        <v>0.40401527777777774</v>
      </c>
      <c r="I223" s="16">
        <f t="shared" si="17"/>
        <v>9.6629455555555549E-2</v>
      </c>
    </row>
    <row r="224" spans="1:9" x14ac:dyDescent="0.3">
      <c r="A224" s="18" t="s">
        <v>41</v>
      </c>
      <c r="B224" s="29" t="s">
        <v>50</v>
      </c>
      <c r="C224" s="19">
        <v>46238</v>
      </c>
      <c r="D224" s="20" t="s">
        <v>20</v>
      </c>
      <c r="E224" s="18">
        <v>2556</v>
      </c>
      <c r="F224" s="21">
        <v>0.50172899999999998</v>
      </c>
      <c r="G224" s="22">
        <v>0.10496</v>
      </c>
      <c r="H224" s="15">
        <f t="shared" si="16"/>
        <v>0.40401527777777774</v>
      </c>
      <c r="I224" s="16">
        <f t="shared" si="17"/>
        <v>9.6629455555555549E-2</v>
      </c>
    </row>
    <row r="225" spans="1:9" x14ac:dyDescent="0.3">
      <c r="A225" s="18" t="s">
        <v>41</v>
      </c>
      <c r="B225" s="29" t="s">
        <v>50</v>
      </c>
      <c r="C225" s="19">
        <v>46238</v>
      </c>
      <c r="D225" s="20" t="s">
        <v>40</v>
      </c>
      <c r="E225" s="18">
        <v>1061</v>
      </c>
      <c r="F225" s="21">
        <v>0.28934799999999999</v>
      </c>
      <c r="G225" s="22">
        <v>8.7746599999999994E-2</v>
      </c>
      <c r="H225" s="15">
        <f t="shared" si="16"/>
        <v>0.40401527777777774</v>
      </c>
      <c r="I225" s="16">
        <f t="shared" si="17"/>
        <v>9.6629455555555549E-2</v>
      </c>
    </row>
    <row r="226" spans="1:9" x14ac:dyDescent="0.3">
      <c r="A226" s="18" t="s">
        <v>41</v>
      </c>
      <c r="B226" s="29" t="s">
        <v>50</v>
      </c>
      <c r="C226" s="19">
        <v>46238</v>
      </c>
      <c r="D226" s="20" t="s">
        <v>21</v>
      </c>
      <c r="E226" s="18">
        <v>3274</v>
      </c>
      <c r="F226" s="21">
        <v>0.51152799999999998</v>
      </c>
      <c r="G226" s="22">
        <v>9.9526400000000001E-2</v>
      </c>
      <c r="H226" s="15">
        <f t="shared" si="16"/>
        <v>0.40401527777777774</v>
      </c>
      <c r="I226" s="16">
        <f t="shared" si="17"/>
        <v>9.6629455555555549E-2</v>
      </c>
    </row>
    <row r="227" spans="1:9" x14ac:dyDescent="0.3">
      <c r="A227" s="18" t="s">
        <v>41</v>
      </c>
      <c r="B227" s="29" t="s">
        <v>50</v>
      </c>
      <c r="C227" s="19">
        <v>46238</v>
      </c>
      <c r="D227" s="20" t="s">
        <v>22</v>
      </c>
      <c r="E227" s="18">
        <v>2571</v>
      </c>
      <c r="F227" s="21">
        <v>0.39043499999999998</v>
      </c>
      <c r="G227" s="22">
        <v>0.106061</v>
      </c>
      <c r="H227" s="15">
        <f t="shared" si="16"/>
        <v>0.40401527777777774</v>
      </c>
      <c r="I227" s="16">
        <f t="shared" si="17"/>
        <v>9.6629455555555549E-2</v>
      </c>
    </row>
    <row r="228" spans="1:9" x14ac:dyDescent="0.3">
      <c r="A228" s="18" t="s">
        <v>41</v>
      </c>
      <c r="B228" s="29" t="s">
        <v>50</v>
      </c>
      <c r="C228" s="19">
        <v>46238</v>
      </c>
      <c r="D228" s="20" t="s">
        <v>23</v>
      </c>
      <c r="E228" s="18">
        <v>1306</v>
      </c>
      <c r="F228" s="21">
        <v>0.38515700000000003</v>
      </c>
      <c r="G228" s="22">
        <v>0.12640199999999999</v>
      </c>
      <c r="H228" s="15">
        <f t="shared" si="16"/>
        <v>0.40401527777777774</v>
      </c>
      <c r="I228" s="16">
        <f t="shared" si="17"/>
        <v>9.6629455555555549E-2</v>
      </c>
    </row>
    <row r="229" spans="1:9" x14ac:dyDescent="0.3">
      <c r="A229" s="18" t="s">
        <v>41</v>
      </c>
      <c r="B229" s="29" t="s">
        <v>50</v>
      </c>
      <c r="C229" s="19">
        <v>46238</v>
      </c>
      <c r="D229" s="20" t="s">
        <v>24</v>
      </c>
      <c r="E229" s="18">
        <v>2861</v>
      </c>
      <c r="F229" s="21">
        <v>0.22939999999999999</v>
      </c>
      <c r="G229" s="22">
        <v>7.0670399999999994E-2</v>
      </c>
      <c r="H229" s="15">
        <f t="shared" si="16"/>
        <v>0.40401527777777774</v>
      </c>
      <c r="I229" s="16">
        <f t="shared" si="17"/>
        <v>9.6629455555555549E-2</v>
      </c>
    </row>
    <row r="230" spans="1:9" x14ac:dyDescent="0.3">
      <c r="A230" s="18" t="s">
        <v>41</v>
      </c>
      <c r="B230" s="29" t="s">
        <v>50</v>
      </c>
      <c r="C230" s="19">
        <v>46238</v>
      </c>
      <c r="D230" s="20" t="s">
        <v>25</v>
      </c>
      <c r="E230" s="18">
        <v>1006</v>
      </c>
      <c r="F230" s="21">
        <v>0.249472</v>
      </c>
      <c r="G230" s="22">
        <v>6.0045899999999999E-2</v>
      </c>
      <c r="H230" s="15">
        <f t="shared" si="16"/>
        <v>0.40401527777777774</v>
      </c>
      <c r="I230" s="16">
        <f t="shared" si="17"/>
        <v>9.6629455555555549E-2</v>
      </c>
    </row>
    <row r="231" spans="1:9" x14ac:dyDescent="0.3">
      <c r="A231" s="18" t="s">
        <v>41</v>
      </c>
      <c r="B231" s="29" t="s">
        <v>50</v>
      </c>
      <c r="C231" s="19">
        <v>46238</v>
      </c>
      <c r="D231" s="20" t="s">
        <v>26</v>
      </c>
      <c r="E231" s="18">
        <v>2699</v>
      </c>
      <c r="F231" s="21">
        <v>0.174374</v>
      </c>
      <c r="G231" s="22">
        <v>5.6044799999999999E-2</v>
      </c>
      <c r="H231" s="15">
        <f t="shared" si="16"/>
        <v>0.40401527777777774</v>
      </c>
      <c r="I231" s="16">
        <f t="shared" si="17"/>
        <v>9.6629455555555549E-2</v>
      </c>
    </row>
    <row r="232" spans="1:9" x14ac:dyDescent="0.3">
      <c r="A232" s="18" t="s">
        <v>41</v>
      </c>
      <c r="B232" s="29" t="s">
        <v>50</v>
      </c>
      <c r="C232" s="19">
        <v>46238</v>
      </c>
      <c r="D232" s="20" t="s">
        <v>27</v>
      </c>
      <c r="E232" s="18">
        <v>2638</v>
      </c>
      <c r="F232" s="21">
        <v>0.48188799999999998</v>
      </c>
      <c r="G232" s="22">
        <v>0.10938199999999999</v>
      </c>
      <c r="H232" s="15">
        <f t="shared" si="16"/>
        <v>0.40401527777777774</v>
      </c>
      <c r="I232" s="16">
        <f t="shared" si="17"/>
        <v>9.6629455555555549E-2</v>
      </c>
    </row>
    <row r="233" spans="1:9" x14ac:dyDescent="0.3">
      <c r="A233" s="18" t="s">
        <v>41</v>
      </c>
      <c r="B233" s="29" t="s">
        <v>50</v>
      </c>
      <c r="C233" s="19">
        <v>46238</v>
      </c>
      <c r="D233" s="20" t="s">
        <v>28</v>
      </c>
      <c r="E233" s="18">
        <v>1563</v>
      </c>
      <c r="F233" s="21">
        <v>0.27595399999999998</v>
      </c>
      <c r="G233" s="22">
        <v>6.1940599999999998E-2</v>
      </c>
      <c r="H233" s="15">
        <f t="shared" si="16"/>
        <v>0.40401527777777774</v>
      </c>
      <c r="I233" s="16">
        <f t="shared" si="17"/>
        <v>9.6629455555555549E-2</v>
      </c>
    </row>
    <row r="234" spans="1:9" x14ac:dyDescent="0.3">
      <c r="A234" s="18" t="s">
        <v>41</v>
      </c>
      <c r="B234" s="29" t="s">
        <v>50</v>
      </c>
      <c r="C234" s="19">
        <v>46238</v>
      </c>
      <c r="D234" s="20" t="s">
        <v>29</v>
      </c>
      <c r="E234" s="18">
        <v>1591</v>
      </c>
      <c r="F234" s="21">
        <v>0.43242900000000001</v>
      </c>
      <c r="G234" s="22">
        <v>8.9546899999999999E-2</v>
      </c>
      <c r="H234" s="15">
        <f t="shared" si="16"/>
        <v>0.40401527777777774</v>
      </c>
      <c r="I234" s="16">
        <f t="shared" si="17"/>
        <v>9.6629455555555549E-2</v>
      </c>
    </row>
    <row r="235" spans="1:9" x14ac:dyDescent="0.3">
      <c r="A235" s="18" t="s">
        <v>41</v>
      </c>
      <c r="B235" s="29" t="s">
        <v>50</v>
      </c>
      <c r="C235" s="19">
        <v>46238</v>
      </c>
      <c r="D235" s="20" t="s">
        <v>30</v>
      </c>
      <c r="E235" s="18">
        <v>1604</v>
      </c>
      <c r="F235" s="21">
        <v>0.59375999999999995</v>
      </c>
      <c r="G235" s="22">
        <v>0.119522</v>
      </c>
      <c r="H235" s="15">
        <f t="shared" si="16"/>
        <v>0.40401527777777774</v>
      </c>
      <c r="I235" s="16">
        <f t="shared" si="17"/>
        <v>9.6629455555555549E-2</v>
      </c>
    </row>
    <row r="236" spans="1:9" x14ac:dyDescent="0.3">
      <c r="A236" s="18" t="s">
        <v>41</v>
      </c>
      <c r="B236" s="29" t="s">
        <v>50</v>
      </c>
      <c r="C236" s="19">
        <v>46239</v>
      </c>
      <c r="D236" s="13" t="s">
        <v>14</v>
      </c>
      <c r="E236" s="23">
        <v>2808</v>
      </c>
      <c r="F236" s="12">
        <v>0.40617799999999998</v>
      </c>
      <c r="G236" s="14">
        <v>0.114288</v>
      </c>
      <c r="H236" s="15">
        <f t="shared" si="16"/>
        <v>0.37193638888888891</v>
      </c>
      <c r="I236" s="16">
        <f t="shared" si="17"/>
        <v>8.8825327777777782E-2</v>
      </c>
    </row>
    <row r="237" spans="1:9" x14ac:dyDescent="0.3">
      <c r="A237" s="18" t="s">
        <v>41</v>
      </c>
      <c r="B237" s="29" t="s">
        <v>50</v>
      </c>
      <c r="C237" s="19">
        <v>46239</v>
      </c>
      <c r="D237" s="13" t="s">
        <v>15</v>
      </c>
      <c r="E237" s="23">
        <v>2452</v>
      </c>
      <c r="F237" s="12">
        <v>0.42817899999999998</v>
      </c>
      <c r="G237" s="14">
        <v>0.11280999999999999</v>
      </c>
      <c r="H237" s="15">
        <f t="shared" si="16"/>
        <v>0.37193638888888891</v>
      </c>
      <c r="I237" s="16">
        <f t="shared" si="17"/>
        <v>8.8825327777777782E-2</v>
      </c>
    </row>
    <row r="238" spans="1:9" x14ac:dyDescent="0.3">
      <c r="A238" s="18" t="s">
        <v>41</v>
      </c>
      <c r="B238" s="29" t="s">
        <v>50</v>
      </c>
      <c r="C238" s="19">
        <v>46239</v>
      </c>
      <c r="D238" s="13" t="s">
        <v>16</v>
      </c>
      <c r="E238" s="23">
        <v>1825</v>
      </c>
      <c r="F238" s="12">
        <v>0.48584699999999997</v>
      </c>
      <c r="G238" s="14">
        <v>0.114023</v>
      </c>
      <c r="H238" s="15">
        <f t="shared" si="16"/>
        <v>0.37193638888888891</v>
      </c>
      <c r="I238" s="16">
        <f t="shared" si="17"/>
        <v>8.8825327777777782E-2</v>
      </c>
    </row>
    <row r="239" spans="1:9" x14ac:dyDescent="0.3">
      <c r="A239" s="18" t="s">
        <v>41</v>
      </c>
      <c r="B239" s="29" t="s">
        <v>50</v>
      </c>
      <c r="C239" s="19">
        <v>46239</v>
      </c>
      <c r="D239" s="13" t="s">
        <v>17</v>
      </c>
      <c r="E239" s="23">
        <v>2023</v>
      </c>
      <c r="F239" s="12">
        <v>0.58760599999999996</v>
      </c>
      <c r="G239" s="14">
        <v>0.11620800000000001</v>
      </c>
      <c r="H239" s="15">
        <f t="shared" si="16"/>
        <v>0.37193638888888891</v>
      </c>
      <c r="I239" s="16">
        <f t="shared" si="17"/>
        <v>8.8825327777777782E-2</v>
      </c>
    </row>
    <row r="240" spans="1:9" x14ac:dyDescent="0.3">
      <c r="A240" s="18" t="s">
        <v>41</v>
      </c>
      <c r="B240" s="29" t="s">
        <v>50</v>
      </c>
      <c r="C240" s="19">
        <v>46239</v>
      </c>
      <c r="D240" s="13" t="s">
        <v>18</v>
      </c>
      <c r="E240" s="23">
        <v>2020</v>
      </c>
      <c r="F240" s="12">
        <v>0.26507900000000001</v>
      </c>
      <c r="G240" s="14">
        <v>6.3077099999999997E-2</v>
      </c>
      <c r="H240" s="15">
        <f t="shared" si="16"/>
        <v>0.37193638888888891</v>
      </c>
      <c r="I240" s="16">
        <f t="shared" si="17"/>
        <v>8.8825327777777782E-2</v>
      </c>
    </row>
    <row r="241" spans="1:9" x14ac:dyDescent="0.3">
      <c r="A241" s="18" t="s">
        <v>41</v>
      </c>
      <c r="B241" s="29" t="s">
        <v>50</v>
      </c>
      <c r="C241" s="19">
        <v>46239</v>
      </c>
      <c r="D241" s="13" t="s">
        <v>19</v>
      </c>
      <c r="E241" s="23">
        <v>2016</v>
      </c>
      <c r="F241" s="12">
        <v>0.46160000000000001</v>
      </c>
      <c r="G241" s="14">
        <v>9.7109000000000001E-2</v>
      </c>
      <c r="H241" s="15">
        <f t="shared" si="16"/>
        <v>0.37193638888888891</v>
      </c>
      <c r="I241" s="16">
        <f t="shared" si="17"/>
        <v>8.8825327777777782E-2</v>
      </c>
    </row>
    <row r="242" spans="1:9" x14ac:dyDescent="0.3">
      <c r="A242" s="18" t="s">
        <v>41</v>
      </c>
      <c r="B242" s="29" t="s">
        <v>50</v>
      </c>
      <c r="C242" s="19">
        <v>46239</v>
      </c>
      <c r="D242" s="13" t="s">
        <v>20</v>
      </c>
      <c r="E242" s="23">
        <v>2117</v>
      </c>
      <c r="F242" s="12">
        <v>0.45994200000000002</v>
      </c>
      <c r="G242" s="14">
        <v>9.6224199999999996E-2</v>
      </c>
      <c r="H242" s="15">
        <f t="shared" si="16"/>
        <v>0.37193638888888891</v>
      </c>
      <c r="I242" s="16">
        <f t="shared" si="17"/>
        <v>8.8825327777777782E-2</v>
      </c>
    </row>
    <row r="243" spans="1:9" x14ac:dyDescent="0.3">
      <c r="A243" s="18" t="s">
        <v>41</v>
      </c>
      <c r="B243" s="29" t="s">
        <v>50</v>
      </c>
      <c r="C243" s="19">
        <v>46239</v>
      </c>
      <c r="D243" s="13" t="s">
        <v>40</v>
      </c>
      <c r="E243" s="23">
        <v>1003</v>
      </c>
      <c r="F243" s="12">
        <v>0.19050800000000001</v>
      </c>
      <c r="G243" s="14">
        <v>5.7725699999999998E-2</v>
      </c>
      <c r="H243" s="15">
        <f t="shared" si="16"/>
        <v>0.37193638888888891</v>
      </c>
      <c r="I243" s="16">
        <f t="shared" si="17"/>
        <v>8.8825327777777782E-2</v>
      </c>
    </row>
    <row r="244" spans="1:9" x14ac:dyDescent="0.3">
      <c r="A244" s="18" t="s">
        <v>41</v>
      </c>
      <c r="B244" s="29" t="s">
        <v>50</v>
      </c>
      <c r="C244" s="19">
        <v>46239</v>
      </c>
      <c r="D244" s="13" t="s">
        <v>21</v>
      </c>
      <c r="E244" s="23">
        <v>3247</v>
      </c>
      <c r="F244" s="12">
        <v>0.40866400000000003</v>
      </c>
      <c r="G244" s="14">
        <v>7.9509399999999994E-2</v>
      </c>
      <c r="H244" s="15">
        <f t="shared" si="16"/>
        <v>0.37193638888888891</v>
      </c>
      <c r="I244" s="16">
        <f t="shared" si="17"/>
        <v>8.8825327777777782E-2</v>
      </c>
    </row>
    <row r="245" spans="1:9" x14ac:dyDescent="0.3">
      <c r="A245" s="18" t="s">
        <v>41</v>
      </c>
      <c r="B245" s="29" t="s">
        <v>50</v>
      </c>
      <c r="C245" s="19">
        <v>46239</v>
      </c>
      <c r="D245" s="13" t="s">
        <v>22</v>
      </c>
      <c r="E245" s="23">
        <v>2199</v>
      </c>
      <c r="F245" s="12">
        <v>0.37973400000000002</v>
      </c>
      <c r="G245" s="14">
        <v>0.10316400000000001</v>
      </c>
      <c r="H245" s="15">
        <f t="shared" si="16"/>
        <v>0.37193638888888891</v>
      </c>
      <c r="I245" s="16">
        <f t="shared" si="17"/>
        <v>8.8825327777777782E-2</v>
      </c>
    </row>
    <row r="246" spans="1:9" x14ac:dyDescent="0.3">
      <c r="A246" s="18" t="s">
        <v>41</v>
      </c>
      <c r="B246" s="29" t="s">
        <v>50</v>
      </c>
      <c r="C246" s="19">
        <v>46239</v>
      </c>
      <c r="D246" s="13" t="s">
        <v>23</v>
      </c>
      <c r="E246" s="23">
        <v>1131</v>
      </c>
      <c r="F246" s="12">
        <v>0.31687300000000002</v>
      </c>
      <c r="G246" s="14">
        <v>0.103961</v>
      </c>
      <c r="H246" s="15">
        <f t="shared" si="16"/>
        <v>0.37193638888888891</v>
      </c>
      <c r="I246" s="16">
        <f t="shared" si="17"/>
        <v>8.8825327777777782E-2</v>
      </c>
    </row>
    <row r="247" spans="1:9" x14ac:dyDescent="0.3">
      <c r="A247" s="18" t="s">
        <v>41</v>
      </c>
      <c r="B247" s="29" t="s">
        <v>50</v>
      </c>
      <c r="C247" s="19">
        <v>46239</v>
      </c>
      <c r="D247" s="13" t="s">
        <v>24</v>
      </c>
      <c r="E247" s="23">
        <v>2875</v>
      </c>
      <c r="F247" s="12">
        <v>0.16952999999999999</v>
      </c>
      <c r="G247" s="14">
        <v>5.22023E-2</v>
      </c>
      <c r="H247" s="15">
        <f t="shared" si="16"/>
        <v>0.37193638888888891</v>
      </c>
      <c r="I247" s="16">
        <f t="shared" si="17"/>
        <v>8.8825327777777782E-2</v>
      </c>
    </row>
    <row r="248" spans="1:9" x14ac:dyDescent="0.3">
      <c r="A248" s="18" t="s">
        <v>41</v>
      </c>
      <c r="B248" s="29" t="s">
        <v>50</v>
      </c>
      <c r="C248" s="19">
        <v>46239</v>
      </c>
      <c r="D248" s="13" t="s">
        <v>25</v>
      </c>
      <c r="E248" s="23">
        <v>1068</v>
      </c>
      <c r="F248" s="12">
        <v>0.21698300000000001</v>
      </c>
      <c r="G248" s="14">
        <v>5.2189399999999997E-2</v>
      </c>
      <c r="H248" s="15">
        <f t="shared" si="16"/>
        <v>0.37193638888888891</v>
      </c>
      <c r="I248" s="16">
        <f t="shared" si="17"/>
        <v>8.8825327777777782E-2</v>
      </c>
    </row>
    <row r="249" spans="1:9" x14ac:dyDescent="0.3">
      <c r="A249" s="18" t="s">
        <v>41</v>
      </c>
      <c r="B249" s="29" t="s">
        <v>50</v>
      </c>
      <c r="C249" s="19">
        <v>46239</v>
      </c>
      <c r="D249" s="13" t="s">
        <v>26</v>
      </c>
      <c r="E249" s="23">
        <v>2305</v>
      </c>
      <c r="F249" s="12">
        <v>0.23683999999999999</v>
      </c>
      <c r="G249" s="14">
        <v>7.6153299999999993E-2</v>
      </c>
      <c r="H249" s="15">
        <f t="shared" si="16"/>
        <v>0.37193638888888891</v>
      </c>
      <c r="I249" s="16">
        <f t="shared" si="17"/>
        <v>8.8825327777777782E-2</v>
      </c>
    </row>
    <row r="250" spans="1:9" x14ac:dyDescent="0.3">
      <c r="A250" s="18" t="s">
        <v>41</v>
      </c>
      <c r="B250" s="29" t="s">
        <v>50</v>
      </c>
      <c r="C250" s="19">
        <v>46239</v>
      </c>
      <c r="D250" s="13" t="s">
        <v>27</v>
      </c>
      <c r="E250" s="23">
        <v>2082</v>
      </c>
      <c r="F250" s="12">
        <v>0.36638300000000001</v>
      </c>
      <c r="G250" s="14">
        <v>8.3133600000000002E-2</v>
      </c>
      <c r="H250" s="15">
        <f t="shared" si="16"/>
        <v>0.37193638888888891</v>
      </c>
      <c r="I250" s="16">
        <f t="shared" si="17"/>
        <v>8.8825327777777782E-2</v>
      </c>
    </row>
    <row r="251" spans="1:9" x14ac:dyDescent="0.3">
      <c r="A251" s="18" t="s">
        <v>41</v>
      </c>
      <c r="B251" s="29" t="s">
        <v>50</v>
      </c>
      <c r="C251" s="19">
        <v>46239</v>
      </c>
      <c r="D251" s="13" t="s">
        <v>28</v>
      </c>
      <c r="E251" s="23">
        <v>1186</v>
      </c>
      <c r="F251" s="12">
        <v>0.45028400000000002</v>
      </c>
      <c r="G251" s="14">
        <v>0.101206</v>
      </c>
      <c r="H251" s="15">
        <f t="shared" si="16"/>
        <v>0.37193638888888891</v>
      </c>
      <c r="I251" s="16">
        <f t="shared" si="17"/>
        <v>8.8825327777777782E-2</v>
      </c>
    </row>
    <row r="252" spans="1:9" x14ac:dyDescent="0.3">
      <c r="A252" s="18" t="s">
        <v>41</v>
      </c>
      <c r="B252" s="29" t="s">
        <v>50</v>
      </c>
      <c r="C252" s="19">
        <v>46239</v>
      </c>
      <c r="D252" s="13" t="s">
        <v>29</v>
      </c>
      <c r="E252" s="23">
        <v>1775</v>
      </c>
      <c r="F252" s="12">
        <v>0.33224999999999999</v>
      </c>
      <c r="G252" s="14">
        <v>6.8822900000000006E-2</v>
      </c>
      <c r="H252" s="15">
        <f t="shared" si="16"/>
        <v>0.37193638888888891</v>
      </c>
      <c r="I252" s="16">
        <f t="shared" si="17"/>
        <v>8.8825327777777782E-2</v>
      </c>
    </row>
    <row r="253" spans="1:9" x14ac:dyDescent="0.3">
      <c r="A253" s="18" t="s">
        <v>41</v>
      </c>
      <c r="B253" s="29" t="s">
        <v>50</v>
      </c>
      <c r="C253" s="19">
        <v>46239</v>
      </c>
      <c r="D253" s="13" t="s">
        <v>30</v>
      </c>
      <c r="E253" s="23">
        <v>1426</v>
      </c>
      <c r="F253" s="12">
        <v>0.53237500000000004</v>
      </c>
      <c r="G253" s="14">
        <v>0.10704900000000001</v>
      </c>
      <c r="H253" s="15">
        <f t="shared" si="16"/>
        <v>0.37193638888888891</v>
      </c>
      <c r="I253" s="16">
        <f t="shared" si="17"/>
        <v>8.8825327777777782E-2</v>
      </c>
    </row>
    <row r="254" spans="1:9" x14ac:dyDescent="0.3">
      <c r="A254" s="18" t="s">
        <v>41</v>
      </c>
      <c r="B254" s="29" t="s">
        <v>50</v>
      </c>
      <c r="C254" s="19">
        <v>46240</v>
      </c>
      <c r="D254" s="13" t="s">
        <v>14</v>
      </c>
      <c r="E254" s="23">
        <v>3135</v>
      </c>
      <c r="F254" s="12">
        <v>0.38012600000000002</v>
      </c>
      <c r="G254" s="14">
        <v>0.10691000000000001</v>
      </c>
      <c r="H254" s="15">
        <f t="shared" si="16"/>
        <v>0.37121238888888891</v>
      </c>
      <c r="I254" s="16">
        <f t="shared" si="17"/>
        <v>8.8747716666666671E-2</v>
      </c>
    </row>
    <row r="255" spans="1:9" x14ac:dyDescent="0.3">
      <c r="A255" s="18" t="s">
        <v>41</v>
      </c>
      <c r="B255" s="29" t="s">
        <v>50</v>
      </c>
      <c r="C255" s="19">
        <v>46240</v>
      </c>
      <c r="D255" s="13" t="s">
        <v>15</v>
      </c>
      <c r="E255" s="23">
        <v>2636</v>
      </c>
      <c r="F255" s="12">
        <v>0.39143699999999998</v>
      </c>
      <c r="G255" s="14">
        <v>0.10311099999999999</v>
      </c>
      <c r="H255" s="15">
        <f t="shared" si="16"/>
        <v>0.37121238888888891</v>
      </c>
      <c r="I255" s="16">
        <f t="shared" si="17"/>
        <v>8.8747716666666671E-2</v>
      </c>
    </row>
    <row r="256" spans="1:9" x14ac:dyDescent="0.3">
      <c r="A256" s="18" t="s">
        <v>41</v>
      </c>
      <c r="B256" s="29" t="s">
        <v>50</v>
      </c>
      <c r="C256" s="19">
        <v>46240</v>
      </c>
      <c r="D256" s="13" t="s">
        <v>16</v>
      </c>
      <c r="E256" s="23">
        <v>1995</v>
      </c>
      <c r="F256" s="12">
        <v>0.46648899999999999</v>
      </c>
      <c r="G256" s="14">
        <v>0.10940999999999999</v>
      </c>
      <c r="H256" s="15">
        <f t="shared" si="16"/>
        <v>0.37121238888888891</v>
      </c>
      <c r="I256" s="16">
        <f t="shared" si="17"/>
        <v>8.8747716666666671E-2</v>
      </c>
    </row>
    <row r="257" spans="1:9" x14ac:dyDescent="0.3">
      <c r="A257" s="18" t="s">
        <v>41</v>
      </c>
      <c r="B257" s="29" t="s">
        <v>50</v>
      </c>
      <c r="C257" s="19">
        <v>46240</v>
      </c>
      <c r="D257" s="13" t="s">
        <v>17</v>
      </c>
      <c r="E257" s="23">
        <v>2105</v>
      </c>
      <c r="F257" s="12">
        <v>0.52784600000000004</v>
      </c>
      <c r="G257" s="14">
        <v>0.10437299999999999</v>
      </c>
      <c r="H257" s="15">
        <f t="shared" si="16"/>
        <v>0.37121238888888891</v>
      </c>
      <c r="I257" s="16">
        <f t="shared" si="17"/>
        <v>8.8747716666666671E-2</v>
      </c>
    </row>
    <row r="258" spans="1:9" x14ac:dyDescent="0.3">
      <c r="A258" s="18" t="s">
        <v>41</v>
      </c>
      <c r="B258" s="29" t="s">
        <v>50</v>
      </c>
      <c r="C258" s="19">
        <v>46240</v>
      </c>
      <c r="D258" s="13" t="s">
        <v>18</v>
      </c>
      <c r="E258" s="23">
        <v>2401</v>
      </c>
      <c r="F258" s="12">
        <v>0.29474400000000001</v>
      </c>
      <c r="G258" s="14">
        <v>7.01209E-2</v>
      </c>
      <c r="H258" s="15">
        <f t="shared" si="16"/>
        <v>0.37121238888888891</v>
      </c>
      <c r="I258" s="16">
        <f t="shared" si="17"/>
        <v>8.8747716666666671E-2</v>
      </c>
    </row>
    <row r="259" spans="1:9" x14ac:dyDescent="0.3">
      <c r="A259" s="18" t="s">
        <v>41</v>
      </c>
      <c r="B259" s="29" t="s">
        <v>50</v>
      </c>
      <c r="C259" s="19">
        <v>46240</v>
      </c>
      <c r="D259" s="13" t="s">
        <v>19</v>
      </c>
      <c r="E259" s="23">
        <v>2035</v>
      </c>
      <c r="F259" s="12">
        <v>0.469972</v>
      </c>
      <c r="G259" s="14">
        <v>9.88203E-2</v>
      </c>
      <c r="H259" s="15">
        <f t="shared" ref="H259:H322" si="18">IFERROR(AVERAGEIFS($F:$F, $A:$A, $A259, $B:$B,$B259, $C:$C,$C259),"")</f>
        <v>0.37121238888888891</v>
      </c>
      <c r="I259" s="16">
        <f t="shared" ref="I259:I322" si="19">IFERROR(AVERAGEIFS($G:$G, $A:$A, $A259, $B:$B,$B259, $C:$C,$C259),"")</f>
        <v>8.8747716666666671E-2</v>
      </c>
    </row>
    <row r="260" spans="1:9" x14ac:dyDescent="0.3">
      <c r="A260" s="18" t="s">
        <v>41</v>
      </c>
      <c r="B260" s="29" t="s">
        <v>50</v>
      </c>
      <c r="C260" s="19">
        <v>46240</v>
      </c>
      <c r="D260" s="13" t="s">
        <v>20</v>
      </c>
      <c r="E260" s="23">
        <v>2155</v>
      </c>
      <c r="F260" s="12">
        <v>0.44455299999999998</v>
      </c>
      <c r="G260" s="14">
        <v>9.2985300000000007E-2</v>
      </c>
      <c r="H260" s="15">
        <f t="shared" si="18"/>
        <v>0.37121238888888891</v>
      </c>
      <c r="I260" s="16">
        <f t="shared" si="19"/>
        <v>8.8747716666666671E-2</v>
      </c>
    </row>
    <row r="261" spans="1:9" x14ac:dyDescent="0.3">
      <c r="A261" s="18" t="s">
        <v>41</v>
      </c>
      <c r="B261" s="29" t="s">
        <v>50</v>
      </c>
      <c r="C261" s="19">
        <v>46240</v>
      </c>
      <c r="D261" s="13" t="s">
        <v>40</v>
      </c>
      <c r="E261" s="23">
        <v>1002</v>
      </c>
      <c r="F261" s="12">
        <v>0.239033</v>
      </c>
      <c r="G261" s="14">
        <v>7.24495E-2</v>
      </c>
      <c r="H261" s="15">
        <f t="shared" si="18"/>
        <v>0.37121238888888891</v>
      </c>
      <c r="I261" s="16">
        <f t="shared" si="19"/>
        <v>8.8747716666666671E-2</v>
      </c>
    </row>
    <row r="262" spans="1:9" x14ac:dyDescent="0.3">
      <c r="A262" s="18" t="s">
        <v>41</v>
      </c>
      <c r="B262" s="29" t="s">
        <v>50</v>
      </c>
      <c r="C262" s="19">
        <v>46240</v>
      </c>
      <c r="D262" s="13" t="s">
        <v>21</v>
      </c>
      <c r="E262" s="23">
        <v>2691</v>
      </c>
      <c r="F262" s="12">
        <v>0.49062899999999998</v>
      </c>
      <c r="G262" s="14">
        <v>9.5427200000000004E-2</v>
      </c>
      <c r="H262" s="15">
        <f t="shared" si="18"/>
        <v>0.37121238888888891</v>
      </c>
      <c r="I262" s="16">
        <f t="shared" si="19"/>
        <v>8.8747716666666671E-2</v>
      </c>
    </row>
    <row r="263" spans="1:9" x14ac:dyDescent="0.3">
      <c r="A263" s="18" t="s">
        <v>41</v>
      </c>
      <c r="B263" s="29" t="s">
        <v>50</v>
      </c>
      <c r="C263" s="19">
        <v>46240</v>
      </c>
      <c r="D263" s="13" t="s">
        <v>22</v>
      </c>
      <c r="E263" s="23">
        <v>2302</v>
      </c>
      <c r="F263" s="12">
        <v>0.313778</v>
      </c>
      <c r="G263" s="14">
        <v>8.52522E-2</v>
      </c>
      <c r="H263" s="15">
        <f t="shared" si="18"/>
        <v>0.37121238888888891</v>
      </c>
      <c r="I263" s="16">
        <f t="shared" si="19"/>
        <v>8.8747716666666671E-2</v>
      </c>
    </row>
    <row r="264" spans="1:9" x14ac:dyDescent="0.3">
      <c r="A264" s="18" t="s">
        <v>41</v>
      </c>
      <c r="B264" s="29" t="s">
        <v>50</v>
      </c>
      <c r="C264" s="19">
        <v>46240</v>
      </c>
      <c r="D264" s="13" t="s">
        <v>23</v>
      </c>
      <c r="E264" s="23">
        <v>1549</v>
      </c>
      <c r="F264" s="12">
        <v>0.26917099999999999</v>
      </c>
      <c r="G264" s="14">
        <v>8.8343599999999994E-2</v>
      </c>
      <c r="H264" s="15">
        <f t="shared" si="18"/>
        <v>0.37121238888888891</v>
      </c>
      <c r="I264" s="16">
        <f t="shared" si="19"/>
        <v>8.8747716666666671E-2</v>
      </c>
    </row>
    <row r="265" spans="1:9" x14ac:dyDescent="0.3">
      <c r="A265" s="18" t="s">
        <v>41</v>
      </c>
      <c r="B265" s="29" t="s">
        <v>50</v>
      </c>
      <c r="C265" s="19">
        <v>46240</v>
      </c>
      <c r="D265" s="13" t="s">
        <v>24</v>
      </c>
      <c r="E265" s="23">
        <v>2964</v>
      </c>
      <c r="F265" s="12">
        <v>0.23794100000000001</v>
      </c>
      <c r="G265" s="14">
        <v>7.3253399999999996E-2</v>
      </c>
      <c r="H265" s="15">
        <f t="shared" si="18"/>
        <v>0.37121238888888891</v>
      </c>
      <c r="I265" s="16">
        <f t="shared" si="19"/>
        <v>8.8747716666666671E-2</v>
      </c>
    </row>
    <row r="266" spans="1:9" x14ac:dyDescent="0.3">
      <c r="A266" s="18" t="s">
        <v>41</v>
      </c>
      <c r="B266" s="29" t="s">
        <v>50</v>
      </c>
      <c r="C266" s="19">
        <v>46240</v>
      </c>
      <c r="D266" s="13" t="s">
        <v>25</v>
      </c>
      <c r="E266" s="23">
        <v>1027</v>
      </c>
      <c r="F266" s="12">
        <v>0.20263600000000001</v>
      </c>
      <c r="G266" s="14">
        <v>4.8736000000000002E-2</v>
      </c>
      <c r="H266" s="15">
        <f t="shared" si="18"/>
        <v>0.37121238888888891</v>
      </c>
      <c r="I266" s="16">
        <f t="shared" si="19"/>
        <v>8.8747716666666671E-2</v>
      </c>
    </row>
    <row r="267" spans="1:9" x14ac:dyDescent="0.3">
      <c r="A267" s="18" t="s">
        <v>41</v>
      </c>
      <c r="B267" s="29" t="s">
        <v>50</v>
      </c>
      <c r="C267" s="19">
        <v>46240</v>
      </c>
      <c r="D267" s="13" t="s">
        <v>26</v>
      </c>
      <c r="E267" s="23">
        <v>2335</v>
      </c>
      <c r="F267" s="12">
        <v>0.27803099999999997</v>
      </c>
      <c r="G267" s="14">
        <v>8.9409199999999994E-2</v>
      </c>
      <c r="H267" s="15">
        <f t="shared" si="18"/>
        <v>0.37121238888888891</v>
      </c>
      <c r="I267" s="16">
        <f t="shared" si="19"/>
        <v>8.8747716666666671E-2</v>
      </c>
    </row>
    <row r="268" spans="1:9" x14ac:dyDescent="0.3">
      <c r="A268" s="18" t="s">
        <v>41</v>
      </c>
      <c r="B268" s="29" t="s">
        <v>50</v>
      </c>
      <c r="C268" s="19">
        <v>46240</v>
      </c>
      <c r="D268" s="13" t="s">
        <v>27</v>
      </c>
      <c r="E268" s="23">
        <v>2212</v>
      </c>
      <c r="F268" s="12">
        <v>0.41084799999999999</v>
      </c>
      <c r="G268" s="14">
        <v>9.3203400000000006E-2</v>
      </c>
      <c r="H268" s="15">
        <f t="shared" si="18"/>
        <v>0.37121238888888891</v>
      </c>
      <c r="I268" s="16">
        <f t="shared" si="19"/>
        <v>8.8747716666666671E-2</v>
      </c>
    </row>
    <row r="269" spans="1:9" x14ac:dyDescent="0.3">
      <c r="A269" s="18" t="s">
        <v>41</v>
      </c>
      <c r="B269" s="29" t="s">
        <v>50</v>
      </c>
      <c r="C269" s="19">
        <v>46240</v>
      </c>
      <c r="D269" s="13" t="s">
        <v>28</v>
      </c>
      <c r="E269" s="23">
        <v>1581</v>
      </c>
      <c r="F269" s="12">
        <v>0.38925500000000002</v>
      </c>
      <c r="G269" s="14">
        <v>8.7431800000000004E-2</v>
      </c>
      <c r="H269" s="15">
        <f t="shared" si="18"/>
        <v>0.37121238888888891</v>
      </c>
      <c r="I269" s="16">
        <f t="shared" si="19"/>
        <v>8.8747716666666671E-2</v>
      </c>
    </row>
    <row r="270" spans="1:9" x14ac:dyDescent="0.3">
      <c r="A270" s="18" t="s">
        <v>41</v>
      </c>
      <c r="B270" s="29" t="s">
        <v>50</v>
      </c>
      <c r="C270" s="19">
        <v>46240</v>
      </c>
      <c r="D270" s="13" t="s">
        <v>29</v>
      </c>
      <c r="E270" s="23">
        <v>1639</v>
      </c>
      <c r="F270" s="12">
        <v>0.36172500000000002</v>
      </c>
      <c r="G270" s="14">
        <v>7.4926099999999995E-2</v>
      </c>
      <c r="H270" s="15">
        <f t="shared" si="18"/>
        <v>0.37121238888888891</v>
      </c>
      <c r="I270" s="16">
        <f t="shared" si="19"/>
        <v>8.8747716666666671E-2</v>
      </c>
    </row>
    <row r="271" spans="1:9" x14ac:dyDescent="0.3">
      <c r="A271" s="18" t="s">
        <v>41</v>
      </c>
      <c r="B271" s="29" t="s">
        <v>50</v>
      </c>
      <c r="C271" s="19">
        <v>46240</v>
      </c>
      <c r="D271" s="13" t="s">
        <v>30</v>
      </c>
      <c r="E271" s="23">
        <v>1495</v>
      </c>
      <c r="F271" s="12">
        <v>0.51360899999999998</v>
      </c>
      <c r="G271" s="14">
        <v>0.103296</v>
      </c>
      <c r="H271" s="15">
        <f t="shared" si="18"/>
        <v>0.37121238888888891</v>
      </c>
      <c r="I271" s="16">
        <f t="shared" si="19"/>
        <v>8.8747716666666671E-2</v>
      </c>
    </row>
    <row r="272" spans="1:9" x14ac:dyDescent="0.3">
      <c r="A272" s="18" t="s">
        <v>48</v>
      </c>
      <c r="B272" s="30" t="s">
        <v>82</v>
      </c>
      <c r="C272" s="19">
        <v>46240</v>
      </c>
      <c r="D272" s="13" t="s">
        <v>14</v>
      </c>
      <c r="E272" s="23">
        <v>2797</v>
      </c>
      <c r="F272" s="12">
        <v>0.43401499999999998</v>
      </c>
      <c r="G272" s="14">
        <v>0.122126</v>
      </c>
      <c r="H272" s="15">
        <f t="shared" si="18"/>
        <v>0.42452883333333341</v>
      </c>
      <c r="I272" s="16">
        <f t="shared" si="19"/>
        <v>0.10059798888888888</v>
      </c>
    </row>
    <row r="273" spans="1:9" x14ac:dyDescent="0.3">
      <c r="A273" s="18" t="s">
        <v>48</v>
      </c>
      <c r="B273" s="30" t="s">
        <v>82</v>
      </c>
      <c r="C273" s="19">
        <v>46240</v>
      </c>
      <c r="D273" s="13" t="s">
        <v>15</v>
      </c>
      <c r="E273" s="23">
        <v>2550</v>
      </c>
      <c r="F273" s="12">
        <v>0.44123600000000002</v>
      </c>
      <c r="G273" s="14">
        <v>0.11627899999999999</v>
      </c>
      <c r="H273" s="15">
        <f t="shared" si="18"/>
        <v>0.42452883333333341</v>
      </c>
      <c r="I273" s="16">
        <f t="shared" si="19"/>
        <v>0.10059798888888888</v>
      </c>
    </row>
    <row r="274" spans="1:9" x14ac:dyDescent="0.3">
      <c r="A274" s="18" t="s">
        <v>48</v>
      </c>
      <c r="B274" s="30" t="s">
        <v>82</v>
      </c>
      <c r="C274" s="19">
        <v>46240</v>
      </c>
      <c r="D274" s="13" t="s">
        <v>16</v>
      </c>
      <c r="E274" s="23">
        <v>1714</v>
      </c>
      <c r="F274" s="12">
        <v>0.546682</v>
      </c>
      <c r="G274" s="14">
        <v>0.128278</v>
      </c>
      <c r="H274" s="15">
        <f t="shared" si="18"/>
        <v>0.42452883333333341</v>
      </c>
      <c r="I274" s="16">
        <f t="shared" si="19"/>
        <v>0.10059798888888888</v>
      </c>
    </row>
    <row r="275" spans="1:9" x14ac:dyDescent="0.3">
      <c r="A275" s="18" t="s">
        <v>48</v>
      </c>
      <c r="B275" s="30" t="s">
        <v>82</v>
      </c>
      <c r="C275" s="19">
        <v>46240</v>
      </c>
      <c r="D275" s="13" t="s">
        <v>17</v>
      </c>
      <c r="E275" s="23">
        <v>2180</v>
      </c>
      <c r="F275" s="12">
        <v>0.615757</v>
      </c>
      <c r="G275" s="14">
        <v>0.12180100000000001</v>
      </c>
      <c r="H275" s="15">
        <f t="shared" si="18"/>
        <v>0.42452883333333341</v>
      </c>
      <c r="I275" s="16">
        <f t="shared" si="19"/>
        <v>0.10059798888888888</v>
      </c>
    </row>
    <row r="276" spans="1:9" x14ac:dyDescent="0.3">
      <c r="A276" s="18" t="s">
        <v>48</v>
      </c>
      <c r="B276" s="30" t="s">
        <v>82</v>
      </c>
      <c r="C276" s="19">
        <v>46240</v>
      </c>
      <c r="D276" s="13" t="s">
        <v>18</v>
      </c>
      <c r="E276" s="23">
        <v>1786</v>
      </c>
      <c r="F276" s="12">
        <v>0.38157099999999999</v>
      </c>
      <c r="G276" s="14">
        <v>9.0749499999999997E-2</v>
      </c>
      <c r="H276" s="15">
        <f t="shared" si="18"/>
        <v>0.42452883333333341</v>
      </c>
      <c r="I276" s="16">
        <f t="shared" si="19"/>
        <v>0.10059798888888888</v>
      </c>
    </row>
    <row r="277" spans="1:9" x14ac:dyDescent="0.3">
      <c r="A277" s="18" t="s">
        <v>48</v>
      </c>
      <c r="B277" s="30" t="s">
        <v>82</v>
      </c>
      <c r="C277" s="19">
        <v>46240</v>
      </c>
      <c r="D277" s="13" t="s">
        <v>19</v>
      </c>
      <c r="E277" s="23">
        <v>1846</v>
      </c>
      <c r="F277" s="12">
        <v>0.52055300000000004</v>
      </c>
      <c r="G277" s="14">
        <v>0.109483</v>
      </c>
      <c r="H277" s="15">
        <f t="shared" si="18"/>
        <v>0.42452883333333341</v>
      </c>
      <c r="I277" s="16">
        <f t="shared" si="19"/>
        <v>0.10059798888888888</v>
      </c>
    </row>
    <row r="278" spans="1:9" x14ac:dyDescent="0.3">
      <c r="A278" s="18" t="s">
        <v>48</v>
      </c>
      <c r="B278" s="30" t="s">
        <v>82</v>
      </c>
      <c r="C278" s="19">
        <v>46240</v>
      </c>
      <c r="D278" s="13" t="s">
        <v>20</v>
      </c>
      <c r="E278" s="23">
        <v>1966</v>
      </c>
      <c r="F278" s="12">
        <v>0.51282000000000005</v>
      </c>
      <c r="G278" s="14">
        <v>0.10731599999999999</v>
      </c>
      <c r="H278" s="15">
        <f t="shared" si="18"/>
        <v>0.42452883333333341</v>
      </c>
      <c r="I278" s="16">
        <f t="shared" si="19"/>
        <v>0.10059798888888888</v>
      </c>
    </row>
    <row r="279" spans="1:9" x14ac:dyDescent="0.3">
      <c r="A279" s="18" t="s">
        <v>48</v>
      </c>
      <c r="B279" s="30" t="s">
        <v>82</v>
      </c>
      <c r="C279" s="19">
        <v>46240</v>
      </c>
      <c r="D279" s="13" t="s">
        <v>40</v>
      </c>
      <c r="E279" s="23">
        <v>1119</v>
      </c>
      <c r="F279" s="12">
        <v>0.281113</v>
      </c>
      <c r="G279" s="14">
        <v>8.52189E-2</v>
      </c>
      <c r="H279" s="15">
        <f t="shared" si="18"/>
        <v>0.42452883333333341</v>
      </c>
      <c r="I279" s="16">
        <f t="shared" si="19"/>
        <v>0.10059798888888888</v>
      </c>
    </row>
    <row r="280" spans="1:9" x14ac:dyDescent="0.3">
      <c r="A280" s="18" t="s">
        <v>48</v>
      </c>
      <c r="B280" s="30" t="s">
        <v>82</v>
      </c>
      <c r="C280" s="19">
        <v>46240</v>
      </c>
      <c r="D280" s="13" t="s">
        <v>21</v>
      </c>
      <c r="E280" s="23">
        <v>3478</v>
      </c>
      <c r="F280" s="12">
        <v>0.44732899999999998</v>
      </c>
      <c r="G280" s="14">
        <v>8.7060100000000001E-2</v>
      </c>
      <c r="H280" s="15">
        <f t="shared" si="18"/>
        <v>0.42452883333333341</v>
      </c>
      <c r="I280" s="16">
        <f t="shared" si="19"/>
        <v>0.10059798888888888</v>
      </c>
    </row>
    <row r="281" spans="1:9" x14ac:dyDescent="0.3">
      <c r="A281" s="18" t="s">
        <v>48</v>
      </c>
      <c r="B281" s="30" t="s">
        <v>82</v>
      </c>
      <c r="C281" s="19">
        <v>46240</v>
      </c>
      <c r="D281" s="13" t="s">
        <v>22</v>
      </c>
      <c r="E281" s="23">
        <v>2482</v>
      </c>
      <c r="F281" s="12">
        <v>0.45203700000000002</v>
      </c>
      <c r="G281" s="14">
        <v>0.12279</v>
      </c>
      <c r="H281" s="15">
        <f t="shared" si="18"/>
        <v>0.42452883333333341</v>
      </c>
      <c r="I281" s="16">
        <f t="shared" si="19"/>
        <v>0.10059798888888888</v>
      </c>
    </row>
    <row r="282" spans="1:9" x14ac:dyDescent="0.3">
      <c r="A282" s="18" t="s">
        <v>48</v>
      </c>
      <c r="B282" s="30" t="s">
        <v>82</v>
      </c>
      <c r="C282" s="19">
        <v>46240</v>
      </c>
      <c r="D282" s="13" t="s">
        <v>23</v>
      </c>
      <c r="E282" s="23">
        <v>1228</v>
      </c>
      <c r="F282" s="12">
        <v>0.293929</v>
      </c>
      <c r="G282" s="14">
        <v>9.6478900000000006E-2</v>
      </c>
      <c r="H282" s="15">
        <f t="shared" si="18"/>
        <v>0.42452883333333341</v>
      </c>
      <c r="I282" s="16">
        <f t="shared" si="19"/>
        <v>0.10059798888888888</v>
      </c>
    </row>
    <row r="283" spans="1:9" x14ac:dyDescent="0.3">
      <c r="A283" s="18" t="s">
        <v>48</v>
      </c>
      <c r="B283" s="30" t="s">
        <v>82</v>
      </c>
      <c r="C283" s="19">
        <v>46240</v>
      </c>
      <c r="D283" s="13" t="s">
        <v>24</v>
      </c>
      <c r="E283" s="23">
        <v>2779</v>
      </c>
      <c r="F283" s="12">
        <v>0.19153899999999999</v>
      </c>
      <c r="G283" s="14">
        <v>5.9011300000000003E-2</v>
      </c>
      <c r="H283" s="15">
        <f t="shared" si="18"/>
        <v>0.42452883333333341</v>
      </c>
      <c r="I283" s="16">
        <f t="shared" si="19"/>
        <v>0.10059798888888888</v>
      </c>
    </row>
    <row r="284" spans="1:9" x14ac:dyDescent="0.3">
      <c r="A284" s="18" t="s">
        <v>48</v>
      </c>
      <c r="B284" s="30" t="s">
        <v>82</v>
      </c>
      <c r="C284" s="19">
        <v>46240</v>
      </c>
      <c r="D284" s="13" t="s">
        <v>25</v>
      </c>
      <c r="E284" s="23">
        <v>1058</v>
      </c>
      <c r="F284" s="12">
        <v>0.199429</v>
      </c>
      <c r="G284" s="14">
        <v>4.7962699999999997E-2</v>
      </c>
      <c r="H284" s="15">
        <f t="shared" si="18"/>
        <v>0.42452883333333341</v>
      </c>
      <c r="I284" s="16">
        <f t="shared" si="19"/>
        <v>0.10059798888888888</v>
      </c>
    </row>
    <row r="285" spans="1:9" x14ac:dyDescent="0.3">
      <c r="A285" s="18" t="s">
        <v>48</v>
      </c>
      <c r="B285" s="30" t="s">
        <v>82</v>
      </c>
      <c r="C285" s="19">
        <v>46240</v>
      </c>
      <c r="D285" s="13" t="s">
        <v>26</v>
      </c>
      <c r="E285" s="23">
        <v>2610</v>
      </c>
      <c r="F285" s="12">
        <v>0.19561600000000001</v>
      </c>
      <c r="G285" s="14">
        <v>6.2890600000000005E-2</v>
      </c>
      <c r="H285" s="15">
        <f t="shared" si="18"/>
        <v>0.42452883333333341</v>
      </c>
      <c r="I285" s="16">
        <f t="shared" si="19"/>
        <v>0.10059798888888888</v>
      </c>
    </row>
    <row r="286" spans="1:9" x14ac:dyDescent="0.3">
      <c r="A286" s="18" t="s">
        <v>48</v>
      </c>
      <c r="B286" s="30" t="s">
        <v>82</v>
      </c>
      <c r="C286" s="19">
        <v>46240</v>
      </c>
      <c r="D286" s="13" t="s">
        <v>27</v>
      </c>
      <c r="E286" s="23">
        <v>2508</v>
      </c>
      <c r="F286" s="12">
        <v>0.38116</v>
      </c>
      <c r="G286" s="14">
        <v>8.6512500000000006E-2</v>
      </c>
      <c r="H286" s="15">
        <f t="shared" si="18"/>
        <v>0.42452883333333341</v>
      </c>
      <c r="I286" s="16">
        <f t="shared" si="19"/>
        <v>0.10059798888888888</v>
      </c>
    </row>
    <row r="287" spans="1:9" x14ac:dyDescent="0.3">
      <c r="A287" s="18" t="s">
        <v>48</v>
      </c>
      <c r="B287" s="30" t="s">
        <v>82</v>
      </c>
      <c r="C287" s="19">
        <v>46240</v>
      </c>
      <c r="D287" s="13" t="s">
        <v>28</v>
      </c>
      <c r="E287" s="23">
        <v>1261</v>
      </c>
      <c r="F287" s="12">
        <v>0.54010899999999995</v>
      </c>
      <c r="G287" s="14">
        <v>0.121348</v>
      </c>
      <c r="H287" s="15">
        <f t="shared" si="18"/>
        <v>0.42452883333333341</v>
      </c>
      <c r="I287" s="16">
        <f t="shared" si="19"/>
        <v>0.10059798888888888</v>
      </c>
    </row>
    <row r="288" spans="1:9" x14ac:dyDescent="0.3">
      <c r="A288" s="18" t="s">
        <v>48</v>
      </c>
      <c r="B288" s="30" t="s">
        <v>82</v>
      </c>
      <c r="C288" s="19">
        <v>46240</v>
      </c>
      <c r="D288" s="13" t="s">
        <v>29</v>
      </c>
      <c r="E288" s="23">
        <v>1538</v>
      </c>
      <c r="F288" s="12">
        <v>0.45475500000000002</v>
      </c>
      <c r="G288" s="14">
        <v>9.4206300000000007E-2</v>
      </c>
      <c r="H288" s="15">
        <f t="shared" si="18"/>
        <v>0.42452883333333341</v>
      </c>
      <c r="I288" s="16">
        <f t="shared" si="19"/>
        <v>0.10059798888888888</v>
      </c>
    </row>
    <row r="289" spans="1:9" x14ac:dyDescent="0.3">
      <c r="A289" s="18" t="s">
        <v>48</v>
      </c>
      <c r="B289" s="30" t="s">
        <v>82</v>
      </c>
      <c r="C289" s="19">
        <v>46240</v>
      </c>
      <c r="D289" s="13" t="s">
        <v>30</v>
      </c>
      <c r="E289" s="23">
        <v>1002</v>
      </c>
      <c r="F289" s="12">
        <v>0.75186900000000001</v>
      </c>
      <c r="G289" s="14">
        <v>0.151252</v>
      </c>
      <c r="H289" s="15">
        <f t="shared" si="18"/>
        <v>0.42452883333333341</v>
      </c>
      <c r="I289" s="16">
        <f t="shared" si="19"/>
        <v>0.10059798888888888</v>
      </c>
    </row>
    <row r="290" spans="1:9" x14ac:dyDescent="0.3">
      <c r="A290" s="18" t="s">
        <v>48</v>
      </c>
      <c r="B290" s="30" t="s">
        <v>83</v>
      </c>
      <c r="C290" s="19">
        <v>46240</v>
      </c>
      <c r="D290" s="13" t="s">
        <v>14</v>
      </c>
      <c r="E290" s="23">
        <v>3201</v>
      </c>
      <c r="F290" s="12">
        <v>0.44218600000000002</v>
      </c>
      <c r="G290" s="14">
        <v>0.120863</v>
      </c>
      <c r="H290" s="15">
        <f t="shared" si="18"/>
        <v>0.45376905555555552</v>
      </c>
      <c r="I290" s="16">
        <f t="shared" si="19"/>
        <v>0.10801037222222223</v>
      </c>
    </row>
    <row r="291" spans="1:9" x14ac:dyDescent="0.3">
      <c r="A291" s="18" t="s">
        <v>48</v>
      </c>
      <c r="B291" s="30" t="s">
        <v>83</v>
      </c>
      <c r="C291" s="19">
        <v>46240</v>
      </c>
      <c r="D291" s="13" t="s">
        <v>15</v>
      </c>
      <c r="E291" s="23">
        <v>3040</v>
      </c>
      <c r="F291" s="12">
        <v>0.44613000000000003</v>
      </c>
      <c r="G291" s="14">
        <v>0.113722</v>
      </c>
      <c r="H291" s="15">
        <f t="shared" si="18"/>
        <v>0.45376905555555552</v>
      </c>
      <c r="I291" s="16">
        <f t="shared" si="19"/>
        <v>0.10801037222222223</v>
      </c>
    </row>
    <row r="292" spans="1:9" x14ac:dyDescent="0.3">
      <c r="A292" s="18" t="s">
        <v>48</v>
      </c>
      <c r="B292" s="30" t="s">
        <v>83</v>
      </c>
      <c r="C292" s="19">
        <v>46240</v>
      </c>
      <c r="D292" s="13" t="s">
        <v>16</v>
      </c>
      <c r="E292" s="23">
        <v>2087</v>
      </c>
      <c r="F292" s="12">
        <v>0.601603</v>
      </c>
      <c r="G292" s="14">
        <v>0.13392100000000001</v>
      </c>
      <c r="H292" s="15">
        <f t="shared" si="18"/>
        <v>0.45376905555555552</v>
      </c>
      <c r="I292" s="16">
        <f t="shared" si="19"/>
        <v>0.10801037222222223</v>
      </c>
    </row>
    <row r="293" spans="1:9" x14ac:dyDescent="0.3">
      <c r="A293" s="18" t="s">
        <v>48</v>
      </c>
      <c r="B293" s="30" t="s">
        <v>83</v>
      </c>
      <c r="C293" s="19">
        <v>46240</v>
      </c>
      <c r="D293" s="13" t="s">
        <v>17</v>
      </c>
      <c r="E293" s="23">
        <v>2579</v>
      </c>
      <c r="F293" s="12">
        <v>0.65812000000000004</v>
      </c>
      <c r="G293" s="14">
        <v>0.13445299999999999</v>
      </c>
      <c r="H293" s="15">
        <f t="shared" si="18"/>
        <v>0.45376905555555552</v>
      </c>
      <c r="I293" s="16">
        <f t="shared" si="19"/>
        <v>0.10801037222222223</v>
      </c>
    </row>
    <row r="294" spans="1:9" x14ac:dyDescent="0.3">
      <c r="A294" s="18" t="s">
        <v>48</v>
      </c>
      <c r="B294" s="30" t="s">
        <v>83</v>
      </c>
      <c r="C294" s="19">
        <v>46240</v>
      </c>
      <c r="D294" s="13" t="s">
        <v>18</v>
      </c>
      <c r="E294" s="23">
        <v>2328</v>
      </c>
      <c r="F294" s="12">
        <v>0.38157099999999999</v>
      </c>
      <c r="G294" s="14">
        <v>9.0749499999999997E-2</v>
      </c>
      <c r="H294" s="15">
        <f t="shared" si="18"/>
        <v>0.45376905555555552</v>
      </c>
      <c r="I294" s="16">
        <f t="shared" si="19"/>
        <v>0.10801037222222223</v>
      </c>
    </row>
    <row r="295" spans="1:9" x14ac:dyDescent="0.3">
      <c r="A295" s="18" t="s">
        <v>48</v>
      </c>
      <c r="B295" s="30" t="s">
        <v>83</v>
      </c>
      <c r="C295" s="19">
        <v>46240</v>
      </c>
      <c r="D295" s="13" t="s">
        <v>19</v>
      </c>
      <c r="E295" s="23">
        <v>2407</v>
      </c>
      <c r="F295" s="12">
        <v>0.58857599999999999</v>
      </c>
      <c r="G295" s="14">
        <v>0.118063</v>
      </c>
      <c r="H295" s="15">
        <f t="shared" si="18"/>
        <v>0.45376905555555552</v>
      </c>
      <c r="I295" s="16">
        <f t="shared" si="19"/>
        <v>0.10801037222222223</v>
      </c>
    </row>
    <row r="296" spans="1:9" x14ac:dyDescent="0.3">
      <c r="A296" s="18" t="s">
        <v>48</v>
      </c>
      <c r="B296" s="30" t="s">
        <v>83</v>
      </c>
      <c r="C296" s="19">
        <v>46240</v>
      </c>
      <c r="D296" s="13" t="s">
        <v>20</v>
      </c>
      <c r="E296" s="23">
        <v>2648</v>
      </c>
      <c r="F296" s="12">
        <v>0.66278000000000004</v>
      </c>
      <c r="G296" s="14">
        <v>0.13273699999999999</v>
      </c>
      <c r="H296" s="15">
        <f t="shared" si="18"/>
        <v>0.45376905555555552</v>
      </c>
      <c r="I296" s="16">
        <f t="shared" si="19"/>
        <v>0.10801037222222223</v>
      </c>
    </row>
    <row r="297" spans="1:9" x14ac:dyDescent="0.3">
      <c r="A297" s="18" t="s">
        <v>48</v>
      </c>
      <c r="B297" s="30" t="s">
        <v>83</v>
      </c>
      <c r="C297" s="19">
        <v>46240</v>
      </c>
      <c r="D297" s="13" t="s">
        <v>40</v>
      </c>
      <c r="E297" s="23">
        <v>1045</v>
      </c>
      <c r="F297" s="12">
        <v>0.30008299999999999</v>
      </c>
      <c r="G297" s="14">
        <v>8.6968599999999993E-2</v>
      </c>
      <c r="H297" s="15">
        <f t="shared" si="18"/>
        <v>0.45376905555555552</v>
      </c>
      <c r="I297" s="16">
        <f t="shared" si="19"/>
        <v>0.10801037222222223</v>
      </c>
    </row>
    <row r="298" spans="1:9" x14ac:dyDescent="0.3">
      <c r="A298" s="18" t="s">
        <v>48</v>
      </c>
      <c r="B298" s="30" t="s">
        <v>83</v>
      </c>
      <c r="C298" s="19">
        <v>46240</v>
      </c>
      <c r="D298" s="13" t="s">
        <v>21</v>
      </c>
      <c r="E298" s="23">
        <v>3707</v>
      </c>
      <c r="F298" s="12">
        <v>0.43379899999999999</v>
      </c>
      <c r="G298" s="14">
        <v>8.84128E-2</v>
      </c>
      <c r="H298" s="15">
        <f t="shared" si="18"/>
        <v>0.45376905555555552</v>
      </c>
      <c r="I298" s="16">
        <f t="shared" si="19"/>
        <v>0.10801037222222223</v>
      </c>
    </row>
    <row r="299" spans="1:9" x14ac:dyDescent="0.3">
      <c r="A299" s="18" t="s">
        <v>48</v>
      </c>
      <c r="B299" s="30" t="s">
        <v>83</v>
      </c>
      <c r="C299" s="19">
        <v>46240</v>
      </c>
      <c r="D299" s="13" t="s">
        <v>22</v>
      </c>
      <c r="E299" s="23">
        <v>2762</v>
      </c>
      <c r="F299" s="12">
        <v>0.46423999999999999</v>
      </c>
      <c r="G299" s="14">
        <v>0.12906100000000001</v>
      </c>
      <c r="H299" s="15">
        <f t="shared" si="18"/>
        <v>0.45376905555555552</v>
      </c>
      <c r="I299" s="16">
        <f t="shared" si="19"/>
        <v>0.10801037222222223</v>
      </c>
    </row>
    <row r="300" spans="1:9" x14ac:dyDescent="0.3">
      <c r="A300" s="18" t="s">
        <v>48</v>
      </c>
      <c r="B300" s="30" t="s">
        <v>83</v>
      </c>
      <c r="C300" s="19">
        <v>46240</v>
      </c>
      <c r="D300" s="13" t="s">
        <v>23</v>
      </c>
      <c r="E300" s="23">
        <v>1001</v>
      </c>
      <c r="F300" s="12">
        <v>0.40006399999999998</v>
      </c>
      <c r="G300" s="14">
        <v>0.13063900000000001</v>
      </c>
      <c r="H300" s="15">
        <f t="shared" si="18"/>
        <v>0.45376905555555552</v>
      </c>
      <c r="I300" s="16">
        <f t="shared" si="19"/>
        <v>0.10801037222222223</v>
      </c>
    </row>
    <row r="301" spans="1:9" x14ac:dyDescent="0.3">
      <c r="A301" s="18" t="s">
        <v>48</v>
      </c>
      <c r="B301" s="30" t="s">
        <v>83</v>
      </c>
      <c r="C301" s="19">
        <v>46240</v>
      </c>
      <c r="D301" s="13" t="s">
        <v>24</v>
      </c>
      <c r="E301" s="23">
        <v>3040</v>
      </c>
      <c r="F301" s="12">
        <v>0.25951999999999997</v>
      </c>
      <c r="G301" s="14">
        <v>8.3202100000000001E-2</v>
      </c>
      <c r="H301" s="15">
        <f t="shared" si="18"/>
        <v>0.45376905555555552</v>
      </c>
      <c r="I301" s="16">
        <f t="shared" si="19"/>
        <v>0.10801037222222223</v>
      </c>
    </row>
    <row r="302" spans="1:9" x14ac:dyDescent="0.3">
      <c r="A302" s="18" t="s">
        <v>48</v>
      </c>
      <c r="B302" s="30" t="s">
        <v>83</v>
      </c>
      <c r="C302" s="19">
        <v>46240</v>
      </c>
      <c r="D302" s="13" t="s">
        <v>25</v>
      </c>
      <c r="E302" s="23">
        <v>1081</v>
      </c>
      <c r="F302" s="12">
        <v>0.19483200000000001</v>
      </c>
      <c r="G302" s="14">
        <v>4.92673E-2</v>
      </c>
      <c r="H302" s="15">
        <f t="shared" si="18"/>
        <v>0.45376905555555552</v>
      </c>
      <c r="I302" s="16">
        <f t="shared" si="19"/>
        <v>0.10801037222222223</v>
      </c>
    </row>
    <row r="303" spans="1:9" x14ac:dyDescent="0.3">
      <c r="A303" s="18" t="s">
        <v>48</v>
      </c>
      <c r="B303" s="30" t="s">
        <v>83</v>
      </c>
      <c r="C303" s="19">
        <v>46240</v>
      </c>
      <c r="D303" s="13" t="s">
        <v>26</v>
      </c>
      <c r="E303" s="23">
        <v>2824</v>
      </c>
      <c r="F303" s="12">
        <v>0.257988</v>
      </c>
      <c r="G303" s="14">
        <v>8.1980600000000001E-2</v>
      </c>
      <c r="H303" s="15">
        <f t="shared" si="18"/>
        <v>0.45376905555555552</v>
      </c>
      <c r="I303" s="16">
        <f t="shared" si="19"/>
        <v>0.10801037222222223</v>
      </c>
    </row>
    <row r="304" spans="1:9" x14ac:dyDescent="0.3">
      <c r="A304" s="18" t="s">
        <v>48</v>
      </c>
      <c r="B304" s="30" t="s">
        <v>83</v>
      </c>
      <c r="C304" s="19">
        <v>46240</v>
      </c>
      <c r="D304" s="13" t="s">
        <v>27</v>
      </c>
      <c r="E304" s="23">
        <v>2935</v>
      </c>
      <c r="F304" s="12">
        <v>0.35716399999999998</v>
      </c>
      <c r="G304" s="14">
        <v>8.5796200000000003E-2</v>
      </c>
      <c r="H304" s="15">
        <f t="shared" si="18"/>
        <v>0.45376905555555552</v>
      </c>
      <c r="I304" s="16">
        <f t="shared" si="19"/>
        <v>0.10801037222222223</v>
      </c>
    </row>
    <row r="305" spans="1:9" x14ac:dyDescent="0.3">
      <c r="A305" s="18" t="s">
        <v>48</v>
      </c>
      <c r="B305" s="30" t="s">
        <v>83</v>
      </c>
      <c r="C305" s="19">
        <v>46240</v>
      </c>
      <c r="D305" s="13" t="s">
        <v>28</v>
      </c>
      <c r="E305" s="23">
        <v>2001</v>
      </c>
      <c r="F305" s="12">
        <v>0.32775199999999999</v>
      </c>
      <c r="G305" s="14">
        <v>7.7657400000000001E-2</v>
      </c>
      <c r="H305" s="15">
        <f t="shared" si="18"/>
        <v>0.45376905555555552</v>
      </c>
      <c r="I305" s="16">
        <f t="shared" si="19"/>
        <v>0.10801037222222223</v>
      </c>
    </row>
    <row r="306" spans="1:9" x14ac:dyDescent="0.3">
      <c r="A306" s="18" t="s">
        <v>48</v>
      </c>
      <c r="B306" s="30" t="s">
        <v>83</v>
      </c>
      <c r="C306" s="19">
        <v>46240</v>
      </c>
      <c r="D306" s="13" t="s">
        <v>29</v>
      </c>
      <c r="E306" s="23">
        <v>1747</v>
      </c>
      <c r="F306" s="12">
        <v>0.44507000000000002</v>
      </c>
      <c r="G306" s="14">
        <v>8.8841199999999995E-2</v>
      </c>
      <c r="H306" s="15">
        <f t="shared" si="18"/>
        <v>0.45376905555555552</v>
      </c>
      <c r="I306" s="16">
        <f t="shared" si="19"/>
        <v>0.10801037222222223</v>
      </c>
    </row>
    <row r="307" spans="1:9" x14ac:dyDescent="0.3">
      <c r="A307" s="18" t="s">
        <v>48</v>
      </c>
      <c r="B307" s="30" t="s">
        <v>83</v>
      </c>
      <c r="C307" s="19">
        <v>46240</v>
      </c>
      <c r="D307" s="13" t="s">
        <v>30</v>
      </c>
      <c r="E307" s="23">
        <v>1106</v>
      </c>
      <c r="F307" s="12">
        <v>0.94636500000000001</v>
      </c>
      <c r="G307" s="14">
        <v>0.197852</v>
      </c>
      <c r="H307" s="15">
        <f t="shared" si="18"/>
        <v>0.45376905555555552</v>
      </c>
      <c r="I307" s="16">
        <f t="shared" si="19"/>
        <v>0.10801037222222223</v>
      </c>
    </row>
    <row r="308" spans="1:9" x14ac:dyDescent="0.3">
      <c r="A308" s="18" t="s">
        <v>41</v>
      </c>
      <c r="B308" s="29" t="s">
        <v>50</v>
      </c>
      <c r="C308" s="19">
        <v>46242</v>
      </c>
      <c r="D308" s="13" t="s">
        <v>14</v>
      </c>
      <c r="E308" s="23">
        <v>2347</v>
      </c>
      <c r="F308" s="12">
        <v>0.44430900000000001</v>
      </c>
      <c r="G308" s="14">
        <v>0.121479</v>
      </c>
      <c r="H308" s="15">
        <f t="shared" si="18"/>
        <v>0.38615661111111116</v>
      </c>
      <c r="I308" s="16">
        <f t="shared" si="19"/>
        <v>9.2878877777777771E-2</v>
      </c>
    </row>
    <row r="309" spans="1:9" x14ac:dyDescent="0.3">
      <c r="A309" s="18" t="s">
        <v>41</v>
      </c>
      <c r="B309" s="29" t="s">
        <v>50</v>
      </c>
      <c r="C309" s="19">
        <v>46242</v>
      </c>
      <c r="D309" s="13" t="s">
        <v>15</v>
      </c>
      <c r="E309" s="23">
        <v>2222</v>
      </c>
      <c r="F309" s="12">
        <v>0.42294799999999999</v>
      </c>
      <c r="G309" s="14">
        <v>0.107791</v>
      </c>
      <c r="H309" s="15">
        <f t="shared" si="18"/>
        <v>0.38615661111111116</v>
      </c>
      <c r="I309" s="16">
        <f t="shared" si="19"/>
        <v>9.2878877777777771E-2</v>
      </c>
    </row>
    <row r="310" spans="1:9" x14ac:dyDescent="0.3">
      <c r="A310" s="18" t="s">
        <v>41</v>
      </c>
      <c r="B310" s="29" t="s">
        <v>50</v>
      </c>
      <c r="C310" s="19">
        <v>46242</v>
      </c>
      <c r="D310" s="13" t="s">
        <v>16</v>
      </c>
      <c r="E310" s="23">
        <v>2021</v>
      </c>
      <c r="F310" s="12">
        <v>0.51043099999999997</v>
      </c>
      <c r="G310" s="14">
        <v>0.113635</v>
      </c>
      <c r="H310" s="15">
        <f t="shared" si="18"/>
        <v>0.38615661111111116</v>
      </c>
      <c r="I310" s="16">
        <f t="shared" si="19"/>
        <v>9.2878877777777771E-2</v>
      </c>
    </row>
    <row r="311" spans="1:9" x14ac:dyDescent="0.3">
      <c r="A311" s="18" t="s">
        <v>41</v>
      </c>
      <c r="B311" s="29" t="s">
        <v>50</v>
      </c>
      <c r="C311" s="19">
        <v>46242</v>
      </c>
      <c r="D311" s="13" t="s">
        <v>17</v>
      </c>
      <c r="E311" s="23">
        <v>1719</v>
      </c>
      <c r="F311" s="12">
        <v>0.54024799999999995</v>
      </c>
      <c r="G311" s="14">
        <v>0.11029799999999999</v>
      </c>
      <c r="H311" s="15">
        <f t="shared" si="18"/>
        <v>0.38615661111111116</v>
      </c>
      <c r="I311" s="16">
        <f t="shared" si="19"/>
        <v>9.2878877777777771E-2</v>
      </c>
    </row>
    <row r="312" spans="1:9" x14ac:dyDescent="0.3">
      <c r="A312" s="18" t="s">
        <v>41</v>
      </c>
      <c r="B312" s="29" t="s">
        <v>50</v>
      </c>
      <c r="C312" s="19">
        <v>46242</v>
      </c>
      <c r="D312" s="13" t="s">
        <v>18</v>
      </c>
      <c r="E312" s="23">
        <v>1950</v>
      </c>
      <c r="F312" s="12">
        <v>0.38157099999999999</v>
      </c>
      <c r="G312" s="14">
        <v>9.0749499999999997E-2</v>
      </c>
      <c r="H312" s="15">
        <f t="shared" si="18"/>
        <v>0.38615661111111116</v>
      </c>
      <c r="I312" s="16">
        <f t="shared" si="19"/>
        <v>9.2878877777777771E-2</v>
      </c>
    </row>
    <row r="313" spans="1:9" x14ac:dyDescent="0.3">
      <c r="A313" s="18" t="s">
        <v>41</v>
      </c>
      <c r="B313" s="29" t="s">
        <v>50</v>
      </c>
      <c r="C313" s="19">
        <v>46242</v>
      </c>
      <c r="D313" s="13" t="s">
        <v>19</v>
      </c>
      <c r="E313" s="23">
        <v>1979</v>
      </c>
      <c r="F313" s="12">
        <v>0.40723799999999999</v>
      </c>
      <c r="G313" s="14">
        <v>8.1662799999999994E-2</v>
      </c>
      <c r="H313" s="15">
        <f t="shared" si="18"/>
        <v>0.38615661111111116</v>
      </c>
      <c r="I313" s="16">
        <f t="shared" si="19"/>
        <v>9.2878877777777771E-2</v>
      </c>
    </row>
    <row r="314" spans="1:9" x14ac:dyDescent="0.3">
      <c r="A314" s="18" t="s">
        <v>41</v>
      </c>
      <c r="B314" s="29" t="s">
        <v>50</v>
      </c>
      <c r="C314" s="19">
        <v>46242</v>
      </c>
      <c r="D314" s="13" t="s">
        <v>20</v>
      </c>
      <c r="E314" s="23">
        <v>2245</v>
      </c>
      <c r="F314" s="12">
        <v>0.44565500000000002</v>
      </c>
      <c r="G314" s="14">
        <v>8.9242699999999994E-2</v>
      </c>
      <c r="H314" s="15">
        <f t="shared" si="18"/>
        <v>0.38615661111111116</v>
      </c>
      <c r="I314" s="16">
        <f t="shared" si="19"/>
        <v>9.2878877777777771E-2</v>
      </c>
    </row>
    <row r="315" spans="1:9" x14ac:dyDescent="0.3">
      <c r="A315" s="18" t="s">
        <v>41</v>
      </c>
      <c r="B315" s="29" t="s">
        <v>50</v>
      </c>
      <c r="C315" s="19">
        <v>46242</v>
      </c>
      <c r="D315" s="13" t="s">
        <v>40</v>
      </c>
      <c r="E315" s="23">
        <v>1145</v>
      </c>
      <c r="F315" s="12">
        <v>0.28156700000000001</v>
      </c>
      <c r="G315" s="14">
        <v>8.1516099999999994E-2</v>
      </c>
      <c r="H315" s="15">
        <f t="shared" si="18"/>
        <v>0.38615661111111116</v>
      </c>
      <c r="I315" s="16">
        <f t="shared" si="19"/>
        <v>9.2878877777777771E-2</v>
      </c>
    </row>
    <row r="316" spans="1:9" x14ac:dyDescent="0.3">
      <c r="A316" s="18" t="s">
        <v>41</v>
      </c>
      <c r="B316" s="29" t="s">
        <v>50</v>
      </c>
      <c r="C316" s="19">
        <v>46242</v>
      </c>
      <c r="D316" s="13" t="s">
        <v>21</v>
      </c>
      <c r="E316" s="23">
        <v>2984</v>
      </c>
      <c r="F316" s="12">
        <v>0.42464800000000003</v>
      </c>
      <c r="G316" s="14">
        <v>8.65345E-2</v>
      </c>
      <c r="H316" s="15">
        <f t="shared" si="18"/>
        <v>0.38615661111111116</v>
      </c>
      <c r="I316" s="16">
        <f t="shared" si="19"/>
        <v>9.2878877777777771E-2</v>
      </c>
    </row>
    <row r="317" spans="1:9" x14ac:dyDescent="0.3">
      <c r="A317" s="18" t="s">
        <v>41</v>
      </c>
      <c r="B317" s="29" t="s">
        <v>50</v>
      </c>
      <c r="C317" s="19">
        <v>46242</v>
      </c>
      <c r="D317" s="13" t="s">
        <v>22</v>
      </c>
      <c r="E317" s="23">
        <v>1992</v>
      </c>
      <c r="F317" s="12">
        <v>0.37770399999999998</v>
      </c>
      <c r="G317" s="14">
        <v>0.104974</v>
      </c>
      <c r="H317" s="15">
        <f t="shared" si="18"/>
        <v>0.38615661111111116</v>
      </c>
      <c r="I317" s="16">
        <f t="shared" si="19"/>
        <v>9.2878877777777771E-2</v>
      </c>
    </row>
    <row r="318" spans="1:9" x14ac:dyDescent="0.3">
      <c r="A318" s="18" t="s">
        <v>41</v>
      </c>
      <c r="B318" s="29" t="s">
        <v>50</v>
      </c>
      <c r="C318" s="19">
        <v>46242</v>
      </c>
      <c r="D318" s="13" t="s">
        <v>23</v>
      </c>
      <c r="E318" s="23">
        <v>1328</v>
      </c>
      <c r="F318" s="12">
        <v>0.42462699999999998</v>
      </c>
      <c r="G318" s="14">
        <v>0.13869799999999999</v>
      </c>
      <c r="H318" s="15">
        <f t="shared" si="18"/>
        <v>0.38615661111111116</v>
      </c>
      <c r="I318" s="16">
        <f t="shared" si="19"/>
        <v>9.2878877777777771E-2</v>
      </c>
    </row>
    <row r="319" spans="1:9" x14ac:dyDescent="0.3">
      <c r="A319" s="18" t="s">
        <v>41</v>
      </c>
      <c r="B319" s="29" t="s">
        <v>50</v>
      </c>
      <c r="C319" s="19">
        <v>46242</v>
      </c>
      <c r="D319" s="13" t="s">
        <v>24</v>
      </c>
      <c r="E319" s="23">
        <v>2725</v>
      </c>
      <c r="F319" s="12">
        <v>0.174926</v>
      </c>
      <c r="G319" s="14">
        <v>5.6090300000000003E-2</v>
      </c>
      <c r="H319" s="15">
        <f t="shared" si="18"/>
        <v>0.38615661111111116</v>
      </c>
      <c r="I319" s="16">
        <f t="shared" si="19"/>
        <v>9.2878877777777771E-2</v>
      </c>
    </row>
    <row r="320" spans="1:9" x14ac:dyDescent="0.3">
      <c r="A320" s="18" t="s">
        <v>41</v>
      </c>
      <c r="B320" s="29" t="s">
        <v>50</v>
      </c>
      <c r="C320" s="19">
        <v>46242</v>
      </c>
      <c r="D320" s="13" t="s">
        <v>25</v>
      </c>
      <c r="E320" s="23">
        <v>1108</v>
      </c>
      <c r="F320" s="12">
        <v>0.17077700000000001</v>
      </c>
      <c r="G320" s="14">
        <v>4.3160200000000003E-2</v>
      </c>
      <c r="H320" s="15">
        <f t="shared" si="18"/>
        <v>0.38615661111111116</v>
      </c>
      <c r="I320" s="16">
        <f t="shared" si="19"/>
        <v>9.2878877777777771E-2</v>
      </c>
    </row>
    <row r="321" spans="1:9" x14ac:dyDescent="0.3">
      <c r="A321" s="18" t="s">
        <v>41</v>
      </c>
      <c r="B321" s="29" t="s">
        <v>50</v>
      </c>
      <c r="C321" s="19">
        <v>46242</v>
      </c>
      <c r="D321" s="13" t="s">
        <v>26</v>
      </c>
      <c r="E321" s="23">
        <v>2406</v>
      </c>
      <c r="F321" s="12">
        <v>0.17474799999999999</v>
      </c>
      <c r="G321" s="14">
        <v>5.5523200000000002E-2</v>
      </c>
      <c r="H321" s="15">
        <f t="shared" si="18"/>
        <v>0.38615661111111116</v>
      </c>
      <c r="I321" s="16">
        <f t="shared" si="19"/>
        <v>9.2878877777777771E-2</v>
      </c>
    </row>
    <row r="322" spans="1:9" x14ac:dyDescent="0.3">
      <c r="A322" s="18" t="s">
        <v>41</v>
      </c>
      <c r="B322" s="29" t="s">
        <v>50</v>
      </c>
      <c r="C322" s="19">
        <v>46242</v>
      </c>
      <c r="D322" s="13" t="s">
        <v>27</v>
      </c>
      <c r="E322" s="23">
        <v>1994</v>
      </c>
      <c r="F322" s="12">
        <v>0.33553899999999998</v>
      </c>
      <c r="G322" s="14">
        <v>8.0594700000000005E-2</v>
      </c>
      <c r="H322" s="15">
        <f t="shared" si="18"/>
        <v>0.38615661111111116</v>
      </c>
      <c r="I322" s="16">
        <f t="shared" si="19"/>
        <v>9.2878877777777771E-2</v>
      </c>
    </row>
    <row r="323" spans="1:9" x14ac:dyDescent="0.3">
      <c r="A323" s="18" t="s">
        <v>41</v>
      </c>
      <c r="B323" s="29" t="s">
        <v>50</v>
      </c>
      <c r="C323" s="19">
        <v>46242</v>
      </c>
      <c r="D323" s="13" t="s">
        <v>28</v>
      </c>
      <c r="E323" s="23">
        <v>1075</v>
      </c>
      <c r="F323" s="12">
        <v>0.501197</v>
      </c>
      <c r="G323" s="14">
        <v>0.118765</v>
      </c>
      <c r="H323" s="15">
        <f t="shared" ref="H323:H386" si="20">IFERROR(AVERAGEIFS($F:$F, $A:$A, $A323, $B:$B,$B323, $C:$C,$C323),"")</f>
        <v>0.38615661111111116</v>
      </c>
      <c r="I323" s="16">
        <f t="shared" ref="I323:I386" si="21">IFERROR(AVERAGEIFS($G:$G, $A:$A, $A323, $B:$B,$B323, $C:$C,$C323),"")</f>
        <v>9.2878877777777771E-2</v>
      </c>
    </row>
    <row r="324" spans="1:9" x14ac:dyDescent="0.3">
      <c r="A324" s="18" t="s">
        <v>41</v>
      </c>
      <c r="B324" s="29" t="s">
        <v>50</v>
      </c>
      <c r="C324" s="19">
        <v>46242</v>
      </c>
      <c r="D324" s="13" t="s">
        <v>29</v>
      </c>
      <c r="E324" s="23">
        <v>1623</v>
      </c>
      <c r="F324" s="12">
        <v>0.39379799999999998</v>
      </c>
      <c r="G324" s="14">
        <v>7.8585799999999997E-2</v>
      </c>
      <c r="H324" s="15">
        <f t="shared" si="20"/>
        <v>0.38615661111111116</v>
      </c>
      <c r="I324" s="16">
        <f t="shared" si="21"/>
        <v>9.2878877777777771E-2</v>
      </c>
    </row>
    <row r="325" spans="1:9" x14ac:dyDescent="0.3">
      <c r="A325" s="18" t="s">
        <v>41</v>
      </c>
      <c r="B325" s="29" t="s">
        <v>50</v>
      </c>
      <c r="C325" s="19">
        <v>46242</v>
      </c>
      <c r="D325" s="13" t="s">
        <v>30</v>
      </c>
      <c r="E325" s="23">
        <v>1003</v>
      </c>
      <c r="F325" s="12">
        <v>0.53888800000000003</v>
      </c>
      <c r="G325" s="14">
        <v>0.11252</v>
      </c>
      <c r="H325" s="15">
        <f t="shared" si="20"/>
        <v>0.38615661111111116</v>
      </c>
      <c r="I325" s="16">
        <f t="shared" si="21"/>
        <v>9.2878877777777771E-2</v>
      </c>
    </row>
    <row r="326" spans="1:9" x14ac:dyDescent="0.3">
      <c r="A326" s="18" t="s">
        <v>48</v>
      </c>
      <c r="B326" s="30" t="s">
        <v>89</v>
      </c>
      <c r="C326" s="19">
        <v>46242</v>
      </c>
      <c r="D326" s="13" t="s">
        <v>14</v>
      </c>
      <c r="E326" s="23">
        <v>2347</v>
      </c>
      <c r="F326" s="12">
        <v>0.44430900000000001</v>
      </c>
      <c r="G326" s="14">
        <v>0.121479</v>
      </c>
      <c r="H326" s="15">
        <f t="shared" si="20"/>
        <v>0.38615661111111116</v>
      </c>
      <c r="I326" s="16">
        <f t="shared" si="21"/>
        <v>9.2878877777777771E-2</v>
      </c>
    </row>
    <row r="327" spans="1:9" x14ac:dyDescent="0.3">
      <c r="A327" s="18" t="s">
        <v>48</v>
      </c>
      <c r="B327" s="30" t="s">
        <v>89</v>
      </c>
      <c r="C327" s="19">
        <v>46242</v>
      </c>
      <c r="D327" s="13" t="s">
        <v>15</v>
      </c>
      <c r="E327" s="23">
        <v>2222</v>
      </c>
      <c r="F327" s="12">
        <v>0.42294799999999999</v>
      </c>
      <c r="G327" s="14">
        <v>0.107791</v>
      </c>
      <c r="H327" s="15">
        <f t="shared" si="20"/>
        <v>0.38615661111111116</v>
      </c>
      <c r="I327" s="16">
        <f t="shared" si="21"/>
        <v>9.2878877777777771E-2</v>
      </c>
    </row>
    <row r="328" spans="1:9" x14ac:dyDescent="0.3">
      <c r="A328" s="18" t="s">
        <v>48</v>
      </c>
      <c r="B328" s="30" t="s">
        <v>89</v>
      </c>
      <c r="C328" s="19">
        <v>46242</v>
      </c>
      <c r="D328" s="13" t="s">
        <v>16</v>
      </c>
      <c r="E328" s="23">
        <v>2021</v>
      </c>
      <c r="F328" s="12">
        <v>0.51043099999999997</v>
      </c>
      <c r="G328" s="14">
        <v>0.113635</v>
      </c>
      <c r="H328" s="15">
        <f t="shared" si="20"/>
        <v>0.38615661111111116</v>
      </c>
      <c r="I328" s="16">
        <f t="shared" si="21"/>
        <v>9.2878877777777771E-2</v>
      </c>
    </row>
    <row r="329" spans="1:9" x14ac:dyDescent="0.3">
      <c r="A329" s="18" t="s">
        <v>48</v>
      </c>
      <c r="B329" s="30" t="s">
        <v>89</v>
      </c>
      <c r="C329" s="19">
        <v>46242</v>
      </c>
      <c r="D329" s="13" t="s">
        <v>17</v>
      </c>
      <c r="E329" s="23">
        <v>1719</v>
      </c>
      <c r="F329" s="12">
        <v>0.54024799999999995</v>
      </c>
      <c r="G329" s="14">
        <v>0.11029799999999999</v>
      </c>
      <c r="H329" s="15">
        <f t="shared" si="20"/>
        <v>0.38615661111111116</v>
      </c>
      <c r="I329" s="16">
        <f t="shared" si="21"/>
        <v>9.2878877777777771E-2</v>
      </c>
    </row>
    <row r="330" spans="1:9" x14ac:dyDescent="0.3">
      <c r="A330" s="18" t="s">
        <v>48</v>
      </c>
      <c r="B330" s="30" t="s">
        <v>89</v>
      </c>
      <c r="C330" s="19">
        <v>46242</v>
      </c>
      <c r="D330" s="13" t="s">
        <v>18</v>
      </c>
      <c r="E330" s="23">
        <v>1950</v>
      </c>
      <c r="F330" s="12">
        <v>0.38157099999999999</v>
      </c>
      <c r="G330" s="14">
        <v>9.0749499999999997E-2</v>
      </c>
      <c r="H330" s="15">
        <f t="shared" si="20"/>
        <v>0.38615661111111116</v>
      </c>
      <c r="I330" s="16">
        <f t="shared" si="21"/>
        <v>9.2878877777777771E-2</v>
      </c>
    </row>
    <row r="331" spans="1:9" x14ac:dyDescent="0.3">
      <c r="A331" s="18" t="s">
        <v>48</v>
      </c>
      <c r="B331" s="30" t="s">
        <v>89</v>
      </c>
      <c r="C331" s="19">
        <v>46242</v>
      </c>
      <c r="D331" s="13" t="s">
        <v>19</v>
      </c>
      <c r="E331" s="23">
        <v>1979</v>
      </c>
      <c r="F331" s="12">
        <v>0.40723799999999999</v>
      </c>
      <c r="G331" s="14">
        <v>8.1662799999999994E-2</v>
      </c>
      <c r="H331" s="15">
        <f t="shared" si="20"/>
        <v>0.38615661111111116</v>
      </c>
      <c r="I331" s="16">
        <f t="shared" si="21"/>
        <v>9.2878877777777771E-2</v>
      </c>
    </row>
    <row r="332" spans="1:9" x14ac:dyDescent="0.3">
      <c r="A332" s="18" t="s">
        <v>48</v>
      </c>
      <c r="B332" s="30" t="s">
        <v>89</v>
      </c>
      <c r="C332" s="19">
        <v>46242</v>
      </c>
      <c r="D332" s="13" t="s">
        <v>20</v>
      </c>
      <c r="E332" s="23">
        <v>2245</v>
      </c>
      <c r="F332" s="12">
        <v>0.44565500000000002</v>
      </c>
      <c r="G332" s="14">
        <v>8.9242699999999994E-2</v>
      </c>
      <c r="H332" s="15">
        <f t="shared" si="20"/>
        <v>0.38615661111111116</v>
      </c>
      <c r="I332" s="16">
        <f t="shared" si="21"/>
        <v>9.2878877777777771E-2</v>
      </c>
    </row>
    <row r="333" spans="1:9" x14ac:dyDescent="0.3">
      <c r="A333" s="18" t="s">
        <v>48</v>
      </c>
      <c r="B333" s="30" t="s">
        <v>89</v>
      </c>
      <c r="C333" s="19">
        <v>46242</v>
      </c>
      <c r="D333" s="13" t="s">
        <v>40</v>
      </c>
      <c r="E333" s="23">
        <v>1145</v>
      </c>
      <c r="F333" s="12">
        <v>0.28156700000000001</v>
      </c>
      <c r="G333" s="14">
        <v>8.1516099999999994E-2</v>
      </c>
      <c r="H333" s="15">
        <f t="shared" si="20"/>
        <v>0.38615661111111116</v>
      </c>
      <c r="I333" s="16">
        <f t="shared" si="21"/>
        <v>9.2878877777777771E-2</v>
      </c>
    </row>
    <row r="334" spans="1:9" x14ac:dyDescent="0.3">
      <c r="A334" s="18" t="s">
        <v>48</v>
      </c>
      <c r="B334" s="30" t="s">
        <v>89</v>
      </c>
      <c r="C334" s="19">
        <v>46242</v>
      </c>
      <c r="D334" s="13" t="s">
        <v>21</v>
      </c>
      <c r="E334" s="23">
        <v>2984</v>
      </c>
      <c r="F334" s="12">
        <v>0.42464800000000003</v>
      </c>
      <c r="G334" s="14">
        <v>8.65345E-2</v>
      </c>
      <c r="H334" s="15">
        <f t="shared" si="20"/>
        <v>0.38615661111111116</v>
      </c>
      <c r="I334" s="16">
        <f t="shared" si="21"/>
        <v>9.2878877777777771E-2</v>
      </c>
    </row>
    <row r="335" spans="1:9" x14ac:dyDescent="0.3">
      <c r="A335" s="18" t="s">
        <v>48</v>
      </c>
      <c r="B335" s="30" t="s">
        <v>89</v>
      </c>
      <c r="C335" s="19">
        <v>46242</v>
      </c>
      <c r="D335" s="13" t="s">
        <v>22</v>
      </c>
      <c r="E335" s="23">
        <v>1992</v>
      </c>
      <c r="F335" s="12">
        <v>0.37770399999999998</v>
      </c>
      <c r="G335" s="14">
        <v>0.104974</v>
      </c>
      <c r="H335" s="15">
        <f t="shared" si="20"/>
        <v>0.38615661111111116</v>
      </c>
      <c r="I335" s="16">
        <f t="shared" si="21"/>
        <v>9.2878877777777771E-2</v>
      </c>
    </row>
    <row r="336" spans="1:9" x14ac:dyDescent="0.3">
      <c r="A336" s="18" t="s">
        <v>48</v>
      </c>
      <c r="B336" s="30" t="s">
        <v>89</v>
      </c>
      <c r="C336" s="19">
        <v>46242</v>
      </c>
      <c r="D336" s="13" t="s">
        <v>23</v>
      </c>
      <c r="E336" s="23">
        <v>1328</v>
      </c>
      <c r="F336" s="12">
        <v>0.42462699999999998</v>
      </c>
      <c r="G336" s="14">
        <v>0.13869799999999999</v>
      </c>
      <c r="H336" s="15">
        <f t="shared" si="20"/>
        <v>0.38615661111111116</v>
      </c>
      <c r="I336" s="16">
        <f t="shared" si="21"/>
        <v>9.2878877777777771E-2</v>
      </c>
    </row>
    <row r="337" spans="1:9" x14ac:dyDescent="0.3">
      <c r="A337" s="18" t="s">
        <v>48</v>
      </c>
      <c r="B337" s="30" t="s">
        <v>89</v>
      </c>
      <c r="C337" s="19">
        <v>46242</v>
      </c>
      <c r="D337" s="13" t="s">
        <v>24</v>
      </c>
      <c r="E337" s="23">
        <v>2725</v>
      </c>
      <c r="F337" s="12">
        <v>0.174926</v>
      </c>
      <c r="G337" s="14">
        <v>5.6090300000000003E-2</v>
      </c>
      <c r="H337" s="15">
        <f t="shared" si="20"/>
        <v>0.38615661111111116</v>
      </c>
      <c r="I337" s="16">
        <f t="shared" si="21"/>
        <v>9.2878877777777771E-2</v>
      </c>
    </row>
    <row r="338" spans="1:9" x14ac:dyDescent="0.3">
      <c r="A338" s="18" t="s">
        <v>48</v>
      </c>
      <c r="B338" s="30" t="s">
        <v>89</v>
      </c>
      <c r="C338" s="19">
        <v>46242</v>
      </c>
      <c r="D338" s="13" t="s">
        <v>25</v>
      </c>
      <c r="E338" s="23">
        <v>1108</v>
      </c>
      <c r="F338" s="12">
        <v>0.17077700000000001</v>
      </c>
      <c r="G338" s="14">
        <v>4.3160200000000003E-2</v>
      </c>
      <c r="H338" s="15">
        <f t="shared" si="20"/>
        <v>0.38615661111111116</v>
      </c>
      <c r="I338" s="16">
        <f t="shared" si="21"/>
        <v>9.2878877777777771E-2</v>
      </c>
    </row>
    <row r="339" spans="1:9" x14ac:dyDescent="0.3">
      <c r="A339" s="18" t="s">
        <v>48</v>
      </c>
      <c r="B339" s="30" t="s">
        <v>89</v>
      </c>
      <c r="C339" s="19">
        <v>46242</v>
      </c>
      <c r="D339" s="13" t="s">
        <v>26</v>
      </c>
      <c r="E339" s="23">
        <v>2406</v>
      </c>
      <c r="F339" s="12">
        <v>0.17474799999999999</v>
      </c>
      <c r="G339" s="14">
        <v>5.5523200000000002E-2</v>
      </c>
      <c r="H339" s="15">
        <f t="shared" si="20"/>
        <v>0.38615661111111116</v>
      </c>
      <c r="I339" s="16">
        <f t="shared" si="21"/>
        <v>9.2878877777777771E-2</v>
      </c>
    </row>
    <row r="340" spans="1:9" x14ac:dyDescent="0.3">
      <c r="A340" s="18" t="s">
        <v>48</v>
      </c>
      <c r="B340" s="30" t="s">
        <v>89</v>
      </c>
      <c r="C340" s="19">
        <v>46242</v>
      </c>
      <c r="D340" s="13" t="s">
        <v>27</v>
      </c>
      <c r="E340" s="23">
        <v>1994</v>
      </c>
      <c r="F340" s="12">
        <v>0.33553899999999998</v>
      </c>
      <c r="G340" s="14">
        <v>8.0594700000000005E-2</v>
      </c>
      <c r="H340" s="15">
        <f t="shared" si="20"/>
        <v>0.38615661111111116</v>
      </c>
      <c r="I340" s="16">
        <f t="shared" si="21"/>
        <v>9.2878877777777771E-2</v>
      </c>
    </row>
    <row r="341" spans="1:9" x14ac:dyDescent="0.3">
      <c r="A341" s="18" t="s">
        <v>48</v>
      </c>
      <c r="B341" s="30" t="s">
        <v>89</v>
      </c>
      <c r="C341" s="19">
        <v>46242</v>
      </c>
      <c r="D341" s="13" t="s">
        <v>28</v>
      </c>
      <c r="E341" s="23">
        <v>1075</v>
      </c>
      <c r="F341" s="12">
        <v>0.501197</v>
      </c>
      <c r="G341" s="14">
        <v>0.118765</v>
      </c>
      <c r="H341" s="15">
        <f t="shared" si="20"/>
        <v>0.38615661111111116</v>
      </c>
      <c r="I341" s="16">
        <f t="shared" si="21"/>
        <v>9.2878877777777771E-2</v>
      </c>
    </row>
    <row r="342" spans="1:9" x14ac:dyDescent="0.3">
      <c r="A342" s="18" t="s">
        <v>48</v>
      </c>
      <c r="B342" s="30" t="s">
        <v>89</v>
      </c>
      <c r="C342" s="19">
        <v>46242</v>
      </c>
      <c r="D342" s="13" t="s">
        <v>29</v>
      </c>
      <c r="E342" s="23">
        <v>1623</v>
      </c>
      <c r="F342" s="12">
        <v>0.39379799999999998</v>
      </c>
      <c r="G342" s="14">
        <v>7.8585799999999997E-2</v>
      </c>
      <c r="H342" s="15">
        <f t="shared" si="20"/>
        <v>0.38615661111111116</v>
      </c>
      <c r="I342" s="16">
        <f t="shared" si="21"/>
        <v>9.2878877777777771E-2</v>
      </c>
    </row>
    <row r="343" spans="1:9" x14ac:dyDescent="0.3">
      <c r="A343" s="18" t="s">
        <v>48</v>
      </c>
      <c r="B343" s="30" t="s">
        <v>89</v>
      </c>
      <c r="C343" s="19">
        <v>46242</v>
      </c>
      <c r="D343" s="13" t="s">
        <v>30</v>
      </c>
      <c r="E343" s="23">
        <v>1003</v>
      </c>
      <c r="F343" s="12">
        <v>0.53888800000000003</v>
      </c>
      <c r="G343" s="14">
        <v>0.11252</v>
      </c>
      <c r="H343" s="15">
        <f t="shared" si="20"/>
        <v>0.38615661111111116</v>
      </c>
      <c r="I343" s="16">
        <f t="shared" si="21"/>
        <v>9.2878877777777771E-2</v>
      </c>
    </row>
    <row r="344" spans="1:9" x14ac:dyDescent="0.3">
      <c r="A344" s="18" t="s">
        <v>48</v>
      </c>
      <c r="B344" s="30" t="s">
        <v>88</v>
      </c>
      <c r="C344" s="19">
        <v>46242</v>
      </c>
      <c r="D344" s="13" t="s">
        <v>14</v>
      </c>
      <c r="E344" s="23">
        <v>4250</v>
      </c>
      <c r="F344" s="12">
        <v>0.499662</v>
      </c>
      <c r="G344" s="14">
        <v>0.13658699999999999</v>
      </c>
      <c r="H344" s="15">
        <f t="shared" si="20"/>
        <v>0.36258505555555548</v>
      </c>
      <c r="I344" s="16">
        <f t="shared" si="21"/>
        <v>8.7321022222222211E-2</v>
      </c>
    </row>
    <row r="345" spans="1:9" x14ac:dyDescent="0.3">
      <c r="A345" s="18" t="s">
        <v>48</v>
      </c>
      <c r="B345" s="30" t="s">
        <v>88</v>
      </c>
      <c r="C345" s="19">
        <v>46242</v>
      </c>
      <c r="D345" s="13" t="s">
        <v>15</v>
      </c>
      <c r="E345" s="23">
        <v>4013</v>
      </c>
      <c r="F345" s="12">
        <v>0.39092500000000002</v>
      </c>
      <c r="G345" s="14">
        <v>9.9597900000000003E-2</v>
      </c>
      <c r="H345" s="15">
        <f t="shared" si="20"/>
        <v>0.36258505555555548</v>
      </c>
      <c r="I345" s="16">
        <f t="shared" si="21"/>
        <v>8.7321022222222211E-2</v>
      </c>
    </row>
    <row r="346" spans="1:9" x14ac:dyDescent="0.3">
      <c r="A346" s="18" t="s">
        <v>48</v>
      </c>
      <c r="B346" s="30" t="s">
        <v>88</v>
      </c>
      <c r="C346" s="19">
        <v>46242</v>
      </c>
      <c r="D346" s="13" t="s">
        <v>16</v>
      </c>
      <c r="E346" s="23">
        <v>3278</v>
      </c>
      <c r="F346" s="12">
        <v>0.46836800000000001</v>
      </c>
      <c r="G346" s="14">
        <v>0.10427599999999999</v>
      </c>
      <c r="H346" s="15">
        <f t="shared" si="20"/>
        <v>0.36258505555555548</v>
      </c>
      <c r="I346" s="16">
        <f t="shared" si="21"/>
        <v>8.7321022222222211E-2</v>
      </c>
    </row>
    <row r="347" spans="1:9" x14ac:dyDescent="0.3">
      <c r="A347" s="18" t="s">
        <v>48</v>
      </c>
      <c r="B347" s="30" t="s">
        <v>88</v>
      </c>
      <c r="C347" s="19">
        <v>46242</v>
      </c>
      <c r="D347" s="13" t="s">
        <v>17</v>
      </c>
      <c r="E347" s="23">
        <v>3575</v>
      </c>
      <c r="F347" s="12">
        <v>0.48782999999999999</v>
      </c>
      <c r="G347" s="14">
        <v>9.9588999999999997E-2</v>
      </c>
      <c r="H347" s="15">
        <f t="shared" si="20"/>
        <v>0.36258505555555548</v>
      </c>
      <c r="I347" s="16">
        <f t="shared" si="21"/>
        <v>8.7321022222222211E-2</v>
      </c>
    </row>
    <row r="348" spans="1:9" x14ac:dyDescent="0.3">
      <c r="A348" s="18" t="s">
        <v>48</v>
      </c>
      <c r="B348" s="30" t="s">
        <v>88</v>
      </c>
      <c r="C348" s="19">
        <v>46242</v>
      </c>
      <c r="D348" s="13" t="s">
        <v>18</v>
      </c>
      <c r="E348" s="23">
        <v>3902</v>
      </c>
      <c r="F348" s="12">
        <v>0.38157099999999999</v>
      </c>
      <c r="G348" s="14">
        <v>9.0749499999999997E-2</v>
      </c>
      <c r="H348" s="15">
        <f t="shared" si="20"/>
        <v>0.36258505555555548</v>
      </c>
      <c r="I348" s="16">
        <f t="shared" si="21"/>
        <v>8.7321022222222211E-2</v>
      </c>
    </row>
    <row r="349" spans="1:9" x14ac:dyDescent="0.3">
      <c r="A349" s="18" t="s">
        <v>48</v>
      </c>
      <c r="B349" s="30" t="s">
        <v>88</v>
      </c>
      <c r="C349" s="19">
        <v>46242</v>
      </c>
      <c r="D349" s="13" t="s">
        <v>19</v>
      </c>
      <c r="E349" s="23">
        <v>3468</v>
      </c>
      <c r="F349" s="12">
        <v>0.43530799999999997</v>
      </c>
      <c r="G349" s="14">
        <v>8.7284600000000004E-2</v>
      </c>
      <c r="H349" s="15">
        <f t="shared" si="20"/>
        <v>0.36258505555555548</v>
      </c>
      <c r="I349" s="16">
        <f t="shared" si="21"/>
        <v>8.7321022222222211E-2</v>
      </c>
    </row>
    <row r="350" spans="1:9" x14ac:dyDescent="0.3">
      <c r="A350" s="18" t="s">
        <v>48</v>
      </c>
      <c r="B350" s="30" t="s">
        <v>88</v>
      </c>
      <c r="C350" s="19">
        <v>46242</v>
      </c>
      <c r="D350" s="13" t="s">
        <v>20</v>
      </c>
      <c r="E350" s="23">
        <v>3519</v>
      </c>
      <c r="F350" s="12">
        <v>0.41318700000000003</v>
      </c>
      <c r="G350" s="14">
        <v>8.2780800000000002E-2</v>
      </c>
      <c r="H350" s="15">
        <f t="shared" si="20"/>
        <v>0.36258505555555548</v>
      </c>
      <c r="I350" s="16">
        <f t="shared" si="21"/>
        <v>8.7321022222222211E-2</v>
      </c>
    </row>
    <row r="351" spans="1:9" x14ac:dyDescent="0.3">
      <c r="A351" s="18" t="s">
        <v>48</v>
      </c>
      <c r="B351" s="30" t="s">
        <v>88</v>
      </c>
      <c r="C351" s="19">
        <v>46242</v>
      </c>
      <c r="D351" s="13" t="s">
        <v>40</v>
      </c>
      <c r="E351" s="23">
        <v>2130</v>
      </c>
      <c r="F351" s="12">
        <v>0.25536300000000001</v>
      </c>
      <c r="G351" s="14">
        <v>7.3986300000000005E-2</v>
      </c>
      <c r="H351" s="15">
        <f t="shared" si="20"/>
        <v>0.36258505555555548</v>
      </c>
      <c r="I351" s="16">
        <f t="shared" si="21"/>
        <v>8.7321022222222211E-2</v>
      </c>
    </row>
    <row r="352" spans="1:9" x14ac:dyDescent="0.3">
      <c r="A352" s="18" t="s">
        <v>48</v>
      </c>
      <c r="B352" s="30" t="s">
        <v>88</v>
      </c>
      <c r="C352" s="19">
        <v>46242</v>
      </c>
      <c r="D352" s="13" t="s">
        <v>21</v>
      </c>
      <c r="E352" s="23">
        <v>4973</v>
      </c>
      <c r="F352" s="12">
        <v>0.45008999999999999</v>
      </c>
      <c r="G352" s="14">
        <v>9.1700000000000004E-2</v>
      </c>
      <c r="H352" s="15">
        <f t="shared" si="20"/>
        <v>0.36258505555555548</v>
      </c>
      <c r="I352" s="16">
        <f t="shared" si="21"/>
        <v>8.7321022222222211E-2</v>
      </c>
    </row>
    <row r="353" spans="1:9" x14ac:dyDescent="0.3">
      <c r="A353" s="18" t="s">
        <v>48</v>
      </c>
      <c r="B353" s="30" t="s">
        <v>88</v>
      </c>
      <c r="C353" s="19">
        <v>46242</v>
      </c>
      <c r="D353" s="13" t="s">
        <v>22</v>
      </c>
      <c r="E353" s="23">
        <v>3766</v>
      </c>
      <c r="F353" s="12">
        <v>0.39692499999999997</v>
      </c>
      <c r="G353" s="14">
        <v>0.110336</v>
      </c>
      <c r="H353" s="15">
        <f t="shared" si="20"/>
        <v>0.36258505555555548</v>
      </c>
      <c r="I353" s="16">
        <f t="shared" si="21"/>
        <v>8.7321022222222211E-2</v>
      </c>
    </row>
    <row r="354" spans="1:9" x14ac:dyDescent="0.3">
      <c r="A354" s="18" t="s">
        <v>48</v>
      </c>
      <c r="B354" s="30" t="s">
        <v>88</v>
      </c>
      <c r="C354" s="19">
        <v>46242</v>
      </c>
      <c r="D354" s="13" t="s">
        <v>23</v>
      </c>
      <c r="E354" s="23">
        <v>2002</v>
      </c>
      <c r="F354" s="12">
        <v>0.193358</v>
      </c>
      <c r="G354" s="14">
        <v>6.3104099999999996E-2</v>
      </c>
      <c r="H354" s="15">
        <f t="shared" si="20"/>
        <v>0.36258505555555548</v>
      </c>
      <c r="I354" s="16">
        <f t="shared" si="21"/>
        <v>8.7321022222222211E-2</v>
      </c>
    </row>
    <row r="355" spans="1:9" x14ac:dyDescent="0.3">
      <c r="A355" s="18" t="s">
        <v>48</v>
      </c>
      <c r="B355" s="30" t="s">
        <v>88</v>
      </c>
      <c r="C355" s="19">
        <v>46242</v>
      </c>
      <c r="D355" s="13" t="s">
        <v>24</v>
      </c>
      <c r="E355" s="23">
        <v>4266</v>
      </c>
      <c r="F355" s="12">
        <v>0.31382900000000002</v>
      </c>
      <c r="G355" s="14">
        <v>0.100622</v>
      </c>
      <c r="H355" s="15">
        <f t="shared" si="20"/>
        <v>0.36258505555555548</v>
      </c>
      <c r="I355" s="16">
        <f t="shared" si="21"/>
        <v>8.7321022222222211E-2</v>
      </c>
    </row>
    <row r="356" spans="1:9" x14ac:dyDescent="0.3">
      <c r="A356" s="18" t="s">
        <v>48</v>
      </c>
      <c r="B356" s="30" t="s">
        <v>88</v>
      </c>
      <c r="C356" s="19">
        <v>46242</v>
      </c>
      <c r="D356" s="13" t="s">
        <v>25</v>
      </c>
      <c r="E356" s="23">
        <v>2182</v>
      </c>
      <c r="F356" s="12">
        <v>0.13646</v>
      </c>
      <c r="G356" s="14">
        <v>3.44975E-2</v>
      </c>
      <c r="H356" s="15">
        <f t="shared" si="20"/>
        <v>0.36258505555555548</v>
      </c>
      <c r="I356" s="16">
        <f t="shared" si="21"/>
        <v>8.7321022222222211E-2</v>
      </c>
    </row>
    <row r="357" spans="1:9" x14ac:dyDescent="0.3">
      <c r="A357" s="18" t="s">
        <v>48</v>
      </c>
      <c r="B357" s="30" t="s">
        <v>88</v>
      </c>
      <c r="C357" s="19">
        <v>46242</v>
      </c>
      <c r="D357" s="13" t="s">
        <v>26</v>
      </c>
      <c r="E357" s="23">
        <v>4106</v>
      </c>
      <c r="F357" s="12">
        <v>0.21410299999999999</v>
      </c>
      <c r="G357" s="14">
        <v>6.8046899999999994E-2</v>
      </c>
      <c r="H357" s="15">
        <f t="shared" si="20"/>
        <v>0.36258505555555548</v>
      </c>
      <c r="I357" s="16">
        <f t="shared" si="21"/>
        <v>8.7321022222222211E-2</v>
      </c>
    </row>
    <row r="358" spans="1:9" x14ac:dyDescent="0.3">
      <c r="A358" s="18" t="s">
        <v>48</v>
      </c>
      <c r="B358" s="30" t="s">
        <v>88</v>
      </c>
      <c r="C358" s="19">
        <v>46242</v>
      </c>
      <c r="D358" s="13" t="s">
        <v>27</v>
      </c>
      <c r="E358" s="23">
        <v>3478</v>
      </c>
      <c r="F358" s="12">
        <v>0.36802800000000002</v>
      </c>
      <c r="G358" s="14">
        <v>8.8501300000000005E-2</v>
      </c>
      <c r="H358" s="15">
        <f t="shared" si="20"/>
        <v>0.36258505555555548</v>
      </c>
      <c r="I358" s="16">
        <f t="shared" si="21"/>
        <v>8.7321022222222211E-2</v>
      </c>
    </row>
    <row r="359" spans="1:9" x14ac:dyDescent="0.3">
      <c r="A359" s="18" t="s">
        <v>48</v>
      </c>
      <c r="B359" s="30" t="s">
        <v>88</v>
      </c>
      <c r="C359" s="19">
        <v>46242</v>
      </c>
      <c r="D359" s="13" t="s">
        <v>28</v>
      </c>
      <c r="E359" s="23">
        <v>2379</v>
      </c>
      <c r="F359" s="12">
        <v>0.316606</v>
      </c>
      <c r="G359" s="14">
        <v>7.4974899999999997E-2</v>
      </c>
      <c r="H359" s="15">
        <f t="shared" si="20"/>
        <v>0.36258505555555548</v>
      </c>
      <c r="I359" s="16">
        <f t="shared" si="21"/>
        <v>8.7321022222222211E-2</v>
      </c>
    </row>
    <row r="360" spans="1:9" x14ac:dyDescent="0.3">
      <c r="A360" s="18" t="s">
        <v>48</v>
      </c>
      <c r="B360" s="30" t="s">
        <v>88</v>
      </c>
      <c r="C360" s="19">
        <v>46242</v>
      </c>
      <c r="D360" s="13" t="s">
        <v>29</v>
      </c>
      <c r="E360" s="23">
        <v>3003</v>
      </c>
      <c r="F360" s="12">
        <v>0.31798100000000001</v>
      </c>
      <c r="G360" s="14">
        <v>6.3462599999999994E-2</v>
      </c>
      <c r="H360" s="15">
        <f t="shared" si="20"/>
        <v>0.36258505555555548</v>
      </c>
      <c r="I360" s="16">
        <f t="shared" si="21"/>
        <v>8.7321022222222211E-2</v>
      </c>
    </row>
    <row r="361" spans="1:9" x14ac:dyDescent="0.3">
      <c r="A361" s="18" t="s">
        <v>48</v>
      </c>
      <c r="B361" s="30" t="s">
        <v>88</v>
      </c>
      <c r="C361" s="19">
        <v>46242</v>
      </c>
      <c r="D361" s="13" t="s">
        <v>30</v>
      </c>
      <c r="E361" s="23">
        <v>2431</v>
      </c>
      <c r="F361" s="12">
        <v>0.48693700000000001</v>
      </c>
      <c r="G361" s="14">
        <v>0.10168199999999999</v>
      </c>
      <c r="H361" s="15">
        <f t="shared" si="20"/>
        <v>0.36258505555555548</v>
      </c>
      <c r="I361" s="16">
        <f t="shared" si="21"/>
        <v>8.7321022222222211E-2</v>
      </c>
    </row>
    <row r="362" spans="1:9" x14ac:dyDescent="0.3">
      <c r="A362" s="18" t="s">
        <v>48</v>
      </c>
      <c r="B362" s="30" t="s">
        <v>90</v>
      </c>
      <c r="C362" s="19">
        <v>46242</v>
      </c>
      <c r="D362" s="13" t="s">
        <v>14</v>
      </c>
      <c r="E362" s="23">
        <v>4425</v>
      </c>
      <c r="F362" s="12">
        <v>0.48222399999999999</v>
      </c>
      <c r="G362" s="14">
        <v>0.135518</v>
      </c>
      <c r="H362" s="15">
        <f t="shared" si="20"/>
        <v>0.38776061111111115</v>
      </c>
      <c r="I362" s="16">
        <f t="shared" si="21"/>
        <v>9.35569611111111E-2</v>
      </c>
    </row>
    <row r="363" spans="1:9" x14ac:dyDescent="0.3">
      <c r="A363" s="18" t="s">
        <v>48</v>
      </c>
      <c r="B363" s="30" t="s">
        <v>90</v>
      </c>
      <c r="C363" s="19">
        <v>46242</v>
      </c>
      <c r="D363" s="13" t="s">
        <v>15</v>
      </c>
      <c r="E363" s="23">
        <v>4008</v>
      </c>
      <c r="F363" s="12">
        <v>0.43496099999999999</v>
      </c>
      <c r="G363" s="14">
        <v>0.114574</v>
      </c>
      <c r="H363" s="15">
        <f t="shared" si="20"/>
        <v>0.38776061111111115</v>
      </c>
      <c r="I363" s="16">
        <f t="shared" si="21"/>
        <v>9.35569611111111E-2</v>
      </c>
    </row>
    <row r="364" spans="1:9" x14ac:dyDescent="0.3">
      <c r="A364" s="18" t="s">
        <v>48</v>
      </c>
      <c r="B364" s="30" t="s">
        <v>90</v>
      </c>
      <c r="C364" s="19">
        <v>46242</v>
      </c>
      <c r="D364" s="13" t="s">
        <v>16</v>
      </c>
      <c r="E364" s="23">
        <v>3145</v>
      </c>
      <c r="F364" s="12">
        <v>0.48401</v>
      </c>
      <c r="G364" s="14">
        <v>0.113509</v>
      </c>
      <c r="H364" s="15">
        <f t="shared" si="20"/>
        <v>0.38776061111111115</v>
      </c>
      <c r="I364" s="16">
        <f t="shared" si="21"/>
        <v>9.35569611111111E-2</v>
      </c>
    </row>
    <row r="365" spans="1:9" x14ac:dyDescent="0.3">
      <c r="A365" s="18" t="s">
        <v>48</v>
      </c>
      <c r="B365" s="30" t="s">
        <v>90</v>
      </c>
      <c r="C365" s="19">
        <v>46242</v>
      </c>
      <c r="D365" s="13" t="s">
        <v>17</v>
      </c>
      <c r="E365" s="23">
        <v>3620</v>
      </c>
      <c r="F365" s="12">
        <v>0.51928300000000005</v>
      </c>
      <c r="G365" s="14">
        <v>0.102715</v>
      </c>
      <c r="H365" s="15">
        <f t="shared" si="20"/>
        <v>0.38776061111111115</v>
      </c>
      <c r="I365" s="16">
        <f t="shared" si="21"/>
        <v>9.35569611111111E-2</v>
      </c>
    </row>
    <row r="366" spans="1:9" x14ac:dyDescent="0.3">
      <c r="A366" s="18" t="s">
        <v>48</v>
      </c>
      <c r="B366" s="30" t="s">
        <v>90</v>
      </c>
      <c r="C366" s="19">
        <v>46242</v>
      </c>
      <c r="D366" s="13" t="s">
        <v>18</v>
      </c>
      <c r="E366" s="23">
        <v>3451</v>
      </c>
      <c r="F366" s="12">
        <v>0.28758899999999998</v>
      </c>
      <c r="G366" s="14">
        <v>6.8395600000000001E-2</v>
      </c>
      <c r="H366" s="15">
        <f t="shared" si="20"/>
        <v>0.38776061111111115</v>
      </c>
      <c r="I366" s="16">
        <f t="shared" si="21"/>
        <v>9.35569611111111E-2</v>
      </c>
    </row>
    <row r="367" spans="1:9" x14ac:dyDescent="0.3">
      <c r="A367" s="18" t="s">
        <v>48</v>
      </c>
      <c r="B367" s="30" t="s">
        <v>90</v>
      </c>
      <c r="C367" s="19">
        <v>46242</v>
      </c>
      <c r="D367" s="13" t="s">
        <v>19</v>
      </c>
      <c r="E367" s="23">
        <v>3099</v>
      </c>
      <c r="F367" s="12">
        <v>0.462119</v>
      </c>
      <c r="G367" s="14">
        <v>9.7178799999999996E-2</v>
      </c>
      <c r="H367" s="15">
        <f t="shared" si="20"/>
        <v>0.38776061111111115</v>
      </c>
      <c r="I367" s="16">
        <f t="shared" si="21"/>
        <v>9.35569611111111E-2</v>
      </c>
    </row>
    <row r="368" spans="1:9" x14ac:dyDescent="0.3">
      <c r="A368" s="18" t="s">
        <v>48</v>
      </c>
      <c r="B368" s="30" t="s">
        <v>90</v>
      </c>
      <c r="C368" s="19">
        <v>46242</v>
      </c>
      <c r="D368" s="13" t="s">
        <v>20</v>
      </c>
      <c r="E368" s="23">
        <v>3076</v>
      </c>
      <c r="F368" s="12">
        <v>0.42457699999999998</v>
      </c>
      <c r="G368" s="14">
        <v>8.8813299999999998E-2</v>
      </c>
      <c r="H368" s="15">
        <f t="shared" si="20"/>
        <v>0.38776061111111115</v>
      </c>
      <c r="I368" s="16">
        <f t="shared" si="21"/>
        <v>9.35569611111111E-2</v>
      </c>
    </row>
    <row r="369" spans="1:9" x14ac:dyDescent="0.3">
      <c r="A369" s="18" t="s">
        <v>48</v>
      </c>
      <c r="B369" s="30" t="s">
        <v>90</v>
      </c>
      <c r="C369" s="19">
        <v>46242</v>
      </c>
      <c r="D369" s="13" t="s">
        <v>40</v>
      </c>
      <c r="E369" s="23">
        <v>2000</v>
      </c>
      <c r="F369" s="12">
        <v>0.231267</v>
      </c>
      <c r="G369" s="14">
        <v>7.0090899999999998E-2</v>
      </c>
      <c r="H369" s="15">
        <f t="shared" si="20"/>
        <v>0.38776061111111115</v>
      </c>
      <c r="I369" s="16">
        <f t="shared" si="21"/>
        <v>9.35569611111111E-2</v>
      </c>
    </row>
    <row r="370" spans="1:9" x14ac:dyDescent="0.3">
      <c r="A370" s="18" t="s">
        <v>48</v>
      </c>
      <c r="B370" s="30" t="s">
        <v>90</v>
      </c>
      <c r="C370" s="19">
        <v>46242</v>
      </c>
      <c r="D370" s="13" t="s">
        <v>21</v>
      </c>
      <c r="E370" s="23">
        <v>5467</v>
      </c>
      <c r="F370" s="12">
        <v>0.52926799999999996</v>
      </c>
      <c r="G370" s="14">
        <v>0.10294300000000001</v>
      </c>
      <c r="H370" s="15">
        <f t="shared" si="20"/>
        <v>0.38776061111111115</v>
      </c>
      <c r="I370" s="16">
        <f t="shared" si="21"/>
        <v>9.35569611111111E-2</v>
      </c>
    </row>
    <row r="371" spans="1:9" x14ac:dyDescent="0.3">
      <c r="A371" s="18" t="s">
        <v>48</v>
      </c>
      <c r="B371" s="30" t="s">
        <v>90</v>
      </c>
      <c r="C371" s="19">
        <v>46242</v>
      </c>
      <c r="D371" s="13" t="s">
        <v>22</v>
      </c>
      <c r="E371" s="23">
        <v>4120</v>
      </c>
      <c r="F371" s="12">
        <v>0.391957</v>
      </c>
      <c r="G371" s="14">
        <v>0.106457</v>
      </c>
      <c r="H371" s="15">
        <f t="shared" si="20"/>
        <v>0.38776061111111115</v>
      </c>
      <c r="I371" s="16">
        <f t="shared" si="21"/>
        <v>9.35569611111111E-2</v>
      </c>
    </row>
    <row r="372" spans="1:9" x14ac:dyDescent="0.3">
      <c r="A372" s="18" t="s">
        <v>48</v>
      </c>
      <c r="B372" s="30" t="s">
        <v>90</v>
      </c>
      <c r="C372" s="19">
        <v>46242</v>
      </c>
      <c r="D372" s="13" t="s">
        <v>23</v>
      </c>
      <c r="E372" s="23">
        <v>2054</v>
      </c>
      <c r="F372" s="12">
        <v>0.45885799999999999</v>
      </c>
      <c r="G372" s="14">
        <v>0.15055499999999999</v>
      </c>
      <c r="H372" s="15">
        <f t="shared" si="20"/>
        <v>0.38776061111111115</v>
      </c>
      <c r="I372" s="16">
        <f t="shared" si="21"/>
        <v>9.35569611111111E-2</v>
      </c>
    </row>
    <row r="373" spans="1:9" x14ac:dyDescent="0.3">
      <c r="A373" s="18" t="s">
        <v>48</v>
      </c>
      <c r="B373" s="30" t="s">
        <v>90</v>
      </c>
      <c r="C373" s="19">
        <v>46242</v>
      </c>
      <c r="D373" s="13" t="s">
        <v>24</v>
      </c>
      <c r="E373" s="23">
        <v>4755</v>
      </c>
      <c r="F373" s="12">
        <v>0.219692</v>
      </c>
      <c r="G373" s="14">
        <v>6.7661299999999994E-2</v>
      </c>
      <c r="H373" s="15">
        <f t="shared" si="20"/>
        <v>0.38776061111111115</v>
      </c>
      <c r="I373" s="16">
        <f t="shared" si="21"/>
        <v>9.35569611111111E-2</v>
      </c>
    </row>
    <row r="374" spans="1:9" x14ac:dyDescent="0.3">
      <c r="A374" s="18" t="s">
        <v>48</v>
      </c>
      <c r="B374" s="30" t="s">
        <v>90</v>
      </c>
      <c r="C374" s="19">
        <v>46242</v>
      </c>
      <c r="D374" s="13" t="s">
        <v>25</v>
      </c>
      <c r="E374" s="23">
        <v>2136</v>
      </c>
      <c r="F374" s="12">
        <v>0.17380200000000001</v>
      </c>
      <c r="G374" s="14">
        <v>4.1760899999999997E-2</v>
      </c>
      <c r="H374" s="15">
        <f t="shared" si="20"/>
        <v>0.38776061111111115</v>
      </c>
      <c r="I374" s="16">
        <f t="shared" si="21"/>
        <v>9.35569611111111E-2</v>
      </c>
    </row>
    <row r="375" spans="1:9" x14ac:dyDescent="0.3">
      <c r="A375" s="18" t="s">
        <v>48</v>
      </c>
      <c r="B375" s="30" t="s">
        <v>90</v>
      </c>
      <c r="C375" s="19">
        <v>46242</v>
      </c>
      <c r="D375" s="13" t="s">
        <v>26</v>
      </c>
      <c r="E375" s="23">
        <v>4251</v>
      </c>
      <c r="F375" s="12">
        <v>0.18208099999999999</v>
      </c>
      <c r="G375" s="14">
        <v>5.8534200000000002E-2</v>
      </c>
      <c r="H375" s="15">
        <f t="shared" si="20"/>
        <v>0.38776061111111115</v>
      </c>
      <c r="I375" s="16">
        <f t="shared" si="21"/>
        <v>9.35569611111111E-2</v>
      </c>
    </row>
    <row r="376" spans="1:9" x14ac:dyDescent="0.3">
      <c r="A376" s="18" t="s">
        <v>48</v>
      </c>
      <c r="B376" s="30" t="s">
        <v>90</v>
      </c>
      <c r="C376" s="19">
        <v>46242</v>
      </c>
      <c r="D376" s="13" t="s">
        <v>27</v>
      </c>
      <c r="E376" s="23">
        <v>3625</v>
      </c>
      <c r="F376" s="12">
        <v>0.47998299999999999</v>
      </c>
      <c r="G376" s="14">
        <v>0.108922</v>
      </c>
      <c r="H376" s="15">
        <f t="shared" si="20"/>
        <v>0.38776061111111115</v>
      </c>
      <c r="I376" s="16">
        <f t="shared" si="21"/>
        <v>9.35569611111111E-2</v>
      </c>
    </row>
    <row r="377" spans="1:9" x14ac:dyDescent="0.3">
      <c r="A377" s="18" t="s">
        <v>48</v>
      </c>
      <c r="B377" s="30" t="s">
        <v>90</v>
      </c>
      <c r="C377" s="19">
        <v>46242</v>
      </c>
      <c r="D377" s="13" t="s">
        <v>28</v>
      </c>
      <c r="E377" s="23">
        <v>2174</v>
      </c>
      <c r="F377" s="12">
        <v>0.39772299999999999</v>
      </c>
      <c r="G377" s="14">
        <v>8.9244299999999999E-2</v>
      </c>
      <c r="H377" s="15">
        <f t="shared" si="20"/>
        <v>0.38776061111111115</v>
      </c>
      <c r="I377" s="16">
        <f t="shared" si="21"/>
        <v>9.35569611111111E-2</v>
      </c>
    </row>
    <row r="378" spans="1:9" x14ac:dyDescent="0.3">
      <c r="A378" s="18" t="s">
        <v>48</v>
      </c>
      <c r="B378" s="30" t="s">
        <v>90</v>
      </c>
      <c r="C378" s="19">
        <v>46242</v>
      </c>
      <c r="D378" s="13" t="s">
        <v>29</v>
      </c>
      <c r="E378" s="23">
        <v>2927</v>
      </c>
      <c r="F378" s="12">
        <v>0.36677399999999999</v>
      </c>
      <c r="G378" s="14">
        <v>7.5941999999999996E-2</v>
      </c>
      <c r="H378" s="15">
        <f t="shared" si="20"/>
        <v>0.38776061111111115</v>
      </c>
      <c r="I378" s="16">
        <f t="shared" si="21"/>
        <v>9.35569611111111E-2</v>
      </c>
    </row>
    <row r="379" spans="1:9" x14ac:dyDescent="0.3">
      <c r="A379" s="18" t="s">
        <v>48</v>
      </c>
      <c r="B379" s="30" t="s">
        <v>90</v>
      </c>
      <c r="C379" s="19">
        <v>46242</v>
      </c>
      <c r="D379" s="13" t="s">
        <v>30</v>
      </c>
      <c r="E379" s="23">
        <v>2407</v>
      </c>
      <c r="F379" s="12">
        <v>0.45352300000000001</v>
      </c>
      <c r="G379" s="14">
        <v>9.1211E-2</v>
      </c>
      <c r="H379" s="15">
        <f t="shared" si="20"/>
        <v>0.38776061111111115</v>
      </c>
      <c r="I379" s="16">
        <f t="shared" si="21"/>
        <v>9.35569611111111E-2</v>
      </c>
    </row>
    <row r="380" spans="1:9" x14ac:dyDescent="0.3">
      <c r="A380" s="18" t="s">
        <v>48</v>
      </c>
      <c r="B380" s="30" t="s">
        <v>91</v>
      </c>
      <c r="C380" s="19">
        <v>46242</v>
      </c>
      <c r="D380" s="13" t="s">
        <v>14</v>
      </c>
      <c r="E380" s="23">
        <v>3155</v>
      </c>
      <c r="F380" s="12">
        <v>0.57739700000000005</v>
      </c>
      <c r="G380" s="14">
        <v>0.16231799999999999</v>
      </c>
      <c r="H380" s="15">
        <f t="shared" si="20"/>
        <v>0.38401872222222228</v>
      </c>
      <c r="I380" s="16">
        <f t="shared" si="21"/>
        <v>9.2438494444444463E-2</v>
      </c>
    </row>
    <row r="381" spans="1:9" x14ac:dyDescent="0.3">
      <c r="A381" s="18" t="s">
        <v>48</v>
      </c>
      <c r="B381" s="30" t="s">
        <v>91</v>
      </c>
      <c r="C381" s="19">
        <v>46242</v>
      </c>
      <c r="D381" s="13" t="s">
        <v>15</v>
      </c>
      <c r="E381" s="23">
        <v>2891</v>
      </c>
      <c r="F381" s="12">
        <v>0.43059700000000001</v>
      </c>
      <c r="G381" s="14">
        <v>0.113423</v>
      </c>
      <c r="H381" s="15">
        <f t="shared" si="20"/>
        <v>0.38401872222222228</v>
      </c>
      <c r="I381" s="16">
        <f t="shared" si="21"/>
        <v>9.2438494444444463E-2</v>
      </c>
    </row>
    <row r="382" spans="1:9" x14ac:dyDescent="0.3">
      <c r="A382" s="18" t="s">
        <v>48</v>
      </c>
      <c r="B382" s="30" t="s">
        <v>91</v>
      </c>
      <c r="C382" s="19">
        <v>46242</v>
      </c>
      <c r="D382" s="13" t="s">
        <v>16</v>
      </c>
      <c r="E382" s="23">
        <v>2299</v>
      </c>
      <c r="F382" s="12">
        <v>0.52703900000000004</v>
      </c>
      <c r="G382" s="14">
        <v>0.123679</v>
      </c>
      <c r="H382" s="15">
        <f t="shared" si="20"/>
        <v>0.38401872222222228</v>
      </c>
      <c r="I382" s="16">
        <f t="shared" si="21"/>
        <v>9.2438494444444463E-2</v>
      </c>
    </row>
    <row r="383" spans="1:9" x14ac:dyDescent="0.3">
      <c r="A383" s="18" t="s">
        <v>48</v>
      </c>
      <c r="B383" s="30" t="s">
        <v>91</v>
      </c>
      <c r="C383" s="19">
        <v>46242</v>
      </c>
      <c r="D383" s="13" t="s">
        <v>17</v>
      </c>
      <c r="E383" s="23">
        <v>2738</v>
      </c>
      <c r="F383" s="12">
        <v>0.51810599999999996</v>
      </c>
      <c r="G383" s="14">
        <v>0.102448</v>
      </c>
      <c r="H383" s="15">
        <f t="shared" si="20"/>
        <v>0.38401872222222228</v>
      </c>
      <c r="I383" s="16">
        <f t="shared" si="21"/>
        <v>9.2438494444444463E-2</v>
      </c>
    </row>
    <row r="384" spans="1:9" x14ac:dyDescent="0.3">
      <c r="A384" s="18" t="s">
        <v>48</v>
      </c>
      <c r="B384" s="30" t="s">
        <v>91</v>
      </c>
      <c r="C384" s="19">
        <v>46242</v>
      </c>
      <c r="D384" s="13" t="s">
        <v>18</v>
      </c>
      <c r="E384" s="23">
        <v>2642</v>
      </c>
      <c r="F384" s="12">
        <v>0.35040900000000003</v>
      </c>
      <c r="G384" s="14">
        <v>8.33541E-2</v>
      </c>
      <c r="H384" s="15">
        <f t="shared" si="20"/>
        <v>0.38401872222222228</v>
      </c>
      <c r="I384" s="16">
        <f t="shared" si="21"/>
        <v>9.2438494444444463E-2</v>
      </c>
    </row>
    <row r="385" spans="1:9" x14ac:dyDescent="0.3">
      <c r="A385" s="18" t="s">
        <v>48</v>
      </c>
      <c r="B385" s="30" t="s">
        <v>91</v>
      </c>
      <c r="C385" s="19">
        <v>46242</v>
      </c>
      <c r="D385" s="13" t="s">
        <v>19</v>
      </c>
      <c r="E385" s="23">
        <v>2543</v>
      </c>
      <c r="F385" s="12">
        <v>0.40422599999999997</v>
      </c>
      <c r="G385" s="14">
        <v>8.4992899999999996E-2</v>
      </c>
      <c r="H385" s="15">
        <f t="shared" si="20"/>
        <v>0.38401872222222228</v>
      </c>
      <c r="I385" s="16">
        <f t="shared" si="21"/>
        <v>9.2438494444444463E-2</v>
      </c>
    </row>
    <row r="386" spans="1:9" x14ac:dyDescent="0.3">
      <c r="A386" s="18" t="s">
        <v>48</v>
      </c>
      <c r="B386" s="30" t="s">
        <v>91</v>
      </c>
      <c r="C386" s="19">
        <v>46242</v>
      </c>
      <c r="D386" s="13" t="s">
        <v>20</v>
      </c>
      <c r="E386" s="23">
        <v>2798</v>
      </c>
      <c r="F386" s="12">
        <v>0.40842800000000001</v>
      </c>
      <c r="G386" s="14">
        <v>8.5418400000000005E-2</v>
      </c>
      <c r="H386" s="15">
        <f t="shared" si="20"/>
        <v>0.38401872222222228</v>
      </c>
      <c r="I386" s="16">
        <f t="shared" si="21"/>
        <v>9.2438494444444463E-2</v>
      </c>
    </row>
    <row r="387" spans="1:9" x14ac:dyDescent="0.3">
      <c r="A387" s="18" t="s">
        <v>48</v>
      </c>
      <c r="B387" s="30" t="s">
        <v>91</v>
      </c>
      <c r="C387" s="19">
        <v>46242</v>
      </c>
      <c r="D387" s="13" t="s">
        <v>40</v>
      </c>
      <c r="E387" s="23">
        <v>1503</v>
      </c>
      <c r="F387" s="12">
        <v>0.235595</v>
      </c>
      <c r="G387" s="14">
        <v>7.1409100000000003E-2</v>
      </c>
      <c r="H387" s="15">
        <f t="shared" ref="H387:H450" si="22">IFERROR(AVERAGEIFS($F:$F, $A:$A, $A387, $B:$B,$B387, $C:$C,$C387),"")</f>
        <v>0.38401872222222228</v>
      </c>
      <c r="I387" s="16">
        <f t="shared" ref="I387:I450" si="23">IFERROR(AVERAGEIFS($G:$G, $A:$A, $A387, $B:$B,$B387, $C:$C,$C387),"")</f>
        <v>9.2438494444444463E-2</v>
      </c>
    </row>
    <row r="388" spans="1:9" x14ac:dyDescent="0.3">
      <c r="A388" s="18" t="s">
        <v>48</v>
      </c>
      <c r="B388" s="30" t="s">
        <v>91</v>
      </c>
      <c r="C388" s="19">
        <v>46242</v>
      </c>
      <c r="D388" s="13" t="s">
        <v>21</v>
      </c>
      <c r="E388" s="23">
        <v>4385</v>
      </c>
      <c r="F388" s="12">
        <v>0.48657400000000001</v>
      </c>
      <c r="G388" s="14">
        <v>9.4610299999999994E-2</v>
      </c>
      <c r="H388" s="15">
        <f t="shared" si="22"/>
        <v>0.38401872222222228</v>
      </c>
      <c r="I388" s="16">
        <f t="shared" si="23"/>
        <v>9.2438494444444463E-2</v>
      </c>
    </row>
    <row r="389" spans="1:9" x14ac:dyDescent="0.3">
      <c r="A389" s="18" t="s">
        <v>48</v>
      </c>
      <c r="B389" s="30" t="s">
        <v>91</v>
      </c>
      <c r="C389" s="19">
        <v>46242</v>
      </c>
      <c r="D389" s="13" t="s">
        <v>22</v>
      </c>
      <c r="E389" s="23">
        <v>3444</v>
      </c>
      <c r="F389" s="12">
        <v>0.32663300000000001</v>
      </c>
      <c r="G389" s="14">
        <v>8.8690500000000005E-2</v>
      </c>
      <c r="H389" s="15">
        <f t="shared" si="22"/>
        <v>0.38401872222222228</v>
      </c>
      <c r="I389" s="16">
        <f t="shared" si="23"/>
        <v>9.2438494444444463E-2</v>
      </c>
    </row>
    <row r="390" spans="1:9" x14ac:dyDescent="0.3">
      <c r="A390" s="18" t="s">
        <v>48</v>
      </c>
      <c r="B390" s="30" t="s">
        <v>91</v>
      </c>
      <c r="C390" s="19">
        <v>46242</v>
      </c>
      <c r="D390" s="13" t="s">
        <v>23</v>
      </c>
      <c r="E390" s="23">
        <v>1629</v>
      </c>
      <c r="F390" s="12">
        <v>0.244034</v>
      </c>
      <c r="G390" s="14">
        <v>8.0064999999999997E-2</v>
      </c>
      <c r="H390" s="15">
        <f t="shared" si="22"/>
        <v>0.38401872222222228</v>
      </c>
      <c r="I390" s="16">
        <f t="shared" si="23"/>
        <v>9.2438494444444463E-2</v>
      </c>
    </row>
    <row r="391" spans="1:9" x14ac:dyDescent="0.3">
      <c r="A391" s="18" t="s">
        <v>48</v>
      </c>
      <c r="B391" s="30" t="s">
        <v>91</v>
      </c>
      <c r="C391" s="19">
        <v>46242</v>
      </c>
      <c r="D391" s="13" t="s">
        <v>24</v>
      </c>
      <c r="E391" s="23">
        <v>4006</v>
      </c>
      <c r="F391" s="12">
        <v>0.24411099999999999</v>
      </c>
      <c r="G391" s="14">
        <v>7.5211600000000003E-2</v>
      </c>
      <c r="H391" s="15">
        <f t="shared" si="22"/>
        <v>0.38401872222222228</v>
      </c>
      <c r="I391" s="16">
        <f t="shared" si="23"/>
        <v>9.2438494444444463E-2</v>
      </c>
    </row>
    <row r="392" spans="1:9" x14ac:dyDescent="0.3">
      <c r="A392" s="18" t="s">
        <v>48</v>
      </c>
      <c r="B392" s="30" t="s">
        <v>91</v>
      </c>
      <c r="C392" s="19">
        <v>46242</v>
      </c>
      <c r="D392" s="13" t="s">
        <v>25</v>
      </c>
      <c r="E392" s="23">
        <v>1586</v>
      </c>
      <c r="F392" s="12">
        <v>0.17731</v>
      </c>
      <c r="G392" s="14">
        <v>4.2629300000000002E-2</v>
      </c>
      <c r="H392" s="15">
        <f t="shared" si="22"/>
        <v>0.38401872222222228</v>
      </c>
      <c r="I392" s="16">
        <f t="shared" si="23"/>
        <v>9.2438494444444463E-2</v>
      </c>
    </row>
    <row r="393" spans="1:9" x14ac:dyDescent="0.3">
      <c r="A393" s="18" t="s">
        <v>48</v>
      </c>
      <c r="B393" s="30" t="s">
        <v>91</v>
      </c>
      <c r="C393" s="19">
        <v>46242</v>
      </c>
      <c r="D393" s="13" t="s">
        <v>26</v>
      </c>
      <c r="E393" s="23">
        <v>3716</v>
      </c>
      <c r="F393" s="12">
        <v>0.28298299999999998</v>
      </c>
      <c r="G393" s="14">
        <v>9.0974100000000002E-2</v>
      </c>
      <c r="H393" s="15">
        <f t="shared" si="22"/>
        <v>0.38401872222222228</v>
      </c>
      <c r="I393" s="16">
        <f t="shared" si="23"/>
        <v>9.2438494444444463E-2</v>
      </c>
    </row>
    <row r="394" spans="1:9" x14ac:dyDescent="0.3">
      <c r="A394" s="18" t="s">
        <v>48</v>
      </c>
      <c r="B394" s="30" t="s">
        <v>91</v>
      </c>
      <c r="C394" s="19">
        <v>46242</v>
      </c>
      <c r="D394" s="13" t="s">
        <v>27</v>
      </c>
      <c r="E394" s="23">
        <v>3103</v>
      </c>
      <c r="F394" s="12">
        <v>0.43031399999999997</v>
      </c>
      <c r="G394" s="14">
        <v>9.7637399999999999E-2</v>
      </c>
      <c r="H394" s="15">
        <f t="shared" si="22"/>
        <v>0.38401872222222228</v>
      </c>
      <c r="I394" s="16">
        <f t="shared" si="23"/>
        <v>9.2438494444444463E-2</v>
      </c>
    </row>
    <row r="395" spans="1:9" x14ac:dyDescent="0.3">
      <c r="A395" s="18" t="s">
        <v>48</v>
      </c>
      <c r="B395" s="30" t="s">
        <v>91</v>
      </c>
      <c r="C395" s="19">
        <v>46242</v>
      </c>
      <c r="D395" s="13" t="s">
        <v>28</v>
      </c>
      <c r="E395" s="23">
        <v>1700</v>
      </c>
      <c r="F395" s="12">
        <v>0.414939</v>
      </c>
      <c r="G395" s="14">
        <v>9.3091800000000002E-2</v>
      </c>
      <c r="H395" s="15">
        <f t="shared" si="22"/>
        <v>0.38401872222222228</v>
      </c>
      <c r="I395" s="16">
        <f t="shared" si="23"/>
        <v>9.2438494444444463E-2</v>
      </c>
    </row>
    <row r="396" spans="1:9" x14ac:dyDescent="0.3">
      <c r="A396" s="18" t="s">
        <v>48</v>
      </c>
      <c r="B396" s="30" t="s">
        <v>91</v>
      </c>
      <c r="C396" s="19">
        <v>46242</v>
      </c>
      <c r="D396" s="13" t="s">
        <v>29</v>
      </c>
      <c r="E396" s="23">
        <v>2090</v>
      </c>
      <c r="F396" s="12">
        <v>0.37871700000000003</v>
      </c>
      <c r="G396" s="14">
        <v>7.8429700000000005E-2</v>
      </c>
      <c r="H396" s="15">
        <f t="shared" si="22"/>
        <v>0.38401872222222228</v>
      </c>
      <c r="I396" s="16">
        <f t="shared" si="23"/>
        <v>9.2438494444444463E-2</v>
      </c>
    </row>
    <row r="397" spans="1:9" x14ac:dyDescent="0.3">
      <c r="A397" s="18" t="s">
        <v>48</v>
      </c>
      <c r="B397" s="30" t="s">
        <v>91</v>
      </c>
      <c r="C397" s="19">
        <v>46242</v>
      </c>
      <c r="D397" s="13" t="s">
        <v>30</v>
      </c>
      <c r="E397" s="23">
        <v>1605</v>
      </c>
      <c r="F397" s="12">
        <v>0.47492499999999999</v>
      </c>
      <c r="G397" s="14">
        <v>9.5510700000000004E-2</v>
      </c>
      <c r="H397" s="15">
        <f t="shared" si="22"/>
        <v>0.38401872222222228</v>
      </c>
      <c r="I397" s="16">
        <f t="shared" si="23"/>
        <v>9.2438494444444463E-2</v>
      </c>
    </row>
    <row r="398" spans="1:9" x14ac:dyDescent="0.3">
      <c r="A398" s="18" t="s">
        <v>48</v>
      </c>
      <c r="B398" s="30" t="s">
        <v>92</v>
      </c>
      <c r="C398" s="19">
        <v>46242</v>
      </c>
      <c r="D398" s="13" t="s">
        <v>14</v>
      </c>
      <c r="E398" s="23">
        <v>2662</v>
      </c>
      <c r="F398" s="12">
        <v>0.561473</v>
      </c>
      <c r="G398" s="14">
        <v>0.14718300000000001</v>
      </c>
      <c r="H398" s="15">
        <f t="shared" si="22"/>
        <v>0.40662061111111103</v>
      </c>
      <c r="I398" s="16">
        <f t="shared" si="23"/>
        <v>9.7669605555555553E-2</v>
      </c>
    </row>
    <row r="399" spans="1:9" x14ac:dyDescent="0.3">
      <c r="A399" s="18" t="s">
        <v>48</v>
      </c>
      <c r="B399" s="30" t="s">
        <v>92</v>
      </c>
      <c r="C399" s="19">
        <v>46242</v>
      </c>
      <c r="D399" s="13" t="s">
        <v>15</v>
      </c>
      <c r="E399" s="23">
        <v>2629</v>
      </c>
      <c r="F399" s="12">
        <v>0.443971</v>
      </c>
      <c r="G399" s="14">
        <v>0.11015900000000001</v>
      </c>
      <c r="H399" s="15">
        <f t="shared" si="22"/>
        <v>0.40662061111111103</v>
      </c>
      <c r="I399" s="16">
        <f t="shared" si="23"/>
        <v>9.7669605555555553E-2</v>
      </c>
    </row>
    <row r="400" spans="1:9" x14ac:dyDescent="0.3">
      <c r="A400" s="18" t="s">
        <v>48</v>
      </c>
      <c r="B400" s="30" t="s">
        <v>92</v>
      </c>
      <c r="C400" s="19">
        <v>46242</v>
      </c>
      <c r="D400" s="13" t="s">
        <v>16</v>
      </c>
      <c r="E400" s="23">
        <v>2240</v>
      </c>
      <c r="F400" s="12">
        <v>0.55237000000000003</v>
      </c>
      <c r="G400" s="14">
        <v>0.12182999999999999</v>
      </c>
      <c r="H400" s="15">
        <f t="shared" si="22"/>
        <v>0.40662061111111103</v>
      </c>
      <c r="I400" s="16">
        <f t="shared" si="23"/>
        <v>9.7669605555555553E-2</v>
      </c>
    </row>
    <row r="401" spans="1:9" x14ac:dyDescent="0.3">
      <c r="A401" s="18" t="s">
        <v>48</v>
      </c>
      <c r="B401" s="30" t="s">
        <v>92</v>
      </c>
      <c r="C401" s="19">
        <v>46242</v>
      </c>
      <c r="D401" s="13" t="s">
        <v>17</v>
      </c>
      <c r="E401" s="23">
        <v>2930</v>
      </c>
      <c r="F401" s="12">
        <v>0.54814499999999999</v>
      </c>
      <c r="G401" s="14">
        <v>0.114913</v>
      </c>
      <c r="H401" s="15">
        <f t="shared" si="22"/>
        <v>0.40662061111111103</v>
      </c>
      <c r="I401" s="16">
        <f t="shared" si="23"/>
        <v>9.7669605555555553E-2</v>
      </c>
    </row>
    <row r="402" spans="1:9" x14ac:dyDescent="0.3">
      <c r="A402" s="18" t="s">
        <v>48</v>
      </c>
      <c r="B402" s="30" t="s">
        <v>92</v>
      </c>
      <c r="C402" s="19">
        <v>46242</v>
      </c>
      <c r="D402" s="13" t="s">
        <v>18</v>
      </c>
      <c r="E402" s="23">
        <v>2571</v>
      </c>
      <c r="F402" s="12">
        <v>0.29398000000000002</v>
      </c>
      <c r="G402" s="14">
        <v>6.6564499999999999E-2</v>
      </c>
      <c r="H402" s="15">
        <f t="shared" si="22"/>
        <v>0.40662061111111103</v>
      </c>
      <c r="I402" s="16">
        <f t="shared" si="23"/>
        <v>9.7669605555555553E-2</v>
      </c>
    </row>
    <row r="403" spans="1:9" x14ac:dyDescent="0.3">
      <c r="A403" s="18" t="s">
        <v>48</v>
      </c>
      <c r="B403" s="30" t="s">
        <v>92</v>
      </c>
      <c r="C403" s="19">
        <v>46242</v>
      </c>
      <c r="D403" s="13" t="s">
        <v>19</v>
      </c>
      <c r="E403" s="23">
        <v>2621</v>
      </c>
      <c r="F403" s="12">
        <v>0.385986</v>
      </c>
      <c r="G403" s="14">
        <v>7.8905500000000003E-2</v>
      </c>
      <c r="H403" s="15">
        <f t="shared" si="22"/>
        <v>0.40662061111111103</v>
      </c>
      <c r="I403" s="16">
        <f t="shared" si="23"/>
        <v>9.7669605555555553E-2</v>
      </c>
    </row>
    <row r="404" spans="1:9" x14ac:dyDescent="0.3">
      <c r="A404" s="18" t="s">
        <v>48</v>
      </c>
      <c r="B404" s="30" t="s">
        <v>92</v>
      </c>
      <c r="C404" s="19">
        <v>46242</v>
      </c>
      <c r="D404" s="13" t="s">
        <v>20</v>
      </c>
      <c r="E404" s="23">
        <v>2728</v>
      </c>
      <c r="F404" s="12">
        <v>0.44007600000000002</v>
      </c>
      <c r="G404" s="14">
        <v>9.0508500000000006E-2</v>
      </c>
      <c r="H404" s="15">
        <f t="shared" si="22"/>
        <v>0.40662061111111103</v>
      </c>
      <c r="I404" s="16">
        <f t="shared" si="23"/>
        <v>9.7669605555555553E-2</v>
      </c>
    </row>
    <row r="405" spans="1:9" x14ac:dyDescent="0.3">
      <c r="A405" s="18" t="s">
        <v>48</v>
      </c>
      <c r="B405" s="30" t="s">
        <v>92</v>
      </c>
      <c r="C405" s="19">
        <v>46242</v>
      </c>
      <c r="D405" s="13" t="s">
        <v>40</v>
      </c>
      <c r="E405" s="23">
        <v>1628</v>
      </c>
      <c r="F405" s="12">
        <v>0.285381</v>
      </c>
      <c r="G405" s="14">
        <v>8.6932999999999996E-2</v>
      </c>
      <c r="H405" s="15">
        <f t="shared" si="22"/>
        <v>0.40662061111111103</v>
      </c>
      <c r="I405" s="16">
        <f t="shared" si="23"/>
        <v>9.7669605555555553E-2</v>
      </c>
    </row>
    <row r="406" spans="1:9" x14ac:dyDescent="0.3">
      <c r="A406" s="18" t="s">
        <v>48</v>
      </c>
      <c r="B406" s="30" t="s">
        <v>92</v>
      </c>
      <c r="C406" s="19">
        <v>46242</v>
      </c>
      <c r="D406" s="13" t="s">
        <v>21</v>
      </c>
      <c r="E406" s="23">
        <v>4872</v>
      </c>
      <c r="F406" s="12">
        <v>0.48413299999999998</v>
      </c>
      <c r="G406" s="14">
        <v>9.6400299999999994E-2</v>
      </c>
      <c r="H406" s="15">
        <f t="shared" si="22"/>
        <v>0.40662061111111103</v>
      </c>
      <c r="I406" s="16">
        <f t="shared" si="23"/>
        <v>9.7669605555555553E-2</v>
      </c>
    </row>
    <row r="407" spans="1:9" x14ac:dyDescent="0.3">
      <c r="A407" s="18" t="s">
        <v>48</v>
      </c>
      <c r="B407" s="30" t="s">
        <v>92</v>
      </c>
      <c r="C407" s="19">
        <v>46242</v>
      </c>
      <c r="D407" s="13" t="s">
        <v>22</v>
      </c>
      <c r="E407" s="23">
        <v>3464</v>
      </c>
      <c r="F407" s="12">
        <v>0.43481999999999998</v>
      </c>
      <c r="G407" s="14">
        <v>0.12692300000000001</v>
      </c>
      <c r="H407" s="15">
        <f t="shared" si="22"/>
        <v>0.40662061111111103</v>
      </c>
      <c r="I407" s="16">
        <f t="shared" si="23"/>
        <v>9.7669605555555553E-2</v>
      </c>
    </row>
    <row r="408" spans="1:9" x14ac:dyDescent="0.3">
      <c r="A408" s="18" t="s">
        <v>48</v>
      </c>
      <c r="B408" s="30" t="s">
        <v>92</v>
      </c>
      <c r="C408" s="19">
        <v>46242</v>
      </c>
      <c r="D408" s="13" t="s">
        <v>23</v>
      </c>
      <c r="E408" s="23">
        <v>1503</v>
      </c>
      <c r="F408" s="12">
        <v>0.27046399999999998</v>
      </c>
      <c r="G408" s="14">
        <v>8.3149500000000001E-2</v>
      </c>
      <c r="H408" s="15">
        <f t="shared" si="22"/>
        <v>0.40662061111111103</v>
      </c>
      <c r="I408" s="16">
        <f t="shared" si="23"/>
        <v>9.7669605555555553E-2</v>
      </c>
    </row>
    <row r="409" spans="1:9" x14ac:dyDescent="0.3">
      <c r="A409" s="18" t="s">
        <v>48</v>
      </c>
      <c r="B409" s="30" t="s">
        <v>92</v>
      </c>
      <c r="C409" s="19">
        <v>46242</v>
      </c>
      <c r="D409" s="13" t="s">
        <v>24</v>
      </c>
      <c r="E409" s="23">
        <v>3813</v>
      </c>
      <c r="F409" s="12">
        <v>0.22234200000000001</v>
      </c>
      <c r="G409" s="14">
        <v>6.7073199999999999E-2</v>
      </c>
      <c r="H409" s="15">
        <f t="shared" si="22"/>
        <v>0.40662061111111103</v>
      </c>
      <c r="I409" s="16">
        <f t="shared" si="23"/>
        <v>9.7669605555555553E-2</v>
      </c>
    </row>
    <row r="410" spans="1:9" x14ac:dyDescent="0.3">
      <c r="A410" s="18" t="s">
        <v>48</v>
      </c>
      <c r="B410" s="30" t="s">
        <v>92</v>
      </c>
      <c r="C410" s="19">
        <v>46242</v>
      </c>
      <c r="D410" s="13" t="s">
        <v>25</v>
      </c>
      <c r="E410" s="23">
        <v>1642</v>
      </c>
      <c r="F410" s="12">
        <v>0.49094700000000002</v>
      </c>
      <c r="G410" s="14">
        <v>0.11973200000000001</v>
      </c>
      <c r="H410" s="15">
        <f t="shared" si="22"/>
        <v>0.40662061111111103</v>
      </c>
      <c r="I410" s="16">
        <f t="shared" si="23"/>
        <v>9.7669605555555553E-2</v>
      </c>
    </row>
    <row r="411" spans="1:9" x14ac:dyDescent="0.3">
      <c r="A411" s="18" t="s">
        <v>48</v>
      </c>
      <c r="B411" s="30" t="s">
        <v>92</v>
      </c>
      <c r="C411" s="19">
        <v>46242</v>
      </c>
      <c r="D411" s="13" t="s">
        <v>26</v>
      </c>
      <c r="E411" s="23">
        <v>3703</v>
      </c>
      <c r="F411" s="12">
        <v>0.19323199999999999</v>
      </c>
      <c r="G411" s="14">
        <v>6.5538899999999997E-2</v>
      </c>
      <c r="H411" s="15">
        <f t="shared" si="22"/>
        <v>0.40662061111111103</v>
      </c>
      <c r="I411" s="16">
        <f t="shared" si="23"/>
        <v>9.7669605555555553E-2</v>
      </c>
    </row>
    <row r="412" spans="1:9" x14ac:dyDescent="0.3">
      <c r="A412" s="18" t="s">
        <v>48</v>
      </c>
      <c r="B412" s="30" t="s">
        <v>92</v>
      </c>
      <c r="C412" s="19">
        <v>46242</v>
      </c>
      <c r="D412" s="13" t="s">
        <v>27</v>
      </c>
      <c r="E412" s="23">
        <v>3377</v>
      </c>
      <c r="F412" s="12">
        <v>0.26088499999999998</v>
      </c>
      <c r="G412" s="14">
        <v>6.1878799999999998E-2</v>
      </c>
      <c r="H412" s="15">
        <f t="shared" si="22"/>
        <v>0.40662061111111103</v>
      </c>
      <c r="I412" s="16">
        <f t="shared" si="23"/>
        <v>9.7669605555555553E-2</v>
      </c>
    </row>
    <row r="413" spans="1:9" x14ac:dyDescent="0.3">
      <c r="A413" s="18" t="s">
        <v>48</v>
      </c>
      <c r="B413" s="30" t="s">
        <v>92</v>
      </c>
      <c r="C413" s="19">
        <v>46242</v>
      </c>
      <c r="D413" s="13" t="s">
        <v>28</v>
      </c>
      <c r="E413" s="23">
        <v>1705</v>
      </c>
      <c r="F413" s="12">
        <v>0.51904099999999997</v>
      </c>
      <c r="G413" s="14">
        <v>0.123903</v>
      </c>
      <c r="H413" s="15">
        <f t="shared" si="22"/>
        <v>0.40662061111111103</v>
      </c>
      <c r="I413" s="16">
        <f t="shared" si="23"/>
        <v>9.7669605555555553E-2</v>
      </c>
    </row>
    <row r="414" spans="1:9" x14ac:dyDescent="0.3">
      <c r="A414" s="18" t="s">
        <v>48</v>
      </c>
      <c r="B414" s="30" t="s">
        <v>92</v>
      </c>
      <c r="C414" s="19">
        <v>46242</v>
      </c>
      <c r="D414" s="13" t="s">
        <v>29</v>
      </c>
      <c r="E414" s="23">
        <v>2023</v>
      </c>
      <c r="F414" s="12">
        <v>0.37871700000000003</v>
      </c>
      <c r="G414" s="14">
        <v>7.8429700000000005E-2</v>
      </c>
      <c r="H414" s="15">
        <f t="shared" si="22"/>
        <v>0.40662061111111103</v>
      </c>
      <c r="I414" s="16">
        <f t="shared" si="23"/>
        <v>9.7669605555555553E-2</v>
      </c>
    </row>
    <row r="415" spans="1:9" x14ac:dyDescent="0.3">
      <c r="A415" s="18" t="s">
        <v>48</v>
      </c>
      <c r="B415" s="30" t="s">
        <v>92</v>
      </c>
      <c r="C415" s="19">
        <v>46242</v>
      </c>
      <c r="D415" s="13" t="s">
        <v>30</v>
      </c>
      <c r="E415" s="23">
        <v>1701</v>
      </c>
      <c r="F415" s="12">
        <v>0.55320800000000003</v>
      </c>
      <c r="G415" s="14">
        <v>0.11802799999999999</v>
      </c>
      <c r="H415" s="15">
        <f t="shared" si="22"/>
        <v>0.40662061111111103</v>
      </c>
      <c r="I415" s="16">
        <f t="shared" si="23"/>
        <v>9.7669605555555553E-2</v>
      </c>
    </row>
    <row r="416" spans="1:9" x14ac:dyDescent="0.3">
      <c r="A416" s="18" t="s">
        <v>48</v>
      </c>
      <c r="B416" s="30" t="s">
        <v>93</v>
      </c>
      <c r="C416" s="19">
        <v>46242</v>
      </c>
      <c r="D416" s="13" t="s">
        <v>14</v>
      </c>
      <c r="E416" s="23">
        <v>2564</v>
      </c>
      <c r="F416" s="12">
        <v>0.56651200000000002</v>
      </c>
      <c r="G416" s="14">
        <v>0.15919700000000001</v>
      </c>
      <c r="H416" s="15">
        <f t="shared" si="22"/>
        <v>0.38028649999999997</v>
      </c>
      <c r="I416" s="16">
        <f t="shared" si="23"/>
        <v>9.0735544444444455E-2</v>
      </c>
    </row>
    <row r="417" spans="1:9" x14ac:dyDescent="0.3">
      <c r="A417" s="18" t="s">
        <v>48</v>
      </c>
      <c r="B417" s="30" t="s">
        <v>93</v>
      </c>
      <c r="C417" s="19">
        <v>46242</v>
      </c>
      <c r="D417" s="13" t="s">
        <v>15</v>
      </c>
      <c r="E417" s="23">
        <v>2161</v>
      </c>
      <c r="F417" s="12">
        <v>0.48776599999999998</v>
      </c>
      <c r="G417" s="14">
        <v>0.128466</v>
      </c>
      <c r="H417" s="15">
        <f t="shared" si="22"/>
        <v>0.38028649999999997</v>
      </c>
      <c r="I417" s="16">
        <f t="shared" si="23"/>
        <v>9.0735544444444455E-2</v>
      </c>
    </row>
    <row r="418" spans="1:9" x14ac:dyDescent="0.3">
      <c r="A418" s="18" t="s">
        <v>48</v>
      </c>
      <c r="B418" s="30" t="s">
        <v>93</v>
      </c>
      <c r="C418" s="19">
        <v>46242</v>
      </c>
      <c r="D418" s="13" t="s">
        <v>16</v>
      </c>
      <c r="E418" s="23">
        <v>1587</v>
      </c>
      <c r="F418" s="12">
        <v>0.47037000000000001</v>
      </c>
      <c r="G418" s="14">
        <v>0.1103</v>
      </c>
      <c r="H418" s="15">
        <f t="shared" si="22"/>
        <v>0.38028649999999997</v>
      </c>
      <c r="I418" s="16">
        <f t="shared" si="23"/>
        <v>9.0735544444444455E-2</v>
      </c>
    </row>
    <row r="419" spans="1:9" x14ac:dyDescent="0.3">
      <c r="A419" s="18" t="s">
        <v>48</v>
      </c>
      <c r="B419" s="30" t="s">
        <v>93</v>
      </c>
      <c r="C419" s="19">
        <v>46242</v>
      </c>
      <c r="D419" s="13" t="s">
        <v>17</v>
      </c>
      <c r="E419" s="23">
        <v>1818</v>
      </c>
      <c r="F419" s="12">
        <v>0.58029200000000003</v>
      </c>
      <c r="G419" s="14">
        <v>0.114796</v>
      </c>
      <c r="H419" s="15">
        <f t="shared" si="22"/>
        <v>0.38028649999999997</v>
      </c>
      <c r="I419" s="16">
        <f t="shared" si="23"/>
        <v>9.0735544444444455E-2</v>
      </c>
    </row>
    <row r="420" spans="1:9" x14ac:dyDescent="0.3">
      <c r="A420" s="18" t="s">
        <v>48</v>
      </c>
      <c r="B420" s="30" t="s">
        <v>93</v>
      </c>
      <c r="C420" s="19">
        <v>46242</v>
      </c>
      <c r="D420" s="13" t="s">
        <v>18</v>
      </c>
      <c r="E420" s="23">
        <v>1939</v>
      </c>
      <c r="F420" s="12">
        <v>0.29561399999999999</v>
      </c>
      <c r="G420" s="14">
        <v>7.0275799999999999E-2</v>
      </c>
      <c r="H420" s="15">
        <f t="shared" si="22"/>
        <v>0.38028649999999997</v>
      </c>
      <c r="I420" s="16">
        <f t="shared" si="23"/>
        <v>9.0735544444444455E-2</v>
      </c>
    </row>
    <row r="421" spans="1:9" x14ac:dyDescent="0.3">
      <c r="A421" s="18" t="s">
        <v>48</v>
      </c>
      <c r="B421" s="30" t="s">
        <v>93</v>
      </c>
      <c r="C421" s="19">
        <v>46242</v>
      </c>
      <c r="D421" s="13" t="s">
        <v>19</v>
      </c>
      <c r="E421" s="23">
        <v>1679</v>
      </c>
      <c r="F421" s="12">
        <v>0.42550399999999999</v>
      </c>
      <c r="G421" s="14">
        <v>8.9453500000000005E-2</v>
      </c>
      <c r="H421" s="15">
        <f t="shared" si="22"/>
        <v>0.38028649999999997</v>
      </c>
      <c r="I421" s="16">
        <f t="shared" si="23"/>
        <v>9.0735544444444455E-2</v>
      </c>
    </row>
    <row r="422" spans="1:9" x14ac:dyDescent="0.3">
      <c r="A422" s="18" t="s">
        <v>48</v>
      </c>
      <c r="B422" s="30" t="s">
        <v>93</v>
      </c>
      <c r="C422" s="19">
        <v>46242</v>
      </c>
      <c r="D422" s="13" t="s">
        <v>20</v>
      </c>
      <c r="E422" s="23">
        <v>1796</v>
      </c>
      <c r="F422" s="12">
        <v>0.39746500000000001</v>
      </c>
      <c r="G422" s="14">
        <v>8.3117800000000006E-2</v>
      </c>
      <c r="H422" s="15">
        <f t="shared" si="22"/>
        <v>0.38028649999999997</v>
      </c>
      <c r="I422" s="16">
        <f t="shared" si="23"/>
        <v>9.0735544444444455E-2</v>
      </c>
    </row>
    <row r="423" spans="1:9" x14ac:dyDescent="0.3">
      <c r="A423" s="18" t="s">
        <v>48</v>
      </c>
      <c r="B423" s="30" t="s">
        <v>93</v>
      </c>
      <c r="C423" s="19">
        <v>46242</v>
      </c>
      <c r="D423" s="13" t="s">
        <v>40</v>
      </c>
      <c r="E423" s="23">
        <v>1147</v>
      </c>
      <c r="F423" s="12">
        <v>0.22221299999999999</v>
      </c>
      <c r="G423" s="14">
        <v>6.7343E-2</v>
      </c>
      <c r="H423" s="15">
        <f t="shared" si="22"/>
        <v>0.38028649999999997</v>
      </c>
      <c r="I423" s="16">
        <f t="shared" si="23"/>
        <v>9.0735544444444455E-2</v>
      </c>
    </row>
    <row r="424" spans="1:9" x14ac:dyDescent="0.3">
      <c r="A424" s="18" t="s">
        <v>48</v>
      </c>
      <c r="B424" s="30" t="s">
        <v>93</v>
      </c>
      <c r="C424" s="19">
        <v>46242</v>
      </c>
      <c r="D424" s="13" t="s">
        <v>21</v>
      </c>
      <c r="E424" s="23">
        <v>3324</v>
      </c>
      <c r="F424" s="12">
        <v>0.43684299999999998</v>
      </c>
      <c r="G424" s="14">
        <v>8.4972099999999995E-2</v>
      </c>
      <c r="H424" s="15">
        <f t="shared" si="22"/>
        <v>0.38028649999999997</v>
      </c>
      <c r="I424" s="16">
        <f t="shared" si="23"/>
        <v>9.0735544444444455E-2</v>
      </c>
    </row>
    <row r="425" spans="1:9" x14ac:dyDescent="0.3">
      <c r="A425" s="18" t="s">
        <v>48</v>
      </c>
      <c r="B425" s="30" t="s">
        <v>93</v>
      </c>
      <c r="C425" s="19">
        <v>46242</v>
      </c>
      <c r="D425" s="13" t="s">
        <v>22</v>
      </c>
      <c r="E425" s="23">
        <v>2112</v>
      </c>
      <c r="F425" s="12">
        <v>0.396287</v>
      </c>
      <c r="G425" s="14">
        <v>0.107642</v>
      </c>
      <c r="H425" s="15">
        <f t="shared" si="22"/>
        <v>0.38028649999999997</v>
      </c>
      <c r="I425" s="16">
        <f t="shared" si="23"/>
        <v>9.0735544444444455E-2</v>
      </c>
    </row>
    <row r="426" spans="1:9" x14ac:dyDescent="0.3">
      <c r="A426" s="18" t="s">
        <v>48</v>
      </c>
      <c r="B426" s="30" t="s">
        <v>93</v>
      </c>
      <c r="C426" s="19">
        <v>46242</v>
      </c>
      <c r="D426" s="13" t="s">
        <v>23</v>
      </c>
      <c r="E426" s="23">
        <v>1259</v>
      </c>
      <c r="F426" s="12">
        <v>0.215197</v>
      </c>
      <c r="G426" s="14">
        <v>7.0586399999999994E-2</v>
      </c>
      <c r="H426" s="15">
        <f t="shared" si="22"/>
        <v>0.38028649999999997</v>
      </c>
      <c r="I426" s="16">
        <f t="shared" si="23"/>
        <v>9.0735544444444455E-2</v>
      </c>
    </row>
    <row r="427" spans="1:9" x14ac:dyDescent="0.3">
      <c r="A427" s="18" t="s">
        <v>48</v>
      </c>
      <c r="B427" s="30" t="s">
        <v>93</v>
      </c>
      <c r="C427" s="19">
        <v>46242</v>
      </c>
      <c r="D427" s="13" t="s">
        <v>24</v>
      </c>
      <c r="E427" s="23">
        <v>2856</v>
      </c>
      <c r="F427" s="12">
        <v>0.19991300000000001</v>
      </c>
      <c r="G427" s="14">
        <v>6.1593500000000002E-2</v>
      </c>
      <c r="H427" s="15">
        <f t="shared" si="22"/>
        <v>0.38028649999999997</v>
      </c>
      <c r="I427" s="16">
        <f t="shared" si="23"/>
        <v>9.0735544444444455E-2</v>
      </c>
    </row>
    <row r="428" spans="1:9" x14ac:dyDescent="0.3">
      <c r="A428" s="18" t="s">
        <v>48</v>
      </c>
      <c r="B428" s="30" t="s">
        <v>93</v>
      </c>
      <c r="C428" s="19">
        <v>46242</v>
      </c>
      <c r="D428" s="13" t="s">
        <v>25</v>
      </c>
      <c r="E428" s="23">
        <v>1151</v>
      </c>
      <c r="F428" s="12">
        <v>0.21311099999999999</v>
      </c>
      <c r="G428" s="14">
        <v>5.1241000000000002E-2</v>
      </c>
      <c r="H428" s="15">
        <f t="shared" si="22"/>
        <v>0.38028649999999997</v>
      </c>
      <c r="I428" s="16">
        <f t="shared" si="23"/>
        <v>9.0735544444444455E-2</v>
      </c>
    </row>
    <row r="429" spans="1:9" x14ac:dyDescent="0.3">
      <c r="A429" s="18" t="s">
        <v>48</v>
      </c>
      <c r="B429" s="30" t="s">
        <v>93</v>
      </c>
      <c r="C429" s="19">
        <v>46242</v>
      </c>
      <c r="D429" s="13" t="s">
        <v>26</v>
      </c>
      <c r="E429" s="23">
        <v>2416</v>
      </c>
      <c r="F429" s="12">
        <v>0.18479499999999999</v>
      </c>
      <c r="G429" s="14">
        <v>5.9408500000000003E-2</v>
      </c>
      <c r="H429" s="15">
        <f t="shared" si="22"/>
        <v>0.38028649999999997</v>
      </c>
      <c r="I429" s="16">
        <f t="shared" si="23"/>
        <v>9.0735544444444455E-2</v>
      </c>
    </row>
    <row r="430" spans="1:9" x14ac:dyDescent="0.3">
      <c r="A430" s="18" t="s">
        <v>48</v>
      </c>
      <c r="B430" s="30" t="s">
        <v>93</v>
      </c>
      <c r="C430" s="19">
        <v>46242</v>
      </c>
      <c r="D430" s="13" t="s">
        <v>27</v>
      </c>
      <c r="E430" s="23">
        <v>2273</v>
      </c>
      <c r="F430" s="12">
        <v>0.34870800000000002</v>
      </c>
      <c r="G430" s="14">
        <v>7.9068100000000002E-2</v>
      </c>
      <c r="H430" s="15">
        <f t="shared" si="22"/>
        <v>0.38028649999999997</v>
      </c>
      <c r="I430" s="16">
        <f t="shared" si="23"/>
        <v>9.0735544444444455E-2</v>
      </c>
    </row>
    <row r="431" spans="1:9" x14ac:dyDescent="0.3">
      <c r="A431" s="18" t="s">
        <v>48</v>
      </c>
      <c r="B431" s="30" t="s">
        <v>93</v>
      </c>
      <c r="C431" s="19">
        <v>46242</v>
      </c>
      <c r="D431" s="13" t="s">
        <v>28</v>
      </c>
      <c r="E431" s="23">
        <v>1105</v>
      </c>
      <c r="F431" s="12">
        <v>0.46557199999999999</v>
      </c>
      <c r="G431" s="14">
        <v>0.104514</v>
      </c>
      <c r="H431" s="15">
        <f t="shared" si="22"/>
        <v>0.38028649999999997</v>
      </c>
      <c r="I431" s="16">
        <f t="shared" si="23"/>
        <v>9.0735544444444455E-2</v>
      </c>
    </row>
    <row r="432" spans="1:9" x14ac:dyDescent="0.3">
      <c r="A432" s="18" t="s">
        <v>48</v>
      </c>
      <c r="B432" s="30" t="s">
        <v>93</v>
      </c>
      <c r="C432" s="19">
        <v>46242</v>
      </c>
      <c r="D432" s="13" t="s">
        <v>29</v>
      </c>
      <c r="E432" s="23">
        <v>1521</v>
      </c>
      <c r="F432" s="12">
        <v>0.40725299999999998</v>
      </c>
      <c r="G432" s="14">
        <v>8.4299100000000002E-2</v>
      </c>
      <c r="H432" s="15">
        <f t="shared" si="22"/>
        <v>0.38028649999999997</v>
      </c>
      <c r="I432" s="16">
        <f t="shared" si="23"/>
        <v>9.0735544444444455E-2</v>
      </c>
    </row>
    <row r="433" spans="1:9" x14ac:dyDescent="0.3">
      <c r="A433" s="18" t="s">
        <v>48</v>
      </c>
      <c r="B433" s="30" t="s">
        <v>93</v>
      </c>
      <c r="C433" s="19">
        <v>46242</v>
      </c>
      <c r="D433" s="13" t="s">
        <v>30</v>
      </c>
      <c r="E433" s="23">
        <v>1002</v>
      </c>
      <c r="F433" s="12">
        <v>0.53174200000000005</v>
      </c>
      <c r="G433" s="14">
        <v>0.10696600000000001</v>
      </c>
      <c r="H433" s="15">
        <f t="shared" si="22"/>
        <v>0.38028649999999997</v>
      </c>
      <c r="I433" s="16">
        <f t="shared" si="23"/>
        <v>9.0735544444444455E-2</v>
      </c>
    </row>
    <row r="434" spans="1:9" x14ac:dyDescent="0.3">
      <c r="A434" s="18" t="s">
        <v>48</v>
      </c>
      <c r="B434" s="30" t="s">
        <v>94</v>
      </c>
      <c r="C434" s="19">
        <v>46242</v>
      </c>
      <c r="D434" s="13" t="s">
        <v>14</v>
      </c>
      <c r="E434" s="23">
        <v>2032</v>
      </c>
      <c r="F434" s="12">
        <v>0.55515800000000004</v>
      </c>
      <c r="G434" s="14">
        <v>0.140682</v>
      </c>
      <c r="H434" s="15">
        <f t="shared" si="22"/>
        <v>0.36988611111111114</v>
      </c>
      <c r="I434" s="16">
        <f t="shared" si="23"/>
        <v>8.9815727777777798E-2</v>
      </c>
    </row>
    <row r="435" spans="1:9" x14ac:dyDescent="0.3">
      <c r="A435" s="18" t="s">
        <v>48</v>
      </c>
      <c r="B435" s="30" t="s">
        <v>94</v>
      </c>
      <c r="C435" s="19">
        <v>46242</v>
      </c>
      <c r="D435" s="13" t="s">
        <v>15</v>
      </c>
      <c r="E435" s="23">
        <v>1851</v>
      </c>
      <c r="F435" s="12">
        <v>0.393627</v>
      </c>
      <c r="G435" s="14">
        <v>9.4086199999999995E-2</v>
      </c>
      <c r="H435" s="15">
        <f t="shared" si="22"/>
        <v>0.36988611111111114</v>
      </c>
      <c r="I435" s="16">
        <f t="shared" si="23"/>
        <v>8.9815727777777798E-2</v>
      </c>
    </row>
    <row r="436" spans="1:9" x14ac:dyDescent="0.3">
      <c r="A436" s="18" t="s">
        <v>48</v>
      </c>
      <c r="B436" s="30" t="s">
        <v>94</v>
      </c>
      <c r="C436" s="19">
        <v>46242</v>
      </c>
      <c r="D436" s="13" t="s">
        <v>16</v>
      </c>
      <c r="E436" s="23">
        <v>1543</v>
      </c>
      <c r="F436" s="12">
        <v>0.51980000000000004</v>
      </c>
      <c r="G436" s="14">
        <v>0.10842499999999999</v>
      </c>
      <c r="H436" s="15">
        <f t="shared" si="22"/>
        <v>0.36988611111111114</v>
      </c>
      <c r="I436" s="16">
        <f t="shared" si="23"/>
        <v>8.9815727777777798E-2</v>
      </c>
    </row>
    <row r="437" spans="1:9" x14ac:dyDescent="0.3">
      <c r="A437" s="18" t="s">
        <v>48</v>
      </c>
      <c r="B437" s="30" t="s">
        <v>94</v>
      </c>
      <c r="C437" s="19">
        <v>46242</v>
      </c>
      <c r="D437" s="13" t="s">
        <v>17</v>
      </c>
      <c r="E437" s="23">
        <v>1904</v>
      </c>
      <c r="F437" s="12">
        <v>0.44204700000000002</v>
      </c>
      <c r="G437" s="14">
        <v>9.6364099999999994E-2</v>
      </c>
      <c r="H437" s="15">
        <f t="shared" si="22"/>
        <v>0.36988611111111114</v>
      </c>
      <c r="I437" s="16">
        <f t="shared" si="23"/>
        <v>8.9815727777777798E-2</v>
      </c>
    </row>
    <row r="438" spans="1:9" x14ac:dyDescent="0.3">
      <c r="A438" s="18" t="s">
        <v>48</v>
      </c>
      <c r="B438" s="30" t="s">
        <v>94</v>
      </c>
      <c r="C438" s="19">
        <v>46242</v>
      </c>
      <c r="D438" s="13" t="s">
        <v>18</v>
      </c>
      <c r="E438" s="23">
        <v>1932</v>
      </c>
      <c r="F438" s="12">
        <v>0.29561399999999999</v>
      </c>
      <c r="G438" s="14">
        <v>7.0275799999999999E-2</v>
      </c>
      <c r="H438" s="15">
        <f t="shared" si="22"/>
        <v>0.36988611111111114</v>
      </c>
      <c r="I438" s="16">
        <f t="shared" si="23"/>
        <v>8.9815727777777798E-2</v>
      </c>
    </row>
    <row r="439" spans="1:9" x14ac:dyDescent="0.3">
      <c r="A439" s="18" t="s">
        <v>48</v>
      </c>
      <c r="B439" s="30" t="s">
        <v>94</v>
      </c>
      <c r="C439" s="19">
        <v>46242</v>
      </c>
      <c r="D439" s="13" t="s">
        <v>19</v>
      </c>
      <c r="E439" s="23">
        <v>1704</v>
      </c>
      <c r="F439" s="12">
        <v>0.39001000000000002</v>
      </c>
      <c r="G439" s="14">
        <v>7.57322E-2</v>
      </c>
      <c r="H439" s="15">
        <f t="shared" si="22"/>
        <v>0.36988611111111114</v>
      </c>
      <c r="I439" s="16">
        <f t="shared" si="23"/>
        <v>8.9815727777777798E-2</v>
      </c>
    </row>
    <row r="440" spans="1:9" x14ac:dyDescent="0.3">
      <c r="A440" s="18" t="s">
        <v>48</v>
      </c>
      <c r="B440" s="30" t="s">
        <v>94</v>
      </c>
      <c r="C440" s="19">
        <v>46242</v>
      </c>
      <c r="D440" s="13" t="s">
        <v>20</v>
      </c>
      <c r="E440" s="23">
        <v>1864</v>
      </c>
      <c r="F440" s="12">
        <v>0.44247199999999998</v>
      </c>
      <c r="G440" s="14">
        <v>8.6677000000000004E-2</v>
      </c>
      <c r="H440" s="15">
        <f t="shared" si="22"/>
        <v>0.36988611111111114</v>
      </c>
      <c r="I440" s="16">
        <f t="shared" si="23"/>
        <v>8.9815727777777798E-2</v>
      </c>
    </row>
    <row r="441" spans="1:9" x14ac:dyDescent="0.3">
      <c r="A441" s="18" t="s">
        <v>48</v>
      </c>
      <c r="B441" s="30" t="s">
        <v>94</v>
      </c>
      <c r="C441" s="19">
        <v>46242</v>
      </c>
      <c r="D441" s="13" t="s">
        <v>40</v>
      </c>
      <c r="E441" s="23">
        <v>1004</v>
      </c>
      <c r="F441" s="12">
        <v>0.24021700000000001</v>
      </c>
      <c r="G441" s="14">
        <v>6.9356699999999993E-2</v>
      </c>
      <c r="H441" s="15">
        <f t="shared" si="22"/>
        <v>0.36988611111111114</v>
      </c>
      <c r="I441" s="16">
        <f t="shared" si="23"/>
        <v>8.9815727777777798E-2</v>
      </c>
    </row>
    <row r="442" spans="1:9" x14ac:dyDescent="0.3">
      <c r="A442" s="18" t="s">
        <v>48</v>
      </c>
      <c r="B442" s="30" t="s">
        <v>94</v>
      </c>
      <c r="C442" s="19">
        <v>46242</v>
      </c>
      <c r="D442" s="13" t="s">
        <v>21</v>
      </c>
      <c r="E442" s="23">
        <v>3265</v>
      </c>
      <c r="F442" s="12">
        <v>0.42774800000000002</v>
      </c>
      <c r="G442" s="14">
        <v>8.9605099999999993E-2</v>
      </c>
      <c r="H442" s="15">
        <f t="shared" si="22"/>
        <v>0.36988611111111114</v>
      </c>
      <c r="I442" s="16">
        <f t="shared" si="23"/>
        <v>8.9815727777777798E-2</v>
      </c>
    </row>
    <row r="443" spans="1:9" x14ac:dyDescent="0.3">
      <c r="A443" s="18" t="s">
        <v>48</v>
      </c>
      <c r="B443" s="30" t="s">
        <v>94</v>
      </c>
      <c r="C443" s="19">
        <v>46242</v>
      </c>
      <c r="D443" s="13" t="s">
        <v>22</v>
      </c>
      <c r="E443" s="23">
        <v>2185</v>
      </c>
      <c r="F443" s="12">
        <v>0.373276</v>
      </c>
      <c r="G443" s="14">
        <v>0.111995</v>
      </c>
      <c r="H443" s="15">
        <f t="shared" si="22"/>
        <v>0.36988611111111114</v>
      </c>
      <c r="I443" s="16">
        <f t="shared" si="23"/>
        <v>8.9815727777777798E-2</v>
      </c>
    </row>
    <row r="444" spans="1:9" x14ac:dyDescent="0.3">
      <c r="A444" s="18" t="s">
        <v>48</v>
      </c>
      <c r="B444" s="30" t="s">
        <v>94</v>
      </c>
      <c r="C444" s="19">
        <v>46242</v>
      </c>
      <c r="D444" s="13" t="s">
        <v>23</v>
      </c>
      <c r="E444" s="23">
        <v>1097</v>
      </c>
      <c r="F444" s="12">
        <v>0.417854</v>
      </c>
      <c r="G444" s="14">
        <v>0.12665100000000001</v>
      </c>
      <c r="H444" s="15">
        <f t="shared" si="22"/>
        <v>0.36988611111111114</v>
      </c>
      <c r="I444" s="16">
        <f t="shared" si="23"/>
        <v>8.9815727777777798E-2</v>
      </c>
    </row>
    <row r="445" spans="1:9" x14ac:dyDescent="0.3">
      <c r="A445" s="18" t="s">
        <v>48</v>
      </c>
      <c r="B445" s="30" t="s">
        <v>94</v>
      </c>
      <c r="C445" s="19">
        <v>46242</v>
      </c>
      <c r="D445" s="13" t="s">
        <v>24</v>
      </c>
      <c r="E445" s="23">
        <v>2729</v>
      </c>
      <c r="F445" s="12">
        <v>0.18465300000000001</v>
      </c>
      <c r="G445" s="14">
        <v>5.7549400000000001E-2</v>
      </c>
      <c r="H445" s="15">
        <f t="shared" si="22"/>
        <v>0.36988611111111114</v>
      </c>
      <c r="I445" s="16">
        <f t="shared" si="23"/>
        <v>8.9815727777777798E-2</v>
      </c>
    </row>
    <row r="446" spans="1:9" x14ac:dyDescent="0.3">
      <c r="A446" s="18" t="s">
        <v>48</v>
      </c>
      <c r="B446" s="30" t="s">
        <v>94</v>
      </c>
      <c r="C446" s="19">
        <v>46242</v>
      </c>
      <c r="D446" s="13" t="s">
        <v>25</v>
      </c>
      <c r="E446" s="23">
        <v>1063</v>
      </c>
      <c r="F446" s="12">
        <v>0.17080200000000001</v>
      </c>
      <c r="G446" s="14">
        <v>4.3830000000000001E-2</v>
      </c>
      <c r="H446" s="15">
        <f t="shared" si="22"/>
        <v>0.36988611111111114</v>
      </c>
      <c r="I446" s="16">
        <f t="shared" si="23"/>
        <v>8.9815727777777798E-2</v>
      </c>
    </row>
    <row r="447" spans="1:9" x14ac:dyDescent="0.3">
      <c r="A447" s="18" t="s">
        <v>48</v>
      </c>
      <c r="B447" s="30" t="s">
        <v>94</v>
      </c>
      <c r="C447" s="19">
        <v>46242</v>
      </c>
      <c r="D447" s="13" t="s">
        <v>26</v>
      </c>
      <c r="E447" s="23">
        <v>2275</v>
      </c>
      <c r="F447" s="12">
        <v>0.25070900000000002</v>
      </c>
      <c r="G447" s="14">
        <v>8.3557000000000006E-2</v>
      </c>
      <c r="H447" s="15">
        <f t="shared" si="22"/>
        <v>0.36988611111111114</v>
      </c>
      <c r="I447" s="16">
        <f t="shared" si="23"/>
        <v>8.9815727777777798E-2</v>
      </c>
    </row>
    <row r="448" spans="1:9" x14ac:dyDescent="0.3">
      <c r="A448" s="18" t="s">
        <v>48</v>
      </c>
      <c r="B448" s="30" t="s">
        <v>94</v>
      </c>
      <c r="C448" s="19">
        <v>46242</v>
      </c>
      <c r="D448" s="13" t="s">
        <v>27</v>
      </c>
      <c r="E448" s="23">
        <v>2267</v>
      </c>
      <c r="F448" s="12">
        <v>0.33150099999999999</v>
      </c>
      <c r="G448" s="14">
        <v>8.4053900000000001E-2</v>
      </c>
      <c r="H448" s="15">
        <f t="shared" si="22"/>
        <v>0.36988611111111114</v>
      </c>
      <c r="I448" s="16">
        <f t="shared" si="23"/>
        <v>8.9815727777777798E-2</v>
      </c>
    </row>
    <row r="449" spans="1:9" x14ac:dyDescent="0.3">
      <c r="A449" s="18" t="s">
        <v>48</v>
      </c>
      <c r="B449" s="30" t="s">
        <v>94</v>
      </c>
      <c r="C449" s="19">
        <v>46242</v>
      </c>
      <c r="D449" s="13" t="s">
        <v>28</v>
      </c>
      <c r="E449" s="23">
        <v>1343</v>
      </c>
      <c r="F449" s="12">
        <v>0.36375299999999999</v>
      </c>
      <c r="G449" s="14">
        <v>9.2755599999999994E-2</v>
      </c>
      <c r="H449" s="15">
        <f t="shared" si="22"/>
        <v>0.36988611111111114</v>
      </c>
      <c r="I449" s="16">
        <f t="shared" si="23"/>
        <v>8.9815727777777798E-2</v>
      </c>
    </row>
    <row r="450" spans="1:9" x14ac:dyDescent="0.3">
      <c r="A450" s="18" t="s">
        <v>48</v>
      </c>
      <c r="B450" s="30" t="s">
        <v>94</v>
      </c>
      <c r="C450" s="19">
        <v>46242</v>
      </c>
      <c r="D450" s="13" t="s">
        <v>29</v>
      </c>
      <c r="E450" s="23">
        <v>1392</v>
      </c>
      <c r="F450" s="12">
        <v>0.40725299999999998</v>
      </c>
      <c r="G450" s="14">
        <v>8.4299100000000002E-2</v>
      </c>
      <c r="H450" s="15">
        <f t="shared" si="22"/>
        <v>0.36988611111111114</v>
      </c>
      <c r="I450" s="16">
        <f t="shared" si="23"/>
        <v>8.9815727777777798E-2</v>
      </c>
    </row>
    <row r="451" spans="1:9" x14ac:dyDescent="0.3">
      <c r="A451" s="18" t="s">
        <v>48</v>
      </c>
      <c r="B451" s="30" t="s">
        <v>94</v>
      </c>
      <c r="C451" s="19">
        <v>46242</v>
      </c>
      <c r="D451" s="13" t="s">
        <v>30</v>
      </c>
      <c r="E451" s="23">
        <v>1206</v>
      </c>
      <c r="F451" s="12">
        <v>0.45145600000000002</v>
      </c>
      <c r="G451" s="14">
        <v>0.100788</v>
      </c>
      <c r="H451" s="15">
        <f t="shared" ref="H451:H514" si="24">IFERROR(AVERAGEIFS($F:$F, $A:$A, $A451, $B:$B,$B451, $C:$C,$C451),"")</f>
        <v>0.36988611111111114</v>
      </c>
      <c r="I451" s="16">
        <f t="shared" ref="I451:I514" si="25">IFERROR(AVERAGEIFS($G:$G, $A:$A, $A451, $B:$B,$B451, $C:$C,$C451),"")</f>
        <v>8.9815727777777798E-2</v>
      </c>
    </row>
    <row r="452" spans="1:9" x14ac:dyDescent="0.3">
      <c r="A452" s="18" t="s">
        <v>41</v>
      </c>
      <c r="B452" s="29" t="s">
        <v>50</v>
      </c>
      <c r="C452" s="19">
        <v>46244</v>
      </c>
      <c r="D452" s="13" t="s">
        <v>14</v>
      </c>
      <c r="E452" s="23">
        <v>2617</v>
      </c>
      <c r="F452" s="12">
        <v>0.51635399999999998</v>
      </c>
      <c r="G452" s="14">
        <v>0.145202</v>
      </c>
      <c r="H452" s="15">
        <f t="shared" si="24"/>
        <v>0.4884073888888889</v>
      </c>
      <c r="I452" s="16">
        <f t="shared" si="25"/>
        <v>0.11783660555555556</v>
      </c>
    </row>
    <row r="453" spans="1:9" x14ac:dyDescent="0.3">
      <c r="A453" s="18" t="s">
        <v>41</v>
      </c>
      <c r="B453" s="29" t="s">
        <v>50</v>
      </c>
      <c r="C453" s="19">
        <v>46244</v>
      </c>
      <c r="D453" s="13" t="s">
        <v>15</v>
      </c>
      <c r="E453" s="23">
        <v>2140</v>
      </c>
      <c r="F453" s="12">
        <v>0.53041499999999997</v>
      </c>
      <c r="G453" s="14">
        <v>0.13970399999999999</v>
      </c>
      <c r="H453" s="15">
        <f t="shared" si="24"/>
        <v>0.4884073888888889</v>
      </c>
      <c r="I453" s="16">
        <f t="shared" si="25"/>
        <v>0.11783660555555556</v>
      </c>
    </row>
    <row r="454" spans="1:9" x14ac:dyDescent="0.3">
      <c r="A454" s="18" t="s">
        <v>41</v>
      </c>
      <c r="B454" s="29" t="s">
        <v>50</v>
      </c>
      <c r="C454" s="19">
        <v>46244</v>
      </c>
      <c r="D454" s="13" t="s">
        <v>16</v>
      </c>
      <c r="E454" s="23">
        <v>1369</v>
      </c>
      <c r="F454" s="12">
        <v>0.60772400000000004</v>
      </c>
      <c r="G454" s="14">
        <v>0.142537</v>
      </c>
      <c r="H454" s="15">
        <f t="shared" si="24"/>
        <v>0.4884073888888889</v>
      </c>
      <c r="I454" s="16">
        <f t="shared" si="25"/>
        <v>0.11783660555555556</v>
      </c>
    </row>
    <row r="455" spans="1:9" x14ac:dyDescent="0.3">
      <c r="A455" s="18" t="s">
        <v>41</v>
      </c>
      <c r="B455" s="29" t="s">
        <v>50</v>
      </c>
      <c r="C455" s="19">
        <v>46244</v>
      </c>
      <c r="D455" s="13" t="s">
        <v>17</v>
      </c>
      <c r="E455" s="23">
        <v>1760</v>
      </c>
      <c r="F455" s="12">
        <v>0.573071</v>
      </c>
      <c r="G455" s="14">
        <v>0.11326600000000001</v>
      </c>
      <c r="H455" s="15">
        <f t="shared" si="24"/>
        <v>0.4884073888888889</v>
      </c>
      <c r="I455" s="16">
        <f t="shared" si="25"/>
        <v>0.11783660555555556</v>
      </c>
    </row>
    <row r="456" spans="1:9" x14ac:dyDescent="0.3">
      <c r="A456" s="18" t="s">
        <v>41</v>
      </c>
      <c r="B456" s="29" t="s">
        <v>50</v>
      </c>
      <c r="C456" s="19">
        <v>46244</v>
      </c>
      <c r="D456" s="13" t="s">
        <v>18</v>
      </c>
      <c r="E456" s="23">
        <v>1807</v>
      </c>
      <c r="F456" s="12">
        <v>0.44016699999999997</v>
      </c>
      <c r="G456" s="14">
        <v>0.10468</v>
      </c>
      <c r="H456" s="15">
        <f t="shared" si="24"/>
        <v>0.4884073888888889</v>
      </c>
      <c r="I456" s="16">
        <f t="shared" si="25"/>
        <v>0.11783660555555556</v>
      </c>
    </row>
    <row r="457" spans="1:9" x14ac:dyDescent="0.3">
      <c r="A457" s="18" t="s">
        <v>41</v>
      </c>
      <c r="B457" s="29" t="s">
        <v>50</v>
      </c>
      <c r="C457" s="19">
        <v>46244</v>
      </c>
      <c r="D457" s="13" t="s">
        <v>19</v>
      </c>
      <c r="E457" s="23">
        <v>1350</v>
      </c>
      <c r="F457" s="12">
        <v>0.68363499999999999</v>
      </c>
      <c r="G457" s="14">
        <v>0.14379</v>
      </c>
      <c r="H457" s="15">
        <f t="shared" si="24"/>
        <v>0.4884073888888889</v>
      </c>
      <c r="I457" s="16">
        <f t="shared" si="25"/>
        <v>0.11783660555555556</v>
      </c>
    </row>
    <row r="458" spans="1:9" x14ac:dyDescent="0.3">
      <c r="A458" s="18" t="s">
        <v>41</v>
      </c>
      <c r="B458" s="29" t="s">
        <v>50</v>
      </c>
      <c r="C458" s="19">
        <v>46244</v>
      </c>
      <c r="D458" s="13" t="s">
        <v>20</v>
      </c>
      <c r="E458" s="23">
        <v>1165</v>
      </c>
      <c r="F458" s="12">
        <v>0.68407899999999999</v>
      </c>
      <c r="G458" s="14">
        <v>0.14311299999999999</v>
      </c>
      <c r="H458" s="15">
        <f t="shared" si="24"/>
        <v>0.4884073888888889</v>
      </c>
      <c r="I458" s="16">
        <f t="shared" si="25"/>
        <v>0.11783660555555556</v>
      </c>
    </row>
    <row r="459" spans="1:9" x14ac:dyDescent="0.3">
      <c r="A459" s="18" t="s">
        <v>41</v>
      </c>
      <c r="B459" s="29" t="s">
        <v>50</v>
      </c>
      <c r="C459" s="19">
        <v>46244</v>
      </c>
      <c r="D459" s="13" t="s">
        <v>40</v>
      </c>
      <c r="E459" s="23">
        <v>1255</v>
      </c>
      <c r="F459" s="12">
        <v>0.23006199999999999</v>
      </c>
      <c r="G459" s="14">
        <v>6.9675000000000001E-2</v>
      </c>
      <c r="H459" s="15">
        <f t="shared" si="24"/>
        <v>0.4884073888888889</v>
      </c>
      <c r="I459" s="16">
        <f t="shared" si="25"/>
        <v>0.11783660555555556</v>
      </c>
    </row>
    <row r="460" spans="1:9" x14ac:dyDescent="0.3">
      <c r="A460" s="18" t="s">
        <v>41</v>
      </c>
      <c r="B460" s="29" t="s">
        <v>50</v>
      </c>
      <c r="C460" s="19">
        <v>46244</v>
      </c>
      <c r="D460" s="13" t="s">
        <v>21</v>
      </c>
      <c r="E460" s="23">
        <v>1866</v>
      </c>
      <c r="F460" s="12">
        <v>0.62954500000000002</v>
      </c>
      <c r="G460" s="14">
        <v>0.122422</v>
      </c>
      <c r="H460" s="15">
        <f t="shared" si="24"/>
        <v>0.4884073888888889</v>
      </c>
      <c r="I460" s="16">
        <f t="shared" si="25"/>
        <v>0.11783660555555556</v>
      </c>
    </row>
    <row r="461" spans="1:9" x14ac:dyDescent="0.3">
      <c r="A461" s="18" t="s">
        <v>41</v>
      </c>
      <c r="B461" s="29" t="s">
        <v>50</v>
      </c>
      <c r="C461" s="19">
        <v>46244</v>
      </c>
      <c r="D461" s="13" t="s">
        <v>22</v>
      </c>
      <c r="E461" s="23">
        <v>2103</v>
      </c>
      <c r="F461" s="12">
        <v>0.47446700000000003</v>
      </c>
      <c r="G461" s="14">
        <v>0.12889400000000001</v>
      </c>
      <c r="H461" s="15">
        <f t="shared" si="24"/>
        <v>0.4884073888888889</v>
      </c>
      <c r="I461" s="16">
        <f t="shared" si="25"/>
        <v>0.11783660555555556</v>
      </c>
    </row>
    <row r="462" spans="1:9" x14ac:dyDescent="0.3">
      <c r="A462" s="18" t="s">
        <v>41</v>
      </c>
      <c r="B462" s="29" t="s">
        <v>50</v>
      </c>
      <c r="C462" s="19">
        <v>46244</v>
      </c>
      <c r="D462" s="13" t="s">
        <v>23</v>
      </c>
      <c r="E462" s="23">
        <v>1637</v>
      </c>
      <c r="F462" s="12">
        <v>0.421072</v>
      </c>
      <c r="G462" s="14">
        <v>0.13805799999999999</v>
      </c>
      <c r="H462" s="15">
        <f t="shared" si="24"/>
        <v>0.4884073888888889</v>
      </c>
      <c r="I462" s="16">
        <f t="shared" si="25"/>
        <v>0.11783660555555556</v>
      </c>
    </row>
    <row r="463" spans="1:9" x14ac:dyDescent="0.3">
      <c r="A463" s="18" t="s">
        <v>41</v>
      </c>
      <c r="B463" s="29" t="s">
        <v>50</v>
      </c>
      <c r="C463" s="19">
        <v>46244</v>
      </c>
      <c r="D463" s="13" t="s">
        <v>24</v>
      </c>
      <c r="E463" s="23">
        <v>2879</v>
      </c>
      <c r="F463" s="12">
        <v>0.46968599999999999</v>
      </c>
      <c r="G463" s="14">
        <v>0.14469499999999999</v>
      </c>
      <c r="H463" s="15">
        <f t="shared" si="24"/>
        <v>0.4884073888888889</v>
      </c>
      <c r="I463" s="16">
        <f t="shared" si="25"/>
        <v>0.11783660555555556</v>
      </c>
    </row>
    <row r="464" spans="1:9" x14ac:dyDescent="0.3">
      <c r="A464" s="18" t="s">
        <v>41</v>
      </c>
      <c r="B464" s="29" t="s">
        <v>50</v>
      </c>
      <c r="C464" s="19">
        <v>46244</v>
      </c>
      <c r="D464" s="13" t="s">
        <v>25</v>
      </c>
      <c r="E464" s="23">
        <v>1182</v>
      </c>
      <c r="F464" s="12">
        <v>0.19611799999999999</v>
      </c>
      <c r="G464" s="14">
        <v>4.7153599999999997E-2</v>
      </c>
      <c r="H464" s="15">
        <f t="shared" si="24"/>
        <v>0.4884073888888889</v>
      </c>
      <c r="I464" s="16">
        <f t="shared" si="25"/>
        <v>0.11783660555555556</v>
      </c>
    </row>
    <row r="465" spans="1:9" x14ac:dyDescent="0.3">
      <c r="A465" s="18" t="s">
        <v>41</v>
      </c>
      <c r="B465" s="29" t="s">
        <v>50</v>
      </c>
      <c r="C465" s="19">
        <v>46244</v>
      </c>
      <c r="D465" s="13" t="s">
        <v>26</v>
      </c>
      <c r="E465" s="23">
        <v>2147</v>
      </c>
      <c r="F465" s="12">
        <v>0.32267400000000002</v>
      </c>
      <c r="G465" s="14">
        <v>0.103725</v>
      </c>
      <c r="H465" s="15">
        <f t="shared" si="24"/>
        <v>0.4884073888888889</v>
      </c>
      <c r="I465" s="16">
        <f t="shared" si="25"/>
        <v>0.11783660555555556</v>
      </c>
    </row>
    <row r="466" spans="1:9" x14ac:dyDescent="0.3">
      <c r="A466" s="18" t="s">
        <v>41</v>
      </c>
      <c r="B466" s="29" t="s">
        <v>50</v>
      </c>
      <c r="C466" s="19">
        <v>46244</v>
      </c>
      <c r="D466" s="13" t="s">
        <v>27</v>
      </c>
      <c r="E466" s="23">
        <v>1528</v>
      </c>
      <c r="F466" s="12">
        <v>0.65305100000000005</v>
      </c>
      <c r="G466" s="14">
        <v>0.14813200000000001</v>
      </c>
      <c r="H466" s="15">
        <f t="shared" si="24"/>
        <v>0.4884073888888889</v>
      </c>
      <c r="I466" s="16">
        <f t="shared" si="25"/>
        <v>0.11783660555555556</v>
      </c>
    </row>
    <row r="467" spans="1:9" x14ac:dyDescent="0.3">
      <c r="A467" s="18" t="s">
        <v>41</v>
      </c>
      <c r="B467" s="29" t="s">
        <v>50</v>
      </c>
      <c r="C467" s="19">
        <v>46244</v>
      </c>
      <c r="D467" s="13" t="s">
        <v>28</v>
      </c>
      <c r="E467" s="23">
        <v>1543</v>
      </c>
      <c r="F467" s="12">
        <v>0.40624300000000002</v>
      </c>
      <c r="G467" s="14">
        <v>9.1163099999999997E-2</v>
      </c>
      <c r="H467" s="15">
        <f t="shared" si="24"/>
        <v>0.4884073888888889</v>
      </c>
      <c r="I467" s="16">
        <f t="shared" si="25"/>
        <v>0.11783660555555556</v>
      </c>
    </row>
    <row r="468" spans="1:9" x14ac:dyDescent="0.3">
      <c r="A468" s="18" t="s">
        <v>41</v>
      </c>
      <c r="B468" s="29" t="s">
        <v>50</v>
      </c>
      <c r="C468" s="19">
        <v>46244</v>
      </c>
      <c r="D468" s="13" t="s">
        <v>29</v>
      </c>
      <c r="E468" s="23">
        <v>1128</v>
      </c>
      <c r="F468" s="12">
        <v>0.53908</v>
      </c>
      <c r="G468" s="14">
        <v>0.11161600000000001</v>
      </c>
      <c r="H468" s="15">
        <f t="shared" si="24"/>
        <v>0.4884073888888889</v>
      </c>
      <c r="I468" s="16">
        <f t="shared" si="25"/>
        <v>0.11783660555555556</v>
      </c>
    </row>
    <row r="469" spans="1:9" x14ac:dyDescent="0.3">
      <c r="A469" s="18" t="s">
        <v>41</v>
      </c>
      <c r="B469" s="29" t="s">
        <v>50</v>
      </c>
      <c r="C469" s="19">
        <v>46244</v>
      </c>
      <c r="D469" s="13" t="s">
        <v>30</v>
      </c>
      <c r="E469" s="23">
        <v>1005</v>
      </c>
      <c r="F469" s="12">
        <v>0.41388999999999998</v>
      </c>
      <c r="G469" s="14">
        <v>8.3233199999999993E-2</v>
      </c>
      <c r="H469" s="15">
        <f t="shared" si="24"/>
        <v>0.4884073888888889</v>
      </c>
      <c r="I469" s="16">
        <f t="shared" si="25"/>
        <v>0.11783660555555556</v>
      </c>
    </row>
    <row r="470" spans="1:9" x14ac:dyDescent="0.3">
      <c r="A470" s="18" t="s">
        <v>41</v>
      </c>
      <c r="B470" s="29" t="s">
        <v>50</v>
      </c>
      <c r="C470" s="19">
        <v>46245</v>
      </c>
      <c r="D470" s="13" t="s">
        <v>14</v>
      </c>
      <c r="E470" s="23">
        <v>1450</v>
      </c>
      <c r="F470" s="12">
        <v>0.211371</v>
      </c>
      <c r="G470" s="14">
        <v>5.9408799999999998E-2</v>
      </c>
      <c r="H470" s="15">
        <f t="shared" si="24"/>
        <v>0.29684038888888886</v>
      </c>
      <c r="I470" s="16">
        <f t="shared" si="25"/>
        <v>7.1251700000000001E-2</v>
      </c>
    </row>
    <row r="471" spans="1:9" x14ac:dyDescent="0.3">
      <c r="A471" s="18" t="s">
        <v>41</v>
      </c>
      <c r="B471" s="29" t="s">
        <v>50</v>
      </c>
      <c r="C471" s="19">
        <v>46245</v>
      </c>
      <c r="D471" s="13" t="s">
        <v>15</v>
      </c>
      <c r="E471" s="23">
        <v>1215</v>
      </c>
      <c r="F471" s="12">
        <v>0.29737599999999997</v>
      </c>
      <c r="G471" s="14">
        <v>7.8345899999999996E-2</v>
      </c>
      <c r="H471" s="15">
        <f t="shared" si="24"/>
        <v>0.29684038888888886</v>
      </c>
      <c r="I471" s="16">
        <f t="shared" si="25"/>
        <v>7.1251700000000001E-2</v>
      </c>
    </row>
    <row r="472" spans="1:9" x14ac:dyDescent="0.3">
      <c r="A472" s="18" t="s">
        <v>41</v>
      </c>
      <c r="B472" s="29" t="s">
        <v>50</v>
      </c>
      <c r="C472" s="19">
        <v>46245</v>
      </c>
      <c r="D472" s="13" t="s">
        <v>16</v>
      </c>
      <c r="E472" s="23">
        <v>1002</v>
      </c>
      <c r="F472" s="12">
        <v>0.40363500000000002</v>
      </c>
      <c r="G472" s="14">
        <v>9.4695399999999999E-2</v>
      </c>
      <c r="H472" s="15">
        <f t="shared" si="24"/>
        <v>0.29684038888888886</v>
      </c>
      <c r="I472" s="16">
        <f t="shared" si="25"/>
        <v>7.1251700000000001E-2</v>
      </c>
    </row>
    <row r="473" spans="1:9" x14ac:dyDescent="0.3">
      <c r="A473" s="18" t="s">
        <v>41</v>
      </c>
      <c r="B473" s="29" t="s">
        <v>50</v>
      </c>
      <c r="C473" s="19">
        <v>46245</v>
      </c>
      <c r="D473" s="13" t="s">
        <v>17</v>
      </c>
      <c r="E473" s="23">
        <v>1709</v>
      </c>
      <c r="F473" s="12">
        <v>0.55846799999999996</v>
      </c>
      <c r="G473" s="14">
        <v>0.110303</v>
      </c>
      <c r="H473" s="15">
        <f t="shared" si="24"/>
        <v>0.29684038888888886</v>
      </c>
      <c r="I473" s="16">
        <f t="shared" si="25"/>
        <v>7.1251700000000001E-2</v>
      </c>
    </row>
    <row r="474" spans="1:9" x14ac:dyDescent="0.3">
      <c r="A474" s="18" t="s">
        <v>41</v>
      </c>
      <c r="B474" s="29" t="s">
        <v>50</v>
      </c>
      <c r="C474" s="19">
        <v>46245</v>
      </c>
      <c r="D474" s="13" t="s">
        <v>18</v>
      </c>
      <c r="E474" s="23">
        <v>1275</v>
      </c>
      <c r="F474" s="12">
        <v>0.25397599999999998</v>
      </c>
      <c r="G474" s="14">
        <v>6.0416400000000002E-2</v>
      </c>
      <c r="H474" s="15">
        <f t="shared" si="24"/>
        <v>0.29684038888888886</v>
      </c>
      <c r="I474" s="16">
        <f t="shared" si="25"/>
        <v>7.1251700000000001E-2</v>
      </c>
    </row>
    <row r="475" spans="1:9" x14ac:dyDescent="0.3">
      <c r="A475" s="18" t="s">
        <v>41</v>
      </c>
      <c r="B475" s="29" t="s">
        <v>50</v>
      </c>
      <c r="C475" s="19">
        <v>46245</v>
      </c>
      <c r="D475" s="13" t="s">
        <v>19</v>
      </c>
      <c r="E475" s="23">
        <v>1315</v>
      </c>
      <c r="F475" s="12">
        <v>0.28124500000000002</v>
      </c>
      <c r="G475" s="14">
        <v>5.91297E-2</v>
      </c>
      <c r="H475" s="15">
        <f t="shared" si="24"/>
        <v>0.29684038888888886</v>
      </c>
      <c r="I475" s="16">
        <f t="shared" si="25"/>
        <v>7.1251700000000001E-2</v>
      </c>
    </row>
    <row r="476" spans="1:9" x14ac:dyDescent="0.3">
      <c r="A476" s="18" t="s">
        <v>41</v>
      </c>
      <c r="B476" s="29" t="s">
        <v>50</v>
      </c>
      <c r="C476" s="19">
        <v>46245</v>
      </c>
      <c r="D476" s="13" t="s">
        <v>20</v>
      </c>
      <c r="E476" s="23">
        <v>1278</v>
      </c>
      <c r="F476" s="12">
        <v>0.32504899999999998</v>
      </c>
      <c r="G476" s="14">
        <v>6.8007200000000004E-2</v>
      </c>
      <c r="H476" s="15">
        <f t="shared" si="24"/>
        <v>0.29684038888888886</v>
      </c>
      <c r="I476" s="16">
        <f t="shared" si="25"/>
        <v>7.1251700000000001E-2</v>
      </c>
    </row>
    <row r="477" spans="1:9" x14ac:dyDescent="0.3">
      <c r="A477" s="18" t="s">
        <v>41</v>
      </c>
      <c r="B477" s="29" t="s">
        <v>50</v>
      </c>
      <c r="C477" s="19">
        <v>46245</v>
      </c>
      <c r="D477" s="13" t="s">
        <v>40</v>
      </c>
      <c r="E477" s="23">
        <v>1254</v>
      </c>
      <c r="F477" s="12">
        <v>0.19009200000000001</v>
      </c>
      <c r="G477" s="14">
        <v>5.76237E-2</v>
      </c>
      <c r="H477" s="15">
        <f t="shared" si="24"/>
        <v>0.29684038888888886</v>
      </c>
      <c r="I477" s="16">
        <f t="shared" si="25"/>
        <v>7.1251700000000001E-2</v>
      </c>
    </row>
    <row r="478" spans="1:9" x14ac:dyDescent="0.3">
      <c r="A478" s="18" t="s">
        <v>41</v>
      </c>
      <c r="B478" s="29" t="s">
        <v>50</v>
      </c>
      <c r="C478" s="19">
        <v>46245</v>
      </c>
      <c r="D478" s="13" t="s">
        <v>21</v>
      </c>
      <c r="E478" s="23">
        <v>2370</v>
      </c>
      <c r="F478" s="12">
        <v>0.45987800000000001</v>
      </c>
      <c r="G478" s="14">
        <v>8.9464500000000002E-2</v>
      </c>
      <c r="H478" s="15">
        <f t="shared" si="24"/>
        <v>0.29684038888888886</v>
      </c>
      <c r="I478" s="16">
        <f t="shared" si="25"/>
        <v>7.1251700000000001E-2</v>
      </c>
    </row>
    <row r="479" spans="1:9" x14ac:dyDescent="0.3">
      <c r="A479" s="18" t="s">
        <v>41</v>
      </c>
      <c r="B479" s="29" t="s">
        <v>50</v>
      </c>
      <c r="C479" s="19">
        <v>46245</v>
      </c>
      <c r="D479" s="13" t="s">
        <v>22</v>
      </c>
      <c r="E479" s="23">
        <v>1442</v>
      </c>
      <c r="F479" s="12">
        <v>0.25839000000000001</v>
      </c>
      <c r="G479" s="14">
        <v>7.0241100000000001E-2</v>
      </c>
      <c r="H479" s="15">
        <f t="shared" si="24"/>
        <v>0.29684038888888886</v>
      </c>
      <c r="I479" s="16">
        <f t="shared" si="25"/>
        <v>7.1251700000000001E-2</v>
      </c>
    </row>
    <row r="480" spans="1:9" x14ac:dyDescent="0.3">
      <c r="A480" s="18" t="s">
        <v>41</v>
      </c>
      <c r="B480" s="29" t="s">
        <v>50</v>
      </c>
      <c r="C480" s="19">
        <v>46245</v>
      </c>
      <c r="D480" s="13" t="s">
        <v>23</v>
      </c>
      <c r="E480" s="23">
        <v>1349</v>
      </c>
      <c r="F480" s="12">
        <v>0.21721099999999999</v>
      </c>
      <c r="G480" s="14">
        <v>7.1229399999999998E-2</v>
      </c>
      <c r="H480" s="15">
        <f t="shared" si="24"/>
        <v>0.29684038888888886</v>
      </c>
      <c r="I480" s="16">
        <f t="shared" si="25"/>
        <v>7.1251700000000001E-2</v>
      </c>
    </row>
    <row r="481" spans="1:9" x14ac:dyDescent="0.3">
      <c r="A481" s="18" t="s">
        <v>41</v>
      </c>
      <c r="B481" s="29" t="s">
        <v>50</v>
      </c>
      <c r="C481" s="19">
        <v>46245</v>
      </c>
      <c r="D481" s="13" t="s">
        <v>24</v>
      </c>
      <c r="E481" s="23">
        <v>2077</v>
      </c>
      <c r="F481" s="12">
        <v>0.32391500000000001</v>
      </c>
      <c r="G481" s="14">
        <v>9.9747299999999997E-2</v>
      </c>
      <c r="H481" s="15">
        <f t="shared" si="24"/>
        <v>0.29684038888888886</v>
      </c>
      <c r="I481" s="16">
        <f t="shared" si="25"/>
        <v>7.1251700000000001E-2</v>
      </c>
    </row>
    <row r="482" spans="1:9" x14ac:dyDescent="0.3">
      <c r="A482" s="18" t="s">
        <v>41</v>
      </c>
      <c r="B482" s="29" t="s">
        <v>50</v>
      </c>
      <c r="C482" s="19">
        <v>46245</v>
      </c>
      <c r="D482" s="13" t="s">
        <v>25</v>
      </c>
      <c r="E482" s="23">
        <v>1287</v>
      </c>
      <c r="F482" s="12">
        <v>0.20449800000000001</v>
      </c>
      <c r="G482" s="14">
        <v>4.92053E-2</v>
      </c>
      <c r="H482" s="15">
        <f t="shared" si="24"/>
        <v>0.29684038888888886</v>
      </c>
      <c r="I482" s="16">
        <f t="shared" si="25"/>
        <v>7.1251700000000001E-2</v>
      </c>
    </row>
    <row r="483" spans="1:9" x14ac:dyDescent="0.3">
      <c r="A483" s="18" t="s">
        <v>41</v>
      </c>
      <c r="B483" s="29" t="s">
        <v>50</v>
      </c>
      <c r="C483" s="19">
        <v>46245</v>
      </c>
      <c r="D483" s="13" t="s">
        <v>26</v>
      </c>
      <c r="E483" s="23">
        <v>1378</v>
      </c>
      <c r="F483" s="12">
        <v>0.201596</v>
      </c>
      <c r="G483" s="14">
        <v>6.48228E-2</v>
      </c>
      <c r="H483" s="15">
        <f t="shared" si="24"/>
        <v>0.29684038888888886</v>
      </c>
      <c r="I483" s="16">
        <f t="shared" si="25"/>
        <v>7.1251700000000001E-2</v>
      </c>
    </row>
    <row r="484" spans="1:9" x14ac:dyDescent="0.3">
      <c r="A484" s="18" t="s">
        <v>41</v>
      </c>
      <c r="B484" s="29" t="s">
        <v>50</v>
      </c>
      <c r="C484" s="19">
        <v>46245</v>
      </c>
      <c r="D484" s="13" t="s">
        <v>27</v>
      </c>
      <c r="E484" s="23">
        <v>1071</v>
      </c>
      <c r="F484" s="12">
        <v>0.398816</v>
      </c>
      <c r="G484" s="14">
        <v>9.04861E-2</v>
      </c>
      <c r="H484" s="15">
        <f t="shared" si="24"/>
        <v>0.29684038888888886</v>
      </c>
      <c r="I484" s="16">
        <f t="shared" si="25"/>
        <v>7.1251700000000001E-2</v>
      </c>
    </row>
    <row r="485" spans="1:9" x14ac:dyDescent="0.3">
      <c r="A485" s="18" t="s">
        <v>41</v>
      </c>
      <c r="B485" s="29" t="s">
        <v>50</v>
      </c>
      <c r="C485" s="19">
        <v>46245</v>
      </c>
      <c r="D485" s="13" t="s">
        <v>28</v>
      </c>
      <c r="E485" s="23">
        <v>1096</v>
      </c>
      <c r="F485" s="12">
        <v>0.245283</v>
      </c>
      <c r="G485" s="14">
        <v>5.4997999999999998E-2</v>
      </c>
      <c r="H485" s="15">
        <f t="shared" si="24"/>
        <v>0.29684038888888886</v>
      </c>
      <c r="I485" s="16">
        <f t="shared" si="25"/>
        <v>7.1251700000000001E-2</v>
      </c>
    </row>
    <row r="486" spans="1:9" x14ac:dyDescent="0.3">
      <c r="A486" s="18" t="s">
        <v>41</v>
      </c>
      <c r="B486" s="29" t="s">
        <v>50</v>
      </c>
      <c r="C486" s="19">
        <v>46245</v>
      </c>
      <c r="D486" s="13" t="s">
        <v>29</v>
      </c>
      <c r="E486" s="23">
        <v>1023</v>
      </c>
      <c r="F486" s="12">
        <v>0.228965</v>
      </c>
      <c r="G486" s="14">
        <v>4.7409600000000003E-2</v>
      </c>
      <c r="H486" s="15">
        <f t="shared" si="24"/>
        <v>0.29684038888888886</v>
      </c>
      <c r="I486" s="16">
        <f t="shared" si="25"/>
        <v>7.1251700000000001E-2</v>
      </c>
    </row>
    <row r="487" spans="1:9" x14ac:dyDescent="0.3">
      <c r="A487" s="18" t="s">
        <v>41</v>
      </c>
      <c r="B487" s="29" t="s">
        <v>50</v>
      </c>
      <c r="C487" s="19">
        <v>46245</v>
      </c>
      <c r="D487" s="13" t="s">
        <v>30</v>
      </c>
      <c r="E487" s="23">
        <v>1292</v>
      </c>
      <c r="F487" s="12">
        <v>0.28336299999999998</v>
      </c>
      <c r="G487" s="14">
        <v>5.6996400000000003E-2</v>
      </c>
      <c r="H487" s="15">
        <f t="shared" si="24"/>
        <v>0.29684038888888886</v>
      </c>
      <c r="I487" s="16">
        <f t="shared" si="25"/>
        <v>7.1251700000000001E-2</v>
      </c>
    </row>
    <row r="488" spans="1:9" x14ac:dyDescent="0.3">
      <c r="A488" s="18" t="s">
        <v>42</v>
      </c>
      <c r="B488" s="29" t="s">
        <v>115</v>
      </c>
      <c r="C488" s="19">
        <v>46246</v>
      </c>
      <c r="D488" s="13" t="s">
        <v>14</v>
      </c>
      <c r="E488" s="23">
        <v>2307</v>
      </c>
      <c r="F488" s="12">
        <v>1.38632</v>
      </c>
      <c r="G488" s="14">
        <v>0.38811499999999999</v>
      </c>
      <c r="H488" s="15">
        <f t="shared" si="24"/>
        <v>1.1960731666666669</v>
      </c>
      <c r="I488" s="16">
        <f t="shared" si="25"/>
        <v>0.28135629444444438</v>
      </c>
    </row>
    <row r="489" spans="1:9" x14ac:dyDescent="0.3">
      <c r="A489" s="18" t="s">
        <v>42</v>
      </c>
      <c r="B489" s="29" t="s">
        <v>115</v>
      </c>
      <c r="C489" s="19">
        <v>46246</v>
      </c>
      <c r="D489" s="13" t="s">
        <v>15</v>
      </c>
      <c r="E489" s="23">
        <v>1827</v>
      </c>
      <c r="F489" s="12">
        <v>1.8897699999999999</v>
      </c>
      <c r="G489" s="14">
        <v>0.497166</v>
      </c>
      <c r="H489" s="15">
        <f t="shared" si="24"/>
        <v>1.1960731666666669</v>
      </c>
      <c r="I489" s="16">
        <f t="shared" si="25"/>
        <v>0.28135629444444438</v>
      </c>
    </row>
    <row r="490" spans="1:9" x14ac:dyDescent="0.3">
      <c r="A490" s="18" t="s">
        <v>42</v>
      </c>
      <c r="B490" s="29" t="s">
        <v>115</v>
      </c>
      <c r="C490" s="19">
        <v>46246</v>
      </c>
      <c r="D490" s="13" t="s">
        <v>16</v>
      </c>
      <c r="E490" s="23">
        <v>1033</v>
      </c>
      <c r="F490" s="12">
        <v>0.35547800000000002</v>
      </c>
      <c r="G490" s="14">
        <v>8.3168000000000006E-2</v>
      </c>
      <c r="H490" s="15">
        <f t="shared" si="24"/>
        <v>1.1960731666666669</v>
      </c>
      <c r="I490" s="16">
        <f t="shared" si="25"/>
        <v>0.28135629444444438</v>
      </c>
    </row>
    <row r="491" spans="1:9" x14ac:dyDescent="0.3">
      <c r="A491" s="18" t="s">
        <v>42</v>
      </c>
      <c r="B491" s="29" t="s">
        <v>115</v>
      </c>
      <c r="C491" s="19">
        <v>46246</v>
      </c>
      <c r="D491" s="13" t="s">
        <v>17</v>
      </c>
      <c r="E491" s="23">
        <v>2055</v>
      </c>
      <c r="F491" s="12">
        <v>1.86354</v>
      </c>
      <c r="G491" s="14">
        <v>0.37180600000000003</v>
      </c>
      <c r="H491" s="15">
        <f t="shared" si="24"/>
        <v>1.1960731666666669</v>
      </c>
      <c r="I491" s="16">
        <f t="shared" si="25"/>
        <v>0.28135629444444438</v>
      </c>
    </row>
    <row r="492" spans="1:9" x14ac:dyDescent="0.3">
      <c r="A492" s="18" t="s">
        <v>42</v>
      </c>
      <c r="B492" s="29" t="s">
        <v>115</v>
      </c>
      <c r="C492" s="19">
        <v>46246</v>
      </c>
      <c r="D492" s="13" t="s">
        <v>18</v>
      </c>
      <c r="E492" s="23">
        <v>1449</v>
      </c>
      <c r="F492" s="12">
        <v>1.19241</v>
      </c>
      <c r="G492" s="14">
        <v>0.282858</v>
      </c>
      <c r="H492" s="15">
        <f t="shared" si="24"/>
        <v>1.1960731666666669</v>
      </c>
      <c r="I492" s="16">
        <f t="shared" si="25"/>
        <v>0.28135629444444438</v>
      </c>
    </row>
    <row r="493" spans="1:9" x14ac:dyDescent="0.3">
      <c r="A493" s="18" t="s">
        <v>42</v>
      </c>
      <c r="B493" s="29" t="s">
        <v>115</v>
      </c>
      <c r="C493" s="19">
        <v>46246</v>
      </c>
      <c r="D493" s="13" t="s">
        <v>19</v>
      </c>
      <c r="E493" s="23">
        <v>1508</v>
      </c>
      <c r="F493" s="12">
        <v>1.6486099999999999</v>
      </c>
      <c r="G493" s="14">
        <v>0.34601500000000002</v>
      </c>
      <c r="H493" s="15">
        <f t="shared" si="24"/>
        <v>1.1960731666666669</v>
      </c>
      <c r="I493" s="16">
        <f t="shared" si="25"/>
        <v>0.28135629444444438</v>
      </c>
    </row>
    <row r="494" spans="1:9" x14ac:dyDescent="0.3">
      <c r="A494" s="18" t="s">
        <v>42</v>
      </c>
      <c r="B494" s="29" t="s">
        <v>115</v>
      </c>
      <c r="C494" s="19">
        <v>46246</v>
      </c>
      <c r="D494" s="13" t="s">
        <v>20</v>
      </c>
      <c r="E494" s="23">
        <v>1515</v>
      </c>
      <c r="F494" s="12">
        <v>1.7868200000000001</v>
      </c>
      <c r="G494" s="14">
        <v>0.37444699999999997</v>
      </c>
      <c r="H494" s="15">
        <f t="shared" si="24"/>
        <v>1.1960731666666669</v>
      </c>
      <c r="I494" s="16">
        <f t="shared" si="25"/>
        <v>0.28135629444444438</v>
      </c>
    </row>
    <row r="495" spans="1:9" x14ac:dyDescent="0.3">
      <c r="A495" s="18" t="s">
        <v>42</v>
      </c>
      <c r="B495" s="29" t="s">
        <v>115</v>
      </c>
      <c r="C495" s="19">
        <v>46246</v>
      </c>
      <c r="D495" s="13" t="s">
        <v>40</v>
      </c>
      <c r="E495" s="23">
        <v>1003</v>
      </c>
      <c r="F495" s="12">
        <v>1.48909</v>
      </c>
      <c r="G495" s="14">
        <v>0.45335999999999999</v>
      </c>
      <c r="H495" s="15">
        <f t="shared" si="24"/>
        <v>1.1960731666666669</v>
      </c>
      <c r="I495" s="16">
        <f t="shared" si="25"/>
        <v>0.28135629444444438</v>
      </c>
    </row>
    <row r="496" spans="1:9" x14ac:dyDescent="0.3">
      <c r="A496" s="18" t="s">
        <v>42</v>
      </c>
      <c r="B496" s="29" t="s">
        <v>115</v>
      </c>
      <c r="C496" s="19">
        <v>46246</v>
      </c>
      <c r="D496" s="13" t="s">
        <v>21</v>
      </c>
      <c r="E496" s="23">
        <v>2505</v>
      </c>
      <c r="F496" s="12">
        <v>1.2868900000000001</v>
      </c>
      <c r="G496" s="14">
        <v>0.25094</v>
      </c>
      <c r="H496" s="15">
        <f t="shared" si="24"/>
        <v>1.1960731666666669</v>
      </c>
      <c r="I496" s="16">
        <f t="shared" si="25"/>
        <v>0.28135629444444438</v>
      </c>
    </row>
    <row r="497" spans="1:9" x14ac:dyDescent="0.3">
      <c r="A497" s="18" t="s">
        <v>42</v>
      </c>
      <c r="B497" s="29" t="s">
        <v>115</v>
      </c>
      <c r="C497" s="19">
        <v>46246</v>
      </c>
      <c r="D497" s="13" t="s">
        <v>22</v>
      </c>
      <c r="E497" s="23">
        <v>1676</v>
      </c>
      <c r="F497" s="12">
        <v>1.04637</v>
      </c>
      <c r="G497" s="14">
        <v>0.28419699999999998</v>
      </c>
      <c r="H497" s="15">
        <f t="shared" si="24"/>
        <v>1.1960731666666669</v>
      </c>
      <c r="I497" s="16">
        <f t="shared" si="25"/>
        <v>0.28135629444444438</v>
      </c>
    </row>
    <row r="498" spans="1:9" x14ac:dyDescent="0.3">
      <c r="A498" s="18" t="s">
        <v>42</v>
      </c>
      <c r="B498" s="29" t="s">
        <v>115</v>
      </c>
      <c r="C498" s="19">
        <v>46246</v>
      </c>
      <c r="D498" s="13" t="s">
        <v>23</v>
      </c>
      <c r="E498" s="23">
        <v>1631</v>
      </c>
      <c r="F498" s="12">
        <v>0.71558299999999997</v>
      </c>
      <c r="G498" s="14">
        <v>0.23394899999999999</v>
      </c>
      <c r="H498" s="15">
        <f t="shared" si="24"/>
        <v>1.1960731666666669</v>
      </c>
      <c r="I498" s="16">
        <f t="shared" si="25"/>
        <v>0.28135629444444438</v>
      </c>
    </row>
    <row r="499" spans="1:9" x14ac:dyDescent="0.3">
      <c r="A499" s="18" t="s">
        <v>42</v>
      </c>
      <c r="B499" s="29" t="s">
        <v>115</v>
      </c>
      <c r="C499" s="19">
        <v>46246</v>
      </c>
      <c r="D499" s="13" t="s">
        <v>24</v>
      </c>
      <c r="E499" s="23">
        <v>2110</v>
      </c>
      <c r="F499" s="12">
        <v>0.24426</v>
      </c>
      <c r="G499" s="14">
        <v>7.5109499999999996E-2</v>
      </c>
      <c r="H499" s="15">
        <f t="shared" si="24"/>
        <v>1.1960731666666669</v>
      </c>
      <c r="I499" s="16">
        <f t="shared" si="25"/>
        <v>0.28135629444444438</v>
      </c>
    </row>
    <row r="500" spans="1:9" x14ac:dyDescent="0.3">
      <c r="A500" s="18" t="s">
        <v>42</v>
      </c>
      <c r="B500" s="29" t="s">
        <v>115</v>
      </c>
      <c r="C500" s="19">
        <v>46246</v>
      </c>
      <c r="D500" s="13" t="s">
        <v>25</v>
      </c>
      <c r="E500" s="23">
        <v>1110</v>
      </c>
      <c r="F500" s="12">
        <v>0.48643700000000001</v>
      </c>
      <c r="G500" s="14">
        <v>0.117161</v>
      </c>
      <c r="H500" s="15">
        <f t="shared" si="24"/>
        <v>1.1960731666666669</v>
      </c>
      <c r="I500" s="16">
        <f t="shared" si="25"/>
        <v>0.28135629444444438</v>
      </c>
    </row>
    <row r="501" spans="1:9" x14ac:dyDescent="0.3">
      <c r="A501" s="18" t="s">
        <v>42</v>
      </c>
      <c r="B501" s="29" t="s">
        <v>115</v>
      </c>
      <c r="C501" s="19">
        <v>46246</v>
      </c>
      <c r="D501" s="13" t="s">
        <v>26</v>
      </c>
      <c r="E501" s="23">
        <v>1812</v>
      </c>
      <c r="F501" s="12">
        <v>0.18232300000000001</v>
      </c>
      <c r="G501" s="14">
        <v>5.8665799999999997E-2</v>
      </c>
      <c r="H501" s="15">
        <f t="shared" si="24"/>
        <v>1.1960731666666669</v>
      </c>
      <c r="I501" s="16">
        <f t="shared" si="25"/>
        <v>0.28135629444444438</v>
      </c>
    </row>
    <row r="502" spans="1:9" x14ac:dyDescent="0.3">
      <c r="A502" s="18" t="s">
        <v>42</v>
      </c>
      <c r="B502" s="29" t="s">
        <v>115</v>
      </c>
      <c r="C502" s="19">
        <v>46246</v>
      </c>
      <c r="D502" s="13" t="s">
        <v>27</v>
      </c>
      <c r="E502" s="23">
        <v>1092</v>
      </c>
      <c r="F502" s="12">
        <v>0.56030800000000003</v>
      </c>
      <c r="G502" s="14">
        <v>0.12754699999999999</v>
      </c>
      <c r="H502" s="15">
        <f t="shared" si="24"/>
        <v>1.1960731666666669</v>
      </c>
      <c r="I502" s="16">
        <f t="shared" si="25"/>
        <v>0.28135629444444438</v>
      </c>
    </row>
    <row r="503" spans="1:9" x14ac:dyDescent="0.3">
      <c r="A503" s="18" t="s">
        <v>42</v>
      </c>
      <c r="B503" s="29" t="s">
        <v>115</v>
      </c>
      <c r="C503" s="19">
        <v>46246</v>
      </c>
      <c r="D503" s="13" t="s">
        <v>28</v>
      </c>
      <c r="E503" s="23">
        <v>1305</v>
      </c>
      <c r="F503" s="12">
        <v>0.42638799999999999</v>
      </c>
      <c r="G503" s="14">
        <v>9.6200999999999995E-2</v>
      </c>
      <c r="H503" s="15">
        <f t="shared" si="24"/>
        <v>1.1960731666666669</v>
      </c>
      <c r="I503" s="16">
        <f t="shared" si="25"/>
        <v>0.28135629444444438</v>
      </c>
    </row>
    <row r="504" spans="1:9" x14ac:dyDescent="0.3">
      <c r="A504" s="18" t="s">
        <v>42</v>
      </c>
      <c r="B504" s="29" t="s">
        <v>115</v>
      </c>
      <c r="C504" s="19">
        <v>46246</v>
      </c>
      <c r="D504" s="13" t="s">
        <v>29</v>
      </c>
      <c r="E504" s="23">
        <v>1194</v>
      </c>
      <c r="F504" s="12">
        <v>3.2829299999999999</v>
      </c>
      <c r="G504" s="14">
        <v>0.68048699999999995</v>
      </c>
      <c r="H504" s="15">
        <f t="shared" si="24"/>
        <v>1.1960731666666669</v>
      </c>
      <c r="I504" s="16">
        <f t="shared" si="25"/>
        <v>0.28135629444444438</v>
      </c>
    </row>
    <row r="505" spans="1:9" x14ac:dyDescent="0.3">
      <c r="A505" s="18" t="s">
        <v>42</v>
      </c>
      <c r="B505" s="29" t="s">
        <v>115</v>
      </c>
      <c r="C505" s="19">
        <v>46246</v>
      </c>
      <c r="D505" s="13" t="s">
        <v>30</v>
      </c>
      <c r="E505" s="23">
        <v>1381</v>
      </c>
      <c r="F505" s="12">
        <v>1.6857899999999999</v>
      </c>
      <c r="G505" s="14">
        <v>0.343221</v>
      </c>
      <c r="H505" s="15">
        <f t="shared" si="24"/>
        <v>1.1960731666666669</v>
      </c>
      <c r="I505" s="16">
        <f t="shared" si="25"/>
        <v>0.28135629444444438</v>
      </c>
    </row>
    <row r="506" spans="1:9" x14ac:dyDescent="0.3">
      <c r="A506" s="23" t="s">
        <v>41</v>
      </c>
      <c r="B506" s="30" t="s">
        <v>50</v>
      </c>
      <c r="C506" s="19">
        <v>46246</v>
      </c>
      <c r="D506" s="13" t="s">
        <v>14</v>
      </c>
      <c r="E506" s="23">
        <v>2036</v>
      </c>
      <c r="F506" s="12">
        <v>0.362371</v>
      </c>
      <c r="G506" s="14">
        <v>0.1021</v>
      </c>
      <c r="H506" s="15">
        <f t="shared" si="24"/>
        <v>0.58543183333333326</v>
      </c>
      <c r="I506" s="16">
        <f t="shared" si="25"/>
        <v>0.13689469444444444</v>
      </c>
    </row>
    <row r="507" spans="1:9" x14ac:dyDescent="0.3">
      <c r="A507" s="23" t="s">
        <v>41</v>
      </c>
      <c r="B507" s="30" t="s">
        <v>50</v>
      </c>
      <c r="C507" s="19">
        <v>46246</v>
      </c>
      <c r="D507" s="13" t="s">
        <v>15</v>
      </c>
      <c r="E507" s="23">
        <v>1654</v>
      </c>
      <c r="F507" s="12">
        <v>0.48143200000000003</v>
      </c>
      <c r="G507" s="14">
        <v>0.126891</v>
      </c>
      <c r="H507" s="15">
        <f t="shared" si="24"/>
        <v>0.58543183333333326</v>
      </c>
      <c r="I507" s="16">
        <f t="shared" si="25"/>
        <v>0.13689469444444444</v>
      </c>
    </row>
    <row r="508" spans="1:9" x14ac:dyDescent="0.3">
      <c r="A508" s="23" t="s">
        <v>41</v>
      </c>
      <c r="B508" s="30" t="s">
        <v>50</v>
      </c>
      <c r="C508" s="19">
        <v>46246</v>
      </c>
      <c r="D508" s="13" t="s">
        <v>16</v>
      </c>
      <c r="E508" s="23">
        <v>1137</v>
      </c>
      <c r="F508" s="12">
        <v>0.64936700000000003</v>
      </c>
      <c r="G508" s="14">
        <v>0.152672</v>
      </c>
      <c r="H508" s="15">
        <f t="shared" si="24"/>
        <v>0.58543183333333326</v>
      </c>
      <c r="I508" s="16">
        <f t="shared" si="25"/>
        <v>0.13689469444444444</v>
      </c>
    </row>
    <row r="509" spans="1:9" x14ac:dyDescent="0.3">
      <c r="A509" s="23" t="s">
        <v>41</v>
      </c>
      <c r="B509" s="30" t="s">
        <v>50</v>
      </c>
      <c r="C509" s="19">
        <v>46246</v>
      </c>
      <c r="D509" s="13" t="s">
        <v>17</v>
      </c>
      <c r="E509" s="23">
        <v>2178</v>
      </c>
      <c r="F509" s="12">
        <v>0.72898399999999997</v>
      </c>
      <c r="G509" s="14">
        <v>0.144092</v>
      </c>
      <c r="H509" s="15">
        <f t="shared" si="24"/>
        <v>0.58543183333333326</v>
      </c>
      <c r="I509" s="16">
        <f t="shared" si="25"/>
        <v>0.13689469444444444</v>
      </c>
    </row>
    <row r="510" spans="1:9" x14ac:dyDescent="0.3">
      <c r="A510" s="23" t="s">
        <v>41</v>
      </c>
      <c r="B510" s="30" t="s">
        <v>50</v>
      </c>
      <c r="C510" s="19">
        <v>46246</v>
      </c>
      <c r="D510" s="13" t="s">
        <v>18</v>
      </c>
      <c r="E510" s="23">
        <v>1790</v>
      </c>
      <c r="F510" s="12">
        <v>0.94400899999999999</v>
      </c>
      <c r="G510" s="14">
        <v>0.224774</v>
      </c>
      <c r="H510" s="15">
        <f t="shared" si="24"/>
        <v>0.58543183333333326</v>
      </c>
      <c r="I510" s="16">
        <f t="shared" si="25"/>
        <v>0.13689469444444444</v>
      </c>
    </row>
    <row r="511" spans="1:9" x14ac:dyDescent="0.3">
      <c r="A511" s="23" t="s">
        <v>41</v>
      </c>
      <c r="B511" s="30" t="s">
        <v>50</v>
      </c>
      <c r="C511" s="19">
        <v>46246</v>
      </c>
      <c r="D511" s="13" t="s">
        <v>19</v>
      </c>
      <c r="E511" s="23">
        <v>1983</v>
      </c>
      <c r="F511" s="12">
        <v>1.21502</v>
      </c>
      <c r="G511" s="14">
        <v>0.25578600000000001</v>
      </c>
      <c r="H511" s="15">
        <f t="shared" si="24"/>
        <v>0.58543183333333326</v>
      </c>
      <c r="I511" s="16">
        <f t="shared" si="25"/>
        <v>0.13689469444444444</v>
      </c>
    </row>
    <row r="512" spans="1:9" x14ac:dyDescent="0.3">
      <c r="A512" s="23" t="s">
        <v>41</v>
      </c>
      <c r="B512" s="30" t="s">
        <v>50</v>
      </c>
      <c r="C512" s="19">
        <v>46246</v>
      </c>
      <c r="D512" s="13" t="s">
        <v>20</v>
      </c>
      <c r="E512" s="23">
        <v>1908</v>
      </c>
      <c r="F512" s="12">
        <v>1.3784799999999999</v>
      </c>
      <c r="G512" s="14">
        <v>0.28981800000000002</v>
      </c>
      <c r="H512" s="15">
        <f t="shared" si="24"/>
        <v>0.58543183333333326</v>
      </c>
      <c r="I512" s="16">
        <f t="shared" si="25"/>
        <v>0.13689469444444444</v>
      </c>
    </row>
    <row r="513" spans="1:9" x14ac:dyDescent="0.3">
      <c r="A513" s="23" t="s">
        <v>41</v>
      </c>
      <c r="B513" s="30" t="s">
        <v>50</v>
      </c>
      <c r="C513" s="19">
        <v>46246</v>
      </c>
      <c r="D513" s="13" t="s">
        <v>40</v>
      </c>
      <c r="E513" s="23">
        <v>1131</v>
      </c>
      <c r="F513" s="12">
        <v>0.55193000000000003</v>
      </c>
      <c r="G513" s="14">
        <v>0.16748499999999999</v>
      </c>
      <c r="H513" s="15">
        <f t="shared" si="24"/>
        <v>0.58543183333333326</v>
      </c>
      <c r="I513" s="16">
        <f t="shared" si="25"/>
        <v>0.13689469444444444</v>
      </c>
    </row>
    <row r="514" spans="1:9" x14ac:dyDescent="0.3">
      <c r="A514" s="23" t="s">
        <v>41</v>
      </c>
      <c r="B514" s="30" t="s">
        <v>50</v>
      </c>
      <c r="C514" s="19">
        <v>46246</v>
      </c>
      <c r="D514" s="13" t="s">
        <v>21</v>
      </c>
      <c r="E514" s="23">
        <v>3124</v>
      </c>
      <c r="F514" s="12">
        <v>0.64809700000000003</v>
      </c>
      <c r="G514" s="14">
        <v>0.12609200000000001</v>
      </c>
      <c r="H514" s="15">
        <f t="shared" si="24"/>
        <v>0.58543183333333326</v>
      </c>
      <c r="I514" s="16">
        <f t="shared" si="25"/>
        <v>0.13689469444444444</v>
      </c>
    </row>
    <row r="515" spans="1:9" x14ac:dyDescent="0.3">
      <c r="A515" s="23" t="s">
        <v>41</v>
      </c>
      <c r="B515" s="30" t="s">
        <v>50</v>
      </c>
      <c r="C515" s="19">
        <v>46246</v>
      </c>
      <c r="D515" s="13" t="s">
        <v>22</v>
      </c>
      <c r="E515" s="23">
        <v>2106</v>
      </c>
      <c r="F515" s="12">
        <v>0.50193200000000004</v>
      </c>
      <c r="G515" s="14">
        <v>0.136105</v>
      </c>
      <c r="H515" s="15">
        <f t="shared" ref="H515:H549" si="26">IFERROR(AVERAGEIFS($F:$F, $A:$A, $A515, $B:$B,$B515, $C:$C,$C515),"")</f>
        <v>0.58543183333333326</v>
      </c>
      <c r="I515" s="16">
        <f t="shared" ref="I515:I578" si="27">IFERROR(AVERAGEIFS($G:$G, $A:$A, $A515, $B:$B,$B515, $C:$C,$C515),"")</f>
        <v>0.13689469444444444</v>
      </c>
    </row>
    <row r="516" spans="1:9" x14ac:dyDescent="0.3">
      <c r="A516" s="23" t="s">
        <v>41</v>
      </c>
      <c r="B516" s="30" t="s">
        <v>50</v>
      </c>
      <c r="C516" s="19">
        <v>46246</v>
      </c>
      <c r="D516" s="13" t="s">
        <v>23</v>
      </c>
      <c r="E516" s="23">
        <v>1002</v>
      </c>
      <c r="F516" s="12">
        <v>0.35624400000000001</v>
      </c>
      <c r="G516" s="14">
        <v>0.11713899999999999</v>
      </c>
      <c r="H516" s="15">
        <f t="shared" si="26"/>
        <v>0.58543183333333326</v>
      </c>
      <c r="I516" s="16">
        <f t="shared" si="27"/>
        <v>0.13689469444444444</v>
      </c>
    </row>
    <row r="517" spans="1:9" x14ac:dyDescent="0.3">
      <c r="A517" s="23" t="s">
        <v>41</v>
      </c>
      <c r="B517" s="30" t="s">
        <v>50</v>
      </c>
      <c r="C517" s="19">
        <v>46246</v>
      </c>
      <c r="D517" s="13" t="s">
        <v>24</v>
      </c>
      <c r="E517" s="23">
        <v>2341</v>
      </c>
      <c r="F517" s="12">
        <v>0.16528000000000001</v>
      </c>
      <c r="G517" s="14">
        <v>5.0965499999999997E-2</v>
      </c>
      <c r="H517" s="15">
        <f t="shared" si="26"/>
        <v>0.58543183333333326</v>
      </c>
      <c r="I517" s="16">
        <f t="shared" si="27"/>
        <v>0.13689469444444444</v>
      </c>
    </row>
    <row r="518" spans="1:9" x14ac:dyDescent="0.3">
      <c r="A518" s="23" t="s">
        <v>41</v>
      </c>
      <c r="B518" s="30" t="s">
        <v>50</v>
      </c>
      <c r="C518" s="19">
        <v>46246</v>
      </c>
      <c r="D518" s="13" t="s">
        <v>25</v>
      </c>
      <c r="E518" s="23">
        <v>1095</v>
      </c>
      <c r="F518" s="12">
        <v>0.41456799999999999</v>
      </c>
      <c r="G518" s="14">
        <v>9.9886199999999994E-2</v>
      </c>
      <c r="H518" s="15">
        <f t="shared" si="26"/>
        <v>0.58543183333333326</v>
      </c>
      <c r="I518" s="16">
        <f t="shared" si="27"/>
        <v>0.13689469444444444</v>
      </c>
    </row>
    <row r="519" spans="1:9" x14ac:dyDescent="0.3">
      <c r="A519" s="23" t="s">
        <v>41</v>
      </c>
      <c r="B519" s="30" t="s">
        <v>50</v>
      </c>
      <c r="C519" s="19">
        <v>46246</v>
      </c>
      <c r="D519" s="13" t="s">
        <v>26</v>
      </c>
      <c r="E519" s="23">
        <v>1895</v>
      </c>
      <c r="F519" s="12">
        <v>0.13086600000000001</v>
      </c>
      <c r="G519" s="14">
        <v>4.2027099999999998E-2</v>
      </c>
      <c r="H519" s="15">
        <f t="shared" si="26"/>
        <v>0.58543183333333326</v>
      </c>
      <c r="I519" s="16">
        <f t="shared" si="27"/>
        <v>0.13689469444444444</v>
      </c>
    </row>
    <row r="520" spans="1:9" x14ac:dyDescent="0.3">
      <c r="A520" s="23" t="s">
        <v>41</v>
      </c>
      <c r="B520" s="30" t="s">
        <v>50</v>
      </c>
      <c r="C520" s="19">
        <v>46246</v>
      </c>
      <c r="D520" s="13" t="s">
        <v>27</v>
      </c>
      <c r="E520" s="23">
        <v>1591</v>
      </c>
      <c r="F520" s="12">
        <v>0.51427400000000001</v>
      </c>
      <c r="G520" s="14">
        <v>0.1166</v>
      </c>
      <c r="H520" s="15">
        <f t="shared" si="26"/>
        <v>0.58543183333333326</v>
      </c>
      <c r="I520" s="16">
        <f t="shared" si="27"/>
        <v>0.13689469444444444</v>
      </c>
    </row>
    <row r="521" spans="1:9" x14ac:dyDescent="0.3">
      <c r="A521" s="23" t="s">
        <v>41</v>
      </c>
      <c r="B521" s="30" t="s">
        <v>50</v>
      </c>
      <c r="C521" s="19">
        <v>46246</v>
      </c>
      <c r="D521" s="13" t="s">
        <v>28</v>
      </c>
      <c r="E521" s="23">
        <v>1029</v>
      </c>
      <c r="F521" s="12">
        <v>0.28022999999999998</v>
      </c>
      <c r="G521" s="14">
        <v>6.2857700000000002E-2</v>
      </c>
      <c r="H521" s="15">
        <f t="shared" si="26"/>
        <v>0.58543183333333326</v>
      </c>
      <c r="I521" s="16">
        <f t="shared" si="27"/>
        <v>0.13689469444444444</v>
      </c>
    </row>
    <row r="522" spans="1:9" x14ac:dyDescent="0.3">
      <c r="A522" s="23" t="s">
        <v>41</v>
      </c>
      <c r="B522" s="30" t="s">
        <v>50</v>
      </c>
      <c r="C522" s="19">
        <v>46246</v>
      </c>
      <c r="D522" s="13" t="s">
        <v>29</v>
      </c>
      <c r="E522" s="23">
        <v>1274</v>
      </c>
      <c r="F522" s="12">
        <v>0.68439300000000003</v>
      </c>
      <c r="G522" s="14">
        <v>0.14205200000000001</v>
      </c>
      <c r="H522" s="15">
        <f t="shared" si="26"/>
        <v>0.58543183333333326</v>
      </c>
      <c r="I522" s="16">
        <f t="shared" si="27"/>
        <v>0.13689469444444444</v>
      </c>
    </row>
    <row r="523" spans="1:9" x14ac:dyDescent="0.3">
      <c r="A523" s="23" t="s">
        <v>41</v>
      </c>
      <c r="B523" s="30" t="s">
        <v>50</v>
      </c>
      <c r="C523" s="19">
        <v>46246</v>
      </c>
      <c r="D523" s="13" t="s">
        <v>30</v>
      </c>
      <c r="E523" s="23">
        <v>1459</v>
      </c>
      <c r="F523" s="12">
        <v>0.53029599999999999</v>
      </c>
      <c r="G523" s="14">
        <v>0.106762</v>
      </c>
      <c r="H523" s="15">
        <f t="shared" si="26"/>
        <v>0.58543183333333326</v>
      </c>
      <c r="I523" s="16">
        <f t="shared" si="27"/>
        <v>0.13689469444444444</v>
      </c>
    </row>
    <row r="524" spans="1:9" x14ac:dyDescent="0.3">
      <c r="A524" s="23" t="s">
        <v>48</v>
      </c>
      <c r="B524" s="30" t="s">
        <v>95</v>
      </c>
      <c r="C524" s="19">
        <v>46245</v>
      </c>
      <c r="D524" s="13" t="s">
        <v>14</v>
      </c>
      <c r="E524" s="23">
        <v>2385</v>
      </c>
      <c r="F524" s="12">
        <v>0.64593299999999998</v>
      </c>
      <c r="G524" s="14">
        <v>0.181585</v>
      </c>
      <c r="H524" s="15">
        <f t="shared" si="26"/>
        <v>0.40652022222222217</v>
      </c>
      <c r="I524" s="16">
        <f t="shared" si="27"/>
        <v>9.8806116666666666E-2</v>
      </c>
    </row>
    <row r="525" spans="1:9" x14ac:dyDescent="0.3">
      <c r="A525" s="23" t="s">
        <v>48</v>
      </c>
      <c r="B525" s="30" t="s">
        <v>95</v>
      </c>
      <c r="C525" s="19">
        <v>46245</v>
      </c>
      <c r="D525" s="13" t="s">
        <v>15</v>
      </c>
      <c r="E525" s="23">
        <v>2319</v>
      </c>
      <c r="F525" s="12">
        <v>0.48036200000000001</v>
      </c>
      <c r="G525" s="14">
        <v>0.12651499999999999</v>
      </c>
      <c r="H525" s="15">
        <f t="shared" si="26"/>
        <v>0.40652022222222217</v>
      </c>
      <c r="I525" s="16">
        <f t="shared" si="27"/>
        <v>9.8806116666666666E-2</v>
      </c>
    </row>
    <row r="526" spans="1:9" x14ac:dyDescent="0.3">
      <c r="A526" s="23" t="s">
        <v>48</v>
      </c>
      <c r="B526" s="30" t="s">
        <v>95</v>
      </c>
      <c r="C526" s="19">
        <v>46245</v>
      </c>
      <c r="D526" s="13" t="s">
        <v>16</v>
      </c>
      <c r="E526" s="23">
        <v>1804</v>
      </c>
      <c r="F526" s="12">
        <v>0.43161100000000002</v>
      </c>
      <c r="G526" s="14">
        <v>0.101214</v>
      </c>
      <c r="H526" s="15">
        <f t="shared" si="26"/>
        <v>0.40652022222222217</v>
      </c>
      <c r="I526" s="16">
        <f t="shared" si="27"/>
        <v>9.8806116666666666E-2</v>
      </c>
    </row>
    <row r="527" spans="1:9" x14ac:dyDescent="0.3">
      <c r="A527" s="23" t="s">
        <v>48</v>
      </c>
      <c r="B527" s="30" t="s">
        <v>95</v>
      </c>
      <c r="C527" s="19">
        <v>46245</v>
      </c>
      <c r="D527" s="13" t="s">
        <v>17</v>
      </c>
      <c r="E527" s="23">
        <v>2032</v>
      </c>
      <c r="F527" s="12">
        <v>0.581202</v>
      </c>
      <c r="G527" s="14">
        <v>0.114914</v>
      </c>
      <c r="H527" s="15">
        <f t="shared" si="26"/>
        <v>0.40652022222222217</v>
      </c>
      <c r="I527" s="16">
        <f t="shared" si="27"/>
        <v>9.8806116666666666E-2</v>
      </c>
    </row>
    <row r="528" spans="1:9" x14ac:dyDescent="0.3">
      <c r="A528" s="23" t="s">
        <v>48</v>
      </c>
      <c r="B528" s="30" t="s">
        <v>95</v>
      </c>
      <c r="C528" s="19">
        <v>46245</v>
      </c>
      <c r="D528" s="13" t="s">
        <v>18</v>
      </c>
      <c r="E528" s="23">
        <v>2008</v>
      </c>
      <c r="F528" s="12">
        <v>0.25587500000000002</v>
      </c>
      <c r="G528" s="14">
        <v>6.0851799999999998E-2</v>
      </c>
      <c r="H528" s="15">
        <f t="shared" si="26"/>
        <v>0.40652022222222217</v>
      </c>
      <c r="I528" s="16">
        <f t="shared" si="27"/>
        <v>9.8806116666666666E-2</v>
      </c>
    </row>
    <row r="529" spans="1:9" x14ac:dyDescent="0.3">
      <c r="A529" s="23" t="s">
        <v>48</v>
      </c>
      <c r="B529" s="30" t="s">
        <v>95</v>
      </c>
      <c r="C529" s="19">
        <v>46245</v>
      </c>
      <c r="D529" s="13" t="s">
        <v>19</v>
      </c>
      <c r="E529" s="23">
        <v>1539</v>
      </c>
      <c r="F529" s="12">
        <v>0.42202099999999998</v>
      </c>
      <c r="G529" s="14">
        <v>8.8715500000000003E-2</v>
      </c>
      <c r="H529" s="15">
        <f t="shared" si="26"/>
        <v>0.40652022222222217</v>
      </c>
      <c r="I529" s="16">
        <f t="shared" si="27"/>
        <v>9.8806116666666666E-2</v>
      </c>
    </row>
    <row r="530" spans="1:9" x14ac:dyDescent="0.3">
      <c r="A530" s="23" t="s">
        <v>48</v>
      </c>
      <c r="B530" s="30" t="s">
        <v>95</v>
      </c>
      <c r="C530" s="19">
        <v>46245</v>
      </c>
      <c r="D530" s="13" t="s">
        <v>20</v>
      </c>
      <c r="E530" s="23">
        <v>1549</v>
      </c>
      <c r="F530" s="12">
        <v>0.44111099999999998</v>
      </c>
      <c r="G530" s="14">
        <v>9.2252799999999996E-2</v>
      </c>
      <c r="H530" s="15">
        <f t="shared" si="26"/>
        <v>0.40652022222222217</v>
      </c>
      <c r="I530" s="16">
        <f t="shared" si="27"/>
        <v>9.8806116666666666E-2</v>
      </c>
    </row>
    <row r="531" spans="1:9" x14ac:dyDescent="0.3">
      <c r="A531" s="23" t="s">
        <v>48</v>
      </c>
      <c r="B531" s="30" t="s">
        <v>95</v>
      </c>
      <c r="C531" s="19">
        <v>46245</v>
      </c>
      <c r="D531" s="13" t="s">
        <v>40</v>
      </c>
      <c r="E531" s="23">
        <v>1005</v>
      </c>
      <c r="F531" s="12">
        <v>0.227497</v>
      </c>
      <c r="G531" s="14">
        <v>6.8921399999999994E-2</v>
      </c>
      <c r="H531" s="15">
        <f t="shared" si="26"/>
        <v>0.40652022222222217</v>
      </c>
      <c r="I531" s="16">
        <f t="shared" si="27"/>
        <v>9.8806116666666666E-2</v>
      </c>
    </row>
    <row r="532" spans="1:9" x14ac:dyDescent="0.3">
      <c r="A532" s="23" t="s">
        <v>48</v>
      </c>
      <c r="B532" s="30" t="s">
        <v>95</v>
      </c>
      <c r="C532" s="19">
        <v>46245</v>
      </c>
      <c r="D532" s="13" t="s">
        <v>21</v>
      </c>
      <c r="E532" s="23">
        <v>3324</v>
      </c>
      <c r="F532" s="12">
        <v>0.50098699999999996</v>
      </c>
      <c r="G532" s="14">
        <v>9.7444600000000006E-2</v>
      </c>
      <c r="H532" s="15">
        <f t="shared" si="26"/>
        <v>0.40652022222222217</v>
      </c>
      <c r="I532" s="16">
        <f t="shared" si="27"/>
        <v>9.8806116666666666E-2</v>
      </c>
    </row>
    <row r="533" spans="1:9" x14ac:dyDescent="0.3">
      <c r="A533" s="23" t="s">
        <v>48</v>
      </c>
      <c r="B533" s="30" t="s">
        <v>95</v>
      </c>
      <c r="C533" s="19">
        <v>46245</v>
      </c>
      <c r="D533" s="13" t="s">
        <v>22</v>
      </c>
      <c r="E533" s="23">
        <v>2342</v>
      </c>
      <c r="F533" s="12">
        <v>0.41564200000000001</v>
      </c>
      <c r="G533" s="14">
        <v>0.112913</v>
      </c>
      <c r="H533" s="15">
        <f t="shared" si="26"/>
        <v>0.40652022222222217</v>
      </c>
      <c r="I533" s="16">
        <f t="shared" si="27"/>
        <v>9.8806116666666666E-2</v>
      </c>
    </row>
    <row r="534" spans="1:9" x14ac:dyDescent="0.3">
      <c r="A534" s="23" t="s">
        <v>48</v>
      </c>
      <c r="B534" s="30" t="s">
        <v>95</v>
      </c>
      <c r="C534" s="19">
        <v>46245</v>
      </c>
      <c r="D534" s="13" t="s">
        <v>23</v>
      </c>
      <c r="E534" s="23">
        <v>1194</v>
      </c>
      <c r="F534" s="12">
        <v>0.39593200000000001</v>
      </c>
      <c r="G534" s="14">
        <v>0.12980900000000001</v>
      </c>
      <c r="H534" s="15">
        <f t="shared" si="26"/>
        <v>0.40652022222222217</v>
      </c>
      <c r="I534" s="16">
        <f t="shared" si="27"/>
        <v>9.8806116666666666E-2</v>
      </c>
    </row>
    <row r="535" spans="1:9" x14ac:dyDescent="0.3">
      <c r="A535" s="23" t="s">
        <v>48</v>
      </c>
      <c r="B535" s="30" t="s">
        <v>95</v>
      </c>
      <c r="C535" s="19">
        <v>46245</v>
      </c>
      <c r="D535" s="13" t="s">
        <v>24</v>
      </c>
      <c r="E535" s="23">
        <v>2819</v>
      </c>
      <c r="F535" s="12">
        <v>0.29527199999999998</v>
      </c>
      <c r="G535" s="14">
        <v>9.0941300000000003E-2</v>
      </c>
      <c r="H535" s="15">
        <f t="shared" si="26"/>
        <v>0.40652022222222217</v>
      </c>
      <c r="I535" s="16">
        <f t="shared" si="27"/>
        <v>9.8806116666666666E-2</v>
      </c>
    </row>
    <row r="536" spans="1:9" x14ac:dyDescent="0.3">
      <c r="A536" s="23" t="s">
        <v>48</v>
      </c>
      <c r="B536" s="30" t="s">
        <v>95</v>
      </c>
      <c r="C536" s="19">
        <v>46245</v>
      </c>
      <c r="D536" s="13" t="s">
        <v>25</v>
      </c>
      <c r="E536" s="23">
        <v>1097</v>
      </c>
      <c r="F536" s="12">
        <v>0.21635299999999999</v>
      </c>
      <c r="G536" s="14">
        <v>5.2024399999999998E-2</v>
      </c>
      <c r="H536" s="15">
        <f t="shared" si="26"/>
        <v>0.40652022222222217</v>
      </c>
      <c r="I536" s="16">
        <f t="shared" si="27"/>
        <v>9.8806116666666666E-2</v>
      </c>
    </row>
    <row r="537" spans="1:9" x14ac:dyDescent="0.3">
      <c r="A537" s="23" t="s">
        <v>48</v>
      </c>
      <c r="B537" s="30" t="s">
        <v>95</v>
      </c>
      <c r="C537" s="19">
        <v>46245</v>
      </c>
      <c r="D537" s="13" t="s">
        <v>26</v>
      </c>
      <c r="E537" s="23">
        <v>2388</v>
      </c>
      <c r="F537" s="12">
        <v>0.26457900000000001</v>
      </c>
      <c r="G537" s="14">
        <v>8.5066900000000001E-2</v>
      </c>
      <c r="H537" s="15">
        <f t="shared" si="26"/>
        <v>0.40652022222222217</v>
      </c>
      <c r="I537" s="16">
        <f t="shared" si="27"/>
        <v>9.8806116666666666E-2</v>
      </c>
    </row>
    <row r="538" spans="1:9" x14ac:dyDescent="0.3">
      <c r="A538" s="23" t="s">
        <v>48</v>
      </c>
      <c r="B538" s="30" t="s">
        <v>95</v>
      </c>
      <c r="C538" s="19">
        <v>46245</v>
      </c>
      <c r="D538" s="13" t="s">
        <v>27</v>
      </c>
      <c r="E538" s="23">
        <v>2348</v>
      </c>
      <c r="F538" s="12">
        <v>0.36505599999999999</v>
      </c>
      <c r="G538" s="14">
        <v>8.2788899999999999E-2</v>
      </c>
      <c r="H538" s="15">
        <f t="shared" si="26"/>
        <v>0.40652022222222217</v>
      </c>
      <c r="I538" s="16">
        <f t="shared" si="27"/>
        <v>9.8806116666666666E-2</v>
      </c>
    </row>
    <row r="539" spans="1:9" x14ac:dyDescent="0.3">
      <c r="A539" s="23" t="s">
        <v>48</v>
      </c>
      <c r="B539" s="30" t="s">
        <v>95</v>
      </c>
      <c r="C539" s="19">
        <v>46245</v>
      </c>
      <c r="D539" s="13" t="s">
        <v>28</v>
      </c>
      <c r="E539" s="23">
        <v>1127</v>
      </c>
      <c r="F539" s="12">
        <v>0.56964700000000001</v>
      </c>
      <c r="G539" s="14">
        <v>0.127854</v>
      </c>
      <c r="H539" s="15">
        <f t="shared" si="26"/>
        <v>0.40652022222222217</v>
      </c>
      <c r="I539" s="16">
        <f t="shared" si="27"/>
        <v>9.8806116666666666E-2</v>
      </c>
    </row>
    <row r="540" spans="1:9" x14ac:dyDescent="0.3">
      <c r="A540" s="23" t="s">
        <v>48</v>
      </c>
      <c r="B540" s="30" t="s">
        <v>95</v>
      </c>
      <c r="C540" s="19">
        <v>46245</v>
      </c>
      <c r="D540" s="13" t="s">
        <v>29</v>
      </c>
      <c r="E540" s="23">
        <v>1630</v>
      </c>
      <c r="F540" s="12">
        <v>0.36154799999999998</v>
      </c>
      <c r="G540" s="14">
        <v>7.4840400000000001E-2</v>
      </c>
      <c r="H540" s="15">
        <f t="shared" si="26"/>
        <v>0.40652022222222217</v>
      </c>
      <c r="I540" s="16">
        <f t="shared" si="27"/>
        <v>9.8806116666666666E-2</v>
      </c>
    </row>
    <row r="541" spans="1:9" x14ac:dyDescent="0.3">
      <c r="A541" s="23" t="s">
        <v>48</v>
      </c>
      <c r="B541" s="30" t="s">
        <v>95</v>
      </c>
      <c r="C541" s="19">
        <v>46245</v>
      </c>
      <c r="D541" s="13" t="s">
        <v>30</v>
      </c>
      <c r="E541" s="23">
        <v>1236</v>
      </c>
      <c r="F541" s="12">
        <v>0.44673600000000002</v>
      </c>
      <c r="G541" s="14">
        <v>8.9858099999999996E-2</v>
      </c>
      <c r="H541" s="15">
        <f t="shared" si="26"/>
        <v>0.40652022222222217</v>
      </c>
      <c r="I541" s="16">
        <f t="shared" si="27"/>
        <v>9.8806116666666666E-2</v>
      </c>
    </row>
    <row r="542" spans="1:9" x14ac:dyDescent="0.3">
      <c r="A542" s="23" t="s">
        <v>48</v>
      </c>
      <c r="B542" s="30" t="s">
        <v>96</v>
      </c>
      <c r="C542" s="19">
        <v>46245</v>
      </c>
      <c r="D542" s="13" t="s">
        <v>14</v>
      </c>
      <c r="E542" s="23">
        <v>2139</v>
      </c>
      <c r="F542" s="12">
        <v>0.49287599999999998</v>
      </c>
      <c r="G542" s="14">
        <v>0.139321</v>
      </c>
      <c r="H542" s="15">
        <f t="shared" si="26"/>
        <v>0.33343427777777779</v>
      </c>
      <c r="I542" s="16">
        <f t="shared" si="27"/>
        <v>8.0766700000000011E-2</v>
      </c>
    </row>
    <row r="543" spans="1:9" x14ac:dyDescent="0.3">
      <c r="A543" s="23" t="s">
        <v>48</v>
      </c>
      <c r="B543" s="30" t="s">
        <v>96</v>
      </c>
      <c r="C543" s="19">
        <v>46245</v>
      </c>
      <c r="D543" s="13" t="s">
        <v>15</v>
      </c>
      <c r="E543" s="23">
        <v>2032</v>
      </c>
      <c r="F543" s="12">
        <v>0.44449100000000002</v>
      </c>
      <c r="G543" s="14">
        <v>0.117545</v>
      </c>
      <c r="H543" s="15">
        <f t="shared" si="26"/>
        <v>0.33343427777777779</v>
      </c>
      <c r="I543" s="16">
        <f t="shared" si="27"/>
        <v>8.0766700000000011E-2</v>
      </c>
    </row>
    <row r="544" spans="1:9" x14ac:dyDescent="0.3">
      <c r="A544" s="23" t="s">
        <v>48</v>
      </c>
      <c r="B544" s="30" t="s">
        <v>96</v>
      </c>
      <c r="C544" s="19">
        <v>46245</v>
      </c>
      <c r="D544" s="13" t="s">
        <v>16</v>
      </c>
      <c r="E544" s="23">
        <v>1473</v>
      </c>
      <c r="F544" s="12">
        <v>0.44498199999999999</v>
      </c>
      <c r="G544" s="14">
        <v>0.104574</v>
      </c>
      <c r="H544" s="15">
        <f t="shared" si="26"/>
        <v>0.33343427777777779</v>
      </c>
      <c r="I544" s="16">
        <f t="shared" si="27"/>
        <v>8.0766700000000011E-2</v>
      </c>
    </row>
    <row r="545" spans="1:9" x14ac:dyDescent="0.3">
      <c r="A545" s="23" t="s">
        <v>48</v>
      </c>
      <c r="B545" s="30" t="s">
        <v>96</v>
      </c>
      <c r="C545" s="19">
        <v>46245</v>
      </c>
      <c r="D545" s="13" t="s">
        <v>17</v>
      </c>
      <c r="E545" s="23">
        <v>2045</v>
      </c>
      <c r="F545" s="12">
        <v>0.478385</v>
      </c>
      <c r="G545" s="14">
        <v>9.4275100000000001E-2</v>
      </c>
      <c r="H545" s="15">
        <f t="shared" si="26"/>
        <v>0.33343427777777779</v>
      </c>
      <c r="I545" s="16">
        <f t="shared" si="27"/>
        <v>8.0766700000000011E-2</v>
      </c>
    </row>
    <row r="546" spans="1:9" x14ac:dyDescent="0.3">
      <c r="A546" s="23" t="s">
        <v>48</v>
      </c>
      <c r="B546" s="30" t="s">
        <v>96</v>
      </c>
      <c r="C546" s="19">
        <v>46245</v>
      </c>
      <c r="D546" s="13" t="s">
        <v>18</v>
      </c>
      <c r="E546" s="23">
        <v>1623</v>
      </c>
      <c r="F546" s="12">
        <v>0.26277800000000001</v>
      </c>
      <c r="G546" s="14">
        <v>6.2501000000000001E-2</v>
      </c>
      <c r="H546" s="15">
        <f t="shared" si="26"/>
        <v>0.33343427777777779</v>
      </c>
      <c r="I546" s="16">
        <f t="shared" si="27"/>
        <v>8.0766700000000011E-2</v>
      </c>
    </row>
    <row r="547" spans="1:9" x14ac:dyDescent="0.3">
      <c r="A547" s="23" t="s">
        <v>48</v>
      </c>
      <c r="B547" s="30" t="s">
        <v>96</v>
      </c>
      <c r="C547" s="19">
        <v>46245</v>
      </c>
      <c r="D547" s="13" t="s">
        <v>19</v>
      </c>
      <c r="E547" s="23">
        <v>1512</v>
      </c>
      <c r="F547" s="12">
        <v>0.38041599999999998</v>
      </c>
      <c r="G547" s="14">
        <v>7.9848799999999998E-2</v>
      </c>
      <c r="H547" s="15">
        <f t="shared" si="26"/>
        <v>0.33343427777777779</v>
      </c>
      <c r="I547" s="16">
        <f t="shared" si="27"/>
        <v>8.0766700000000011E-2</v>
      </c>
    </row>
    <row r="548" spans="1:9" x14ac:dyDescent="0.3">
      <c r="A548" s="23" t="s">
        <v>48</v>
      </c>
      <c r="B548" s="30" t="s">
        <v>96</v>
      </c>
      <c r="C548" s="19">
        <v>46245</v>
      </c>
      <c r="D548" s="13" t="s">
        <v>20</v>
      </c>
      <c r="E548" s="23">
        <v>1449</v>
      </c>
      <c r="F548" s="12">
        <v>0.36266999999999999</v>
      </c>
      <c r="G548" s="14">
        <v>7.5657000000000002E-2</v>
      </c>
      <c r="H548" s="15">
        <f t="shared" si="26"/>
        <v>0.33343427777777779</v>
      </c>
      <c r="I548" s="16">
        <f t="shared" si="27"/>
        <v>8.0766700000000011E-2</v>
      </c>
    </row>
    <row r="549" spans="1:9" x14ac:dyDescent="0.3">
      <c r="A549" s="23" t="s">
        <v>48</v>
      </c>
      <c r="B549" s="30" t="s">
        <v>96</v>
      </c>
      <c r="C549" s="19">
        <v>46245</v>
      </c>
      <c r="D549" s="13" t="s">
        <v>40</v>
      </c>
      <c r="E549" s="23">
        <v>1003</v>
      </c>
      <c r="F549" s="12">
        <v>0.200599</v>
      </c>
      <c r="G549" s="14">
        <v>6.0470700000000002E-2</v>
      </c>
      <c r="H549" s="15">
        <f t="shared" si="26"/>
        <v>0.33343427777777779</v>
      </c>
      <c r="I549" s="16">
        <f t="shared" si="27"/>
        <v>8.0766700000000011E-2</v>
      </c>
    </row>
    <row r="550" spans="1:9" x14ac:dyDescent="0.3">
      <c r="A550" s="23" t="s">
        <v>48</v>
      </c>
      <c r="B550" s="30" t="s">
        <v>96</v>
      </c>
      <c r="C550" s="19">
        <v>46245</v>
      </c>
      <c r="D550" s="13" t="s">
        <v>21</v>
      </c>
      <c r="E550" s="23">
        <v>3413</v>
      </c>
      <c r="F550" s="12">
        <v>0.12015099999999999</v>
      </c>
      <c r="G550" s="14">
        <v>2.3031800000000002E-2</v>
      </c>
      <c r="H550" s="15">
        <f t="shared" ref="H550:H613" si="28">IFERROR(AVERAGEIFS($F:$F, $A:$A, $A550, $B:$B,$B550, $C:$C,$C550),"")</f>
        <v>0.33343427777777779</v>
      </c>
      <c r="I550" s="16">
        <f t="shared" si="27"/>
        <v>8.0766700000000011E-2</v>
      </c>
    </row>
    <row r="551" spans="1:9" x14ac:dyDescent="0.3">
      <c r="A551" s="23" t="s">
        <v>48</v>
      </c>
      <c r="B551" s="30" t="s">
        <v>96</v>
      </c>
      <c r="C551" s="19">
        <v>46245</v>
      </c>
      <c r="D551" s="13" t="s">
        <v>22</v>
      </c>
      <c r="E551" s="23">
        <v>2104</v>
      </c>
      <c r="F551" s="12">
        <v>0.419124</v>
      </c>
      <c r="G551" s="14">
        <v>0.113219</v>
      </c>
      <c r="H551" s="15">
        <f t="shared" si="28"/>
        <v>0.33343427777777779</v>
      </c>
      <c r="I551" s="16">
        <f t="shared" si="27"/>
        <v>8.0766700000000011E-2</v>
      </c>
    </row>
    <row r="552" spans="1:9" x14ac:dyDescent="0.3">
      <c r="A552" s="23" t="s">
        <v>48</v>
      </c>
      <c r="B552" s="30" t="s">
        <v>96</v>
      </c>
      <c r="C552" s="19">
        <v>46245</v>
      </c>
      <c r="D552" s="13" t="s">
        <v>23</v>
      </c>
      <c r="E552" s="23">
        <v>1192</v>
      </c>
      <c r="F552" s="12">
        <v>0.17225799999999999</v>
      </c>
      <c r="G552" s="14">
        <v>5.6920999999999999E-2</v>
      </c>
      <c r="H552" s="15">
        <f t="shared" si="28"/>
        <v>0.33343427777777779</v>
      </c>
      <c r="I552" s="16">
        <f t="shared" si="27"/>
        <v>8.0766700000000011E-2</v>
      </c>
    </row>
    <row r="553" spans="1:9" x14ac:dyDescent="0.3">
      <c r="A553" s="23" t="s">
        <v>48</v>
      </c>
      <c r="B553" s="30" t="s">
        <v>96</v>
      </c>
      <c r="C553" s="19">
        <v>46245</v>
      </c>
      <c r="D553" s="13" t="s">
        <v>24</v>
      </c>
      <c r="E553" s="23">
        <v>2707</v>
      </c>
      <c r="F553" s="12">
        <v>0.23776900000000001</v>
      </c>
      <c r="G553" s="14">
        <v>7.3652999999999996E-2</v>
      </c>
      <c r="H553" s="15">
        <f t="shared" si="28"/>
        <v>0.33343427777777779</v>
      </c>
      <c r="I553" s="16">
        <f t="shared" si="27"/>
        <v>8.0766700000000011E-2</v>
      </c>
    </row>
    <row r="554" spans="1:9" x14ac:dyDescent="0.3">
      <c r="A554" s="23" t="s">
        <v>48</v>
      </c>
      <c r="B554" s="30" t="s">
        <v>96</v>
      </c>
      <c r="C554" s="19">
        <v>46245</v>
      </c>
      <c r="D554" s="13" t="s">
        <v>25</v>
      </c>
      <c r="E554" s="23">
        <v>1087</v>
      </c>
      <c r="F554" s="12">
        <v>0.117384</v>
      </c>
      <c r="G554" s="14">
        <v>2.7749900000000001E-2</v>
      </c>
      <c r="H554" s="15">
        <f t="shared" si="28"/>
        <v>0.33343427777777779</v>
      </c>
      <c r="I554" s="16">
        <f t="shared" si="27"/>
        <v>8.0766700000000011E-2</v>
      </c>
    </row>
    <row r="555" spans="1:9" x14ac:dyDescent="0.3">
      <c r="A555" s="23" t="s">
        <v>48</v>
      </c>
      <c r="B555" s="30" t="s">
        <v>96</v>
      </c>
      <c r="C555" s="19">
        <v>46245</v>
      </c>
      <c r="D555" s="13" t="s">
        <v>26</v>
      </c>
      <c r="E555" s="23">
        <v>1982</v>
      </c>
      <c r="F555" s="12">
        <v>0.23655599999999999</v>
      </c>
      <c r="G555" s="14">
        <v>7.5517899999999999E-2</v>
      </c>
      <c r="H555" s="15">
        <f t="shared" si="28"/>
        <v>0.33343427777777779</v>
      </c>
      <c r="I555" s="16">
        <f t="shared" si="27"/>
        <v>8.0766700000000011E-2</v>
      </c>
    </row>
    <row r="556" spans="1:9" x14ac:dyDescent="0.3">
      <c r="A556" s="23" t="s">
        <v>48</v>
      </c>
      <c r="B556" s="30" t="s">
        <v>96</v>
      </c>
      <c r="C556" s="19">
        <v>46245</v>
      </c>
      <c r="D556" s="13" t="s">
        <v>27</v>
      </c>
      <c r="E556" s="23">
        <v>2504</v>
      </c>
      <c r="F556" s="12">
        <v>0.31652599999999997</v>
      </c>
      <c r="G556" s="14">
        <v>7.1810499999999999E-2</v>
      </c>
      <c r="H556" s="15">
        <f t="shared" si="28"/>
        <v>0.33343427777777779</v>
      </c>
      <c r="I556" s="16">
        <f t="shared" si="27"/>
        <v>8.0766700000000011E-2</v>
      </c>
    </row>
    <row r="557" spans="1:9" x14ac:dyDescent="0.3">
      <c r="A557" s="23" t="s">
        <v>48</v>
      </c>
      <c r="B557" s="30" t="s">
        <v>96</v>
      </c>
      <c r="C557" s="19">
        <v>46245</v>
      </c>
      <c r="D557" s="13" t="s">
        <v>28</v>
      </c>
      <c r="E557" s="23">
        <v>1302</v>
      </c>
      <c r="F557" s="12">
        <v>0.48486299999999999</v>
      </c>
      <c r="G557" s="14">
        <v>0.108611</v>
      </c>
      <c r="H557" s="15">
        <f t="shared" si="28"/>
        <v>0.33343427777777779</v>
      </c>
      <c r="I557" s="16">
        <f t="shared" si="27"/>
        <v>8.0766700000000011E-2</v>
      </c>
    </row>
    <row r="558" spans="1:9" x14ac:dyDescent="0.3">
      <c r="A558" s="23" t="s">
        <v>48</v>
      </c>
      <c r="B558" s="30" t="s">
        <v>96</v>
      </c>
      <c r="C558" s="19">
        <v>46245</v>
      </c>
      <c r="D558" s="13" t="s">
        <v>29</v>
      </c>
      <c r="E558" s="23">
        <v>1437</v>
      </c>
      <c r="F558" s="12">
        <v>0.37018499999999999</v>
      </c>
      <c r="G558" s="14">
        <v>7.6890200000000006E-2</v>
      </c>
      <c r="H558" s="15">
        <f t="shared" si="28"/>
        <v>0.33343427777777779</v>
      </c>
      <c r="I558" s="16">
        <f t="shared" si="27"/>
        <v>8.0766700000000011E-2</v>
      </c>
    </row>
    <row r="559" spans="1:9" x14ac:dyDescent="0.3">
      <c r="A559" s="23" t="s">
        <v>48</v>
      </c>
      <c r="B559" s="30" t="s">
        <v>96</v>
      </c>
      <c r="C559" s="19">
        <v>46245</v>
      </c>
      <c r="D559" s="13" t="s">
        <v>30</v>
      </c>
      <c r="E559" s="23">
        <v>1204</v>
      </c>
      <c r="F559" s="12">
        <v>0.45980399999999999</v>
      </c>
      <c r="G559" s="14">
        <v>9.22037E-2</v>
      </c>
      <c r="H559" s="15">
        <f t="shared" si="28"/>
        <v>0.33343427777777779</v>
      </c>
      <c r="I559" s="16">
        <f t="shared" si="27"/>
        <v>8.0766700000000011E-2</v>
      </c>
    </row>
    <row r="560" spans="1:9" x14ac:dyDescent="0.3">
      <c r="A560" s="23" t="s">
        <v>48</v>
      </c>
      <c r="B560" s="30" t="s">
        <v>97</v>
      </c>
      <c r="C560" s="19">
        <v>46245</v>
      </c>
      <c r="D560" s="13" t="s">
        <v>14</v>
      </c>
      <c r="E560" s="23">
        <v>1962</v>
      </c>
      <c r="F560" s="12">
        <v>0.58545000000000003</v>
      </c>
      <c r="G560" s="14">
        <v>0.14530899999999999</v>
      </c>
      <c r="H560" s="15">
        <f t="shared" si="28"/>
        <v>0.37823699999999993</v>
      </c>
      <c r="I560" s="16">
        <f t="shared" si="27"/>
        <v>9.2112966666666685E-2</v>
      </c>
    </row>
    <row r="561" spans="1:9" x14ac:dyDescent="0.3">
      <c r="A561" s="23" t="s">
        <v>48</v>
      </c>
      <c r="B561" s="30" t="s">
        <v>97</v>
      </c>
      <c r="C561" s="19">
        <v>46245</v>
      </c>
      <c r="D561" s="13" t="s">
        <v>15</v>
      </c>
      <c r="E561" s="23">
        <v>1901</v>
      </c>
      <c r="F561" s="12">
        <v>0.44188899999999998</v>
      </c>
      <c r="G561" s="14">
        <v>0.104199</v>
      </c>
      <c r="H561" s="15">
        <f t="shared" si="28"/>
        <v>0.37823699999999993</v>
      </c>
      <c r="I561" s="16">
        <f t="shared" si="27"/>
        <v>9.2112966666666685E-2</v>
      </c>
    </row>
    <row r="562" spans="1:9" x14ac:dyDescent="0.3">
      <c r="A562" s="23" t="s">
        <v>48</v>
      </c>
      <c r="B562" s="30" t="s">
        <v>97</v>
      </c>
      <c r="C562" s="19">
        <v>46245</v>
      </c>
      <c r="D562" s="13" t="s">
        <v>16</v>
      </c>
      <c r="E562" s="23">
        <v>1589</v>
      </c>
      <c r="F562" s="12">
        <v>0.44498199999999999</v>
      </c>
      <c r="G562" s="14">
        <v>0.104574</v>
      </c>
      <c r="H562" s="15">
        <f t="shared" si="28"/>
        <v>0.37823699999999993</v>
      </c>
      <c r="I562" s="16">
        <f t="shared" si="27"/>
        <v>9.2112966666666685E-2</v>
      </c>
    </row>
    <row r="563" spans="1:9" x14ac:dyDescent="0.3">
      <c r="A563" s="23" t="s">
        <v>48</v>
      </c>
      <c r="B563" s="30" t="s">
        <v>97</v>
      </c>
      <c r="C563" s="19">
        <v>46245</v>
      </c>
      <c r="D563" s="13" t="s">
        <v>17</v>
      </c>
      <c r="E563" s="23">
        <v>2021</v>
      </c>
      <c r="F563" s="12">
        <v>0.50049299999999997</v>
      </c>
      <c r="G563" s="14">
        <v>0.11082400000000001</v>
      </c>
      <c r="H563" s="15">
        <f t="shared" si="28"/>
        <v>0.37823699999999993</v>
      </c>
      <c r="I563" s="16">
        <f t="shared" si="27"/>
        <v>9.2112966666666685E-2</v>
      </c>
    </row>
    <row r="564" spans="1:9" x14ac:dyDescent="0.3">
      <c r="A564" s="23" t="s">
        <v>48</v>
      </c>
      <c r="B564" s="30" t="s">
        <v>97</v>
      </c>
      <c r="C564" s="19">
        <v>46245</v>
      </c>
      <c r="D564" s="13" t="s">
        <v>18</v>
      </c>
      <c r="E564" s="23">
        <v>1852</v>
      </c>
      <c r="F564" s="12">
        <v>0.28481600000000001</v>
      </c>
      <c r="G564" s="14">
        <v>6.0860400000000002E-2</v>
      </c>
      <c r="H564" s="15">
        <f t="shared" si="28"/>
        <v>0.37823699999999993</v>
      </c>
      <c r="I564" s="16">
        <f t="shared" si="27"/>
        <v>9.2112966666666685E-2</v>
      </c>
    </row>
    <row r="565" spans="1:9" x14ac:dyDescent="0.3">
      <c r="A565" s="23" t="s">
        <v>48</v>
      </c>
      <c r="B565" s="30" t="s">
        <v>97</v>
      </c>
      <c r="C565" s="19">
        <v>46245</v>
      </c>
      <c r="D565" s="13" t="s">
        <v>19</v>
      </c>
      <c r="E565" s="23">
        <v>1716</v>
      </c>
      <c r="F565" s="12">
        <v>0.422234</v>
      </c>
      <c r="G565" s="14">
        <v>8.2743399999999995E-2</v>
      </c>
      <c r="H565" s="15">
        <f t="shared" si="28"/>
        <v>0.37823699999999993</v>
      </c>
      <c r="I565" s="16">
        <f t="shared" si="27"/>
        <v>9.2112966666666685E-2</v>
      </c>
    </row>
    <row r="566" spans="1:9" x14ac:dyDescent="0.3">
      <c r="A566" s="23" t="s">
        <v>48</v>
      </c>
      <c r="B566" s="30" t="s">
        <v>97</v>
      </c>
      <c r="C566" s="19">
        <v>46245</v>
      </c>
      <c r="D566" s="13" t="s">
        <v>20</v>
      </c>
      <c r="E566" s="23">
        <v>1586</v>
      </c>
      <c r="F566" s="12">
        <v>0.44955299999999998</v>
      </c>
      <c r="G566" s="14">
        <v>8.9280399999999996E-2</v>
      </c>
      <c r="H566" s="15">
        <f t="shared" si="28"/>
        <v>0.37823699999999993</v>
      </c>
      <c r="I566" s="16">
        <f t="shared" si="27"/>
        <v>9.2112966666666685E-2</v>
      </c>
    </row>
    <row r="567" spans="1:9" x14ac:dyDescent="0.3">
      <c r="A567" s="23" t="s">
        <v>48</v>
      </c>
      <c r="B567" s="30" t="s">
        <v>97</v>
      </c>
      <c r="C567" s="19">
        <v>46245</v>
      </c>
      <c r="D567" s="13" t="s">
        <v>40</v>
      </c>
      <c r="E567" s="23">
        <v>1078</v>
      </c>
      <c r="F567" s="12">
        <v>0.197274</v>
      </c>
      <c r="G567" s="14">
        <v>5.8390299999999999E-2</v>
      </c>
      <c r="H567" s="15">
        <f t="shared" si="28"/>
        <v>0.37823699999999993</v>
      </c>
      <c r="I567" s="16">
        <f t="shared" si="27"/>
        <v>9.2112966666666685E-2</v>
      </c>
    </row>
    <row r="568" spans="1:9" x14ac:dyDescent="0.3">
      <c r="A568" s="23" t="s">
        <v>48</v>
      </c>
      <c r="B568" s="30" t="s">
        <v>97</v>
      </c>
      <c r="C568" s="19">
        <v>46245</v>
      </c>
      <c r="D568" s="13" t="s">
        <v>21</v>
      </c>
      <c r="E568" s="23">
        <v>2950</v>
      </c>
      <c r="F568" s="12">
        <v>0.44993100000000003</v>
      </c>
      <c r="G568" s="14">
        <v>9.2964400000000003E-2</v>
      </c>
      <c r="H568" s="15">
        <f t="shared" si="28"/>
        <v>0.37823699999999993</v>
      </c>
      <c r="I568" s="16">
        <f t="shared" si="27"/>
        <v>9.2112966666666685E-2</v>
      </c>
    </row>
    <row r="569" spans="1:9" x14ac:dyDescent="0.3">
      <c r="A569" s="23" t="s">
        <v>48</v>
      </c>
      <c r="B569" s="30" t="s">
        <v>97</v>
      </c>
      <c r="C569" s="19">
        <v>46245</v>
      </c>
      <c r="D569" s="13" t="s">
        <v>22</v>
      </c>
      <c r="E569" s="23">
        <v>2249</v>
      </c>
      <c r="F569" s="12">
        <v>0.32510899999999998</v>
      </c>
      <c r="G569" s="14">
        <v>0.100443</v>
      </c>
      <c r="H569" s="15">
        <f t="shared" si="28"/>
        <v>0.37823699999999993</v>
      </c>
      <c r="I569" s="16">
        <f t="shared" si="27"/>
        <v>9.2112966666666685E-2</v>
      </c>
    </row>
    <row r="570" spans="1:9" x14ac:dyDescent="0.3">
      <c r="A570" s="23" t="s">
        <v>48</v>
      </c>
      <c r="B570" s="30" t="s">
        <v>97</v>
      </c>
      <c r="C570" s="19">
        <v>46245</v>
      </c>
      <c r="D570" s="13" t="s">
        <v>23</v>
      </c>
      <c r="E570" s="23">
        <v>1036</v>
      </c>
      <c r="F570" s="12">
        <v>0.426286</v>
      </c>
      <c r="G570" s="14">
        <v>0.125246</v>
      </c>
      <c r="H570" s="15">
        <f t="shared" si="28"/>
        <v>0.37823699999999993</v>
      </c>
      <c r="I570" s="16">
        <f t="shared" si="27"/>
        <v>9.2112966666666685E-2</v>
      </c>
    </row>
    <row r="571" spans="1:9" x14ac:dyDescent="0.3">
      <c r="A571" s="23" t="s">
        <v>48</v>
      </c>
      <c r="B571" s="30" t="s">
        <v>97</v>
      </c>
      <c r="C571" s="19">
        <v>46245</v>
      </c>
      <c r="D571" s="13" t="s">
        <v>24</v>
      </c>
      <c r="E571" s="23">
        <v>2528</v>
      </c>
      <c r="F571" s="12">
        <v>0.21379200000000001</v>
      </c>
      <c r="G571" s="14">
        <v>6.4461099999999993E-2</v>
      </c>
      <c r="H571" s="15">
        <f t="shared" si="28"/>
        <v>0.37823699999999993</v>
      </c>
      <c r="I571" s="16">
        <f t="shared" si="27"/>
        <v>9.2112966666666685E-2</v>
      </c>
    </row>
    <row r="572" spans="1:9" x14ac:dyDescent="0.3">
      <c r="A572" s="23" t="s">
        <v>48</v>
      </c>
      <c r="B572" s="30" t="s">
        <v>97</v>
      </c>
      <c r="C572" s="19">
        <v>46245</v>
      </c>
      <c r="D572" s="13" t="s">
        <v>25</v>
      </c>
      <c r="E572" s="23">
        <v>1139</v>
      </c>
      <c r="F572" s="12">
        <v>0.24654300000000001</v>
      </c>
      <c r="G572" s="14">
        <v>6.1871500000000003E-2</v>
      </c>
      <c r="H572" s="15">
        <f t="shared" si="28"/>
        <v>0.37823699999999993</v>
      </c>
      <c r="I572" s="16">
        <f t="shared" si="27"/>
        <v>9.2112966666666685E-2</v>
      </c>
    </row>
    <row r="573" spans="1:9" x14ac:dyDescent="0.3">
      <c r="A573" s="23" t="s">
        <v>48</v>
      </c>
      <c r="B573" s="30" t="s">
        <v>97</v>
      </c>
      <c r="C573" s="19">
        <v>46245</v>
      </c>
      <c r="D573" s="13" t="s">
        <v>26</v>
      </c>
      <c r="E573" s="23">
        <v>2220</v>
      </c>
      <c r="F573" s="12">
        <v>0.25879200000000002</v>
      </c>
      <c r="G573" s="14">
        <v>8.9482599999999995E-2</v>
      </c>
      <c r="H573" s="15">
        <f t="shared" si="28"/>
        <v>0.37823699999999993</v>
      </c>
      <c r="I573" s="16">
        <f t="shared" si="27"/>
        <v>9.2112966666666685E-2</v>
      </c>
    </row>
    <row r="574" spans="1:9" x14ac:dyDescent="0.3">
      <c r="A574" s="23" t="s">
        <v>48</v>
      </c>
      <c r="B574" s="30" t="s">
        <v>97</v>
      </c>
      <c r="C574" s="19">
        <v>46245</v>
      </c>
      <c r="D574" s="13" t="s">
        <v>27</v>
      </c>
      <c r="E574" s="23">
        <v>2152</v>
      </c>
      <c r="F574" s="12">
        <v>0.32092999999999999</v>
      </c>
      <c r="G574" s="14">
        <v>8.0658499999999994E-2</v>
      </c>
      <c r="H574" s="15">
        <f t="shared" si="28"/>
        <v>0.37823699999999993</v>
      </c>
      <c r="I574" s="16">
        <f t="shared" si="27"/>
        <v>9.2112966666666685E-2</v>
      </c>
    </row>
    <row r="575" spans="1:9" x14ac:dyDescent="0.3">
      <c r="A575" s="23" t="s">
        <v>48</v>
      </c>
      <c r="B575" s="30" t="s">
        <v>97</v>
      </c>
      <c r="C575" s="19">
        <v>46245</v>
      </c>
      <c r="D575" s="13" t="s">
        <v>28</v>
      </c>
      <c r="E575" s="23">
        <v>1003</v>
      </c>
      <c r="F575" s="12">
        <v>0.43876799999999999</v>
      </c>
      <c r="G575" s="14">
        <v>0.112343</v>
      </c>
      <c r="H575" s="15">
        <f t="shared" si="28"/>
        <v>0.37823699999999993</v>
      </c>
      <c r="I575" s="16">
        <f t="shared" si="27"/>
        <v>9.2112966666666685E-2</v>
      </c>
    </row>
    <row r="576" spans="1:9" x14ac:dyDescent="0.3">
      <c r="A576" s="23" t="s">
        <v>48</v>
      </c>
      <c r="B576" s="30" t="s">
        <v>97</v>
      </c>
      <c r="C576" s="19">
        <v>46245</v>
      </c>
      <c r="D576" s="13" t="s">
        <v>29</v>
      </c>
      <c r="E576" s="23">
        <v>1510</v>
      </c>
      <c r="F576" s="12">
        <v>0.37018499999999999</v>
      </c>
      <c r="G576" s="14">
        <v>7.6890200000000006E-2</v>
      </c>
      <c r="H576" s="15">
        <f t="shared" si="28"/>
        <v>0.37823699999999993</v>
      </c>
      <c r="I576" s="16">
        <f t="shared" si="27"/>
        <v>9.2112966666666685E-2</v>
      </c>
    </row>
    <row r="577" spans="1:9" x14ac:dyDescent="0.3">
      <c r="A577" s="23" t="s">
        <v>48</v>
      </c>
      <c r="B577" s="30" t="s">
        <v>97</v>
      </c>
      <c r="C577" s="19">
        <v>46245</v>
      </c>
      <c r="D577" s="13" t="s">
        <v>30</v>
      </c>
      <c r="E577" s="23">
        <v>1227</v>
      </c>
      <c r="F577" s="12">
        <v>0.43123899999999998</v>
      </c>
      <c r="G577" s="14">
        <v>9.7492599999999999E-2</v>
      </c>
      <c r="H577" s="15">
        <f t="shared" si="28"/>
        <v>0.37823699999999993</v>
      </c>
      <c r="I577" s="16">
        <f t="shared" si="27"/>
        <v>9.2112966666666685E-2</v>
      </c>
    </row>
    <row r="578" spans="1:9" x14ac:dyDescent="0.3">
      <c r="A578" s="23" t="s">
        <v>48</v>
      </c>
      <c r="B578" s="30" t="s">
        <v>116</v>
      </c>
      <c r="C578" s="19">
        <v>46246</v>
      </c>
      <c r="D578" s="13" t="s">
        <v>14</v>
      </c>
      <c r="E578" s="23">
        <v>2455</v>
      </c>
      <c r="F578" s="12">
        <v>0.55891500000000005</v>
      </c>
      <c r="G578" s="14">
        <v>0.15717400000000001</v>
      </c>
      <c r="H578" s="15">
        <f t="shared" si="28"/>
        <v>0.40640135294117646</v>
      </c>
      <c r="I578" s="16">
        <f t="shared" si="27"/>
        <v>9.9986976470588226E-2</v>
      </c>
    </row>
    <row r="579" spans="1:9" x14ac:dyDescent="0.3">
      <c r="A579" s="23" t="s">
        <v>48</v>
      </c>
      <c r="B579" s="30" t="s">
        <v>116</v>
      </c>
      <c r="C579" s="19">
        <v>46246</v>
      </c>
      <c r="D579" s="13" t="s">
        <v>15</v>
      </c>
      <c r="E579" s="23">
        <v>2236</v>
      </c>
      <c r="F579" s="12">
        <v>0.43404999999999999</v>
      </c>
      <c r="G579" s="14">
        <v>0.114352</v>
      </c>
      <c r="H579" s="15">
        <f t="shared" si="28"/>
        <v>0.40640135294117646</v>
      </c>
      <c r="I579" s="16">
        <f t="shared" ref="I579:I642" si="29">IFERROR(AVERAGEIFS($G:$G, $A:$A, $A579, $B:$B,$B579, $C:$C,$C579),"")</f>
        <v>9.9986976470588226E-2</v>
      </c>
    </row>
    <row r="580" spans="1:9" x14ac:dyDescent="0.3">
      <c r="A580" s="23" t="s">
        <v>48</v>
      </c>
      <c r="B580" s="30" t="s">
        <v>116</v>
      </c>
      <c r="C580" s="19">
        <v>46246</v>
      </c>
      <c r="D580" s="13" t="s">
        <v>16</v>
      </c>
      <c r="E580" s="23">
        <v>1643</v>
      </c>
      <c r="F580" s="12">
        <v>0.46439900000000001</v>
      </c>
      <c r="G580" s="14">
        <v>0.108926</v>
      </c>
      <c r="H580" s="15">
        <f t="shared" si="28"/>
        <v>0.40640135294117646</v>
      </c>
      <c r="I580" s="16">
        <f t="shared" si="29"/>
        <v>9.9986976470588226E-2</v>
      </c>
    </row>
    <row r="581" spans="1:9" x14ac:dyDescent="0.3">
      <c r="A581" s="23" t="s">
        <v>48</v>
      </c>
      <c r="B581" s="30" t="s">
        <v>116</v>
      </c>
      <c r="C581" s="19">
        <v>46246</v>
      </c>
      <c r="D581" s="13" t="s">
        <v>17</v>
      </c>
      <c r="E581" s="23">
        <v>1958</v>
      </c>
      <c r="F581" s="12">
        <v>0.63461900000000004</v>
      </c>
      <c r="G581" s="14">
        <v>0.12556100000000001</v>
      </c>
      <c r="H581" s="15">
        <f t="shared" si="28"/>
        <v>0.40640135294117646</v>
      </c>
      <c r="I581" s="16">
        <f t="shared" si="29"/>
        <v>9.9986976470588226E-2</v>
      </c>
    </row>
    <row r="582" spans="1:9" x14ac:dyDescent="0.3">
      <c r="A582" s="23" t="s">
        <v>48</v>
      </c>
      <c r="B582" s="30" t="s">
        <v>116</v>
      </c>
      <c r="C582" s="19">
        <v>46246</v>
      </c>
      <c r="D582" s="13" t="s">
        <v>18</v>
      </c>
      <c r="E582" s="23">
        <v>1826</v>
      </c>
      <c r="F582" s="12">
        <v>0.26075799999999999</v>
      </c>
      <c r="G582" s="14">
        <v>6.2025799999999999E-2</v>
      </c>
      <c r="H582" s="15">
        <f t="shared" si="28"/>
        <v>0.40640135294117646</v>
      </c>
      <c r="I582" s="16">
        <f t="shared" si="29"/>
        <v>9.9986976470588226E-2</v>
      </c>
    </row>
    <row r="583" spans="1:9" x14ac:dyDescent="0.3">
      <c r="A583" s="23" t="s">
        <v>48</v>
      </c>
      <c r="B583" s="30" t="s">
        <v>116</v>
      </c>
      <c r="C583" s="19">
        <v>46246</v>
      </c>
      <c r="D583" s="13" t="s">
        <v>19</v>
      </c>
      <c r="E583" s="23">
        <v>1675</v>
      </c>
      <c r="F583" s="12">
        <v>0.43622300000000003</v>
      </c>
      <c r="G583" s="14">
        <v>9.17211E-2</v>
      </c>
      <c r="H583" s="15">
        <f t="shared" si="28"/>
        <v>0.40640135294117646</v>
      </c>
      <c r="I583" s="16">
        <f t="shared" si="29"/>
        <v>9.9986976470588226E-2</v>
      </c>
    </row>
    <row r="584" spans="1:9" x14ac:dyDescent="0.3">
      <c r="A584" s="23" t="s">
        <v>48</v>
      </c>
      <c r="B584" s="30" t="s">
        <v>116</v>
      </c>
      <c r="C584" s="19">
        <v>46246</v>
      </c>
      <c r="D584" s="13" t="s">
        <v>20</v>
      </c>
      <c r="E584" s="23">
        <v>1755</v>
      </c>
      <c r="F584" s="12">
        <v>0.43544100000000002</v>
      </c>
      <c r="G584" s="14">
        <v>9.1064300000000001E-2</v>
      </c>
      <c r="H584" s="15">
        <f t="shared" si="28"/>
        <v>0.40640135294117646</v>
      </c>
      <c r="I584" s="16">
        <f t="shared" si="29"/>
        <v>9.9986976470588226E-2</v>
      </c>
    </row>
    <row r="585" spans="1:9" x14ac:dyDescent="0.3">
      <c r="A585" s="23" t="s">
        <v>48</v>
      </c>
      <c r="B585" s="30" t="s">
        <v>116</v>
      </c>
      <c r="C585" s="19">
        <v>46246</v>
      </c>
      <c r="D585" s="13" t="s">
        <v>40</v>
      </c>
      <c r="E585" s="23">
        <v>1002</v>
      </c>
      <c r="F585" s="12">
        <v>0.30501899999999998</v>
      </c>
      <c r="G585" s="14">
        <v>9.2486100000000002E-2</v>
      </c>
      <c r="H585" s="15">
        <f t="shared" si="28"/>
        <v>0.40640135294117646</v>
      </c>
      <c r="I585" s="16">
        <f t="shared" si="29"/>
        <v>9.9986976470588226E-2</v>
      </c>
    </row>
    <row r="586" spans="1:9" x14ac:dyDescent="0.3">
      <c r="A586" s="23" t="s">
        <v>48</v>
      </c>
      <c r="B586" s="30" t="s">
        <v>116</v>
      </c>
      <c r="C586" s="19">
        <v>46246</v>
      </c>
      <c r="D586" s="13" t="s">
        <v>21</v>
      </c>
      <c r="E586" s="23">
        <v>2843</v>
      </c>
      <c r="F586" s="12">
        <v>0.47946800000000001</v>
      </c>
      <c r="G586" s="14">
        <v>9.3262200000000003E-2</v>
      </c>
      <c r="H586" s="15">
        <f t="shared" si="28"/>
        <v>0.40640135294117646</v>
      </c>
      <c r="I586" s="16">
        <f t="shared" si="29"/>
        <v>9.9986976470588226E-2</v>
      </c>
    </row>
    <row r="587" spans="1:9" x14ac:dyDescent="0.3">
      <c r="A587" s="23" t="s">
        <v>48</v>
      </c>
      <c r="B587" s="30" t="s">
        <v>116</v>
      </c>
      <c r="C587" s="19">
        <v>46246</v>
      </c>
      <c r="D587" s="13" t="s">
        <v>22</v>
      </c>
      <c r="E587" s="23">
        <v>2263</v>
      </c>
      <c r="F587" s="12">
        <v>0.52340200000000003</v>
      </c>
      <c r="G587" s="14">
        <v>0.142179</v>
      </c>
      <c r="H587" s="15">
        <f t="shared" si="28"/>
        <v>0.40640135294117646</v>
      </c>
      <c r="I587" s="16">
        <f t="shared" si="29"/>
        <v>9.9986976470588226E-2</v>
      </c>
    </row>
    <row r="588" spans="1:9" x14ac:dyDescent="0.3">
      <c r="A588" s="23" t="s">
        <v>48</v>
      </c>
      <c r="B588" s="30" t="s">
        <v>116</v>
      </c>
      <c r="C588" s="19">
        <v>46246</v>
      </c>
      <c r="D588" s="13" t="s">
        <v>23</v>
      </c>
      <c r="E588" s="23">
        <v>1276</v>
      </c>
      <c r="F588" s="12">
        <v>0.498776</v>
      </c>
      <c r="G588" s="14">
        <v>0.16361000000000001</v>
      </c>
      <c r="H588" s="15">
        <f t="shared" si="28"/>
        <v>0.40640135294117646</v>
      </c>
      <c r="I588" s="16">
        <f t="shared" si="29"/>
        <v>9.9986976470588226E-2</v>
      </c>
    </row>
    <row r="589" spans="1:9" x14ac:dyDescent="0.3">
      <c r="A589" s="23" t="s">
        <v>48</v>
      </c>
      <c r="B589" s="30" t="s">
        <v>116</v>
      </c>
      <c r="C589" s="19">
        <v>46246</v>
      </c>
      <c r="D589" s="13" t="s">
        <v>24</v>
      </c>
      <c r="E589" s="23">
        <v>2390</v>
      </c>
      <c r="F589" s="12">
        <v>0.20551900000000001</v>
      </c>
      <c r="G589" s="14">
        <v>6.3297999999999993E-2</v>
      </c>
      <c r="H589" s="15">
        <f t="shared" si="28"/>
        <v>0.40640135294117646</v>
      </c>
      <c r="I589" s="16">
        <f t="shared" si="29"/>
        <v>9.9986976470588226E-2</v>
      </c>
    </row>
    <row r="590" spans="1:9" x14ac:dyDescent="0.3">
      <c r="A590" s="23" t="s">
        <v>48</v>
      </c>
      <c r="B590" s="30" t="s">
        <v>116</v>
      </c>
      <c r="C590" s="19">
        <v>46246</v>
      </c>
      <c r="D590" s="13" t="s">
        <v>25</v>
      </c>
      <c r="E590" s="23">
        <v>1050</v>
      </c>
      <c r="F590" s="12">
        <v>0.230655</v>
      </c>
      <c r="G590" s="14">
        <v>5.54628E-2</v>
      </c>
      <c r="H590" s="15">
        <f t="shared" si="28"/>
        <v>0.40640135294117646</v>
      </c>
      <c r="I590" s="16">
        <f t="shared" si="29"/>
        <v>9.9986976470588226E-2</v>
      </c>
    </row>
    <row r="591" spans="1:9" x14ac:dyDescent="0.3">
      <c r="A591" s="23" t="s">
        <v>48</v>
      </c>
      <c r="B591" s="30" t="s">
        <v>116</v>
      </c>
      <c r="C591" s="19">
        <v>46246</v>
      </c>
      <c r="D591" s="13" t="s">
        <v>26</v>
      </c>
      <c r="E591" s="23">
        <v>2388</v>
      </c>
      <c r="F591" s="12">
        <v>0.21137600000000001</v>
      </c>
      <c r="G591" s="14">
        <v>6.7938499999999999E-2</v>
      </c>
      <c r="H591" s="15">
        <f t="shared" si="28"/>
        <v>0.40640135294117646</v>
      </c>
      <c r="I591" s="16">
        <f t="shared" si="29"/>
        <v>9.9986976470588226E-2</v>
      </c>
    </row>
    <row r="592" spans="1:9" x14ac:dyDescent="0.3">
      <c r="A592" s="23" t="s">
        <v>48</v>
      </c>
      <c r="B592" s="30" t="s">
        <v>116</v>
      </c>
      <c r="C592" s="19">
        <v>46246</v>
      </c>
      <c r="D592" s="13" t="s">
        <v>27</v>
      </c>
      <c r="E592" s="23">
        <v>2175</v>
      </c>
      <c r="F592" s="12">
        <v>0.35617700000000002</v>
      </c>
      <c r="G592" s="14">
        <v>8.0817399999999998E-2</v>
      </c>
      <c r="H592" s="15">
        <f t="shared" si="28"/>
        <v>0.40640135294117646</v>
      </c>
      <c r="I592" s="16">
        <f t="shared" si="29"/>
        <v>9.9986976470588226E-2</v>
      </c>
    </row>
    <row r="593" spans="1:9" x14ac:dyDescent="0.3">
      <c r="A593" s="23" t="s">
        <v>48</v>
      </c>
      <c r="B593" s="30" t="s">
        <v>116</v>
      </c>
      <c r="C593" s="19">
        <v>46246</v>
      </c>
      <c r="D593" s="13" t="s">
        <v>28</v>
      </c>
      <c r="E593" s="23">
        <v>1182</v>
      </c>
      <c r="F593" s="12">
        <v>0.50630200000000003</v>
      </c>
      <c r="G593" s="14">
        <v>0.11373999999999999</v>
      </c>
      <c r="H593" s="15">
        <f t="shared" si="28"/>
        <v>0.40640135294117646</v>
      </c>
      <c r="I593" s="16">
        <f t="shared" si="29"/>
        <v>9.9986976470588226E-2</v>
      </c>
    </row>
    <row r="594" spans="1:9" x14ac:dyDescent="0.3">
      <c r="A594" s="23" t="s">
        <v>48</v>
      </c>
      <c r="B594" s="30" t="s">
        <v>116</v>
      </c>
      <c r="C594" s="19">
        <v>46246</v>
      </c>
      <c r="D594" s="13" t="s">
        <v>29</v>
      </c>
      <c r="E594" s="23">
        <v>1511</v>
      </c>
      <c r="F594" s="12">
        <v>0.367724</v>
      </c>
      <c r="G594" s="14">
        <v>7.6160400000000003E-2</v>
      </c>
      <c r="H594" s="15">
        <f t="shared" si="28"/>
        <v>0.40640135294117646</v>
      </c>
      <c r="I594" s="16">
        <f t="shared" si="29"/>
        <v>9.9986976470588226E-2</v>
      </c>
    </row>
    <row r="595" spans="1:9" x14ac:dyDescent="0.3">
      <c r="A595" s="23" t="s">
        <v>48</v>
      </c>
      <c r="B595" s="30" t="s">
        <v>116</v>
      </c>
      <c r="C595" s="19">
        <v>46245</v>
      </c>
      <c r="D595" s="13" t="s">
        <v>30</v>
      </c>
      <c r="E595" s="23">
        <v>1045</v>
      </c>
      <c r="F595" s="12">
        <v>0.47634500000000002</v>
      </c>
      <c r="G595" s="14">
        <v>9.5844299999999993E-2</v>
      </c>
      <c r="H595" s="15">
        <f t="shared" si="28"/>
        <v>0.47634500000000002</v>
      </c>
      <c r="I595" s="16">
        <f t="shared" si="29"/>
        <v>9.5844299999999993E-2</v>
      </c>
    </row>
    <row r="596" spans="1:9" x14ac:dyDescent="0.3">
      <c r="A596" s="23" t="s">
        <v>48</v>
      </c>
      <c r="B596" s="30" t="s">
        <v>98</v>
      </c>
      <c r="C596" s="19">
        <v>46245</v>
      </c>
      <c r="D596" s="13" t="s">
        <v>14</v>
      </c>
      <c r="E596" s="23">
        <v>2538</v>
      </c>
      <c r="F596" s="12">
        <v>0.69997100000000001</v>
      </c>
      <c r="G596" s="14">
        <v>0.19674</v>
      </c>
      <c r="H596" s="15">
        <f t="shared" si="28"/>
        <v>0.44913916666666659</v>
      </c>
      <c r="I596" s="16">
        <f t="shared" si="29"/>
        <v>0.10939316666666668</v>
      </c>
    </row>
    <row r="597" spans="1:9" x14ac:dyDescent="0.3">
      <c r="A597" s="23" t="s">
        <v>48</v>
      </c>
      <c r="B597" s="30" t="s">
        <v>98</v>
      </c>
      <c r="C597" s="19">
        <v>46245</v>
      </c>
      <c r="D597" s="13" t="s">
        <v>15</v>
      </c>
      <c r="E597" s="23">
        <v>2459</v>
      </c>
      <c r="F597" s="12">
        <v>0.46595999999999999</v>
      </c>
      <c r="G597" s="14">
        <v>0.12274500000000001</v>
      </c>
      <c r="H597" s="15">
        <f t="shared" si="28"/>
        <v>0.44913916666666659</v>
      </c>
      <c r="I597" s="16">
        <f t="shared" si="29"/>
        <v>0.10939316666666668</v>
      </c>
    </row>
    <row r="598" spans="1:9" x14ac:dyDescent="0.3">
      <c r="A598" s="23" t="s">
        <v>48</v>
      </c>
      <c r="B598" s="30" t="s">
        <v>98</v>
      </c>
      <c r="C598" s="19">
        <v>46245</v>
      </c>
      <c r="D598" s="13" t="s">
        <v>16</v>
      </c>
      <c r="E598" s="23">
        <v>1674</v>
      </c>
      <c r="F598" s="12">
        <v>0.50656800000000002</v>
      </c>
      <c r="G598" s="14">
        <v>0.118807</v>
      </c>
      <c r="H598" s="15">
        <f t="shared" si="28"/>
        <v>0.44913916666666659</v>
      </c>
      <c r="I598" s="16">
        <f t="shared" si="29"/>
        <v>0.10939316666666668</v>
      </c>
    </row>
    <row r="599" spans="1:9" x14ac:dyDescent="0.3">
      <c r="A599" s="23" t="s">
        <v>48</v>
      </c>
      <c r="B599" s="30" t="s">
        <v>98</v>
      </c>
      <c r="C599" s="19">
        <v>46245</v>
      </c>
      <c r="D599" s="13" t="s">
        <v>17</v>
      </c>
      <c r="E599" s="23">
        <v>1964</v>
      </c>
      <c r="F599" s="12">
        <v>0.59270599999999996</v>
      </c>
      <c r="G599" s="14">
        <v>0.1172</v>
      </c>
      <c r="H599" s="15">
        <f t="shared" si="28"/>
        <v>0.44913916666666659</v>
      </c>
      <c r="I599" s="16">
        <f t="shared" si="29"/>
        <v>0.10939316666666668</v>
      </c>
    </row>
    <row r="600" spans="1:9" x14ac:dyDescent="0.3">
      <c r="A600" s="23" t="s">
        <v>48</v>
      </c>
      <c r="B600" s="30" t="s">
        <v>98</v>
      </c>
      <c r="C600" s="19">
        <v>46245</v>
      </c>
      <c r="D600" s="13" t="s">
        <v>18</v>
      </c>
      <c r="E600" s="23">
        <v>1967</v>
      </c>
      <c r="F600" s="12">
        <v>0.312002</v>
      </c>
      <c r="G600" s="14">
        <v>7.4209300000000006E-2</v>
      </c>
      <c r="H600" s="15">
        <f t="shared" si="28"/>
        <v>0.44913916666666659</v>
      </c>
      <c r="I600" s="16">
        <f t="shared" si="29"/>
        <v>0.10939316666666668</v>
      </c>
    </row>
    <row r="601" spans="1:9" x14ac:dyDescent="0.3">
      <c r="A601" s="23" t="s">
        <v>48</v>
      </c>
      <c r="B601" s="30" t="s">
        <v>98</v>
      </c>
      <c r="C601" s="19">
        <v>46245</v>
      </c>
      <c r="D601" s="13" t="s">
        <v>19</v>
      </c>
      <c r="E601" s="23">
        <v>1589</v>
      </c>
      <c r="F601" s="12">
        <v>0.45899600000000002</v>
      </c>
      <c r="G601" s="14">
        <v>9.6522200000000002E-2</v>
      </c>
      <c r="H601" s="15">
        <f t="shared" si="28"/>
        <v>0.44913916666666659</v>
      </c>
      <c r="I601" s="16">
        <f t="shared" si="29"/>
        <v>0.10939316666666668</v>
      </c>
    </row>
    <row r="602" spans="1:9" x14ac:dyDescent="0.3">
      <c r="A602" s="23" t="s">
        <v>48</v>
      </c>
      <c r="B602" s="30" t="s">
        <v>98</v>
      </c>
      <c r="C602" s="19">
        <v>46245</v>
      </c>
      <c r="D602" s="13" t="s">
        <v>20</v>
      </c>
      <c r="E602" s="23">
        <v>1563</v>
      </c>
      <c r="F602" s="12">
        <v>0.544682</v>
      </c>
      <c r="G602" s="14">
        <v>0.11393499999999999</v>
      </c>
      <c r="H602" s="15">
        <f t="shared" si="28"/>
        <v>0.44913916666666659</v>
      </c>
      <c r="I602" s="16">
        <f t="shared" si="29"/>
        <v>0.10939316666666668</v>
      </c>
    </row>
    <row r="603" spans="1:9" x14ac:dyDescent="0.3">
      <c r="A603" s="23" t="s">
        <v>48</v>
      </c>
      <c r="B603" s="30" t="s">
        <v>98</v>
      </c>
      <c r="C603" s="19">
        <v>46245</v>
      </c>
      <c r="D603" s="13" t="s">
        <v>40</v>
      </c>
      <c r="E603" s="23">
        <v>1004</v>
      </c>
      <c r="F603" s="12">
        <v>0.24451200000000001</v>
      </c>
      <c r="G603" s="14">
        <v>7.4092500000000006E-2</v>
      </c>
      <c r="H603" s="15">
        <f t="shared" si="28"/>
        <v>0.44913916666666659</v>
      </c>
      <c r="I603" s="16">
        <f t="shared" si="29"/>
        <v>0.10939316666666668</v>
      </c>
    </row>
    <row r="604" spans="1:9" x14ac:dyDescent="0.3">
      <c r="A604" s="23" t="s">
        <v>48</v>
      </c>
      <c r="B604" s="30" t="s">
        <v>98</v>
      </c>
      <c r="C604" s="19">
        <v>46245</v>
      </c>
      <c r="D604" s="13" t="s">
        <v>21</v>
      </c>
      <c r="E604" s="23">
        <v>2862</v>
      </c>
      <c r="F604" s="12">
        <v>0.52680300000000002</v>
      </c>
      <c r="G604" s="14">
        <v>0.102477</v>
      </c>
      <c r="H604" s="15">
        <f t="shared" si="28"/>
        <v>0.44913916666666659</v>
      </c>
      <c r="I604" s="16">
        <f t="shared" si="29"/>
        <v>0.10939316666666668</v>
      </c>
    </row>
    <row r="605" spans="1:9" x14ac:dyDescent="0.3">
      <c r="A605" s="23" t="s">
        <v>48</v>
      </c>
      <c r="B605" s="30" t="s">
        <v>98</v>
      </c>
      <c r="C605" s="19">
        <v>46245</v>
      </c>
      <c r="D605" s="13" t="s">
        <v>22</v>
      </c>
      <c r="E605" s="23">
        <v>2502</v>
      </c>
      <c r="F605" s="12">
        <v>0.55495499999999998</v>
      </c>
      <c r="G605" s="14">
        <v>0.15076500000000001</v>
      </c>
      <c r="H605" s="15">
        <f t="shared" si="28"/>
        <v>0.44913916666666659</v>
      </c>
      <c r="I605" s="16">
        <f t="shared" si="29"/>
        <v>0.10939316666666668</v>
      </c>
    </row>
    <row r="606" spans="1:9" x14ac:dyDescent="0.3">
      <c r="A606" s="23" t="s">
        <v>48</v>
      </c>
      <c r="B606" s="30" t="s">
        <v>98</v>
      </c>
      <c r="C606" s="19">
        <v>46245</v>
      </c>
      <c r="D606" s="13" t="s">
        <v>23</v>
      </c>
      <c r="E606" s="23">
        <v>1199</v>
      </c>
      <c r="F606" s="12">
        <v>0.57575900000000002</v>
      </c>
      <c r="G606" s="14">
        <v>0.18892700000000001</v>
      </c>
      <c r="H606" s="15">
        <f t="shared" si="28"/>
        <v>0.44913916666666659</v>
      </c>
      <c r="I606" s="16">
        <f t="shared" si="29"/>
        <v>0.10939316666666668</v>
      </c>
    </row>
    <row r="607" spans="1:9" x14ac:dyDescent="0.3">
      <c r="A607" s="23" t="s">
        <v>48</v>
      </c>
      <c r="B607" s="30" t="s">
        <v>98</v>
      </c>
      <c r="C607" s="19">
        <v>46245</v>
      </c>
      <c r="D607" s="13" t="s">
        <v>24</v>
      </c>
      <c r="E607" s="23">
        <v>2708</v>
      </c>
      <c r="F607" s="12">
        <v>0.26341199999999998</v>
      </c>
      <c r="G607" s="14">
        <v>8.1164200000000006E-2</v>
      </c>
      <c r="H607" s="15">
        <f t="shared" si="28"/>
        <v>0.44913916666666659</v>
      </c>
      <c r="I607" s="16">
        <f t="shared" si="29"/>
        <v>0.10939316666666668</v>
      </c>
    </row>
    <row r="608" spans="1:9" x14ac:dyDescent="0.3">
      <c r="A608" s="23" t="s">
        <v>48</v>
      </c>
      <c r="B608" s="30" t="s">
        <v>98</v>
      </c>
      <c r="C608" s="19">
        <v>46245</v>
      </c>
      <c r="D608" s="13" t="s">
        <v>25</v>
      </c>
      <c r="E608" s="23">
        <v>1063</v>
      </c>
      <c r="F608" s="12">
        <v>0.24019599999999999</v>
      </c>
      <c r="G608" s="14">
        <v>5.7769899999999999E-2</v>
      </c>
      <c r="H608" s="15">
        <f t="shared" si="28"/>
        <v>0.44913916666666659</v>
      </c>
      <c r="I608" s="16">
        <f t="shared" si="29"/>
        <v>0.10939316666666668</v>
      </c>
    </row>
    <row r="609" spans="1:9" x14ac:dyDescent="0.3">
      <c r="A609" s="23" t="s">
        <v>48</v>
      </c>
      <c r="B609" s="30" t="s">
        <v>98</v>
      </c>
      <c r="C609" s="19">
        <v>46245</v>
      </c>
      <c r="D609" s="13" t="s">
        <v>26</v>
      </c>
      <c r="E609" s="23">
        <v>2238</v>
      </c>
      <c r="F609" s="12">
        <v>0.22983100000000001</v>
      </c>
      <c r="G609" s="14">
        <v>7.3891100000000001E-2</v>
      </c>
      <c r="H609" s="15">
        <f t="shared" si="28"/>
        <v>0.44913916666666659</v>
      </c>
      <c r="I609" s="16">
        <f t="shared" si="29"/>
        <v>0.10939316666666668</v>
      </c>
    </row>
    <row r="610" spans="1:9" x14ac:dyDescent="0.3">
      <c r="A610" s="23" t="s">
        <v>48</v>
      </c>
      <c r="B610" s="30" t="s">
        <v>98</v>
      </c>
      <c r="C610" s="19">
        <v>46245</v>
      </c>
      <c r="D610" s="13" t="s">
        <v>27</v>
      </c>
      <c r="E610" s="23">
        <v>2198</v>
      </c>
      <c r="F610" s="12">
        <v>0.35157699999999997</v>
      </c>
      <c r="G610" s="14">
        <v>7.9759300000000005E-2</v>
      </c>
      <c r="H610" s="15">
        <f t="shared" si="28"/>
        <v>0.44913916666666659</v>
      </c>
      <c r="I610" s="16">
        <f t="shared" si="29"/>
        <v>0.10939316666666668</v>
      </c>
    </row>
    <row r="611" spans="1:9" x14ac:dyDescent="0.3">
      <c r="A611" s="23" t="s">
        <v>48</v>
      </c>
      <c r="B611" s="30" t="s">
        <v>98</v>
      </c>
      <c r="C611" s="19">
        <v>46245</v>
      </c>
      <c r="D611" s="13" t="s">
        <v>28</v>
      </c>
      <c r="E611" s="23">
        <v>1239</v>
      </c>
      <c r="F611" s="12">
        <v>0.52923500000000001</v>
      </c>
      <c r="G611" s="14">
        <v>0.118798</v>
      </c>
      <c r="H611" s="15">
        <f t="shared" si="28"/>
        <v>0.44913916666666659</v>
      </c>
      <c r="I611" s="16">
        <f t="shared" si="29"/>
        <v>0.10939316666666668</v>
      </c>
    </row>
    <row r="612" spans="1:9" x14ac:dyDescent="0.3">
      <c r="A612" s="23" t="s">
        <v>48</v>
      </c>
      <c r="B612" s="30" t="s">
        <v>98</v>
      </c>
      <c r="C612" s="19">
        <v>46245</v>
      </c>
      <c r="D612" s="13" t="s">
        <v>29</v>
      </c>
      <c r="E612" s="23">
        <v>1721</v>
      </c>
      <c r="F612" s="12">
        <v>0.45143299999999997</v>
      </c>
      <c r="G612" s="14">
        <v>9.3463500000000005E-2</v>
      </c>
      <c r="H612" s="15">
        <f t="shared" si="28"/>
        <v>0.44913916666666659</v>
      </c>
      <c r="I612" s="16">
        <f t="shared" si="29"/>
        <v>0.10939316666666668</v>
      </c>
    </row>
    <row r="613" spans="1:9" x14ac:dyDescent="0.3">
      <c r="A613" s="23" t="s">
        <v>48</v>
      </c>
      <c r="B613" s="30" t="s">
        <v>98</v>
      </c>
      <c r="C613" s="19">
        <v>46245</v>
      </c>
      <c r="D613" s="13" t="s">
        <v>30</v>
      </c>
      <c r="E613" s="23">
        <v>1405</v>
      </c>
      <c r="F613" s="12">
        <v>0.53590700000000002</v>
      </c>
      <c r="G613" s="14">
        <v>0.107811</v>
      </c>
      <c r="H613" s="15">
        <f t="shared" si="28"/>
        <v>0.44913916666666659</v>
      </c>
      <c r="I613" s="16">
        <f t="shared" si="29"/>
        <v>0.10939316666666668</v>
      </c>
    </row>
    <row r="614" spans="1:9" x14ac:dyDescent="0.3">
      <c r="A614" s="23" t="s">
        <v>48</v>
      </c>
      <c r="B614" s="30" t="s">
        <v>99</v>
      </c>
      <c r="C614" s="19">
        <v>46245</v>
      </c>
      <c r="D614" s="13" t="s">
        <v>14</v>
      </c>
      <c r="E614" s="23">
        <v>2216</v>
      </c>
      <c r="F614" s="12">
        <v>0.54661599999999999</v>
      </c>
      <c r="G614" s="14">
        <v>0.15504499999999999</v>
      </c>
      <c r="H614" s="15">
        <f t="shared" ref="H614:H677" si="30">IFERROR(AVERAGEIFS($F:$F, $A:$A, $A614, $B:$B,$B614, $C:$C,$C614),"")</f>
        <v>0.35505961111111106</v>
      </c>
      <c r="I614" s="16">
        <f t="shared" si="29"/>
        <v>8.6578638888888892E-2</v>
      </c>
    </row>
    <row r="615" spans="1:9" x14ac:dyDescent="0.3">
      <c r="A615" s="23" t="s">
        <v>48</v>
      </c>
      <c r="B615" s="30" t="s">
        <v>99</v>
      </c>
      <c r="C615" s="19">
        <v>46245</v>
      </c>
      <c r="D615" s="13" t="s">
        <v>15</v>
      </c>
      <c r="E615" s="23">
        <v>2211</v>
      </c>
      <c r="F615" s="12">
        <v>0.47216799999999998</v>
      </c>
      <c r="G615" s="14">
        <v>0.12520300000000001</v>
      </c>
      <c r="H615" s="15">
        <f t="shared" si="30"/>
        <v>0.35505961111111106</v>
      </c>
      <c r="I615" s="16">
        <f t="shared" si="29"/>
        <v>8.6578638888888892E-2</v>
      </c>
    </row>
    <row r="616" spans="1:9" x14ac:dyDescent="0.3">
      <c r="A616" s="23" t="s">
        <v>48</v>
      </c>
      <c r="B616" s="30" t="s">
        <v>99</v>
      </c>
      <c r="C616" s="19">
        <v>46245</v>
      </c>
      <c r="D616" s="13" t="s">
        <v>16</v>
      </c>
      <c r="E616" s="23">
        <v>1665</v>
      </c>
      <c r="F616" s="12">
        <v>0.417495</v>
      </c>
      <c r="G616" s="14">
        <v>9.8415000000000002E-2</v>
      </c>
      <c r="H616" s="15">
        <f t="shared" si="30"/>
        <v>0.35505961111111106</v>
      </c>
      <c r="I616" s="16">
        <f t="shared" si="29"/>
        <v>8.6578638888888892E-2</v>
      </c>
    </row>
    <row r="617" spans="1:9" x14ac:dyDescent="0.3">
      <c r="A617" s="23" t="s">
        <v>48</v>
      </c>
      <c r="B617" s="30" t="s">
        <v>99</v>
      </c>
      <c r="C617" s="19">
        <v>46245</v>
      </c>
      <c r="D617" s="13" t="s">
        <v>17</v>
      </c>
      <c r="E617" s="23">
        <v>1901</v>
      </c>
      <c r="F617" s="12">
        <v>0.47767500000000002</v>
      </c>
      <c r="G617" s="14">
        <v>9.3883099999999997E-2</v>
      </c>
      <c r="H617" s="15">
        <f t="shared" si="30"/>
        <v>0.35505961111111106</v>
      </c>
      <c r="I617" s="16">
        <f t="shared" si="29"/>
        <v>8.6578638888888892E-2</v>
      </c>
    </row>
    <row r="618" spans="1:9" x14ac:dyDescent="0.3">
      <c r="A618" s="23" t="s">
        <v>48</v>
      </c>
      <c r="B618" s="30" t="s">
        <v>99</v>
      </c>
      <c r="C618" s="19">
        <v>46245</v>
      </c>
      <c r="D618" s="13" t="s">
        <v>18</v>
      </c>
      <c r="E618" s="23">
        <v>1966</v>
      </c>
      <c r="F618" s="12">
        <v>0.27741399999999999</v>
      </c>
      <c r="G618" s="14">
        <v>6.6127400000000003E-2</v>
      </c>
      <c r="H618" s="15">
        <f t="shared" si="30"/>
        <v>0.35505961111111106</v>
      </c>
      <c r="I618" s="16">
        <f t="shared" si="29"/>
        <v>8.6578638888888892E-2</v>
      </c>
    </row>
    <row r="619" spans="1:9" x14ac:dyDescent="0.3">
      <c r="A619" s="23" t="s">
        <v>48</v>
      </c>
      <c r="B619" s="30" t="s">
        <v>99</v>
      </c>
      <c r="C619" s="19">
        <v>46245</v>
      </c>
      <c r="D619" s="13" t="s">
        <v>19</v>
      </c>
      <c r="E619" s="23">
        <v>1519</v>
      </c>
      <c r="F619" s="12">
        <v>0.44321899999999997</v>
      </c>
      <c r="G619" s="14">
        <v>9.3189900000000006E-2</v>
      </c>
      <c r="H619" s="15">
        <f t="shared" si="30"/>
        <v>0.35505961111111106</v>
      </c>
      <c r="I619" s="16">
        <f t="shared" si="29"/>
        <v>8.6578638888888892E-2</v>
      </c>
    </row>
    <row r="620" spans="1:9" x14ac:dyDescent="0.3">
      <c r="A620" s="23" t="s">
        <v>48</v>
      </c>
      <c r="B620" s="30" t="s">
        <v>99</v>
      </c>
      <c r="C620" s="19">
        <v>46245</v>
      </c>
      <c r="D620" s="13" t="s">
        <v>20</v>
      </c>
      <c r="E620" s="23">
        <v>1471</v>
      </c>
      <c r="F620" s="12">
        <v>0.536694</v>
      </c>
      <c r="G620" s="14">
        <v>0.112083</v>
      </c>
      <c r="H620" s="15">
        <f t="shared" si="30"/>
        <v>0.35505961111111106</v>
      </c>
      <c r="I620" s="16">
        <f t="shared" si="29"/>
        <v>8.6578638888888892E-2</v>
      </c>
    </row>
    <row r="621" spans="1:9" x14ac:dyDescent="0.3">
      <c r="A621" s="23" t="s">
        <v>48</v>
      </c>
      <c r="B621" s="30" t="s">
        <v>99</v>
      </c>
      <c r="C621" s="19">
        <v>46245</v>
      </c>
      <c r="D621" s="13" t="s">
        <v>40</v>
      </c>
      <c r="E621" s="23">
        <v>1075</v>
      </c>
      <c r="F621" s="12">
        <v>0.25842799999999999</v>
      </c>
      <c r="G621" s="14">
        <v>7.7899399999999994E-2</v>
      </c>
      <c r="H621" s="15">
        <f t="shared" si="30"/>
        <v>0.35505961111111106</v>
      </c>
      <c r="I621" s="16">
        <f t="shared" si="29"/>
        <v>8.6578638888888892E-2</v>
      </c>
    </row>
    <row r="622" spans="1:9" x14ac:dyDescent="0.3">
      <c r="A622" s="23" t="s">
        <v>48</v>
      </c>
      <c r="B622" s="30" t="s">
        <v>99</v>
      </c>
      <c r="C622" s="19">
        <v>46245</v>
      </c>
      <c r="D622" s="13" t="s">
        <v>21</v>
      </c>
      <c r="E622" s="23">
        <v>2632</v>
      </c>
      <c r="F622" s="12">
        <v>0.23228499999999999</v>
      </c>
      <c r="G622" s="14">
        <v>4.5185700000000002E-2</v>
      </c>
      <c r="H622" s="15">
        <f t="shared" si="30"/>
        <v>0.35505961111111106</v>
      </c>
      <c r="I622" s="16">
        <f t="shared" si="29"/>
        <v>8.6578638888888892E-2</v>
      </c>
    </row>
    <row r="623" spans="1:9" x14ac:dyDescent="0.3">
      <c r="A623" s="23" t="s">
        <v>48</v>
      </c>
      <c r="B623" s="30" t="s">
        <v>99</v>
      </c>
      <c r="C623" s="19">
        <v>46245</v>
      </c>
      <c r="D623" s="13" t="s">
        <v>22</v>
      </c>
      <c r="E623" s="23">
        <v>2230</v>
      </c>
      <c r="F623" s="12">
        <v>0.49068299999999998</v>
      </c>
      <c r="G623" s="14">
        <v>0.13217400000000001</v>
      </c>
      <c r="H623" s="15">
        <f t="shared" si="30"/>
        <v>0.35505961111111106</v>
      </c>
      <c r="I623" s="16">
        <f t="shared" si="29"/>
        <v>8.6578638888888892E-2</v>
      </c>
    </row>
    <row r="624" spans="1:9" x14ac:dyDescent="0.3">
      <c r="A624" s="23" t="s">
        <v>48</v>
      </c>
      <c r="B624" s="30" t="s">
        <v>99</v>
      </c>
      <c r="C624" s="19">
        <v>46245</v>
      </c>
      <c r="D624" s="13" t="s">
        <v>23</v>
      </c>
      <c r="E624" s="23">
        <v>1045</v>
      </c>
      <c r="F624" s="12">
        <v>0.21654300000000001</v>
      </c>
      <c r="G624" s="14">
        <v>7.1738499999999997E-2</v>
      </c>
      <c r="H624" s="15">
        <f t="shared" si="30"/>
        <v>0.35505961111111106</v>
      </c>
      <c r="I624" s="16">
        <f t="shared" si="29"/>
        <v>8.6578638888888892E-2</v>
      </c>
    </row>
    <row r="625" spans="1:9" x14ac:dyDescent="0.3">
      <c r="A625" s="23" t="s">
        <v>48</v>
      </c>
      <c r="B625" s="30" t="s">
        <v>99</v>
      </c>
      <c r="C625" s="19">
        <v>46245</v>
      </c>
      <c r="D625" s="13" t="s">
        <v>24</v>
      </c>
      <c r="E625" s="23">
        <v>2191</v>
      </c>
      <c r="F625" s="12">
        <v>0.31936300000000001</v>
      </c>
      <c r="G625" s="14">
        <v>9.8980499999999999E-2</v>
      </c>
      <c r="H625" s="15">
        <f t="shared" si="30"/>
        <v>0.35505961111111106</v>
      </c>
      <c r="I625" s="16">
        <f t="shared" si="29"/>
        <v>8.6578638888888892E-2</v>
      </c>
    </row>
    <row r="626" spans="1:9" x14ac:dyDescent="0.3">
      <c r="A626" s="23" t="s">
        <v>48</v>
      </c>
      <c r="B626" s="30" t="s">
        <v>99</v>
      </c>
      <c r="C626" s="19">
        <v>46245</v>
      </c>
      <c r="D626" s="13" t="s">
        <v>25</v>
      </c>
      <c r="E626" s="23">
        <v>1027</v>
      </c>
      <c r="F626" s="12">
        <v>0.17457500000000001</v>
      </c>
      <c r="G626" s="14">
        <v>4.1752299999999999E-2</v>
      </c>
      <c r="H626" s="15">
        <f t="shared" si="30"/>
        <v>0.35505961111111106</v>
      </c>
      <c r="I626" s="16">
        <f t="shared" si="29"/>
        <v>8.6578638888888892E-2</v>
      </c>
    </row>
    <row r="627" spans="1:9" x14ac:dyDescent="0.3">
      <c r="A627" s="23" t="s">
        <v>48</v>
      </c>
      <c r="B627" s="30" t="s">
        <v>99</v>
      </c>
      <c r="C627" s="19">
        <v>46245</v>
      </c>
      <c r="D627" s="13" t="s">
        <v>26</v>
      </c>
      <c r="E627" s="23">
        <v>2038</v>
      </c>
      <c r="F627" s="12">
        <v>0.21984100000000001</v>
      </c>
      <c r="G627" s="14">
        <v>7.0038900000000001E-2</v>
      </c>
      <c r="H627" s="15">
        <f t="shared" si="30"/>
        <v>0.35505961111111106</v>
      </c>
      <c r="I627" s="16">
        <f t="shared" si="29"/>
        <v>8.6578638888888892E-2</v>
      </c>
    </row>
    <row r="628" spans="1:9" x14ac:dyDescent="0.3">
      <c r="A628" s="23" t="s">
        <v>48</v>
      </c>
      <c r="B628" s="30" t="s">
        <v>99</v>
      </c>
      <c r="C628" s="19">
        <v>46245</v>
      </c>
      <c r="D628" s="13" t="s">
        <v>27</v>
      </c>
      <c r="E628" s="23">
        <v>1994</v>
      </c>
      <c r="F628" s="12">
        <v>0.19936000000000001</v>
      </c>
      <c r="G628" s="14">
        <v>4.55343E-2</v>
      </c>
      <c r="H628" s="15">
        <f t="shared" si="30"/>
        <v>0.35505961111111106</v>
      </c>
      <c r="I628" s="16">
        <f t="shared" si="29"/>
        <v>8.6578638888888892E-2</v>
      </c>
    </row>
    <row r="629" spans="1:9" x14ac:dyDescent="0.3">
      <c r="A629" s="23" t="s">
        <v>48</v>
      </c>
      <c r="B629" s="30" t="s">
        <v>99</v>
      </c>
      <c r="C629" s="19">
        <v>46245</v>
      </c>
      <c r="D629" s="13" t="s">
        <v>28</v>
      </c>
      <c r="E629" s="23">
        <v>1005</v>
      </c>
      <c r="F629" s="12">
        <v>0.26792700000000003</v>
      </c>
      <c r="G629" s="14">
        <v>5.9843399999999998E-2</v>
      </c>
      <c r="H629" s="15">
        <f t="shared" si="30"/>
        <v>0.35505961111111106</v>
      </c>
      <c r="I629" s="16">
        <f t="shared" si="29"/>
        <v>8.6578638888888892E-2</v>
      </c>
    </row>
    <row r="630" spans="1:9" x14ac:dyDescent="0.3">
      <c r="A630" s="23" t="s">
        <v>48</v>
      </c>
      <c r="B630" s="30" t="s">
        <v>99</v>
      </c>
      <c r="C630" s="19">
        <v>46245</v>
      </c>
      <c r="D630" s="13" t="s">
        <v>29</v>
      </c>
      <c r="E630" s="23">
        <v>1719</v>
      </c>
      <c r="F630" s="12">
        <v>0.38500800000000002</v>
      </c>
      <c r="G630" s="14">
        <v>8.0166000000000001E-2</v>
      </c>
      <c r="H630" s="15">
        <f t="shared" si="30"/>
        <v>0.35505961111111106</v>
      </c>
      <c r="I630" s="16">
        <f t="shared" si="29"/>
        <v>8.6578638888888892E-2</v>
      </c>
    </row>
    <row r="631" spans="1:9" x14ac:dyDescent="0.3">
      <c r="A631" s="23" t="s">
        <v>48</v>
      </c>
      <c r="B631" s="30" t="s">
        <v>99</v>
      </c>
      <c r="C631" s="19">
        <v>46245</v>
      </c>
      <c r="D631" s="13" t="s">
        <v>30</v>
      </c>
      <c r="E631" s="23">
        <v>1176</v>
      </c>
      <c r="F631" s="12">
        <v>0.45577899999999999</v>
      </c>
      <c r="G631" s="14">
        <v>9.1156100000000004E-2</v>
      </c>
      <c r="H631" s="15">
        <f t="shared" si="30"/>
        <v>0.35505961111111106</v>
      </c>
      <c r="I631" s="16">
        <f t="shared" si="29"/>
        <v>8.6578638888888892E-2</v>
      </c>
    </row>
    <row r="632" spans="1:9" x14ac:dyDescent="0.3">
      <c r="A632" s="23" t="s">
        <v>48</v>
      </c>
      <c r="B632" s="30" t="s">
        <v>100</v>
      </c>
      <c r="C632" s="19">
        <v>46245</v>
      </c>
      <c r="D632" s="13" t="s">
        <v>14</v>
      </c>
      <c r="E632" s="23">
        <v>1896</v>
      </c>
      <c r="F632" s="12">
        <v>0.73990800000000001</v>
      </c>
      <c r="G632" s="14">
        <v>0.20802999999999999</v>
      </c>
      <c r="H632" s="15">
        <f t="shared" si="30"/>
        <v>0.41515294444444445</v>
      </c>
      <c r="I632" s="16">
        <f t="shared" si="29"/>
        <v>0.10087679444444447</v>
      </c>
    </row>
    <row r="633" spans="1:9" x14ac:dyDescent="0.3">
      <c r="A633" s="23" t="s">
        <v>48</v>
      </c>
      <c r="B633" s="30" t="s">
        <v>100</v>
      </c>
      <c r="C633" s="19">
        <v>46245</v>
      </c>
      <c r="D633" s="13" t="s">
        <v>15</v>
      </c>
      <c r="E633" s="23">
        <v>2085</v>
      </c>
      <c r="F633" s="12">
        <v>0.52351599999999998</v>
      </c>
      <c r="G633" s="14">
        <v>0.13792099999999999</v>
      </c>
      <c r="H633" s="15">
        <f t="shared" si="30"/>
        <v>0.41515294444444445</v>
      </c>
      <c r="I633" s="16">
        <f t="shared" si="29"/>
        <v>0.10087679444444447</v>
      </c>
    </row>
    <row r="634" spans="1:9" x14ac:dyDescent="0.3">
      <c r="A634" s="23" t="s">
        <v>48</v>
      </c>
      <c r="B634" s="30" t="s">
        <v>100</v>
      </c>
      <c r="C634" s="19">
        <v>46245</v>
      </c>
      <c r="D634" s="13" t="s">
        <v>16</v>
      </c>
      <c r="E634" s="23">
        <v>1683</v>
      </c>
      <c r="F634" s="12">
        <v>0.47475299999999998</v>
      </c>
      <c r="G634" s="14">
        <v>0.111329</v>
      </c>
      <c r="H634" s="15">
        <f t="shared" si="30"/>
        <v>0.41515294444444445</v>
      </c>
      <c r="I634" s="16">
        <f t="shared" si="29"/>
        <v>0.10087679444444447</v>
      </c>
    </row>
    <row r="635" spans="1:9" x14ac:dyDescent="0.3">
      <c r="A635" s="23" t="s">
        <v>48</v>
      </c>
      <c r="B635" s="30" t="s">
        <v>100</v>
      </c>
      <c r="C635" s="19">
        <v>46245</v>
      </c>
      <c r="D635" s="13" t="s">
        <v>17</v>
      </c>
      <c r="E635" s="23">
        <v>2001</v>
      </c>
      <c r="F635" s="12">
        <v>0.56546600000000002</v>
      </c>
      <c r="G635" s="14">
        <v>0.111805</v>
      </c>
      <c r="H635" s="15">
        <f t="shared" si="30"/>
        <v>0.41515294444444445</v>
      </c>
      <c r="I635" s="16">
        <f t="shared" si="29"/>
        <v>0.10087679444444447</v>
      </c>
    </row>
    <row r="636" spans="1:9" x14ac:dyDescent="0.3">
      <c r="A636" s="23" t="s">
        <v>48</v>
      </c>
      <c r="B636" s="30" t="s">
        <v>100</v>
      </c>
      <c r="C636" s="19">
        <v>46245</v>
      </c>
      <c r="D636" s="13" t="s">
        <v>18</v>
      </c>
      <c r="E636" s="23">
        <v>2062</v>
      </c>
      <c r="F636" s="12">
        <v>0.23252100000000001</v>
      </c>
      <c r="G636" s="14">
        <v>5.5301599999999999E-2</v>
      </c>
      <c r="H636" s="15">
        <f t="shared" si="30"/>
        <v>0.41515294444444445</v>
      </c>
      <c r="I636" s="16">
        <f t="shared" si="29"/>
        <v>0.10087679444444447</v>
      </c>
    </row>
    <row r="637" spans="1:9" x14ac:dyDescent="0.3">
      <c r="A637" s="23" t="s">
        <v>48</v>
      </c>
      <c r="B637" s="30" t="s">
        <v>100</v>
      </c>
      <c r="C637" s="19">
        <v>46245</v>
      </c>
      <c r="D637" s="13" t="s">
        <v>19</v>
      </c>
      <c r="E637" s="23">
        <v>1596</v>
      </c>
      <c r="F637" s="12">
        <v>0.39438099999999998</v>
      </c>
      <c r="G637" s="14">
        <v>8.2907800000000004E-2</v>
      </c>
      <c r="H637" s="15">
        <f t="shared" si="30"/>
        <v>0.41515294444444445</v>
      </c>
      <c r="I637" s="16">
        <f t="shared" si="29"/>
        <v>0.10087679444444447</v>
      </c>
    </row>
    <row r="638" spans="1:9" x14ac:dyDescent="0.3">
      <c r="A638" s="23" t="s">
        <v>48</v>
      </c>
      <c r="B638" s="30" t="s">
        <v>100</v>
      </c>
      <c r="C638" s="19">
        <v>46245</v>
      </c>
      <c r="D638" s="13" t="s">
        <v>20</v>
      </c>
      <c r="E638" s="23">
        <v>1522</v>
      </c>
      <c r="F638" s="12">
        <v>0.40736699999999998</v>
      </c>
      <c r="G638" s="14">
        <v>8.5178599999999993E-2</v>
      </c>
      <c r="H638" s="15">
        <f t="shared" si="30"/>
        <v>0.41515294444444445</v>
      </c>
      <c r="I638" s="16">
        <f t="shared" si="29"/>
        <v>0.10087679444444447</v>
      </c>
    </row>
    <row r="639" spans="1:9" x14ac:dyDescent="0.3">
      <c r="A639" s="23" t="s">
        <v>48</v>
      </c>
      <c r="B639" s="30" t="s">
        <v>100</v>
      </c>
      <c r="C639" s="19">
        <v>46245</v>
      </c>
      <c r="D639" s="13" t="s">
        <v>40</v>
      </c>
      <c r="E639" s="23">
        <v>1051</v>
      </c>
      <c r="F639" s="12">
        <v>0.23259199999999999</v>
      </c>
      <c r="G639" s="14">
        <v>7.0458099999999996E-2</v>
      </c>
      <c r="H639" s="15">
        <f t="shared" si="30"/>
        <v>0.41515294444444445</v>
      </c>
      <c r="I639" s="16">
        <f t="shared" si="29"/>
        <v>0.10087679444444447</v>
      </c>
    </row>
    <row r="640" spans="1:9" x14ac:dyDescent="0.3">
      <c r="A640" s="23" t="s">
        <v>48</v>
      </c>
      <c r="B640" s="30" t="s">
        <v>100</v>
      </c>
      <c r="C640" s="19">
        <v>46245</v>
      </c>
      <c r="D640" s="13" t="s">
        <v>21</v>
      </c>
      <c r="E640" s="23">
        <v>3031</v>
      </c>
      <c r="F640" s="12">
        <v>0.54395899999999997</v>
      </c>
      <c r="G640" s="14">
        <v>0.10575900000000001</v>
      </c>
      <c r="H640" s="15">
        <f t="shared" si="30"/>
        <v>0.41515294444444445</v>
      </c>
      <c r="I640" s="16">
        <f t="shared" si="29"/>
        <v>0.10087679444444447</v>
      </c>
    </row>
    <row r="641" spans="1:9" x14ac:dyDescent="0.3">
      <c r="A641" s="23" t="s">
        <v>48</v>
      </c>
      <c r="B641" s="30" t="s">
        <v>100</v>
      </c>
      <c r="C641" s="19">
        <v>46245</v>
      </c>
      <c r="D641" s="13" t="s">
        <v>22</v>
      </c>
      <c r="E641" s="23">
        <v>2042</v>
      </c>
      <c r="F641" s="12">
        <v>0.49671900000000002</v>
      </c>
      <c r="G641" s="14">
        <v>0.13489799999999999</v>
      </c>
      <c r="H641" s="15">
        <f t="shared" si="30"/>
        <v>0.41515294444444445</v>
      </c>
      <c r="I641" s="16">
        <f t="shared" si="29"/>
        <v>0.10087679444444447</v>
      </c>
    </row>
    <row r="642" spans="1:9" x14ac:dyDescent="0.3">
      <c r="A642" s="23" t="s">
        <v>48</v>
      </c>
      <c r="B642" s="30" t="s">
        <v>100</v>
      </c>
      <c r="C642" s="19">
        <v>46245</v>
      </c>
      <c r="D642" s="13" t="s">
        <v>23</v>
      </c>
      <c r="E642" s="23">
        <v>1118</v>
      </c>
      <c r="F642" s="12">
        <v>0.36133900000000002</v>
      </c>
      <c r="G642" s="14">
        <v>0.118544</v>
      </c>
      <c r="H642" s="15">
        <f t="shared" si="30"/>
        <v>0.41515294444444445</v>
      </c>
      <c r="I642" s="16">
        <f t="shared" si="29"/>
        <v>0.10087679444444447</v>
      </c>
    </row>
    <row r="643" spans="1:9" x14ac:dyDescent="0.3">
      <c r="A643" s="23" t="s">
        <v>48</v>
      </c>
      <c r="B643" s="30" t="s">
        <v>100</v>
      </c>
      <c r="C643" s="19">
        <v>46245</v>
      </c>
      <c r="D643" s="13" t="s">
        <v>24</v>
      </c>
      <c r="E643" s="23">
        <v>2336</v>
      </c>
      <c r="F643" s="12">
        <v>0.185832</v>
      </c>
      <c r="G643" s="14">
        <v>5.7234899999999998E-2</v>
      </c>
      <c r="H643" s="15">
        <f t="shared" si="30"/>
        <v>0.41515294444444445</v>
      </c>
      <c r="I643" s="16">
        <f t="shared" ref="I643:I706" si="31">IFERROR(AVERAGEIFS($G:$G, $A:$A, $A643, $B:$B,$B643, $C:$C,$C643),"")</f>
        <v>0.10087679444444447</v>
      </c>
    </row>
    <row r="644" spans="1:9" x14ac:dyDescent="0.3">
      <c r="A644" s="23" t="s">
        <v>48</v>
      </c>
      <c r="B644" s="30" t="s">
        <v>100</v>
      </c>
      <c r="C644" s="19">
        <v>46245</v>
      </c>
      <c r="D644" s="13" t="s">
        <v>25</v>
      </c>
      <c r="E644" s="23">
        <v>1003</v>
      </c>
      <c r="F644" s="12">
        <v>0.347692</v>
      </c>
      <c r="G644" s="14">
        <v>8.3616700000000002E-2</v>
      </c>
      <c r="H644" s="15">
        <f t="shared" si="30"/>
        <v>0.41515294444444445</v>
      </c>
      <c r="I644" s="16">
        <f t="shared" si="31"/>
        <v>0.10087679444444447</v>
      </c>
    </row>
    <row r="645" spans="1:9" x14ac:dyDescent="0.3">
      <c r="A645" s="23" t="s">
        <v>48</v>
      </c>
      <c r="B645" s="30" t="s">
        <v>100</v>
      </c>
      <c r="C645" s="19">
        <v>46245</v>
      </c>
      <c r="D645" s="13" t="s">
        <v>26</v>
      </c>
      <c r="E645" s="23">
        <v>1995</v>
      </c>
      <c r="F645" s="12">
        <v>0.28189399999999998</v>
      </c>
      <c r="G645" s="14">
        <v>9.0622499999999995E-2</v>
      </c>
      <c r="H645" s="15">
        <f t="shared" si="30"/>
        <v>0.41515294444444445</v>
      </c>
      <c r="I645" s="16">
        <f t="shared" si="31"/>
        <v>0.10087679444444447</v>
      </c>
    </row>
    <row r="646" spans="1:9" x14ac:dyDescent="0.3">
      <c r="A646" s="23" t="s">
        <v>48</v>
      </c>
      <c r="B646" s="30" t="s">
        <v>100</v>
      </c>
      <c r="C646" s="19">
        <v>46245</v>
      </c>
      <c r="D646" s="13" t="s">
        <v>27</v>
      </c>
      <c r="E646" s="23">
        <v>2073</v>
      </c>
      <c r="F646" s="12">
        <v>0.38163799999999998</v>
      </c>
      <c r="G646" s="14">
        <v>8.6526599999999995E-2</v>
      </c>
      <c r="H646" s="15">
        <f t="shared" si="30"/>
        <v>0.41515294444444445</v>
      </c>
      <c r="I646" s="16">
        <f t="shared" si="31"/>
        <v>0.10087679444444447</v>
      </c>
    </row>
    <row r="647" spans="1:9" x14ac:dyDescent="0.3">
      <c r="A647" s="23" t="s">
        <v>48</v>
      </c>
      <c r="B647" s="30" t="s">
        <v>100</v>
      </c>
      <c r="C647" s="19">
        <v>46245</v>
      </c>
      <c r="D647" s="13" t="s">
        <v>28</v>
      </c>
      <c r="E647" s="23">
        <v>1263</v>
      </c>
      <c r="F647" s="12">
        <v>0.48612899999999998</v>
      </c>
      <c r="G647" s="14">
        <v>0.10904700000000001</v>
      </c>
      <c r="H647" s="15">
        <f t="shared" si="30"/>
        <v>0.41515294444444445</v>
      </c>
      <c r="I647" s="16">
        <f t="shared" si="31"/>
        <v>0.10087679444444447</v>
      </c>
    </row>
    <row r="648" spans="1:9" x14ac:dyDescent="0.3">
      <c r="A648" s="23" t="s">
        <v>48</v>
      </c>
      <c r="B648" s="30" t="s">
        <v>100</v>
      </c>
      <c r="C648" s="19">
        <v>46245</v>
      </c>
      <c r="D648" s="13" t="s">
        <v>29</v>
      </c>
      <c r="E648" s="23">
        <v>1530</v>
      </c>
      <c r="F648" s="12">
        <v>0.38460699999999998</v>
      </c>
      <c r="G648" s="14">
        <v>7.9613299999999998E-2</v>
      </c>
      <c r="H648" s="15">
        <f t="shared" si="30"/>
        <v>0.41515294444444445</v>
      </c>
      <c r="I648" s="16">
        <f t="shared" si="31"/>
        <v>0.10087679444444447</v>
      </c>
    </row>
    <row r="649" spans="1:9" x14ac:dyDescent="0.3">
      <c r="A649" s="23" t="s">
        <v>48</v>
      </c>
      <c r="B649" s="30" t="s">
        <v>100</v>
      </c>
      <c r="C649" s="19">
        <v>46245</v>
      </c>
      <c r="D649" s="13" t="s">
        <v>30</v>
      </c>
      <c r="E649" s="23">
        <v>1215</v>
      </c>
      <c r="F649" s="12">
        <v>0.43243999999999999</v>
      </c>
      <c r="G649" s="14">
        <v>8.6989200000000003E-2</v>
      </c>
      <c r="H649" s="15">
        <f t="shared" si="30"/>
        <v>0.41515294444444445</v>
      </c>
      <c r="I649" s="16">
        <f t="shared" si="31"/>
        <v>0.10087679444444447</v>
      </c>
    </row>
    <row r="650" spans="1:9" x14ac:dyDescent="0.3">
      <c r="A650" s="23" t="s">
        <v>48</v>
      </c>
      <c r="B650" s="30" t="s">
        <v>117</v>
      </c>
      <c r="C650" s="19">
        <v>46246</v>
      </c>
      <c r="D650" s="13" t="s">
        <v>14</v>
      </c>
      <c r="E650" s="23">
        <v>2348</v>
      </c>
      <c r="F650" s="12">
        <v>0.54677100000000001</v>
      </c>
      <c r="G650" s="14">
        <v>0.15378</v>
      </c>
      <c r="H650" s="15">
        <f t="shared" si="30"/>
        <v>0.4116781764705883</v>
      </c>
      <c r="I650" s="16">
        <f t="shared" si="31"/>
        <v>0.1005493294117647</v>
      </c>
    </row>
    <row r="651" spans="1:9" x14ac:dyDescent="0.3">
      <c r="A651" s="23" t="s">
        <v>48</v>
      </c>
      <c r="B651" s="30" t="s">
        <v>117</v>
      </c>
      <c r="C651" s="19">
        <v>46246</v>
      </c>
      <c r="D651" s="13" t="s">
        <v>15</v>
      </c>
      <c r="E651" s="23">
        <v>2176</v>
      </c>
      <c r="F651" s="12">
        <v>0.46421200000000001</v>
      </c>
      <c r="G651" s="14">
        <v>0.122298</v>
      </c>
      <c r="H651" s="15">
        <f t="shared" si="30"/>
        <v>0.4116781764705883</v>
      </c>
      <c r="I651" s="16">
        <f t="shared" si="31"/>
        <v>0.1005493294117647</v>
      </c>
    </row>
    <row r="652" spans="1:9" x14ac:dyDescent="0.3">
      <c r="A652" s="23" t="s">
        <v>48</v>
      </c>
      <c r="B652" s="30" t="s">
        <v>117</v>
      </c>
      <c r="C652" s="19">
        <v>46246</v>
      </c>
      <c r="D652" s="13" t="s">
        <v>16</v>
      </c>
      <c r="E652" s="23">
        <v>1567</v>
      </c>
      <c r="F652" s="12">
        <v>0.46888000000000002</v>
      </c>
      <c r="G652" s="14">
        <v>0.11</v>
      </c>
      <c r="H652" s="15">
        <f t="shared" si="30"/>
        <v>0.4116781764705883</v>
      </c>
      <c r="I652" s="16">
        <f t="shared" si="31"/>
        <v>0.1005493294117647</v>
      </c>
    </row>
    <row r="653" spans="1:9" x14ac:dyDescent="0.3">
      <c r="A653" s="23" t="s">
        <v>48</v>
      </c>
      <c r="B653" s="30" t="s">
        <v>117</v>
      </c>
      <c r="C653" s="19">
        <v>46246</v>
      </c>
      <c r="D653" s="13" t="s">
        <v>17</v>
      </c>
      <c r="E653" s="23">
        <v>1880</v>
      </c>
      <c r="F653" s="12">
        <v>0.58531599999999995</v>
      </c>
      <c r="G653" s="14">
        <v>0.11579100000000001</v>
      </c>
      <c r="H653" s="15">
        <f t="shared" si="30"/>
        <v>0.4116781764705883</v>
      </c>
      <c r="I653" s="16">
        <f t="shared" si="31"/>
        <v>0.1005493294117647</v>
      </c>
    </row>
    <row r="654" spans="1:9" x14ac:dyDescent="0.3">
      <c r="A654" s="23" t="s">
        <v>48</v>
      </c>
      <c r="B654" s="30" t="s">
        <v>117</v>
      </c>
      <c r="C654" s="19">
        <v>46246</v>
      </c>
      <c r="D654" s="13" t="s">
        <v>18</v>
      </c>
      <c r="E654" s="23">
        <v>1717</v>
      </c>
      <c r="F654" s="12">
        <v>0.29761900000000002</v>
      </c>
      <c r="G654" s="14">
        <v>7.0785699999999993E-2</v>
      </c>
      <c r="H654" s="15">
        <f t="shared" si="30"/>
        <v>0.4116781764705883</v>
      </c>
      <c r="I654" s="16">
        <f t="shared" si="31"/>
        <v>0.1005493294117647</v>
      </c>
    </row>
    <row r="655" spans="1:9" x14ac:dyDescent="0.3">
      <c r="A655" s="23" t="s">
        <v>48</v>
      </c>
      <c r="B655" s="30" t="s">
        <v>117</v>
      </c>
      <c r="C655" s="19">
        <v>46246</v>
      </c>
      <c r="D655" s="13" t="s">
        <v>19</v>
      </c>
      <c r="E655" s="23">
        <v>1730</v>
      </c>
      <c r="F655" s="12">
        <v>0.46961199999999997</v>
      </c>
      <c r="G655" s="14">
        <v>9.8766300000000001E-2</v>
      </c>
      <c r="H655" s="15">
        <f t="shared" si="30"/>
        <v>0.4116781764705883</v>
      </c>
      <c r="I655" s="16">
        <f t="shared" si="31"/>
        <v>0.1005493294117647</v>
      </c>
    </row>
    <row r="656" spans="1:9" x14ac:dyDescent="0.3">
      <c r="A656" s="23" t="s">
        <v>48</v>
      </c>
      <c r="B656" s="30" t="s">
        <v>117</v>
      </c>
      <c r="C656" s="19">
        <v>46246</v>
      </c>
      <c r="D656" s="13" t="s">
        <v>20</v>
      </c>
      <c r="E656" s="23">
        <v>1802</v>
      </c>
      <c r="F656" s="12">
        <v>0.53190300000000001</v>
      </c>
      <c r="G656" s="14">
        <v>0.111232</v>
      </c>
      <c r="H656" s="15">
        <f t="shared" si="30"/>
        <v>0.4116781764705883</v>
      </c>
      <c r="I656" s="16">
        <f t="shared" si="31"/>
        <v>0.1005493294117647</v>
      </c>
    </row>
    <row r="657" spans="1:9" x14ac:dyDescent="0.3">
      <c r="A657" s="23" t="s">
        <v>48</v>
      </c>
      <c r="B657" s="30" t="s">
        <v>117</v>
      </c>
      <c r="C657" s="19">
        <v>46246</v>
      </c>
      <c r="D657" s="13" t="s">
        <v>40</v>
      </c>
      <c r="E657" s="23">
        <v>1005</v>
      </c>
      <c r="F657" s="12">
        <v>0.28840100000000002</v>
      </c>
      <c r="G657" s="14">
        <v>8.7373300000000001E-2</v>
      </c>
      <c r="H657" s="15">
        <f t="shared" si="30"/>
        <v>0.4116781764705883</v>
      </c>
      <c r="I657" s="16">
        <f t="shared" si="31"/>
        <v>0.1005493294117647</v>
      </c>
    </row>
    <row r="658" spans="1:9" x14ac:dyDescent="0.3">
      <c r="A658" s="23" t="s">
        <v>48</v>
      </c>
      <c r="B658" s="30" t="s">
        <v>117</v>
      </c>
      <c r="C658" s="19">
        <v>46246</v>
      </c>
      <c r="D658" s="13" t="s">
        <v>21</v>
      </c>
      <c r="E658" s="23">
        <v>2969</v>
      </c>
      <c r="F658" s="12">
        <v>0.499108</v>
      </c>
      <c r="G658" s="14">
        <v>9.7145800000000004E-2</v>
      </c>
      <c r="H658" s="15">
        <f t="shared" si="30"/>
        <v>0.4116781764705883</v>
      </c>
      <c r="I658" s="16">
        <f t="shared" si="31"/>
        <v>0.1005493294117647</v>
      </c>
    </row>
    <row r="659" spans="1:9" x14ac:dyDescent="0.3">
      <c r="A659" s="23" t="s">
        <v>48</v>
      </c>
      <c r="B659" s="30" t="s">
        <v>117</v>
      </c>
      <c r="C659" s="19">
        <v>46246</v>
      </c>
      <c r="D659" s="13" t="s">
        <v>22</v>
      </c>
      <c r="E659" s="23">
        <v>2565</v>
      </c>
      <c r="F659" s="12">
        <v>0.51789600000000002</v>
      </c>
      <c r="G659" s="14">
        <v>0.140738</v>
      </c>
      <c r="H659" s="15">
        <f t="shared" si="30"/>
        <v>0.4116781764705883</v>
      </c>
      <c r="I659" s="16">
        <f t="shared" si="31"/>
        <v>0.1005493294117647</v>
      </c>
    </row>
    <row r="660" spans="1:9" x14ac:dyDescent="0.3">
      <c r="A660" s="23" t="s">
        <v>48</v>
      </c>
      <c r="B660" s="30" t="s">
        <v>117</v>
      </c>
      <c r="C660" s="19">
        <v>46246</v>
      </c>
      <c r="D660" s="13" t="s">
        <v>23</v>
      </c>
      <c r="E660" s="23">
        <v>1170</v>
      </c>
      <c r="F660" s="12">
        <v>0.43598399999999998</v>
      </c>
      <c r="G660" s="14">
        <v>0.14308499999999999</v>
      </c>
      <c r="H660" s="15">
        <f t="shared" si="30"/>
        <v>0.4116781764705883</v>
      </c>
      <c r="I660" s="16">
        <f t="shared" si="31"/>
        <v>0.1005493294117647</v>
      </c>
    </row>
    <row r="661" spans="1:9" x14ac:dyDescent="0.3">
      <c r="A661" s="23" t="s">
        <v>48</v>
      </c>
      <c r="B661" s="30" t="s">
        <v>117</v>
      </c>
      <c r="C661" s="19">
        <v>46246</v>
      </c>
      <c r="D661" s="13" t="s">
        <v>24</v>
      </c>
      <c r="E661" s="23">
        <v>2354</v>
      </c>
      <c r="F661" s="12">
        <v>0.179782</v>
      </c>
      <c r="G661" s="14">
        <v>5.5398599999999999E-2</v>
      </c>
      <c r="H661" s="15">
        <f t="shared" si="30"/>
        <v>0.4116781764705883</v>
      </c>
      <c r="I661" s="16">
        <f t="shared" si="31"/>
        <v>0.1005493294117647</v>
      </c>
    </row>
    <row r="662" spans="1:9" x14ac:dyDescent="0.3">
      <c r="A662" s="23" t="s">
        <v>48</v>
      </c>
      <c r="B662" s="30" t="s">
        <v>117</v>
      </c>
      <c r="C662" s="19">
        <v>46246</v>
      </c>
      <c r="D662" s="13" t="s">
        <v>25</v>
      </c>
      <c r="E662" s="23">
        <v>1008</v>
      </c>
      <c r="F662" s="12">
        <v>0.209753</v>
      </c>
      <c r="G662" s="14">
        <v>5.0472500000000003E-2</v>
      </c>
      <c r="H662" s="15">
        <f t="shared" si="30"/>
        <v>0.4116781764705883</v>
      </c>
      <c r="I662" s="16">
        <f t="shared" si="31"/>
        <v>0.1005493294117647</v>
      </c>
    </row>
    <row r="663" spans="1:9" x14ac:dyDescent="0.3">
      <c r="A663" s="23" t="s">
        <v>48</v>
      </c>
      <c r="B663" s="30" t="s">
        <v>117</v>
      </c>
      <c r="C663" s="19">
        <v>46246</v>
      </c>
      <c r="D663" s="13" t="s">
        <v>26</v>
      </c>
      <c r="E663" s="23">
        <v>2394</v>
      </c>
      <c r="F663" s="12">
        <v>0.20902899999999999</v>
      </c>
      <c r="G663" s="14">
        <v>6.7221799999999998E-2</v>
      </c>
      <c r="H663" s="15">
        <f t="shared" si="30"/>
        <v>0.4116781764705883</v>
      </c>
      <c r="I663" s="16">
        <f t="shared" si="31"/>
        <v>0.1005493294117647</v>
      </c>
    </row>
    <row r="664" spans="1:9" x14ac:dyDescent="0.3">
      <c r="A664" s="23" t="s">
        <v>48</v>
      </c>
      <c r="B664" s="30" t="s">
        <v>117</v>
      </c>
      <c r="C664" s="19">
        <v>46246</v>
      </c>
      <c r="D664" s="13" t="s">
        <v>27</v>
      </c>
      <c r="E664" s="23">
        <v>2680</v>
      </c>
      <c r="F664" s="12">
        <v>0.32789000000000001</v>
      </c>
      <c r="G664" s="14">
        <v>7.4444999999999997E-2</v>
      </c>
      <c r="H664" s="15">
        <f t="shared" si="30"/>
        <v>0.4116781764705883</v>
      </c>
      <c r="I664" s="16">
        <f t="shared" si="31"/>
        <v>0.1005493294117647</v>
      </c>
    </row>
    <row r="665" spans="1:9" x14ac:dyDescent="0.3">
      <c r="A665" s="23" t="s">
        <v>48</v>
      </c>
      <c r="B665" s="30" t="s">
        <v>117</v>
      </c>
      <c r="C665" s="19">
        <v>46246</v>
      </c>
      <c r="D665" s="13" t="s">
        <v>28</v>
      </c>
      <c r="E665" s="23">
        <v>1414</v>
      </c>
      <c r="F665" s="12">
        <v>0.61062700000000003</v>
      </c>
      <c r="G665" s="14">
        <v>0.13713400000000001</v>
      </c>
      <c r="H665" s="15">
        <f t="shared" si="30"/>
        <v>0.4116781764705883</v>
      </c>
      <c r="I665" s="16">
        <f t="shared" si="31"/>
        <v>0.1005493294117647</v>
      </c>
    </row>
    <row r="666" spans="1:9" x14ac:dyDescent="0.3">
      <c r="A666" s="23" t="s">
        <v>48</v>
      </c>
      <c r="B666" s="30" t="s">
        <v>117</v>
      </c>
      <c r="C666" s="19">
        <v>46246</v>
      </c>
      <c r="D666" s="13" t="s">
        <v>29</v>
      </c>
      <c r="E666" s="23">
        <v>1417</v>
      </c>
      <c r="F666" s="12">
        <v>0.35574600000000001</v>
      </c>
      <c r="G666" s="14">
        <v>7.3671600000000004E-2</v>
      </c>
      <c r="H666" s="15">
        <f t="shared" si="30"/>
        <v>0.4116781764705883</v>
      </c>
      <c r="I666" s="16">
        <f t="shared" si="31"/>
        <v>0.1005493294117647</v>
      </c>
    </row>
    <row r="667" spans="1:9" x14ac:dyDescent="0.3">
      <c r="A667" s="23" t="s">
        <v>48</v>
      </c>
      <c r="B667" s="30" t="s">
        <v>117</v>
      </c>
      <c r="C667" s="19">
        <v>46245</v>
      </c>
      <c r="D667" s="13" t="s">
        <v>30</v>
      </c>
      <c r="E667" s="23">
        <v>1059</v>
      </c>
      <c r="F667" s="12">
        <v>0.50414300000000001</v>
      </c>
      <c r="G667" s="14">
        <v>0.10145899999999999</v>
      </c>
      <c r="H667" s="15">
        <f t="shared" si="30"/>
        <v>0.50414300000000001</v>
      </c>
      <c r="I667" s="16">
        <f t="shared" si="31"/>
        <v>0.10145899999999999</v>
      </c>
    </row>
    <row r="668" spans="1:9" x14ac:dyDescent="0.3">
      <c r="A668" s="23" t="s">
        <v>48</v>
      </c>
      <c r="B668" s="30" t="s">
        <v>118</v>
      </c>
      <c r="C668" s="19">
        <v>46245</v>
      </c>
      <c r="D668" s="13" t="s">
        <v>14</v>
      </c>
      <c r="E668" s="23">
        <v>1686</v>
      </c>
      <c r="F668" s="12">
        <v>0.23603099999999999</v>
      </c>
      <c r="G668" s="14">
        <v>6.6376599999999994E-2</v>
      </c>
      <c r="H668" s="15">
        <f t="shared" si="30"/>
        <v>0.29446205555555549</v>
      </c>
      <c r="I668" s="16">
        <f t="shared" si="31"/>
        <v>7.1127172222222229E-2</v>
      </c>
    </row>
    <row r="669" spans="1:9" x14ac:dyDescent="0.3">
      <c r="A669" s="23" t="s">
        <v>48</v>
      </c>
      <c r="B669" s="30" t="s">
        <v>118</v>
      </c>
      <c r="C669" s="19">
        <v>46245</v>
      </c>
      <c r="D669" s="13" t="s">
        <v>15</v>
      </c>
      <c r="E669" s="23">
        <v>1429</v>
      </c>
      <c r="F669" s="12">
        <v>0.31043999999999999</v>
      </c>
      <c r="G669" s="14">
        <v>8.1778699999999996E-2</v>
      </c>
      <c r="H669" s="15">
        <f t="shared" si="30"/>
        <v>0.29446205555555549</v>
      </c>
      <c r="I669" s="16">
        <f t="shared" si="31"/>
        <v>7.1127172222222229E-2</v>
      </c>
    </row>
    <row r="670" spans="1:9" x14ac:dyDescent="0.3">
      <c r="A670" s="23" t="s">
        <v>48</v>
      </c>
      <c r="B670" s="30" t="s">
        <v>118</v>
      </c>
      <c r="C670" s="19">
        <v>46245</v>
      </c>
      <c r="D670" s="13" t="s">
        <v>16</v>
      </c>
      <c r="E670" s="23">
        <v>1219</v>
      </c>
      <c r="F670" s="12">
        <v>0.35947299999999999</v>
      </c>
      <c r="G670" s="14">
        <v>8.4297800000000006E-2</v>
      </c>
      <c r="H670" s="15">
        <f t="shared" si="30"/>
        <v>0.29446205555555549</v>
      </c>
      <c r="I670" s="16">
        <f t="shared" si="31"/>
        <v>7.1127172222222229E-2</v>
      </c>
    </row>
    <row r="671" spans="1:9" x14ac:dyDescent="0.3">
      <c r="A671" s="23" t="s">
        <v>48</v>
      </c>
      <c r="B671" s="30" t="s">
        <v>118</v>
      </c>
      <c r="C671" s="19">
        <v>46245</v>
      </c>
      <c r="D671" s="13" t="s">
        <v>17</v>
      </c>
      <c r="E671" s="23">
        <v>1555</v>
      </c>
      <c r="F671" s="12">
        <v>0.35539700000000002</v>
      </c>
      <c r="G671" s="14">
        <v>7.0301799999999998E-2</v>
      </c>
      <c r="H671" s="15">
        <f t="shared" si="30"/>
        <v>0.29446205555555549</v>
      </c>
      <c r="I671" s="16">
        <f t="shared" si="31"/>
        <v>7.1127172222222229E-2</v>
      </c>
    </row>
    <row r="672" spans="1:9" x14ac:dyDescent="0.3">
      <c r="A672" s="23" t="s">
        <v>48</v>
      </c>
      <c r="B672" s="30" t="s">
        <v>118</v>
      </c>
      <c r="C672" s="19">
        <v>46245</v>
      </c>
      <c r="D672" s="13" t="s">
        <v>18</v>
      </c>
      <c r="E672" s="23">
        <v>1577</v>
      </c>
      <c r="F672" s="12">
        <v>0.23039799999999999</v>
      </c>
      <c r="G672" s="14">
        <v>5.4779300000000003E-2</v>
      </c>
      <c r="H672" s="15">
        <f t="shared" si="30"/>
        <v>0.29446205555555549</v>
      </c>
      <c r="I672" s="16">
        <f t="shared" si="31"/>
        <v>7.1127172222222229E-2</v>
      </c>
    </row>
    <row r="673" spans="1:9" x14ac:dyDescent="0.3">
      <c r="A673" s="23" t="s">
        <v>48</v>
      </c>
      <c r="B673" s="30" t="s">
        <v>118</v>
      </c>
      <c r="C673" s="19">
        <v>46245</v>
      </c>
      <c r="D673" s="13" t="s">
        <v>19</v>
      </c>
      <c r="E673" s="23">
        <v>1707</v>
      </c>
      <c r="F673" s="12">
        <v>0.29862</v>
      </c>
      <c r="G673" s="14">
        <v>6.2764899999999998E-2</v>
      </c>
      <c r="H673" s="15">
        <f t="shared" si="30"/>
        <v>0.29446205555555549</v>
      </c>
      <c r="I673" s="16">
        <f t="shared" si="31"/>
        <v>7.1127172222222229E-2</v>
      </c>
    </row>
    <row r="674" spans="1:9" x14ac:dyDescent="0.3">
      <c r="A674" s="23" t="s">
        <v>48</v>
      </c>
      <c r="B674" s="30" t="s">
        <v>118</v>
      </c>
      <c r="C674" s="19">
        <v>46245</v>
      </c>
      <c r="D674" s="13" t="s">
        <v>20</v>
      </c>
      <c r="E674" s="23">
        <v>1620</v>
      </c>
      <c r="F674" s="12">
        <v>0.31660899999999997</v>
      </c>
      <c r="G674" s="14">
        <v>6.6205399999999998E-2</v>
      </c>
      <c r="H674" s="15">
        <f t="shared" si="30"/>
        <v>0.29446205555555549</v>
      </c>
      <c r="I674" s="16">
        <f t="shared" si="31"/>
        <v>7.1127172222222229E-2</v>
      </c>
    </row>
    <row r="675" spans="1:9" x14ac:dyDescent="0.3">
      <c r="A675" s="23" t="s">
        <v>48</v>
      </c>
      <c r="B675" s="30" t="s">
        <v>118</v>
      </c>
      <c r="C675" s="19">
        <v>46245</v>
      </c>
      <c r="D675" s="13" t="s">
        <v>40</v>
      </c>
      <c r="E675" s="23">
        <v>1086</v>
      </c>
      <c r="F675" s="12">
        <v>0.17760999999999999</v>
      </c>
      <c r="G675" s="14">
        <v>5.3806699999999999E-2</v>
      </c>
      <c r="H675" s="15">
        <f t="shared" si="30"/>
        <v>0.29446205555555549</v>
      </c>
      <c r="I675" s="16">
        <f t="shared" si="31"/>
        <v>7.1127172222222229E-2</v>
      </c>
    </row>
    <row r="676" spans="1:9" x14ac:dyDescent="0.3">
      <c r="A676" s="23" t="s">
        <v>48</v>
      </c>
      <c r="B676" s="30" t="s">
        <v>118</v>
      </c>
      <c r="C676" s="19">
        <v>46245</v>
      </c>
      <c r="D676" s="13" t="s">
        <v>21</v>
      </c>
      <c r="E676" s="23">
        <v>2811</v>
      </c>
      <c r="F676" s="12">
        <v>0.44070599999999999</v>
      </c>
      <c r="G676" s="14">
        <v>8.5721500000000006E-2</v>
      </c>
      <c r="H676" s="15">
        <f t="shared" si="30"/>
        <v>0.29446205555555549</v>
      </c>
      <c r="I676" s="16">
        <f t="shared" si="31"/>
        <v>7.1127172222222229E-2</v>
      </c>
    </row>
    <row r="677" spans="1:9" x14ac:dyDescent="0.3">
      <c r="A677" s="23" t="s">
        <v>48</v>
      </c>
      <c r="B677" s="30" t="s">
        <v>118</v>
      </c>
      <c r="C677" s="19">
        <v>46245</v>
      </c>
      <c r="D677" s="13" t="s">
        <v>22</v>
      </c>
      <c r="E677" s="23">
        <v>1428</v>
      </c>
      <c r="F677" s="12">
        <v>0.27465800000000001</v>
      </c>
      <c r="G677" s="14">
        <v>7.4579599999999996E-2</v>
      </c>
      <c r="H677" s="15">
        <f t="shared" si="30"/>
        <v>0.29446205555555549</v>
      </c>
      <c r="I677" s="16">
        <f t="shared" si="31"/>
        <v>7.1127172222222229E-2</v>
      </c>
    </row>
    <row r="678" spans="1:9" x14ac:dyDescent="0.3">
      <c r="A678" s="23" t="s">
        <v>48</v>
      </c>
      <c r="B678" s="30" t="s">
        <v>118</v>
      </c>
      <c r="C678" s="19">
        <v>46245</v>
      </c>
      <c r="D678" s="13" t="s">
        <v>23</v>
      </c>
      <c r="E678" s="23">
        <v>1303</v>
      </c>
      <c r="F678" s="12">
        <v>0.34468399999999999</v>
      </c>
      <c r="G678" s="14">
        <v>0.113124</v>
      </c>
      <c r="H678" s="15">
        <f t="shared" ref="H678:H741" si="32">IFERROR(AVERAGEIFS($F:$F, $A:$A, $A678, $B:$B,$B678, $C:$C,$C678),"")</f>
        <v>0.29446205555555549</v>
      </c>
      <c r="I678" s="16">
        <f t="shared" si="31"/>
        <v>7.1127172222222229E-2</v>
      </c>
    </row>
    <row r="679" spans="1:9" x14ac:dyDescent="0.3">
      <c r="A679" s="23" t="s">
        <v>48</v>
      </c>
      <c r="B679" s="30" t="s">
        <v>118</v>
      </c>
      <c r="C679" s="19">
        <v>46245</v>
      </c>
      <c r="D679" s="13" t="s">
        <v>24</v>
      </c>
      <c r="E679" s="23">
        <v>2032</v>
      </c>
      <c r="F679" s="12">
        <v>0.21449599999999999</v>
      </c>
      <c r="G679" s="14">
        <v>6.61027E-2</v>
      </c>
      <c r="H679" s="15">
        <f t="shared" si="32"/>
        <v>0.29446205555555549</v>
      </c>
      <c r="I679" s="16">
        <f t="shared" si="31"/>
        <v>7.1127172222222229E-2</v>
      </c>
    </row>
    <row r="680" spans="1:9" x14ac:dyDescent="0.3">
      <c r="A680" s="23" t="s">
        <v>48</v>
      </c>
      <c r="B680" s="30" t="s">
        <v>118</v>
      </c>
      <c r="C680" s="19">
        <v>46245</v>
      </c>
      <c r="D680" s="13" t="s">
        <v>25</v>
      </c>
      <c r="E680" s="23">
        <v>1005</v>
      </c>
      <c r="F680" s="12">
        <v>0.29615900000000001</v>
      </c>
      <c r="G680" s="14">
        <v>7.1340799999999996E-2</v>
      </c>
      <c r="H680" s="15">
        <f t="shared" si="32"/>
        <v>0.29446205555555549</v>
      </c>
      <c r="I680" s="16">
        <f t="shared" si="31"/>
        <v>7.1127172222222229E-2</v>
      </c>
    </row>
    <row r="681" spans="1:9" x14ac:dyDescent="0.3">
      <c r="A681" s="23" t="s">
        <v>48</v>
      </c>
      <c r="B681" s="30" t="s">
        <v>118</v>
      </c>
      <c r="C681" s="19">
        <v>46245</v>
      </c>
      <c r="D681" s="13" t="s">
        <v>26</v>
      </c>
      <c r="E681" s="23">
        <v>1311</v>
      </c>
      <c r="F681" s="12">
        <v>0.17169300000000001</v>
      </c>
      <c r="G681" s="14">
        <v>5.5196099999999998E-2</v>
      </c>
      <c r="H681" s="15">
        <f t="shared" si="32"/>
        <v>0.29446205555555549</v>
      </c>
      <c r="I681" s="16">
        <f t="shared" si="31"/>
        <v>7.1127172222222229E-2</v>
      </c>
    </row>
    <row r="682" spans="1:9" x14ac:dyDescent="0.3">
      <c r="A682" s="23" t="s">
        <v>48</v>
      </c>
      <c r="B682" s="30" t="s">
        <v>118</v>
      </c>
      <c r="C682" s="19">
        <v>46245</v>
      </c>
      <c r="D682" s="13" t="s">
        <v>27</v>
      </c>
      <c r="E682" s="23">
        <v>1446</v>
      </c>
      <c r="F682" s="12">
        <v>0.35167100000000001</v>
      </c>
      <c r="G682" s="14">
        <v>7.9771400000000006E-2</v>
      </c>
      <c r="H682" s="15">
        <f t="shared" si="32"/>
        <v>0.29446205555555549</v>
      </c>
      <c r="I682" s="16">
        <f t="shared" si="31"/>
        <v>7.1127172222222229E-2</v>
      </c>
    </row>
    <row r="683" spans="1:9" x14ac:dyDescent="0.3">
      <c r="A683" s="23" t="s">
        <v>48</v>
      </c>
      <c r="B683" s="30" t="s">
        <v>118</v>
      </c>
      <c r="C683" s="19">
        <v>46245</v>
      </c>
      <c r="D683" s="13" t="s">
        <v>28</v>
      </c>
      <c r="E683" s="23">
        <v>1107</v>
      </c>
      <c r="F683" s="12">
        <v>0.300813</v>
      </c>
      <c r="G683" s="14">
        <v>6.7468299999999995E-2</v>
      </c>
      <c r="H683" s="15">
        <f t="shared" si="32"/>
        <v>0.29446205555555549</v>
      </c>
      <c r="I683" s="16">
        <f t="shared" si="31"/>
        <v>7.1127172222222229E-2</v>
      </c>
    </row>
    <row r="684" spans="1:9" x14ac:dyDescent="0.3">
      <c r="A684" s="23" t="s">
        <v>48</v>
      </c>
      <c r="B684" s="30" t="s">
        <v>118</v>
      </c>
      <c r="C684" s="19">
        <v>46245</v>
      </c>
      <c r="D684" s="13" t="s">
        <v>29</v>
      </c>
      <c r="E684" s="23">
        <v>1194</v>
      </c>
      <c r="F684" s="12">
        <v>0.29922399999999999</v>
      </c>
      <c r="G684" s="14">
        <v>6.19643E-2</v>
      </c>
      <c r="H684" s="15">
        <f t="shared" si="32"/>
        <v>0.29446205555555549</v>
      </c>
      <c r="I684" s="16">
        <f t="shared" si="31"/>
        <v>7.1127172222222229E-2</v>
      </c>
    </row>
    <row r="685" spans="1:9" x14ac:dyDescent="0.3">
      <c r="A685" s="23" t="s">
        <v>48</v>
      </c>
      <c r="B685" s="30" t="s">
        <v>118</v>
      </c>
      <c r="C685" s="19">
        <v>46245</v>
      </c>
      <c r="D685" s="13" t="s">
        <v>30</v>
      </c>
      <c r="E685" s="23">
        <v>1110</v>
      </c>
      <c r="F685" s="12">
        <v>0.321635</v>
      </c>
      <c r="G685" s="14">
        <v>6.4709199999999995E-2</v>
      </c>
      <c r="H685" s="15">
        <f t="shared" si="32"/>
        <v>0.29446205555555549</v>
      </c>
      <c r="I685" s="16">
        <f t="shared" si="31"/>
        <v>7.1127172222222229E-2</v>
      </c>
    </row>
    <row r="686" spans="1:9" x14ac:dyDescent="0.3">
      <c r="A686" s="23" t="s">
        <v>48</v>
      </c>
      <c r="B686" s="30" t="s">
        <v>119</v>
      </c>
      <c r="C686" s="19">
        <v>46245</v>
      </c>
      <c r="D686" s="13" t="s">
        <v>14</v>
      </c>
      <c r="E686" s="23">
        <v>2160</v>
      </c>
      <c r="F686" s="12">
        <v>0.25851800000000003</v>
      </c>
      <c r="G686" s="14">
        <v>7.2721099999999997E-2</v>
      </c>
      <c r="H686" s="15">
        <f t="shared" si="32"/>
        <v>0.29757333333333336</v>
      </c>
      <c r="I686" s="16">
        <f t="shared" si="31"/>
        <v>7.2018149999999989E-2</v>
      </c>
    </row>
    <row r="687" spans="1:9" x14ac:dyDescent="0.3">
      <c r="A687" s="23" t="s">
        <v>48</v>
      </c>
      <c r="B687" s="30" t="s">
        <v>119</v>
      </c>
      <c r="C687" s="19">
        <v>46245</v>
      </c>
      <c r="D687" s="13" t="s">
        <v>15</v>
      </c>
      <c r="E687" s="23">
        <v>1893</v>
      </c>
      <c r="F687" s="12">
        <v>0.37066399999999999</v>
      </c>
      <c r="G687" s="14">
        <v>9.7640299999999999E-2</v>
      </c>
      <c r="H687" s="15">
        <f t="shared" si="32"/>
        <v>0.29757333333333336</v>
      </c>
      <c r="I687" s="16">
        <f t="shared" si="31"/>
        <v>7.2018149999999989E-2</v>
      </c>
    </row>
    <row r="688" spans="1:9" x14ac:dyDescent="0.3">
      <c r="A688" s="23" t="s">
        <v>48</v>
      </c>
      <c r="B688" s="30" t="s">
        <v>119</v>
      </c>
      <c r="C688" s="19">
        <v>46245</v>
      </c>
      <c r="D688" s="13" t="s">
        <v>16</v>
      </c>
      <c r="E688" s="23">
        <v>1209</v>
      </c>
      <c r="F688" s="12">
        <v>0.35478100000000001</v>
      </c>
      <c r="G688" s="14">
        <v>8.3202799999999993E-2</v>
      </c>
      <c r="H688" s="15">
        <f t="shared" si="32"/>
        <v>0.29757333333333336</v>
      </c>
      <c r="I688" s="16">
        <f t="shared" si="31"/>
        <v>7.2018149999999989E-2</v>
      </c>
    </row>
    <row r="689" spans="1:9" x14ac:dyDescent="0.3">
      <c r="A689" s="23" t="s">
        <v>48</v>
      </c>
      <c r="B689" s="30" t="s">
        <v>119</v>
      </c>
      <c r="C689" s="19">
        <v>46245</v>
      </c>
      <c r="D689" s="13" t="s">
        <v>17</v>
      </c>
      <c r="E689" s="23">
        <v>1803</v>
      </c>
      <c r="F689" s="12">
        <v>0.395152</v>
      </c>
      <c r="G689" s="14">
        <v>7.8171699999999997E-2</v>
      </c>
      <c r="H689" s="15">
        <f t="shared" si="32"/>
        <v>0.29757333333333336</v>
      </c>
      <c r="I689" s="16">
        <f t="shared" si="31"/>
        <v>7.2018149999999989E-2</v>
      </c>
    </row>
    <row r="690" spans="1:9" x14ac:dyDescent="0.3">
      <c r="A690" s="23" t="s">
        <v>48</v>
      </c>
      <c r="B690" s="30" t="s">
        <v>119</v>
      </c>
      <c r="C690" s="19">
        <v>46245</v>
      </c>
      <c r="D690" s="13" t="s">
        <v>18</v>
      </c>
      <c r="E690" s="23">
        <v>1757</v>
      </c>
      <c r="F690" s="12">
        <v>0.21223900000000001</v>
      </c>
      <c r="G690" s="14">
        <v>5.0476E-2</v>
      </c>
      <c r="H690" s="15">
        <f t="shared" si="32"/>
        <v>0.29757333333333336</v>
      </c>
      <c r="I690" s="16">
        <f t="shared" si="31"/>
        <v>7.2018149999999989E-2</v>
      </c>
    </row>
    <row r="691" spans="1:9" x14ac:dyDescent="0.3">
      <c r="A691" s="23" t="s">
        <v>48</v>
      </c>
      <c r="B691" s="30" t="s">
        <v>119</v>
      </c>
      <c r="C691" s="19">
        <v>46245</v>
      </c>
      <c r="D691" s="13" t="s">
        <v>19</v>
      </c>
      <c r="E691" s="23">
        <v>1755</v>
      </c>
      <c r="F691" s="12">
        <v>0.317135</v>
      </c>
      <c r="G691" s="14">
        <v>6.6685400000000006E-2</v>
      </c>
      <c r="H691" s="15">
        <f t="shared" si="32"/>
        <v>0.29757333333333336</v>
      </c>
      <c r="I691" s="16">
        <f t="shared" si="31"/>
        <v>7.2018149999999989E-2</v>
      </c>
    </row>
    <row r="692" spans="1:9" x14ac:dyDescent="0.3">
      <c r="A692" s="23" t="s">
        <v>48</v>
      </c>
      <c r="B692" s="30" t="s">
        <v>119</v>
      </c>
      <c r="C692" s="19">
        <v>46245</v>
      </c>
      <c r="D692" s="13" t="s">
        <v>20</v>
      </c>
      <c r="E692" s="23">
        <v>1723</v>
      </c>
      <c r="F692" s="12">
        <v>0.29980299999999999</v>
      </c>
      <c r="G692" s="14">
        <v>6.2706399999999995E-2</v>
      </c>
      <c r="H692" s="15">
        <f t="shared" si="32"/>
        <v>0.29757333333333336</v>
      </c>
      <c r="I692" s="16">
        <f t="shared" si="31"/>
        <v>7.2018149999999989E-2</v>
      </c>
    </row>
    <row r="693" spans="1:9" x14ac:dyDescent="0.3">
      <c r="A693" s="23" t="s">
        <v>48</v>
      </c>
      <c r="B693" s="30" t="s">
        <v>119</v>
      </c>
      <c r="C693" s="19">
        <v>46245</v>
      </c>
      <c r="D693" s="13" t="s">
        <v>40</v>
      </c>
      <c r="E693" s="23">
        <v>1005</v>
      </c>
      <c r="F693" s="12">
        <v>0.17078399999999999</v>
      </c>
      <c r="G693" s="14">
        <v>5.1755799999999998E-2</v>
      </c>
      <c r="H693" s="15">
        <f t="shared" si="32"/>
        <v>0.29757333333333336</v>
      </c>
      <c r="I693" s="16">
        <f t="shared" si="31"/>
        <v>7.2018149999999989E-2</v>
      </c>
    </row>
    <row r="694" spans="1:9" x14ac:dyDescent="0.3">
      <c r="A694" s="23" t="s">
        <v>48</v>
      </c>
      <c r="B694" s="30" t="s">
        <v>119</v>
      </c>
      <c r="C694" s="19">
        <v>46245</v>
      </c>
      <c r="D694" s="13" t="s">
        <v>21</v>
      </c>
      <c r="E694" s="23">
        <v>2922</v>
      </c>
      <c r="F694" s="12">
        <v>0.42992399999999997</v>
      </c>
      <c r="G694" s="14">
        <v>8.3665799999999999E-2</v>
      </c>
      <c r="H694" s="15">
        <f t="shared" si="32"/>
        <v>0.29757333333333336</v>
      </c>
      <c r="I694" s="16">
        <f t="shared" si="31"/>
        <v>7.2018149999999989E-2</v>
      </c>
    </row>
    <row r="695" spans="1:9" x14ac:dyDescent="0.3">
      <c r="A695" s="23" t="s">
        <v>48</v>
      </c>
      <c r="B695" s="30" t="s">
        <v>119</v>
      </c>
      <c r="C695" s="19">
        <v>46245</v>
      </c>
      <c r="D695" s="13" t="s">
        <v>22</v>
      </c>
      <c r="E695" s="23">
        <v>1612</v>
      </c>
      <c r="F695" s="12">
        <v>0.28850300000000001</v>
      </c>
      <c r="G695" s="14">
        <v>7.8345600000000001E-2</v>
      </c>
      <c r="H695" s="15">
        <f t="shared" si="32"/>
        <v>0.29757333333333336</v>
      </c>
      <c r="I695" s="16">
        <f t="shared" si="31"/>
        <v>7.2018149999999989E-2</v>
      </c>
    </row>
    <row r="696" spans="1:9" x14ac:dyDescent="0.3">
      <c r="A696" s="23" t="s">
        <v>48</v>
      </c>
      <c r="B696" s="30" t="s">
        <v>119</v>
      </c>
      <c r="C696" s="19">
        <v>46245</v>
      </c>
      <c r="D696" s="13" t="s">
        <v>23</v>
      </c>
      <c r="E696" s="23">
        <v>1376</v>
      </c>
      <c r="F696" s="12">
        <v>0.38151099999999999</v>
      </c>
      <c r="G696" s="14">
        <v>0.12529399999999999</v>
      </c>
      <c r="H696" s="15">
        <f t="shared" si="32"/>
        <v>0.29757333333333336</v>
      </c>
      <c r="I696" s="16">
        <f t="shared" si="31"/>
        <v>7.2018149999999989E-2</v>
      </c>
    </row>
    <row r="697" spans="1:9" x14ac:dyDescent="0.3">
      <c r="A697" s="23" t="s">
        <v>48</v>
      </c>
      <c r="B697" s="30" t="s">
        <v>119</v>
      </c>
      <c r="C697" s="19">
        <v>46245</v>
      </c>
      <c r="D697" s="13" t="s">
        <v>24</v>
      </c>
      <c r="E697" s="23">
        <v>2334</v>
      </c>
      <c r="F697" s="12">
        <v>0.214696</v>
      </c>
      <c r="G697" s="14">
        <v>6.6133700000000004E-2</v>
      </c>
      <c r="H697" s="15">
        <f t="shared" si="32"/>
        <v>0.29757333333333336</v>
      </c>
      <c r="I697" s="16">
        <f t="shared" si="31"/>
        <v>7.2018149999999989E-2</v>
      </c>
    </row>
    <row r="698" spans="1:9" x14ac:dyDescent="0.3">
      <c r="A698" s="23" t="s">
        <v>48</v>
      </c>
      <c r="B698" s="30" t="s">
        <v>119</v>
      </c>
      <c r="C698" s="19">
        <v>46245</v>
      </c>
      <c r="D698" s="13" t="s">
        <v>25</v>
      </c>
      <c r="E698" s="23">
        <v>1162</v>
      </c>
      <c r="F698" s="12">
        <v>0.20059199999999999</v>
      </c>
      <c r="G698" s="14">
        <v>4.8247999999999999E-2</v>
      </c>
      <c r="H698" s="15">
        <f t="shared" si="32"/>
        <v>0.29757333333333336</v>
      </c>
      <c r="I698" s="16">
        <f t="shared" si="31"/>
        <v>7.2018149999999989E-2</v>
      </c>
    </row>
    <row r="699" spans="1:9" x14ac:dyDescent="0.3">
      <c r="A699" s="23" t="s">
        <v>48</v>
      </c>
      <c r="B699" s="30" t="s">
        <v>119</v>
      </c>
      <c r="C699" s="19">
        <v>46245</v>
      </c>
      <c r="D699" s="13" t="s">
        <v>26</v>
      </c>
      <c r="E699" s="23">
        <v>1378</v>
      </c>
      <c r="F699" s="12">
        <v>0.17598800000000001</v>
      </c>
      <c r="G699" s="14">
        <v>5.6594600000000002E-2</v>
      </c>
      <c r="H699" s="15">
        <f t="shared" si="32"/>
        <v>0.29757333333333336</v>
      </c>
      <c r="I699" s="16">
        <f t="shared" si="31"/>
        <v>7.2018149999999989E-2</v>
      </c>
    </row>
    <row r="700" spans="1:9" x14ac:dyDescent="0.3">
      <c r="A700" s="23" t="s">
        <v>48</v>
      </c>
      <c r="B700" s="30" t="s">
        <v>119</v>
      </c>
      <c r="C700" s="19">
        <v>46245</v>
      </c>
      <c r="D700" s="13" t="s">
        <v>27</v>
      </c>
      <c r="E700" s="23">
        <v>1262</v>
      </c>
      <c r="F700" s="12">
        <v>0.27875299999999997</v>
      </c>
      <c r="G700" s="14">
        <v>6.3267400000000001E-2</v>
      </c>
      <c r="H700" s="15">
        <f t="shared" si="32"/>
        <v>0.29757333333333336</v>
      </c>
      <c r="I700" s="16">
        <f t="shared" si="31"/>
        <v>7.2018149999999989E-2</v>
      </c>
    </row>
    <row r="701" spans="1:9" x14ac:dyDescent="0.3">
      <c r="A701" s="23" t="s">
        <v>48</v>
      </c>
      <c r="B701" s="30" t="s">
        <v>119</v>
      </c>
      <c r="C701" s="19">
        <v>46245</v>
      </c>
      <c r="D701" s="13" t="s">
        <v>28</v>
      </c>
      <c r="E701" s="23">
        <v>1090</v>
      </c>
      <c r="F701" s="12">
        <v>0.28165800000000002</v>
      </c>
      <c r="G701" s="14">
        <v>6.3240699999999997E-2</v>
      </c>
      <c r="H701" s="15">
        <f t="shared" si="32"/>
        <v>0.29757333333333336</v>
      </c>
      <c r="I701" s="16">
        <f t="shared" si="31"/>
        <v>7.2018149999999989E-2</v>
      </c>
    </row>
    <row r="702" spans="1:9" x14ac:dyDescent="0.3">
      <c r="A702" s="23" t="s">
        <v>48</v>
      </c>
      <c r="B702" s="30" t="s">
        <v>119</v>
      </c>
      <c r="C702" s="19">
        <v>46245</v>
      </c>
      <c r="D702" s="13" t="s">
        <v>29</v>
      </c>
      <c r="E702" s="23">
        <v>1479</v>
      </c>
      <c r="F702" s="12">
        <v>0.373226</v>
      </c>
      <c r="G702" s="14">
        <v>7.7298900000000004E-2</v>
      </c>
      <c r="H702" s="15">
        <f t="shared" si="32"/>
        <v>0.29757333333333336</v>
      </c>
      <c r="I702" s="16">
        <f t="shared" si="31"/>
        <v>7.2018149999999989E-2</v>
      </c>
    </row>
    <row r="703" spans="1:9" x14ac:dyDescent="0.3">
      <c r="A703" s="23" t="s">
        <v>48</v>
      </c>
      <c r="B703" s="30" t="s">
        <v>119</v>
      </c>
      <c r="C703" s="19">
        <v>46245</v>
      </c>
      <c r="D703" s="13" t="s">
        <v>30</v>
      </c>
      <c r="E703" s="23">
        <v>1430</v>
      </c>
      <c r="F703" s="12">
        <v>0.35239300000000001</v>
      </c>
      <c r="G703" s="14">
        <v>7.0878499999999997E-2</v>
      </c>
      <c r="H703" s="15">
        <f t="shared" si="32"/>
        <v>0.29757333333333336</v>
      </c>
      <c r="I703" s="16">
        <f t="shared" si="31"/>
        <v>7.2018149999999989E-2</v>
      </c>
    </row>
    <row r="704" spans="1:9" x14ac:dyDescent="0.3">
      <c r="A704" s="23" t="s">
        <v>48</v>
      </c>
      <c r="B704" s="30" t="s">
        <v>120</v>
      </c>
      <c r="C704" s="19">
        <v>46245</v>
      </c>
      <c r="D704" s="13" t="s">
        <v>14</v>
      </c>
      <c r="E704" s="23">
        <v>2359</v>
      </c>
      <c r="F704" s="12">
        <v>0.339503</v>
      </c>
      <c r="G704" s="14">
        <v>9.5462199999999997E-2</v>
      </c>
      <c r="H704" s="15">
        <f t="shared" si="32"/>
        <v>0.3030937777777778</v>
      </c>
      <c r="I704" s="16">
        <f t="shared" si="31"/>
        <v>7.278691111111113E-2</v>
      </c>
    </row>
    <row r="705" spans="1:9" x14ac:dyDescent="0.3">
      <c r="A705" s="23" t="s">
        <v>48</v>
      </c>
      <c r="B705" s="30" t="s">
        <v>120</v>
      </c>
      <c r="C705" s="19">
        <v>46245</v>
      </c>
      <c r="D705" s="13" t="s">
        <v>15</v>
      </c>
      <c r="E705" s="23">
        <v>1901</v>
      </c>
      <c r="F705" s="12">
        <v>0.40394999999999998</v>
      </c>
      <c r="G705" s="14">
        <v>0.106374</v>
      </c>
      <c r="H705" s="15">
        <f t="shared" si="32"/>
        <v>0.3030937777777778</v>
      </c>
      <c r="I705" s="16">
        <f t="shared" si="31"/>
        <v>7.278691111111113E-2</v>
      </c>
    </row>
    <row r="706" spans="1:9" x14ac:dyDescent="0.3">
      <c r="A706" s="23" t="s">
        <v>48</v>
      </c>
      <c r="B706" s="30" t="s">
        <v>120</v>
      </c>
      <c r="C706" s="19">
        <v>46245</v>
      </c>
      <c r="D706" s="13" t="s">
        <v>16</v>
      </c>
      <c r="E706" s="23">
        <v>1216</v>
      </c>
      <c r="F706" s="12">
        <v>0.37232599999999999</v>
      </c>
      <c r="G706" s="14">
        <v>8.73414E-2</v>
      </c>
      <c r="H706" s="15">
        <f t="shared" si="32"/>
        <v>0.3030937777777778</v>
      </c>
      <c r="I706" s="16">
        <f t="shared" si="31"/>
        <v>7.278691111111113E-2</v>
      </c>
    </row>
    <row r="707" spans="1:9" x14ac:dyDescent="0.3">
      <c r="A707" s="23" t="s">
        <v>48</v>
      </c>
      <c r="B707" s="30" t="s">
        <v>120</v>
      </c>
      <c r="C707" s="19">
        <v>46245</v>
      </c>
      <c r="D707" s="13" t="s">
        <v>17</v>
      </c>
      <c r="E707" s="23">
        <v>2161</v>
      </c>
      <c r="F707" s="12">
        <v>0.42272399999999999</v>
      </c>
      <c r="G707" s="14">
        <v>8.3608100000000005E-2</v>
      </c>
      <c r="H707" s="15">
        <f t="shared" si="32"/>
        <v>0.3030937777777778</v>
      </c>
      <c r="I707" s="16">
        <f t="shared" ref="I707:I770" si="33">IFERROR(AVERAGEIFS($G:$G, $A:$A, $A707, $B:$B,$B707, $C:$C,$C707),"")</f>
        <v>7.278691111111113E-2</v>
      </c>
    </row>
    <row r="708" spans="1:9" x14ac:dyDescent="0.3">
      <c r="A708" s="23" t="s">
        <v>48</v>
      </c>
      <c r="B708" s="30" t="s">
        <v>120</v>
      </c>
      <c r="C708" s="19">
        <v>46245</v>
      </c>
      <c r="D708" s="13" t="s">
        <v>18</v>
      </c>
      <c r="E708" s="23">
        <v>1660</v>
      </c>
      <c r="F708" s="12">
        <v>0.21842900000000001</v>
      </c>
      <c r="G708" s="14">
        <v>5.1942799999999997E-2</v>
      </c>
      <c r="H708" s="15">
        <f t="shared" si="32"/>
        <v>0.3030937777777778</v>
      </c>
      <c r="I708" s="16">
        <f t="shared" si="33"/>
        <v>7.278691111111113E-2</v>
      </c>
    </row>
    <row r="709" spans="1:9" x14ac:dyDescent="0.3">
      <c r="A709" s="23" t="s">
        <v>48</v>
      </c>
      <c r="B709" s="30" t="s">
        <v>120</v>
      </c>
      <c r="C709" s="19">
        <v>46245</v>
      </c>
      <c r="D709" s="13" t="s">
        <v>19</v>
      </c>
      <c r="E709" s="23">
        <v>1978</v>
      </c>
      <c r="F709" s="12">
        <v>0.32136999999999999</v>
      </c>
      <c r="G709" s="14">
        <v>6.75761E-2</v>
      </c>
      <c r="H709" s="15">
        <f t="shared" si="32"/>
        <v>0.3030937777777778</v>
      </c>
      <c r="I709" s="16">
        <f t="shared" si="33"/>
        <v>7.278691111111113E-2</v>
      </c>
    </row>
    <row r="710" spans="1:9" x14ac:dyDescent="0.3">
      <c r="A710" s="23" t="s">
        <v>48</v>
      </c>
      <c r="B710" s="30" t="s">
        <v>120</v>
      </c>
      <c r="C710" s="19">
        <v>46245</v>
      </c>
      <c r="D710" s="13" t="s">
        <v>20</v>
      </c>
      <c r="E710" s="23">
        <v>1943</v>
      </c>
      <c r="F710" s="12">
        <v>0.31383499999999998</v>
      </c>
      <c r="G710" s="14">
        <v>6.5645099999999998E-2</v>
      </c>
      <c r="H710" s="15">
        <f t="shared" si="32"/>
        <v>0.3030937777777778</v>
      </c>
      <c r="I710" s="16">
        <f t="shared" si="33"/>
        <v>7.278691111111113E-2</v>
      </c>
    </row>
    <row r="711" spans="1:9" x14ac:dyDescent="0.3">
      <c r="A711" s="23" t="s">
        <v>48</v>
      </c>
      <c r="B711" s="30" t="s">
        <v>120</v>
      </c>
      <c r="C711" s="19">
        <v>46245</v>
      </c>
      <c r="D711" s="13" t="s">
        <v>40</v>
      </c>
      <c r="E711" s="23">
        <v>1004</v>
      </c>
      <c r="F711" s="12">
        <v>0.19739699999999999</v>
      </c>
      <c r="G711" s="14">
        <v>5.9809800000000003E-2</v>
      </c>
      <c r="H711" s="15">
        <f t="shared" si="32"/>
        <v>0.3030937777777778</v>
      </c>
      <c r="I711" s="16">
        <f t="shared" si="33"/>
        <v>7.278691111111113E-2</v>
      </c>
    </row>
    <row r="712" spans="1:9" x14ac:dyDescent="0.3">
      <c r="A712" s="23" t="s">
        <v>48</v>
      </c>
      <c r="B712" s="30" t="s">
        <v>120</v>
      </c>
      <c r="C712" s="19">
        <v>46245</v>
      </c>
      <c r="D712" s="13" t="s">
        <v>21</v>
      </c>
      <c r="E712" s="23">
        <v>2885</v>
      </c>
      <c r="F712" s="12">
        <v>0.44058199999999997</v>
      </c>
      <c r="G712" s="14">
        <v>8.5730700000000007E-2</v>
      </c>
      <c r="H712" s="15">
        <f t="shared" si="32"/>
        <v>0.3030937777777778</v>
      </c>
      <c r="I712" s="16">
        <f t="shared" si="33"/>
        <v>7.278691111111113E-2</v>
      </c>
    </row>
    <row r="713" spans="1:9" x14ac:dyDescent="0.3">
      <c r="A713" s="23" t="s">
        <v>48</v>
      </c>
      <c r="B713" s="30" t="s">
        <v>120</v>
      </c>
      <c r="C713" s="19">
        <v>46245</v>
      </c>
      <c r="D713" s="13" t="s">
        <v>22</v>
      </c>
      <c r="E713" s="23">
        <v>1770</v>
      </c>
      <c r="F713" s="12">
        <v>0.36197499999999999</v>
      </c>
      <c r="G713" s="14">
        <v>9.8294599999999996E-2</v>
      </c>
      <c r="H713" s="15">
        <f t="shared" si="32"/>
        <v>0.3030937777777778</v>
      </c>
      <c r="I713" s="16">
        <f t="shared" si="33"/>
        <v>7.278691111111113E-2</v>
      </c>
    </row>
    <row r="714" spans="1:9" x14ac:dyDescent="0.3">
      <c r="A714" s="23" t="s">
        <v>48</v>
      </c>
      <c r="B714" s="30" t="s">
        <v>120</v>
      </c>
      <c r="C714" s="19">
        <v>46245</v>
      </c>
      <c r="D714" s="13" t="s">
        <v>23</v>
      </c>
      <c r="E714" s="23">
        <v>1436</v>
      </c>
      <c r="F714" s="12">
        <v>0.24033099999999999</v>
      </c>
      <c r="G714" s="14">
        <v>7.8871999999999998E-2</v>
      </c>
      <c r="H714" s="15">
        <f t="shared" si="32"/>
        <v>0.3030937777777778</v>
      </c>
      <c r="I714" s="16">
        <f t="shared" si="33"/>
        <v>7.278691111111113E-2</v>
      </c>
    </row>
    <row r="715" spans="1:9" x14ac:dyDescent="0.3">
      <c r="A715" s="23" t="s">
        <v>48</v>
      </c>
      <c r="B715" s="30" t="s">
        <v>120</v>
      </c>
      <c r="C715" s="19">
        <v>46245</v>
      </c>
      <c r="D715" s="13" t="s">
        <v>24</v>
      </c>
      <c r="E715" s="23">
        <v>2317</v>
      </c>
      <c r="F715" s="12">
        <v>0.20446600000000001</v>
      </c>
      <c r="G715" s="14">
        <v>6.2923300000000001E-2</v>
      </c>
      <c r="H715" s="15">
        <f t="shared" si="32"/>
        <v>0.3030937777777778</v>
      </c>
      <c r="I715" s="16">
        <f t="shared" si="33"/>
        <v>7.278691111111113E-2</v>
      </c>
    </row>
    <row r="716" spans="1:9" x14ac:dyDescent="0.3">
      <c r="A716" s="23" t="s">
        <v>48</v>
      </c>
      <c r="B716" s="30" t="s">
        <v>120</v>
      </c>
      <c r="C716" s="19">
        <v>46245</v>
      </c>
      <c r="D716" s="13" t="s">
        <v>25</v>
      </c>
      <c r="E716" s="23">
        <v>1173</v>
      </c>
      <c r="F716" s="12">
        <v>0.225748</v>
      </c>
      <c r="G716" s="14">
        <v>5.4283999999999999E-2</v>
      </c>
      <c r="H716" s="15">
        <f t="shared" si="32"/>
        <v>0.3030937777777778</v>
      </c>
      <c r="I716" s="16">
        <f t="shared" si="33"/>
        <v>7.278691111111113E-2</v>
      </c>
    </row>
    <row r="717" spans="1:9" x14ac:dyDescent="0.3">
      <c r="A717" s="23" t="s">
        <v>48</v>
      </c>
      <c r="B717" s="30" t="s">
        <v>120</v>
      </c>
      <c r="C717" s="19">
        <v>46245</v>
      </c>
      <c r="D717" s="13" t="s">
        <v>26</v>
      </c>
      <c r="E717" s="23">
        <v>1611</v>
      </c>
      <c r="F717" s="12">
        <v>0.138596</v>
      </c>
      <c r="G717" s="14">
        <v>4.4565599999999997E-2</v>
      </c>
      <c r="H717" s="15">
        <f t="shared" si="32"/>
        <v>0.3030937777777778</v>
      </c>
      <c r="I717" s="16">
        <f t="shared" si="33"/>
        <v>7.278691111111113E-2</v>
      </c>
    </row>
    <row r="718" spans="1:9" x14ac:dyDescent="0.3">
      <c r="A718" s="23" t="s">
        <v>48</v>
      </c>
      <c r="B718" s="30" t="s">
        <v>120</v>
      </c>
      <c r="C718" s="19">
        <v>46245</v>
      </c>
      <c r="D718" s="13" t="s">
        <v>27</v>
      </c>
      <c r="E718" s="23">
        <v>1209</v>
      </c>
      <c r="F718" s="12">
        <v>0.297456</v>
      </c>
      <c r="G718" s="14">
        <v>6.7505700000000002E-2</v>
      </c>
      <c r="H718" s="15">
        <f t="shared" si="32"/>
        <v>0.3030937777777778</v>
      </c>
      <c r="I718" s="16">
        <f t="shared" si="33"/>
        <v>7.278691111111113E-2</v>
      </c>
    </row>
    <row r="719" spans="1:9" x14ac:dyDescent="0.3">
      <c r="A719" s="23" t="s">
        <v>48</v>
      </c>
      <c r="B719" s="30" t="s">
        <v>120</v>
      </c>
      <c r="C719" s="19">
        <v>46245</v>
      </c>
      <c r="D719" s="13" t="s">
        <v>28</v>
      </c>
      <c r="E719" s="23">
        <v>1102</v>
      </c>
      <c r="F719" s="12">
        <v>0.25417099999999998</v>
      </c>
      <c r="G719" s="14">
        <v>5.7056700000000002E-2</v>
      </c>
      <c r="H719" s="15">
        <f t="shared" si="32"/>
        <v>0.3030937777777778</v>
      </c>
      <c r="I719" s="16">
        <f t="shared" si="33"/>
        <v>7.278691111111113E-2</v>
      </c>
    </row>
    <row r="720" spans="1:9" x14ac:dyDescent="0.3">
      <c r="A720" s="23" t="s">
        <v>48</v>
      </c>
      <c r="B720" s="30" t="s">
        <v>120</v>
      </c>
      <c r="C720" s="19">
        <v>46245</v>
      </c>
      <c r="D720" s="13" t="s">
        <v>29</v>
      </c>
      <c r="E720" s="23">
        <v>1418</v>
      </c>
      <c r="F720" s="12">
        <v>0.30664599999999997</v>
      </c>
      <c r="G720" s="14">
        <v>6.3473199999999994E-2</v>
      </c>
      <c r="H720" s="15">
        <f t="shared" si="32"/>
        <v>0.3030937777777778</v>
      </c>
      <c r="I720" s="16">
        <f t="shared" si="33"/>
        <v>7.278691111111113E-2</v>
      </c>
    </row>
    <row r="721" spans="1:9" x14ac:dyDescent="0.3">
      <c r="A721" s="23" t="s">
        <v>48</v>
      </c>
      <c r="B721" s="30" t="s">
        <v>120</v>
      </c>
      <c r="C721" s="19">
        <v>46245</v>
      </c>
      <c r="D721" s="13" t="s">
        <v>30</v>
      </c>
      <c r="E721" s="23">
        <v>1788</v>
      </c>
      <c r="F721" s="12">
        <v>0.39618300000000001</v>
      </c>
      <c r="G721" s="14">
        <v>7.9699099999999995E-2</v>
      </c>
      <c r="H721" s="15">
        <f t="shared" si="32"/>
        <v>0.3030937777777778</v>
      </c>
      <c r="I721" s="16">
        <f t="shared" si="33"/>
        <v>7.278691111111113E-2</v>
      </c>
    </row>
    <row r="722" spans="1:9" x14ac:dyDescent="0.3">
      <c r="A722" s="23" t="s">
        <v>48</v>
      </c>
      <c r="B722" s="30" t="s">
        <v>121</v>
      </c>
      <c r="C722" s="19">
        <v>46246</v>
      </c>
      <c r="D722" s="13" t="s">
        <v>14</v>
      </c>
      <c r="E722" s="23">
        <v>1812</v>
      </c>
      <c r="F722" s="12">
        <v>0.35864800000000002</v>
      </c>
      <c r="G722" s="14">
        <v>9.4151200000000004E-2</v>
      </c>
      <c r="H722" s="15">
        <f t="shared" si="32"/>
        <v>0.31200464705882358</v>
      </c>
      <c r="I722" s="16">
        <f t="shared" si="33"/>
        <v>7.6022294117647063E-2</v>
      </c>
    </row>
    <row r="723" spans="1:9" x14ac:dyDescent="0.3">
      <c r="A723" s="23" t="s">
        <v>48</v>
      </c>
      <c r="B723" s="30" t="s">
        <v>121</v>
      </c>
      <c r="C723" s="19">
        <v>46246</v>
      </c>
      <c r="D723" s="13" t="s">
        <v>15</v>
      </c>
      <c r="E723" s="23">
        <v>1624</v>
      </c>
      <c r="F723" s="12">
        <v>0.34329999999999999</v>
      </c>
      <c r="G723" s="14">
        <v>8.3500699999999997E-2</v>
      </c>
      <c r="H723" s="15">
        <f t="shared" si="32"/>
        <v>0.31200464705882358</v>
      </c>
      <c r="I723" s="16">
        <f t="shared" si="33"/>
        <v>7.6022294117647063E-2</v>
      </c>
    </row>
    <row r="724" spans="1:9" x14ac:dyDescent="0.3">
      <c r="A724" s="23" t="s">
        <v>48</v>
      </c>
      <c r="B724" s="30" t="s">
        <v>121</v>
      </c>
      <c r="C724" s="19">
        <v>46246</v>
      </c>
      <c r="D724" s="13" t="s">
        <v>16</v>
      </c>
      <c r="E724" s="23">
        <v>1364</v>
      </c>
      <c r="F724" s="12">
        <v>0.46888000000000002</v>
      </c>
      <c r="G724" s="14">
        <v>0.11</v>
      </c>
      <c r="H724" s="15">
        <f t="shared" si="32"/>
        <v>0.31200464705882358</v>
      </c>
      <c r="I724" s="16">
        <f t="shared" si="33"/>
        <v>7.6022294117647063E-2</v>
      </c>
    </row>
    <row r="725" spans="1:9" x14ac:dyDescent="0.3">
      <c r="A725" s="23" t="s">
        <v>48</v>
      </c>
      <c r="B725" s="30" t="s">
        <v>121</v>
      </c>
      <c r="C725" s="19">
        <v>46246</v>
      </c>
      <c r="D725" s="13" t="s">
        <v>17</v>
      </c>
      <c r="E725" s="23">
        <v>1792</v>
      </c>
      <c r="F725" s="12">
        <v>0.58531599999999995</v>
      </c>
      <c r="G725" s="14">
        <v>0.11579100000000001</v>
      </c>
      <c r="H725" s="15">
        <f t="shared" si="32"/>
        <v>0.31200464705882358</v>
      </c>
      <c r="I725" s="16">
        <f t="shared" si="33"/>
        <v>7.6022294117647063E-2</v>
      </c>
    </row>
    <row r="726" spans="1:9" x14ac:dyDescent="0.3">
      <c r="A726" s="23" t="s">
        <v>48</v>
      </c>
      <c r="B726" s="30" t="s">
        <v>121</v>
      </c>
      <c r="C726" s="19">
        <v>46246</v>
      </c>
      <c r="D726" s="13" t="s">
        <v>18</v>
      </c>
      <c r="E726" s="23">
        <v>1878</v>
      </c>
      <c r="F726" s="12">
        <v>0.16364400000000001</v>
      </c>
      <c r="G726" s="14">
        <v>3.3919999999999999E-2</v>
      </c>
      <c r="H726" s="15">
        <f t="shared" si="32"/>
        <v>0.31200464705882358</v>
      </c>
      <c r="I726" s="16">
        <f t="shared" si="33"/>
        <v>7.6022294117647063E-2</v>
      </c>
    </row>
    <row r="727" spans="1:9" x14ac:dyDescent="0.3">
      <c r="A727" s="23" t="s">
        <v>48</v>
      </c>
      <c r="B727" s="30" t="s">
        <v>121</v>
      </c>
      <c r="C727" s="19">
        <v>46246</v>
      </c>
      <c r="D727" s="13" t="s">
        <v>19</v>
      </c>
      <c r="E727" s="23">
        <v>1834</v>
      </c>
      <c r="F727" s="12">
        <v>0.46961199999999997</v>
      </c>
      <c r="G727" s="14">
        <v>9.8766300000000001E-2</v>
      </c>
      <c r="H727" s="15">
        <f t="shared" si="32"/>
        <v>0.31200464705882358</v>
      </c>
      <c r="I727" s="16">
        <f t="shared" si="33"/>
        <v>7.6022294117647063E-2</v>
      </c>
    </row>
    <row r="728" spans="1:9" x14ac:dyDescent="0.3">
      <c r="A728" s="23" t="s">
        <v>48</v>
      </c>
      <c r="B728" s="30" t="s">
        <v>121</v>
      </c>
      <c r="C728" s="19">
        <v>46246</v>
      </c>
      <c r="D728" s="13" t="s">
        <v>20</v>
      </c>
      <c r="E728" s="23">
        <v>1727</v>
      </c>
      <c r="F728" s="12">
        <v>0.32391799999999998</v>
      </c>
      <c r="G728" s="14">
        <v>6.0721600000000001E-2</v>
      </c>
      <c r="H728" s="15">
        <f t="shared" si="32"/>
        <v>0.31200464705882358</v>
      </c>
      <c r="I728" s="16">
        <f t="shared" si="33"/>
        <v>7.6022294117647063E-2</v>
      </c>
    </row>
    <row r="729" spans="1:9" x14ac:dyDescent="0.3">
      <c r="A729" s="23" t="s">
        <v>48</v>
      </c>
      <c r="B729" s="30" t="s">
        <v>121</v>
      </c>
      <c r="C729" s="19">
        <v>46246</v>
      </c>
      <c r="D729" s="13" t="s">
        <v>40</v>
      </c>
      <c r="E729" s="23">
        <v>1059</v>
      </c>
      <c r="F729" s="12">
        <v>0.226912</v>
      </c>
      <c r="G729" s="14">
        <v>6.0845000000000003E-2</v>
      </c>
      <c r="H729" s="15">
        <f t="shared" si="32"/>
        <v>0.31200464705882358</v>
      </c>
      <c r="I729" s="16">
        <f t="shared" si="33"/>
        <v>7.6022294117647063E-2</v>
      </c>
    </row>
    <row r="730" spans="1:9" x14ac:dyDescent="0.3">
      <c r="A730" s="23" t="s">
        <v>48</v>
      </c>
      <c r="B730" s="30" t="s">
        <v>121</v>
      </c>
      <c r="C730" s="19">
        <v>46246</v>
      </c>
      <c r="D730" s="13" t="s">
        <v>21</v>
      </c>
      <c r="E730" s="23">
        <v>2613</v>
      </c>
      <c r="F730" s="12">
        <v>0.36061500000000002</v>
      </c>
      <c r="G730" s="14">
        <v>7.9269400000000004E-2</v>
      </c>
      <c r="H730" s="15">
        <f t="shared" si="32"/>
        <v>0.31200464705882358</v>
      </c>
      <c r="I730" s="16">
        <f t="shared" si="33"/>
        <v>7.6022294117647063E-2</v>
      </c>
    </row>
    <row r="731" spans="1:9" x14ac:dyDescent="0.3">
      <c r="A731" s="23" t="s">
        <v>48</v>
      </c>
      <c r="B731" s="30" t="s">
        <v>121</v>
      </c>
      <c r="C731" s="19">
        <v>46246</v>
      </c>
      <c r="D731" s="13" t="s">
        <v>22</v>
      </c>
      <c r="E731" s="23">
        <v>1736</v>
      </c>
      <c r="F731" s="12">
        <v>0.29386699999999999</v>
      </c>
      <c r="G731" s="14">
        <v>8.3243899999999996E-2</v>
      </c>
      <c r="H731" s="15">
        <f t="shared" si="32"/>
        <v>0.31200464705882358</v>
      </c>
      <c r="I731" s="16">
        <f t="shared" si="33"/>
        <v>7.6022294117647063E-2</v>
      </c>
    </row>
    <row r="732" spans="1:9" x14ac:dyDescent="0.3">
      <c r="A732" s="23" t="s">
        <v>48</v>
      </c>
      <c r="B732" s="30" t="s">
        <v>121</v>
      </c>
      <c r="C732" s="19">
        <v>46246</v>
      </c>
      <c r="D732" s="13" t="s">
        <v>23</v>
      </c>
      <c r="E732" s="23">
        <v>1003</v>
      </c>
      <c r="F732" s="12">
        <v>0.23644599999999999</v>
      </c>
      <c r="G732" s="14">
        <v>7.6467800000000002E-2</v>
      </c>
      <c r="H732" s="15">
        <f t="shared" si="32"/>
        <v>0.31200464705882358</v>
      </c>
      <c r="I732" s="16">
        <f t="shared" si="33"/>
        <v>7.6022294117647063E-2</v>
      </c>
    </row>
    <row r="733" spans="1:9" x14ac:dyDescent="0.3">
      <c r="A733" s="23" t="s">
        <v>48</v>
      </c>
      <c r="B733" s="30" t="s">
        <v>121</v>
      </c>
      <c r="C733" s="19">
        <v>46246</v>
      </c>
      <c r="D733" s="13" t="s">
        <v>24</v>
      </c>
      <c r="E733" s="23">
        <v>1514</v>
      </c>
      <c r="F733" s="12">
        <v>0.25357099999999999</v>
      </c>
      <c r="G733" s="14">
        <v>8.6459300000000003E-2</v>
      </c>
      <c r="H733" s="15">
        <f t="shared" si="32"/>
        <v>0.31200464705882358</v>
      </c>
      <c r="I733" s="16">
        <f t="shared" si="33"/>
        <v>7.6022294117647063E-2</v>
      </c>
    </row>
    <row r="734" spans="1:9" x14ac:dyDescent="0.3">
      <c r="A734" s="23" t="s">
        <v>48</v>
      </c>
      <c r="B734" s="30" t="s">
        <v>121</v>
      </c>
      <c r="C734" s="19">
        <v>46246</v>
      </c>
      <c r="D734" s="13" t="s">
        <v>25</v>
      </c>
      <c r="E734" s="23">
        <v>1060</v>
      </c>
      <c r="F734" s="12">
        <v>0.15177499999999999</v>
      </c>
      <c r="G734" s="14">
        <v>4.16908E-2</v>
      </c>
      <c r="H734" s="15">
        <f t="shared" si="32"/>
        <v>0.31200464705882358</v>
      </c>
      <c r="I734" s="16">
        <f t="shared" si="33"/>
        <v>7.6022294117647063E-2</v>
      </c>
    </row>
    <row r="735" spans="1:9" x14ac:dyDescent="0.3">
      <c r="A735" s="23" t="s">
        <v>48</v>
      </c>
      <c r="B735" s="30" t="s">
        <v>121</v>
      </c>
      <c r="C735" s="19">
        <v>46246</v>
      </c>
      <c r="D735" s="13" t="s">
        <v>26</v>
      </c>
      <c r="E735" s="23">
        <v>1612</v>
      </c>
      <c r="F735" s="12">
        <v>0.18143899999999999</v>
      </c>
      <c r="G735" s="14">
        <v>5.5553499999999999E-2</v>
      </c>
      <c r="H735" s="15">
        <f t="shared" si="32"/>
        <v>0.31200464705882358</v>
      </c>
      <c r="I735" s="16">
        <f t="shared" si="33"/>
        <v>7.6022294117647063E-2</v>
      </c>
    </row>
    <row r="736" spans="1:9" x14ac:dyDescent="0.3">
      <c r="A736" s="23" t="s">
        <v>48</v>
      </c>
      <c r="B736" s="30" t="s">
        <v>121</v>
      </c>
      <c r="C736" s="19">
        <v>46246</v>
      </c>
      <c r="D736" s="13" t="s">
        <v>27</v>
      </c>
      <c r="E736" s="23">
        <v>1281</v>
      </c>
      <c r="F736" s="12">
        <v>0.29200999999999999</v>
      </c>
      <c r="G736" s="14">
        <v>7.7029700000000006E-2</v>
      </c>
      <c r="H736" s="15">
        <f t="shared" si="32"/>
        <v>0.31200464705882358</v>
      </c>
      <c r="I736" s="16">
        <f t="shared" si="33"/>
        <v>7.6022294117647063E-2</v>
      </c>
    </row>
    <row r="737" spans="1:9" x14ac:dyDescent="0.3">
      <c r="A737" s="23" t="s">
        <v>48</v>
      </c>
      <c r="B737" s="30" t="s">
        <v>121</v>
      </c>
      <c r="C737" s="19">
        <v>46246</v>
      </c>
      <c r="D737" s="13" t="s">
        <v>28</v>
      </c>
      <c r="E737" s="23">
        <v>1082</v>
      </c>
      <c r="F737" s="12">
        <v>0.23838000000000001</v>
      </c>
      <c r="G737" s="14">
        <v>6.1297200000000003E-2</v>
      </c>
      <c r="H737" s="15">
        <f t="shared" si="32"/>
        <v>0.31200464705882358</v>
      </c>
      <c r="I737" s="16">
        <f t="shared" si="33"/>
        <v>7.6022294117647063E-2</v>
      </c>
    </row>
    <row r="738" spans="1:9" x14ac:dyDescent="0.3">
      <c r="A738" s="23" t="s">
        <v>48</v>
      </c>
      <c r="B738" s="30" t="s">
        <v>121</v>
      </c>
      <c r="C738" s="19">
        <v>46246</v>
      </c>
      <c r="D738" s="13" t="s">
        <v>29</v>
      </c>
      <c r="E738" s="23">
        <v>1431</v>
      </c>
      <c r="F738" s="12">
        <v>0.35574600000000001</v>
      </c>
      <c r="G738" s="14">
        <v>7.3671600000000004E-2</v>
      </c>
      <c r="H738" s="15">
        <f t="shared" si="32"/>
        <v>0.31200464705882358</v>
      </c>
      <c r="I738" s="16">
        <f t="shared" si="33"/>
        <v>7.6022294117647063E-2</v>
      </c>
    </row>
    <row r="739" spans="1:9" x14ac:dyDescent="0.3">
      <c r="A739" s="23" t="s">
        <v>48</v>
      </c>
      <c r="B739" s="30" t="s">
        <v>121</v>
      </c>
      <c r="C739" s="19">
        <v>46245</v>
      </c>
      <c r="D739" s="13" t="s">
        <v>30</v>
      </c>
      <c r="E739" s="23">
        <v>1486</v>
      </c>
      <c r="F739" s="12">
        <v>0.35761399999999999</v>
      </c>
      <c r="G739" s="14">
        <v>7.8656400000000001E-2</v>
      </c>
      <c r="H739" s="15">
        <f t="shared" si="32"/>
        <v>0.35761399999999999</v>
      </c>
      <c r="I739" s="16">
        <f t="shared" si="33"/>
        <v>7.8656400000000001E-2</v>
      </c>
    </row>
    <row r="740" spans="1:9" x14ac:dyDescent="0.3">
      <c r="A740" s="23" t="s">
        <v>48</v>
      </c>
      <c r="B740" s="30" t="s">
        <v>101</v>
      </c>
      <c r="C740" s="19">
        <v>46245</v>
      </c>
      <c r="D740" s="13" t="s">
        <v>14</v>
      </c>
      <c r="E740" s="23">
        <v>2365</v>
      </c>
      <c r="F740" s="12">
        <v>0.47478999999999999</v>
      </c>
      <c r="G740" s="14">
        <v>0.13347899999999999</v>
      </c>
      <c r="H740" s="15">
        <f t="shared" si="32"/>
        <v>0.43736677777777772</v>
      </c>
      <c r="I740" s="16">
        <f t="shared" si="33"/>
        <v>0.10567767222222221</v>
      </c>
    </row>
    <row r="741" spans="1:9" x14ac:dyDescent="0.3">
      <c r="A741" s="23" t="s">
        <v>48</v>
      </c>
      <c r="B741" s="30" t="s">
        <v>101</v>
      </c>
      <c r="C741" s="19">
        <v>46245</v>
      </c>
      <c r="D741" s="13" t="s">
        <v>15</v>
      </c>
      <c r="E741" s="23">
        <v>1794</v>
      </c>
      <c r="F741" s="12">
        <v>0.51187700000000003</v>
      </c>
      <c r="G741" s="14">
        <v>0.13488800000000001</v>
      </c>
      <c r="H741" s="15">
        <f t="shared" si="32"/>
        <v>0.43736677777777772</v>
      </c>
      <c r="I741" s="16">
        <f t="shared" si="33"/>
        <v>0.10567767222222221</v>
      </c>
    </row>
    <row r="742" spans="1:9" x14ac:dyDescent="0.3">
      <c r="A742" s="23" t="s">
        <v>48</v>
      </c>
      <c r="B742" s="30" t="s">
        <v>101</v>
      </c>
      <c r="C742" s="19">
        <v>46245</v>
      </c>
      <c r="D742" s="13" t="s">
        <v>16</v>
      </c>
      <c r="E742" s="23">
        <v>1001</v>
      </c>
      <c r="F742" s="12">
        <v>0.56062400000000001</v>
      </c>
      <c r="G742" s="14">
        <v>0.13152700000000001</v>
      </c>
      <c r="H742" s="15">
        <f t="shared" ref="H742:H805" si="34">IFERROR(AVERAGEIFS($F:$F, $A:$A, $A742, $B:$B,$B742, $C:$C,$C742),"")</f>
        <v>0.43736677777777772</v>
      </c>
      <c r="I742" s="16">
        <f t="shared" si="33"/>
        <v>0.10567767222222221</v>
      </c>
    </row>
    <row r="743" spans="1:9" x14ac:dyDescent="0.3">
      <c r="A743" s="23" t="s">
        <v>48</v>
      </c>
      <c r="B743" s="30" t="s">
        <v>101</v>
      </c>
      <c r="C743" s="19">
        <v>46245</v>
      </c>
      <c r="D743" s="13" t="s">
        <v>17</v>
      </c>
      <c r="E743" s="23">
        <v>1623</v>
      </c>
      <c r="F743" s="12">
        <v>0.43410199999999999</v>
      </c>
      <c r="G743" s="14">
        <v>8.5828100000000004E-2</v>
      </c>
      <c r="H743" s="15">
        <f t="shared" si="34"/>
        <v>0.43736677777777772</v>
      </c>
      <c r="I743" s="16">
        <f t="shared" si="33"/>
        <v>0.10567767222222221</v>
      </c>
    </row>
    <row r="744" spans="1:9" x14ac:dyDescent="0.3">
      <c r="A744" s="23" t="s">
        <v>48</v>
      </c>
      <c r="B744" s="30" t="s">
        <v>101</v>
      </c>
      <c r="C744" s="19">
        <v>46245</v>
      </c>
      <c r="D744" s="13" t="s">
        <v>18</v>
      </c>
      <c r="E744" s="23">
        <v>1298</v>
      </c>
      <c r="F744" s="12">
        <v>0.37738500000000003</v>
      </c>
      <c r="G744" s="14">
        <v>8.9770000000000003E-2</v>
      </c>
      <c r="H744" s="15">
        <f t="shared" si="34"/>
        <v>0.43736677777777772</v>
      </c>
      <c r="I744" s="16">
        <f t="shared" si="33"/>
        <v>0.10567767222222221</v>
      </c>
    </row>
    <row r="745" spans="1:9" x14ac:dyDescent="0.3">
      <c r="A745" s="23" t="s">
        <v>48</v>
      </c>
      <c r="B745" s="30" t="s">
        <v>101</v>
      </c>
      <c r="C745" s="19">
        <v>46245</v>
      </c>
      <c r="D745" s="13" t="s">
        <v>19</v>
      </c>
      <c r="E745" s="23">
        <v>1152</v>
      </c>
      <c r="F745" s="12">
        <v>0.57615300000000003</v>
      </c>
      <c r="G745" s="14">
        <v>0.121161</v>
      </c>
      <c r="H745" s="15">
        <f t="shared" si="34"/>
        <v>0.43736677777777772</v>
      </c>
      <c r="I745" s="16">
        <f t="shared" si="33"/>
        <v>0.10567767222222221</v>
      </c>
    </row>
    <row r="746" spans="1:9" x14ac:dyDescent="0.3">
      <c r="A746" s="23" t="s">
        <v>48</v>
      </c>
      <c r="B746" s="30" t="s">
        <v>101</v>
      </c>
      <c r="C746" s="19">
        <v>46245</v>
      </c>
      <c r="D746" s="13" t="s">
        <v>20</v>
      </c>
      <c r="E746" s="23">
        <v>1037</v>
      </c>
      <c r="F746" s="12">
        <v>0.58007799999999998</v>
      </c>
      <c r="G746" s="14">
        <v>0.121346</v>
      </c>
      <c r="H746" s="15">
        <f t="shared" si="34"/>
        <v>0.43736677777777772</v>
      </c>
      <c r="I746" s="16">
        <f t="shared" si="33"/>
        <v>0.10567767222222221</v>
      </c>
    </row>
    <row r="747" spans="1:9" x14ac:dyDescent="0.3">
      <c r="A747" s="23" t="s">
        <v>48</v>
      </c>
      <c r="B747" s="30" t="s">
        <v>101</v>
      </c>
      <c r="C747" s="19">
        <v>46245</v>
      </c>
      <c r="D747" s="13" t="s">
        <v>40</v>
      </c>
      <c r="E747" s="23">
        <v>1238</v>
      </c>
      <c r="F747" s="12">
        <v>0.21996299999999999</v>
      </c>
      <c r="G747" s="14">
        <v>6.6624699999999995E-2</v>
      </c>
      <c r="H747" s="15">
        <f t="shared" si="34"/>
        <v>0.43736677777777772</v>
      </c>
      <c r="I747" s="16">
        <f t="shared" si="33"/>
        <v>0.10567767222222221</v>
      </c>
    </row>
    <row r="748" spans="1:9" x14ac:dyDescent="0.3">
      <c r="A748" s="23" t="s">
        <v>48</v>
      </c>
      <c r="B748" s="30" t="s">
        <v>101</v>
      </c>
      <c r="C748" s="19">
        <v>46245</v>
      </c>
      <c r="D748" s="13" t="s">
        <v>21</v>
      </c>
      <c r="E748" s="23">
        <v>1963</v>
      </c>
      <c r="F748" s="12">
        <v>0.55201299999999998</v>
      </c>
      <c r="G748" s="14">
        <v>0.107331</v>
      </c>
      <c r="H748" s="15">
        <f t="shared" si="34"/>
        <v>0.43736677777777772</v>
      </c>
      <c r="I748" s="16">
        <f t="shared" si="33"/>
        <v>0.10567767222222221</v>
      </c>
    </row>
    <row r="749" spans="1:9" x14ac:dyDescent="0.3">
      <c r="A749" s="23" t="s">
        <v>48</v>
      </c>
      <c r="B749" s="30" t="s">
        <v>101</v>
      </c>
      <c r="C749" s="19">
        <v>46245</v>
      </c>
      <c r="D749" s="13" t="s">
        <v>22</v>
      </c>
      <c r="E749" s="23">
        <v>2056</v>
      </c>
      <c r="F749" s="12">
        <v>0.352099</v>
      </c>
      <c r="G749" s="14">
        <v>9.5616199999999998E-2</v>
      </c>
      <c r="H749" s="15">
        <f t="shared" si="34"/>
        <v>0.43736677777777772</v>
      </c>
      <c r="I749" s="16">
        <f t="shared" si="33"/>
        <v>0.10567767222222221</v>
      </c>
    </row>
    <row r="750" spans="1:9" x14ac:dyDescent="0.3">
      <c r="A750" s="23" t="s">
        <v>48</v>
      </c>
      <c r="B750" s="30" t="s">
        <v>101</v>
      </c>
      <c r="C750" s="19">
        <v>46245</v>
      </c>
      <c r="D750" s="13" t="s">
        <v>23</v>
      </c>
      <c r="E750" s="23">
        <v>1672</v>
      </c>
      <c r="F750" s="12">
        <v>0.37148199999999998</v>
      </c>
      <c r="G750" s="14">
        <v>0.121811</v>
      </c>
      <c r="H750" s="15">
        <f t="shared" si="34"/>
        <v>0.43736677777777772</v>
      </c>
      <c r="I750" s="16">
        <f t="shared" si="33"/>
        <v>0.10567767222222221</v>
      </c>
    </row>
    <row r="751" spans="1:9" x14ac:dyDescent="0.3">
      <c r="A751" s="23" t="s">
        <v>48</v>
      </c>
      <c r="B751" s="30" t="s">
        <v>101</v>
      </c>
      <c r="C751" s="19">
        <v>46245</v>
      </c>
      <c r="D751" s="13" t="s">
        <v>24</v>
      </c>
      <c r="E751" s="23">
        <v>2539</v>
      </c>
      <c r="F751" s="12">
        <v>0.35958499999999999</v>
      </c>
      <c r="G751" s="14">
        <v>0.110737</v>
      </c>
      <c r="H751" s="15">
        <f t="shared" si="34"/>
        <v>0.43736677777777772</v>
      </c>
      <c r="I751" s="16">
        <f t="shared" si="33"/>
        <v>0.10567767222222221</v>
      </c>
    </row>
    <row r="752" spans="1:9" x14ac:dyDescent="0.3">
      <c r="A752" s="23" t="s">
        <v>48</v>
      </c>
      <c r="B752" s="30" t="s">
        <v>101</v>
      </c>
      <c r="C752" s="19">
        <v>46245</v>
      </c>
      <c r="D752" s="13" t="s">
        <v>25</v>
      </c>
      <c r="E752" s="23">
        <v>1143</v>
      </c>
      <c r="F752" s="12">
        <v>0.239338</v>
      </c>
      <c r="G752" s="14">
        <v>5.7532100000000003E-2</v>
      </c>
      <c r="H752" s="15">
        <f t="shared" si="34"/>
        <v>0.43736677777777772</v>
      </c>
      <c r="I752" s="16">
        <f t="shared" si="33"/>
        <v>0.10567767222222221</v>
      </c>
    </row>
    <row r="753" spans="1:9" x14ac:dyDescent="0.3">
      <c r="A753" s="23" t="s">
        <v>48</v>
      </c>
      <c r="B753" s="30" t="s">
        <v>101</v>
      </c>
      <c r="C753" s="19">
        <v>46245</v>
      </c>
      <c r="D753" s="13" t="s">
        <v>26</v>
      </c>
      <c r="E753" s="23">
        <v>2126</v>
      </c>
      <c r="F753" s="12">
        <v>0.33723999999999998</v>
      </c>
      <c r="G753" s="14">
        <v>0.108422</v>
      </c>
      <c r="H753" s="15">
        <f t="shared" si="34"/>
        <v>0.43736677777777772</v>
      </c>
      <c r="I753" s="16">
        <f t="shared" si="33"/>
        <v>0.10567767222222221</v>
      </c>
    </row>
    <row r="754" spans="1:9" x14ac:dyDescent="0.3">
      <c r="A754" s="23" t="s">
        <v>48</v>
      </c>
      <c r="B754" s="30" t="s">
        <v>101</v>
      </c>
      <c r="C754" s="19">
        <v>46245</v>
      </c>
      <c r="D754" s="13" t="s">
        <v>27</v>
      </c>
      <c r="E754" s="23">
        <v>1522</v>
      </c>
      <c r="F754" s="12">
        <v>0.57413099999999995</v>
      </c>
      <c r="G754" s="14">
        <v>0.130158</v>
      </c>
      <c r="H754" s="15">
        <f t="shared" si="34"/>
        <v>0.43736677777777772</v>
      </c>
      <c r="I754" s="16">
        <f t="shared" si="33"/>
        <v>0.10567767222222221</v>
      </c>
    </row>
    <row r="755" spans="1:9" x14ac:dyDescent="0.3">
      <c r="A755" s="23" t="s">
        <v>48</v>
      </c>
      <c r="B755" s="30" t="s">
        <v>101</v>
      </c>
      <c r="C755" s="19">
        <v>46245</v>
      </c>
      <c r="D755" s="13" t="s">
        <v>28</v>
      </c>
      <c r="E755" s="23">
        <v>1547</v>
      </c>
      <c r="F755" s="12">
        <v>0.49929699999999999</v>
      </c>
      <c r="G755" s="14">
        <v>0.112082</v>
      </c>
      <c r="H755" s="15">
        <f t="shared" si="34"/>
        <v>0.43736677777777772</v>
      </c>
      <c r="I755" s="16">
        <f t="shared" si="33"/>
        <v>0.10567767222222221</v>
      </c>
    </row>
    <row r="756" spans="1:9" x14ac:dyDescent="0.3">
      <c r="A756" s="23" t="s">
        <v>48</v>
      </c>
      <c r="B756" s="30" t="s">
        <v>101</v>
      </c>
      <c r="C756" s="19">
        <v>46245</v>
      </c>
      <c r="D756" s="13" t="s">
        <v>29</v>
      </c>
      <c r="E756" s="23">
        <v>1073</v>
      </c>
      <c r="F756" s="12">
        <v>0.42072199999999998</v>
      </c>
      <c r="G756" s="14">
        <v>8.7061399999999997E-2</v>
      </c>
      <c r="H756" s="15">
        <f t="shared" si="34"/>
        <v>0.43736677777777772</v>
      </c>
      <c r="I756" s="16">
        <f t="shared" si="33"/>
        <v>0.10567767222222221</v>
      </c>
    </row>
    <row r="757" spans="1:9" x14ac:dyDescent="0.3">
      <c r="A757" s="23" t="s">
        <v>48</v>
      </c>
      <c r="B757" s="30" t="s">
        <v>101</v>
      </c>
      <c r="C757" s="19">
        <v>46245</v>
      </c>
      <c r="D757" s="13" t="s">
        <v>30</v>
      </c>
      <c r="E757" s="23">
        <v>1121</v>
      </c>
      <c r="F757" s="12">
        <v>0.43172300000000002</v>
      </c>
      <c r="G757" s="14">
        <v>8.6823600000000001E-2</v>
      </c>
      <c r="H757" s="15">
        <f t="shared" si="34"/>
        <v>0.43736677777777772</v>
      </c>
      <c r="I757" s="16">
        <f t="shared" si="33"/>
        <v>0.10567767222222221</v>
      </c>
    </row>
    <row r="758" spans="1:9" x14ac:dyDescent="0.3">
      <c r="A758" s="23" t="s">
        <v>48</v>
      </c>
      <c r="B758" s="30" t="s">
        <v>104</v>
      </c>
      <c r="C758" s="19">
        <v>46245</v>
      </c>
      <c r="D758" s="13" t="s">
        <v>14</v>
      </c>
      <c r="E758" s="23">
        <v>2126</v>
      </c>
      <c r="F758" s="12">
        <v>0.48974200000000001</v>
      </c>
      <c r="G758" s="14">
        <v>0.137686</v>
      </c>
      <c r="H758" s="15">
        <f t="shared" si="34"/>
        <v>0.42161983333333336</v>
      </c>
      <c r="I758" s="16">
        <f t="shared" si="33"/>
        <v>0.10281456111111113</v>
      </c>
    </row>
    <row r="759" spans="1:9" x14ac:dyDescent="0.3">
      <c r="A759" s="23" t="s">
        <v>48</v>
      </c>
      <c r="B759" s="30" t="s">
        <v>104</v>
      </c>
      <c r="C759" s="19">
        <v>46245</v>
      </c>
      <c r="D759" s="13" t="s">
        <v>15</v>
      </c>
      <c r="E759" s="23">
        <v>1831</v>
      </c>
      <c r="F759" s="12">
        <v>0.50505</v>
      </c>
      <c r="G759" s="14">
        <v>0.13303000000000001</v>
      </c>
      <c r="H759" s="15">
        <f t="shared" si="34"/>
        <v>0.42161983333333336</v>
      </c>
      <c r="I759" s="16">
        <f t="shared" si="33"/>
        <v>0.10281456111111113</v>
      </c>
    </row>
    <row r="760" spans="1:9" x14ac:dyDescent="0.3">
      <c r="A760" s="23" t="s">
        <v>48</v>
      </c>
      <c r="B760" s="30" t="s">
        <v>104</v>
      </c>
      <c r="C760" s="19">
        <v>46245</v>
      </c>
      <c r="D760" s="13" t="s">
        <v>16</v>
      </c>
      <c r="E760" s="23">
        <v>1259</v>
      </c>
      <c r="F760" s="12">
        <v>0.47675800000000002</v>
      </c>
      <c r="G760" s="14">
        <v>0.111835</v>
      </c>
      <c r="H760" s="15">
        <f t="shared" si="34"/>
        <v>0.42161983333333336</v>
      </c>
      <c r="I760" s="16">
        <f t="shared" si="33"/>
        <v>0.10281456111111113</v>
      </c>
    </row>
    <row r="761" spans="1:9" x14ac:dyDescent="0.3">
      <c r="A761" s="23" t="s">
        <v>48</v>
      </c>
      <c r="B761" s="30" t="s">
        <v>104</v>
      </c>
      <c r="C761" s="19">
        <v>46245</v>
      </c>
      <c r="D761" s="13" t="s">
        <v>17</v>
      </c>
      <c r="E761" s="23">
        <v>1485</v>
      </c>
      <c r="F761" s="12">
        <v>0.493784</v>
      </c>
      <c r="G761" s="14">
        <v>9.7624900000000001E-2</v>
      </c>
      <c r="H761" s="15">
        <f t="shared" si="34"/>
        <v>0.42161983333333336</v>
      </c>
      <c r="I761" s="16">
        <f t="shared" si="33"/>
        <v>0.10281456111111113</v>
      </c>
    </row>
    <row r="762" spans="1:9" x14ac:dyDescent="0.3">
      <c r="A762" s="23" t="s">
        <v>48</v>
      </c>
      <c r="B762" s="30" t="s">
        <v>104</v>
      </c>
      <c r="C762" s="19">
        <v>46245</v>
      </c>
      <c r="D762" s="13" t="s">
        <v>18</v>
      </c>
      <c r="E762" s="23">
        <v>1386</v>
      </c>
      <c r="F762" s="12">
        <v>0.33268900000000001</v>
      </c>
      <c r="G762" s="14">
        <v>7.9132800000000003E-2</v>
      </c>
      <c r="H762" s="15">
        <f t="shared" si="34"/>
        <v>0.42161983333333336</v>
      </c>
      <c r="I762" s="16">
        <f t="shared" si="33"/>
        <v>0.10281456111111113</v>
      </c>
    </row>
    <row r="763" spans="1:9" x14ac:dyDescent="0.3">
      <c r="A763" s="23" t="s">
        <v>48</v>
      </c>
      <c r="B763" s="30" t="s">
        <v>104</v>
      </c>
      <c r="C763" s="19">
        <v>46245</v>
      </c>
      <c r="D763" s="13" t="s">
        <v>19</v>
      </c>
      <c r="E763" s="23">
        <v>1130</v>
      </c>
      <c r="F763" s="12">
        <v>0.46600799999999998</v>
      </c>
      <c r="G763" s="14">
        <v>9.80235E-2</v>
      </c>
      <c r="H763" s="15">
        <f t="shared" si="34"/>
        <v>0.42161983333333336</v>
      </c>
      <c r="I763" s="16">
        <f t="shared" si="33"/>
        <v>0.10281456111111113</v>
      </c>
    </row>
    <row r="764" spans="1:9" x14ac:dyDescent="0.3">
      <c r="A764" s="23" t="s">
        <v>48</v>
      </c>
      <c r="B764" s="30" t="s">
        <v>104</v>
      </c>
      <c r="C764" s="19">
        <v>46245</v>
      </c>
      <c r="D764" s="13" t="s">
        <v>20</v>
      </c>
      <c r="E764" s="23">
        <v>1106</v>
      </c>
      <c r="F764" s="12">
        <v>0.49461899999999998</v>
      </c>
      <c r="G764" s="14">
        <v>0.103464</v>
      </c>
      <c r="H764" s="15">
        <f t="shared" si="34"/>
        <v>0.42161983333333336</v>
      </c>
      <c r="I764" s="16">
        <f t="shared" si="33"/>
        <v>0.10281456111111113</v>
      </c>
    </row>
    <row r="765" spans="1:9" x14ac:dyDescent="0.3">
      <c r="A765" s="23" t="s">
        <v>48</v>
      </c>
      <c r="B765" s="30" t="s">
        <v>104</v>
      </c>
      <c r="C765" s="19">
        <v>46245</v>
      </c>
      <c r="D765" s="13" t="s">
        <v>40</v>
      </c>
      <c r="E765" s="23">
        <v>1331</v>
      </c>
      <c r="F765" s="12">
        <v>0.244757</v>
      </c>
      <c r="G765" s="14">
        <v>7.4161099999999994E-2</v>
      </c>
      <c r="H765" s="15">
        <f t="shared" si="34"/>
        <v>0.42161983333333336</v>
      </c>
      <c r="I765" s="16">
        <f t="shared" si="33"/>
        <v>0.10281456111111113</v>
      </c>
    </row>
    <row r="766" spans="1:9" x14ac:dyDescent="0.3">
      <c r="A766" s="23" t="s">
        <v>48</v>
      </c>
      <c r="B766" s="30" t="s">
        <v>104</v>
      </c>
      <c r="C766" s="19">
        <v>46245</v>
      </c>
      <c r="D766" s="13" t="s">
        <v>21</v>
      </c>
      <c r="E766" s="23">
        <v>1845</v>
      </c>
      <c r="F766" s="12">
        <v>0.52579100000000001</v>
      </c>
      <c r="G766" s="14">
        <v>0.10224</v>
      </c>
      <c r="H766" s="15">
        <f t="shared" si="34"/>
        <v>0.42161983333333336</v>
      </c>
      <c r="I766" s="16">
        <f t="shared" si="33"/>
        <v>0.10281456111111113</v>
      </c>
    </row>
    <row r="767" spans="1:9" x14ac:dyDescent="0.3">
      <c r="A767" s="23" t="s">
        <v>48</v>
      </c>
      <c r="B767" s="30" t="s">
        <v>104</v>
      </c>
      <c r="C767" s="19">
        <v>46245</v>
      </c>
      <c r="D767" s="13" t="s">
        <v>22</v>
      </c>
      <c r="E767" s="23">
        <v>1721</v>
      </c>
      <c r="F767" s="12">
        <v>0.352551</v>
      </c>
      <c r="G767" s="14">
        <v>9.5748100000000003E-2</v>
      </c>
      <c r="H767" s="15">
        <f t="shared" si="34"/>
        <v>0.42161983333333336</v>
      </c>
      <c r="I767" s="16">
        <f t="shared" si="33"/>
        <v>0.10281456111111113</v>
      </c>
    </row>
    <row r="768" spans="1:9" x14ac:dyDescent="0.3">
      <c r="A768" s="23" t="s">
        <v>48</v>
      </c>
      <c r="B768" s="30" t="s">
        <v>104</v>
      </c>
      <c r="C768" s="19">
        <v>46245</v>
      </c>
      <c r="D768" s="13" t="s">
        <v>23</v>
      </c>
      <c r="E768" s="23">
        <v>1567</v>
      </c>
      <c r="F768" s="12">
        <v>0.44954699999999997</v>
      </c>
      <c r="G768" s="14">
        <v>0.147393</v>
      </c>
      <c r="H768" s="15">
        <f t="shared" si="34"/>
        <v>0.42161983333333336</v>
      </c>
      <c r="I768" s="16">
        <f t="shared" si="33"/>
        <v>0.10281456111111113</v>
      </c>
    </row>
    <row r="769" spans="1:9" x14ac:dyDescent="0.3">
      <c r="A769" s="23" t="s">
        <v>48</v>
      </c>
      <c r="B769" s="30" t="s">
        <v>104</v>
      </c>
      <c r="C769" s="19">
        <v>46245</v>
      </c>
      <c r="D769" s="13" t="s">
        <v>24</v>
      </c>
      <c r="E769" s="23">
        <v>2351</v>
      </c>
      <c r="F769" s="12">
        <v>0.32375900000000002</v>
      </c>
      <c r="G769" s="14">
        <v>9.9718899999999999E-2</v>
      </c>
      <c r="H769" s="15">
        <f t="shared" si="34"/>
        <v>0.42161983333333336</v>
      </c>
      <c r="I769" s="16">
        <f t="shared" si="33"/>
        <v>0.10281456111111113</v>
      </c>
    </row>
    <row r="770" spans="1:9" x14ac:dyDescent="0.3">
      <c r="A770" s="23" t="s">
        <v>48</v>
      </c>
      <c r="B770" s="30" t="s">
        <v>104</v>
      </c>
      <c r="C770" s="19">
        <v>46245</v>
      </c>
      <c r="D770" s="13" t="s">
        <v>25</v>
      </c>
      <c r="E770" s="23">
        <v>1120</v>
      </c>
      <c r="F770" s="12">
        <v>0.28159499999999998</v>
      </c>
      <c r="G770" s="14">
        <v>6.7692199999999994E-2</v>
      </c>
      <c r="H770" s="15">
        <f t="shared" si="34"/>
        <v>0.42161983333333336</v>
      </c>
      <c r="I770" s="16">
        <f t="shared" si="33"/>
        <v>0.10281456111111113</v>
      </c>
    </row>
    <row r="771" spans="1:9" x14ac:dyDescent="0.3">
      <c r="A771" s="23" t="s">
        <v>48</v>
      </c>
      <c r="B771" s="30" t="s">
        <v>104</v>
      </c>
      <c r="C771" s="19">
        <v>46245</v>
      </c>
      <c r="D771" s="13" t="s">
        <v>26</v>
      </c>
      <c r="E771" s="23">
        <v>1852</v>
      </c>
      <c r="F771" s="12">
        <v>0.348329</v>
      </c>
      <c r="G771" s="14">
        <v>0.112027</v>
      </c>
      <c r="H771" s="15">
        <f t="shared" si="34"/>
        <v>0.42161983333333336</v>
      </c>
      <c r="I771" s="16">
        <f t="shared" ref="I771:I834" si="35">IFERROR(AVERAGEIFS($G:$G, $A:$A, $A771, $B:$B,$B771, $C:$C,$C771),"")</f>
        <v>0.10281456111111113</v>
      </c>
    </row>
    <row r="772" spans="1:9" x14ac:dyDescent="0.3">
      <c r="A772" s="23" t="s">
        <v>48</v>
      </c>
      <c r="B772" s="30" t="s">
        <v>104</v>
      </c>
      <c r="C772" s="19">
        <v>46245</v>
      </c>
      <c r="D772" s="13" t="s">
        <v>27</v>
      </c>
      <c r="E772" s="23">
        <v>1351</v>
      </c>
      <c r="F772" s="12">
        <v>0.61059399999999997</v>
      </c>
      <c r="G772" s="14">
        <v>0.13844999999999999</v>
      </c>
      <c r="H772" s="15">
        <f t="shared" si="34"/>
        <v>0.42161983333333336</v>
      </c>
      <c r="I772" s="16">
        <f t="shared" si="35"/>
        <v>0.10281456111111113</v>
      </c>
    </row>
    <row r="773" spans="1:9" x14ac:dyDescent="0.3">
      <c r="A773" s="23" t="s">
        <v>48</v>
      </c>
      <c r="B773" s="30" t="s">
        <v>104</v>
      </c>
      <c r="C773" s="19">
        <v>46245</v>
      </c>
      <c r="D773" s="13" t="s">
        <v>28</v>
      </c>
      <c r="E773" s="23">
        <v>1308</v>
      </c>
      <c r="F773" s="12">
        <v>0.43242999999999998</v>
      </c>
      <c r="G773" s="14">
        <v>9.7030599999999995E-2</v>
      </c>
      <c r="H773" s="15">
        <f t="shared" si="34"/>
        <v>0.42161983333333336</v>
      </c>
      <c r="I773" s="16">
        <f t="shared" si="35"/>
        <v>0.10281456111111113</v>
      </c>
    </row>
    <row r="774" spans="1:9" x14ac:dyDescent="0.3">
      <c r="A774" s="23" t="s">
        <v>48</v>
      </c>
      <c r="B774" s="30" t="s">
        <v>104</v>
      </c>
      <c r="C774" s="19">
        <v>46245</v>
      </c>
      <c r="D774" s="13" t="s">
        <v>29</v>
      </c>
      <c r="E774" s="23">
        <v>1196</v>
      </c>
      <c r="F774" s="12">
        <v>0.39591999999999999</v>
      </c>
      <c r="G774" s="14">
        <v>8.1948599999999996E-2</v>
      </c>
      <c r="H774" s="15">
        <f t="shared" si="34"/>
        <v>0.42161983333333336</v>
      </c>
      <c r="I774" s="16">
        <f t="shared" si="35"/>
        <v>0.10281456111111113</v>
      </c>
    </row>
    <row r="775" spans="1:9" x14ac:dyDescent="0.3">
      <c r="A775" s="23" t="s">
        <v>48</v>
      </c>
      <c r="B775" s="30" t="s">
        <v>104</v>
      </c>
      <c r="C775" s="19">
        <v>46245</v>
      </c>
      <c r="D775" s="13" t="s">
        <v>30</v>
      </c>
      <c r="E775" s="23">
        <v>1003</v>
      </c>
      <c r="F775" s="12">
        <v>0.365234</v>
      </c>
      <c r="G775" s="14">
        <v>7.3456400000000005E-2</v>
      </c>
      <c r="H775" s="15">
        <f t="shared" si="34"/>
        <v>0.42161983333333336</v>
      </c>
      <c r="I775" s="16">
        <f t="shared" si="35"/>
        <v>0.10281456111111113</v>
      </c>
    </row>
    <row r="776" spans="1:9" x14ac:dyDescent="0.3">
      <c r="A776" s="23" t="s">
        <v>48</v>
      </c>
      <c r="B776" s="30" t="s">
        <v>105</v>
      </c>
      <c r="C776" s="19">
        <v>46245</v>
      </c>
      <c r="D776" s="13" t="s">
        <v>14</v>
      </c>
      <c r="E776" s="23">
        <v>1932</v>
      </c>
      <c r="F776" s="12">
        <v>0.46178799999999998</v>
      </c>
      <c r="G776" s="14">
        <v>0.12984799999999999</v>
      </c>
      <c r="H776" s="15">
        <f t="shared" si="34"/>
        <v>0.3899057222222222</v>
      </c>
      <c r="I776" s="16">
        <f t="shared" si="35"/>
        <v>9.5571205555555566E-2</v>
      </c>
    </row>
    <row r="777" spans="1:9" x14ac:dyDescent="0.3">
      <c r="A777" s="23" t="s">
        <v>48</v>
      </c>
      <c r="B777" s="30" t="s">
        <v>105</v>
      </c>
      <c r="C777" s="19">
        <v>46245</v>
      </c>
      <c r="D777" s="13" t="s">
        <v>15</v>
      </c>
      <c r="E777" s="23">
        <v>1648</v>
      </c>
      <c r="F777" s="12">
        <v>0.45823799999999998</v>
      </c>
      <c r="G777" s="14">
        <v>0.120729</v>
      </c>
      <c r="H777" s="15">
        <f t="shared" si="34"/>
        <v>0.3899057222222222</v>
      </c>
      <c r="I777" s="16">
        <f t="shared" si="35"/>
        <v>9.5571205555555566E-2</v>
      </c>
    </row>
    <row r="778" spans="1:9" x14ac:dyDescent="0.3">
      <c r="A778" s="23" t="s">
        <v>48</v>
      </c>
      <c r="B778" s="30" t="s">
        <v>105</v>
      </c>
      <c r="C778" s="19">
        <v>46245</v>
      </c>
      <c r="D778" s="13" t="s">
        <v>16</v>
      </c>
      <c r="E778" s="23">
        <v>1204</v>
      </c>
      <c r="F778" s="12">
        <v>0.44695000000000001</v>
      </c>
      <c r="G778" s="14">
        <v>0.10484</v>
      </c>
      <c r="H778" s="15">
        <f t="shared" si="34"/>
        <v>0.3899057222222222</v>
      </c>
      <c r="I778" s="16">
        <f t="shared" si="35"/>
        <v>9.5571205555555566E-2</v>
      </c>
    </row>
    <row r="779" spans="1:9" x14ac:dyDescent="0.3">
      <c r="A779" s="23" t="s">
        <v>48</v>
      </c>
      <c r="B779" s="30" t="s">
        <v>105</v>
      </c>
      <c r="C779" s="19">
        <v>46245</v>
      </c>
      <c r="D779" s="13" t="s">
        <v>17</v>
      </c>
      <c r="E779" s="23">
        <v>1675</v>
      </c>
      <c r="F779" s="12">
        <v>0.430647</v>
      </c>
      <c r="G779" s="14">
        <v>8.5158300000000006E-2</v>
      </c>
      <c r="H779" s="15">
        <f t="shared" si="34"/>
        <v>0.3899057222222222</v>
      </c>
      <c r="I779" s="16">
        <f t="shared" si="35"/>
        <v>9.5571205555555566E-2</v>
      </c>
    </row>
    <row r="780" spans="1:9" x14ac:dyDescent="0.3">
      <c r="A780" s="23" t="s">
        <v>48</v>
      </c>
      <c r="B780" s="30" t="s">
        <v>105</v>
      </c>
      <c r="C780" s="19">
        <v>46245</v>
      </c>
      <c r="D780" s="13" t="s">
        <v>18</v>
      </c>
      <c r="E780" s="23">
        <v>1384</v>
      </c>
      <c r="F780" s="12">
        <v>0.28395599999999999</v>
      </c>
      <c r="G780" s="14">
        <v>6.7535499999999998E-2</v>
      </c>
      <c r="H780" s="15">
        <f t="shared" si="34"/>
        <v>0.3899057222222222</v>
      </c>
      <c r="I780" s="16">
        <f t="shared" si="35"/>
        <v>9.5571205555555566E-2</v>
      </c>
    </row>
    <row r="781" spans="1:9" x14ac:dyDescent="0.3">
      <c r="A781" s="23" t="s">
        <v>48</v>
      </c>
      <c r="B781" s="30" t="s">
        <v>105</v>
      </c>
      <c r="C781" s="19">
        <v>46245</v>
      </c>
      <c r="D781" s="13" t="s">
        <v>19</v>
      </c>
      <c r="E781" s="23">
        <v>1209</v>
      </c>
      <c r="F781" s="12">
        <v>0.39530500000000002</v>
      </c>
      <c r="G781" s="14">
        <v>8.3150699999999994E-2</v>
      </c>
      <c r="H781" s="15">
        <f t="shared" si="34"/>
        <v>0.3899057222222222</v>
      </c>
      <c r="I781" s="16">
        <f t="shared" si="35"/>
        <v>9.5571205555555566E-2</v>
      </c>
    </row>
    <row r="782" spans="1:9" x14ac:dyDescent="0.3">
      <c r="A782" s="23" t="s">
        <v>48</v>
      </c>
      <c r="B782" s="30" t="s">
        <v>105</v>
      </c>
      <c r="C782" s="19">
        <v>46245</v>
      </c>
      <c r="D782" s="13" t="s">
        <v>20</v>
      </c>
      <c r="E782" s="23">
        <v>1011</v>
      </c>
      <c r="F782" s="12">
        <v>0.437282</v>
      </c>
      <c r="G782" s="14">
        <v>9.1481900000000005E-2</v>
      </c>
      <c r="H782" s="15">
        <f t="shared" si="34"/>
        <v>0.3899057222222222</v>
      </c>
      <c r="I782" s="16">
        <f t="shared" si="35"/>
        <v>9.5571205555555566E-2</v>
      </c>
    </row>
    <row r="783" spans="1:9" x14ac:dyDescent="0.3">
      <c r="A783" s="23" t="s">
        <v>48</v>
      </c>
      <c r="B783" s="30" t="s">
        <v>105</v>
      </c>
      <c r="C783" s="19">
        <v>46245</v>
      </c>
      <c r="D783" s="13" t="s">
        <v>40</v>
      </c>
      <c r="E783" s="23">
        <v>1267</v>
      </c>
      <c r="F783" s="12">
        <v>0.31335200000000002</v>
      </c>
      <c r="G783" s="14">
        <v>9.4975599999999993E-2</v>
      </c>
      <c r="H783" s="15">
        <f t="shared" si="34"/>
        <v>0.3899057222222222</v>
      </c>
      <c r="I783" s="16">
        <f t="shared" si="35"/>
        <v>9.5571205555555566E-2</v>
      </c>
    </row>
    <row r="784" spans="1:9" x14ac:dyDescent="0.3">
      <c r="A784" s="23" t="s">
        <v>48</v>
      </c>
      <c r="B784" s="30" t="s">
        <v>105</v>
      </c>
      <c r="C784" s="19">
        <v>46245</v>
      </c>
      <c r="D784" s="13" t="s">
        <v>21</v>
      </c>
      <c r="E784" s="23">
        <v>2216</v>
      </c>
      <c r="F784" s="12">
        <v>0.49553799999999998</v>
      </c>
      <c r="G784" s="14">
        <v>9.6340499999999996E-2</v>
      </c>
      <c r="H784" s="15">
        <f t="shared" si="34"/>
        <v>0.3899057222222222</v>
      </c>
      <c r="I784" s="16">
        <f t="shared" si="35"/>
        <v>9.5571205555555566E-2</v>
      </c>
    </row>
    <row r="785" spans="1:9" x14ac:dyDescent="0.3">
      <c r="A785" s="23" t="s">
        <v>48</v>
      </c>
      <c r="B785" s="30" t="s">
        <v>105</v>
      </c>
      <c r="C785" s="19">
        <v>46245</v>
      </c>
      <c r="D785" s="13" t="s">
        <v>22</v>
      </c>
      <c r="E785" s="23">
        <v>1819</v>
      </c>
      <c r="F785" s="12">
        <v>0.31882199999999999</v>
      </c>
      <c r="G785" s="14">
        <v>8.6580799999999999E-2</v>
      </c>
      <c r="H785" s="15">
        <f t="shared" si="34"/>
        <v>0.3899057222222222</v>
      </c>
      <c r="I785" s="16">
        <f t="shared" si="35"/>
        <v>9.5571205555555566E-2</v>
      </c>
    </row>
    <row r="786" spans="1:9" x14ac:dyDescent="0.3">
      <c r="A786" s="23" t="s">
        <v>48</v>
      </c>
      <c r="B786" s="30" t="s">
        <v>105</v>
      </c>
      <c r="C786" s="19">
        <v>46245</v>
      </c>
      <c r="D786" s="13" t="s">
        <v>23</v>
      </c>
      <c r="E786" s="23">
        <v>1420</v>
      </c>
      <c r="F786" s="12">
        <v>0.35280600000000001</v>
      </c>
      <c r="G786" s="14">
        <v>0.115662</v>
      </c>
      <c r="H786" s="15">
        <f t="shared" si="34"/>
        <v>0.3899057222222222</v>
      </c>
      <c r="I786" s="16">
        <f t="shared" si="35"/>
        <v>9.5571205555555566E-2</v>
      </c>
    </row>
    <row r="787" spans="1:9" x14ac:dyDescent="0.3">
      <c r="A787" s="23" t="s">
        <v>48</v>
      </c>
      <c r="B787" s="30" t="s">
        <v>105</v>
      </c>
      <c r="C787" s="19">
        <v>46245</v>
      </c>
      <c r="D787" s="13" t="s">
        <v>24</v>
      </c>
      <c r="E787" s="23">
        <v>2129</v>
      </c>
      <c r="F787" s="12">
        <v>0.32616299999999998</v>
      </c>
      <c r="G787" s="14">
        <v>0.10045</v>
      </c>
      <c r="H787" s="15">
        <f t="shared" si="34"/>
        <v>0.3899057222222222</v>
      </c>
      <c r="I787" s="16">
        <f t="shared" si="35"/>
        <v>9.5571205555555566E-2</v>
      </c>
    </row>
    <row r="788" spans="1:9" x14ac:dyDescent="0.3">
      <c r="A788" s="23" t="s">
        <v>48</v>
      </c>
      <c r="B788" s="30" t="s">
        <v>105</v>
      </c>
      <c r="C788" s="19">
        <v>46245</v>
      </c>
      <c r="D788" s="13" t="s">
        <v>25</v>
      </c>
      <c r="E788" s="23">
        <v>1368</v>
      </c>
      <c r="F788" s="12">
        <v>0.26663900000000001</v>
      </c>
      <c r="G788" s="14">
        <v>6.4111500000000002E-2</v>
      </c>
      <c r="H788" s="15">
        <f t="shared" si="34"/>
        <v>0.3899057222222222</v>
      </c>
      <c r="I788" s="16">
        <f t="shared" si="35"/>
        <v>9.5571205555555566E-2</v>
      </c>
    </row>
    <row r="789" spans="1:9" x14ac:dyDescent="0.3">
      <c r="A789" s="23" t="s">
        <v>48</v>
      </c>
      <c r="B789" s="30" t="s">
        <v>105</v>
      </c>
      <c r="C789" s="19">
        <v>46245</v>
      </c>
      <c r="D789" s="13" t="s">
        <v>26</v>
      </c>
      <c r="E789" s="23">
        <v>1874</v>
      </c>
      <c r="F789" s="12">
        <v>0.38208199999999998</v>
      </c>
      <c r="G789" s="14">
        <v>0.12284</v>
      </c>
      <c r="H789" s="15">
        <f t="shared" si="34"/>
        <v>0.3899057222222222</v>
      </c>
      <c r="I789" s="16">
        <f t="shared" si="35"/>
        <v>9.5571205555555566E-2</v>
      </c>
    </row>
    <row r="790" spans="1:9" x14ac:dyDescent="0.3">
      <c r="A790" s="23" t="s">
        <v>48</v>
      </c>
      <c r="B790" s="30" t="s">
        <v>105</v>
      </c>
      <c r="C790" s="19">
        <v>46245</v>
      </c>
      <c r="D790" s="13" t="s">
        <v>27</v>
      </c>
      <c r="E790" s="23">
        <v>1405</v>
      </c>
      <c r="F790" s="12">
        <v>0.56033999999999995</v>
      </c>
      <c r="G790" s="14">
        <v>0.127054</v>
      </c>
      <c r="H790" s="15">
        <f t="shared" si="34"/>
        <v>0.3899057222222222</v>
      </c>
      <c r="I790" s="16">
        <f t="shared" si="35"/>
        <v>9.5571205555555566E-2</v>
      </c>
    </row>
    <row r="791" spans="1:9" x14ac:dyDescent="0.3">
      <c r="A791" s="23" t="s">
        <v>48</v>
      </c>
      <c r="B791" s="30" t="s">
        <v>105</v>
      </c>
      <c r="C791" s="19">
        <v>46245</v>
      </c>
      <c r="D791" s="13" t="s">
        <v>28</v>
      </c>
      <c r="E791" s="23">
        <v>1056</v>
      </c>
      <c r="F791" s="12">
        <v>0.36146299999999998</v>
      </c>
      <c r="G791" s="14">
        <v>8.1136399999999997E-2</v>
      </c>
      <c r="H791" s="15">
        <f t="shared" si="34"/>
        <v>0.3899057222222222</v>
      </c>
      <c r="I791" s="16">
        <f t="shared" si="35"/>
        <v>9.5571205555555566E-2</v>
      </c>
    </row>
    <row r="792" spans="1:9" x14ac:dyDescent="0.3">
      <c r="A792" s="23" t="s">
        <v>48</v>
      </c>
      <c r="B792" s="30" t="s">
        <v>105</v>
      </c>
      <c r="C792" s="19">
        <v>46245</v>
      </c>
      <c r="D792" s="13" t="s">
        <v>29</v>
      </c>
      <c r="E792" s="23">
        <v>1223</v>
      </c>
      <c r="F792" s="12">
        <v>0.36522100000000002</v>
      </c>
      <c r="G792" s="14">
        <v>7.5615100000000005E-2</v>
      </c>
      <c r="H792" s="15">
        <f t="shared" si="34"/>
        <v>0.3899057222222222</v>
      </c>
      <c r="I792" s="16">
        <f t="shared" si="35"/>
        <v>9.5571205555555566E-2</v>
      </c>
    </row>
    <row r="793" spans="1:9" x14ac:dyDescent="0.3">
      <c r="A793" s="23" t="s">
        <v>48</v>
      </c>
      <c r="B793" s="30" t="s">
        <v>105</v>
      </c>
      <c r="C793" s="19">
        <v>46245</v>
      </c>
      <c r="D793" s="13" t="s">
        <v>30</v>
      </c>
      <c r="E793" s="23">
        <v>1003</v>
      </c>
      <c r="F793" s="12">
        <v>0.361711</v>
      </c>
      <c r="G793" s="14">
        <v>7.2772400000000001E-2</v>
      </c>
      <c r="H793" s="15">
        <f t="shared" si="34"/>
        <v>0.3899057222222222</v>
      </c>
      <c r="I793" s="16">
        <f t="shared" si="35"/>
        <v>9.5571205555555566E-2</v>
      </c>
    </row>
    <row r="794" spans="1:9" x14ac:dyDescent="0.3">
      <c r="A794" s="23" t="s">
        <v>48</v>
      </c>
      <c r="B794" s="30" t="s">
        <v>122</v>
      </c>
      <c r="C794" s="19">
        <v>46246</v>
      </c>
      <c r="D794" s="13" t="s">
        <v>14</v>
      </c>
      <c r="E794" s="23">
        <v>1678</v>
      </c>
      <c r="F794" s="12">
        <v>0.48893999999999999</v>
      </c>
      <c r="G794" s="14">
        <v>0.13750599999999999</v>
      </c>
      <c r="H794" s="15">
        <f t="shared" si="34"/>
        <v>0.40350788235294116</v>
      </c>
      <c r="I794" s="16">
        <f t="shared" si="35"/>
        <v>9.9487094117647043E-2</v>
      </c>
    </row>
    <row r="795" spans="1:9" x14ac:dyDescent="0.3">
      <c r="A795" s="23" t="s">
        <v>48</v>
      </c>
      <c r="B795" s="30" t="s">
        <v>122</v>
      </c>
      <c r="C795" s="19">
        <v>46246</v>
      </c>
      <c r="D795" s="13" t="s">
        <v>15</v>
      </c>
      <c r="E795" s="23">
        <v>1426</v>
      </c>
      <c r="F795" s="12">
        <v>0.46409400000000001</v>
      </c>
      <c r="G795" s="14">
        <v>0.122299</v>
      </c>
      <c r="H795" s="15">
        <f t="shared" si="34"/>
        <v>0.40350788235294116</v>
      </c>
      <c r="I795" s="16">
        <f t="shared" si="35"/>
        <v>9.9487094117647043E-2</v>
      </c>
    </row>
    <row r="796" spans="1:9" x14ac:dyDescent="0.3">
      <c r="A796" s="23" t="s">
        <v>48</v>
      </c>
      <c r="B796" s="30" t="s">
        <v>122</v>
      </c>
      <c r="C796" s="19">
        <v>46246</v>
      </c>
      <c r="D796" s="13" t="s">
        <v>16</v>
      </c>
      <c r="E796" s="23">
        <v>1166</v>
      </c>
      <c r="F796" s="12">
        <v>0.435087</v>
      </c>
      <c r="G796" s="14">
        <v>0.102075</v>
      </c>
      <c r="H796" s="15">
        <f t="shared" si="34"/>
        <v>0.40350788235294116</v>
      </c>
      <c r="I796" s="16">
        <f t="shared" si="35"/>
        <v>9.9487094117647043E-2</v>
      </c>
    </row>
    <row r="797" spans="1:9" x14ac:dyDescent="0.3">
      <c r="A797" s="23" t="s">
        <v>48</v>
      </c>
      <c r="B797" s="30" t="s">
        <v>122</v>
      </c>
      <c r="C797" s="19">
        <v>46246</v>
      </c>
      <c r="D797" s="13" t="s">
        <v>17</v>
      </c>
      <c r="E797" s="23">
        <v>1446</v>
      </c>
      <c r="F797" s="12">
        <v>0.47777799999999998</v>
      </c>
      <c r="G797" s="14">
        <v>9.4541600000000003E-2</v>
      </c>
      <c r="H797" s="15">
        <f t="shared" si="34"/>
        <v>0.40350788235294116</v>
      </c>
      <c r="I797" s="16">
        <f t="shared" si="35"/>
        <v>9.9487094117647043E-2</v>
      </c>
    </row>
    <row r="798" spans="1:9" x14ac:dyDescent="0.3">
      <c r="A798" s="23" t="s">
        <v>48</v>
      </c>
      <c r="B798" s="30" t="s">
        <v>122</v>
      </c>
      <c r="C798" s="19">
        <v>46246</v>
      </c>
      <c r="D798" s="13" t="s">
        <v>18</v>
      </c>
      <c r="E798" s="23">
        <v>1175</v>
      </c>
      <c r="F798" s="12">
        <v>0.26622299999999999</v>
      </c>
      <c r="G798" s="14">
        <v>6.3335900000000001E-2</v>
      </c>
      <c r="H798" s="15">
        <f t="shared" si="34"/>
        <v>0.40350788235294116</v>
      </c>
      <c r="I798" s="16">
        <f t="shared" si="35"/>
        <v>9.9487094117647043E-2</v>
      </c>
    </row>
    <row r="799" spans="1:9" x14ac:dyDescent="0.3">
      <c r="A799" s="23" t="s">
        <v>48</v>
      </c>
      <c r="B799" s="30" t="s">
        <v>122</v>
      </c>
      <c r="C799" s="19">
        <v>46246</v>
      </c>
      <c r="D799" s="13" t="s">
        <v>19</v>
      </c>
      <c r="E799" s="23">
        <v>1147</v>
      </c>
      <c r="F799" s="12">
        <v>0.414607</v>
      </c>
      <c r="G799" s="14">
        <v>8.7235800000000002E-2</v>
      </c>
      <c r="H799" s="15">
        <f t="shared" si="34"/>
        <v>0.40350788235294116</v>
      </c>
      <c r="I799" s="16">
        <f t="shared" si="35"/>
        <v>9.9487094117647043E-2</v>
      </c>
    </row>
    <row r="800" spans="1:9" x14ac:dyDescent="0.3">
      <c r="A800" s="23" t="s">
        <v>48</v>
      </c>
      <c r="B800" s="30" t="s">
        <v>122</v>
      </c>
      <c r="C800" s="19">
        <v>46246</v>
      </c>
      <c r="D800" s="13" t="s">
        <v>20</v>
      </c>
      <c r="E800" s="23">
        <v>1051</v>
      </c>
      <c r="F800" s="12">
        <v>0.44212400000000002</v>
      </c>
      <c r="G800" s="14">
        <v>9.2520699999999997E-2</v>
      </c>
      <c r="H800" s="15">
        <f t="shared" si="34"/>
        <v>0.40350788235294116</v>
      </c>
      <c r="I800" s="16">
        <f t="shared" si="35"/>
        <v>9.9487094117647043E-2</v>
      </c>
    </row>
    <row r="801" spans="1:9" x14ac:dyDescent="0.3">
      <c r="A801" s="23" t="s">
        <v>48</v>
      </c>
      <c r="B801" s="30" t="s">
        <v>122</v>
      </c>
      <c r="C801" s="19">
        <v>46246</v>
      </c>
      <c r="D801" s="13" t="s">
        <v>40</v>
      </c>
      <c r="E801" s="23">
        <v>1151</v>
      </c>
      <c r="F801" s="12">
        <v>0.242585</v>
      </c>
      <c r="G801" s="14">
        <v>7.3554599999999998E-2</v>
      </c>
      <c r="H801" s="15">
        <f t="shared" si="34"/>
        <v>0.40350788235294116</v>
      </c>
      <c r="I801" s="16">
        <f t="shared" si="35"/>
        <v>9.9487094117647043E-2</v>
      </c>
    </row>
    <row r="802" spans="1:9" x14ac:dyDescent="0.3">
      <c r="A802" s="23" t="s">
        <v>48</v>
      </c>
      <c r="B802" s="30" t="s">
        <v>122</v>
      </c>
      <c r="C802" s="19">
        <v>46246</v>
      </c>
      <c r="D802" s="13" t="s">
        <v>21</v>
      </c>
      <c r="E802" s="23">
        <v>1953</v>
      </c>
      <c r="F802" s="12">
        <v>0.52327400000000002</v>
      </c>
      <c r="G802" s="14">
        <v>0.101781</v>
      </c>
      <c r="H802" s="15">
        <f t="shared" si="34"/>
        <v>0.40350788235294116</v>
      </c>
      <c r="I802" s="16">
        <f t="shared" si="35"/>
        <v>9.9487094117647043E-2</v>
      </c>
    </row>
    <row r="803" spans="1:9" x14ac:dyDescent="0.3">
      <c r="A803" s="23" t="s">
        <v>48</v>
      </c>
      <c r="B803" s="30" t="s">
        <v>122</v>
      </c>
      <c r="C803" s="19">
        <v>46246</v>
      </c>
      <c r="D803" s="13" t="s">
        <v>22</v>
      </c>
      <c r="E803" s="23">
        <v>1572</v>
      </c>
      <c r="F803" s="12">
        <v>0.36042400000000002</v>
      </c>
      <c r="G803" s="14">
        <v>9.7908700000000001E-2</v>
      </c>
      <c r="H803" s="15">
        <f t="shared" si="34"/>
        <v>0.40350788235294116</v>
      </c>
      <c r="I803" s="16">
        <f t="shared" si="35"/>
        <v>9.9487094117647043E-2</v>
      </c>
    </row>
    <row r="804" spans="1:9" x14ac:dyDescent="0.3">
      <c r="A804" s="23" t="s">
        <v>48</v>
      </c>
      <c r="B804" s="30" t="s">
        <v>122</v>
      </c>
      <c r="C804" s="19">
        <v>46246</v>
      </c>
      <c r="D804" s="13" t="s">
        <v>23</v>
      </c>
      <c r="E804" s="23">
        <v>1264</v>
      </c>
      <c r="F804" s="12">
        <v>0.349188</v>
      </c>
      <c r="G804" s="14">
        <v>0.114511</v>
      </c>
      <c r="H804" s="15">
        <f t="shared" si="34"/>
        <v>0.40350788235294116</v>
      </c>
      <c r="I804" s="16">
        <f t="shared" si="35"/>
        <v>9.9487094117647043E-2</v>
      </c>
    </row>
    <row r="805" spans="1:9" x14ac:dyDescent="0.3">
      <c r="A805" s="23" t="s">
        <v>48</v>
      </c>
      <c r="B805" s="30" t="s">
        <v>122</v>
      </c>
      <c r="C805" s="19">
        <v>46246</v>
      </c>
      <c r="D805" s="13" t="s">
        <v>24</v>
      </c>
      <c r="E805" s="23">
        <v>1753</v>
      </c>
      <c r="F805" s="12">
        <v>0.30294900000000002</v>
      </c>
      <c r="G805" s="14">
        <v>9.3338400000000002E-2</v>
      </c>
      <c r="H805" s="15">
        <f t="shared" si="34"/>
        <v>0.40350788235294116</v>
      </c>
      <c r="I805" s="16">
        <f t="shared" si="35"/>
        <v>9.9487094117647043E-2</v>
      </c>
    </row>
    <row r="806" spans="1:9" x14ac:dyDescent="0.3">
      <c r="A806" s="23" t="s">
        <v>48</v>
      </c>
      <c r="B806" s="30" t="s">
        <v>122</v>
      </c>
      <c r="C806" s="19">
        <v>46246</v>
      </c>
      <c r="D806" s="13" t="s">
        <v>25</v>
      </c>
      <c r="E806" s="23">
        <v>1142</v>
      </c>
      <c r="F806" s="12">
        <v>0.29338199999999998</v>
      </c>
      <c r="G806" s="14">
        <v>7.0546300000000006E-2</v>
      </c>
      <c r="H806" s="15">
        <f t="shared" ref="H806:H869" si="36">IFERROR(AVERAGEIFS($F:$F, $A:$A, $A806, $B:$B,$B806, $C:$C,$C806),"")</f>
        <v>0.40350788235294116</v>
      </c>
      <c r="I806" s="16">
        <f t="shared" si="35"/>
        <v>9.9487094117647043E-2</v>
      </c>
    </row>
    <row r="807" spans="1:9" x14ac:dyDescent="0.3">
      <c r="A807" s="23" t="s">
        <v>48</v>
      </c>
      <c r="B807" s="30" t="s">
        <v>122</v>
      </c>
      <c r="C807" s="19">
        <v>46246</v>
      </c>
      <c r="D807" s="13" t="s">
        <v>26</v>
      </c>
      <c r="E807" s="23">
        <v>1448</v>
      </c>
      <c r="F807" s="12">
        <v>0.43177399999999999</v>
      </c>
      <c r="G807" s="14">
        <v>0.13891100000000001</v>
      </c>
      <c r="H807" s="15">
        <f t="shared" si="36"/>
        <v>0.40350788235294116</v>
      </c>
      <c r="I807" s="16">
        <f t="shared" si="35"/>
        <v>9.9487094117647043E-2</v>
      </c>
    </row>
    <row r="808" spans="1:9" x14ac:dyDescent="0.3">
      <c r="A808" s="23" t="s">
        <v>48</v>
      </c>
      <c r="B808" s="30" t="s">
        <v>122</v>
      </c>
      <c r="C808" s="19">
        <v>46246</v>
      </c>
      <c r="D808" s="13" t="s">
        <v>27</v>
      </c>
      <c r="E808" s="23">
        <v>1254</v>
      </c>
      <c r="F808" s="12">
        <v>0.54694299999999996</v>
      </c>
      <c r="G808" s="14">
        <v>0.124066</v>
      </c>
      <c r="H808" s="15">
        <f t="shared" si="36"/>
        <v>0.40350788235294116</v>
      </c>
      <c r="I808" s="16">
        <f t="shared" si="35"/>
        <v>9.9487094117647043E-2</v>
      </c>
    </row>
    <row r="809" spans="1:9" x14ac:dyDescent="0.3">
      <c r="A809" s="23" t="s">
        <v>48</v>
      </c>
      <c r="B809" s="30" t="s">
        <v>122</v>
      </c>
      <c r="C809" s="19">
        <v>46246</v>
      </c>
      <c r="D809" s="13" t="s">
        <v>28</v>
      </c>
      <c r="E809" s="23">
        <v>1015</v>
      </c>
      <c r="F809" s="12">
        <v>0.41905300000000001</v>
      </c>
      <c r="G809" s="14">
        <v>9.4061800000000001E-2</v>
      </c>
      <c r="H809" s="15">
        <f t="shared" si="36"/>
        <v>0.40350788235294116</v>
      </c>
      <c r="I809" s="16">
        <f t="shared" si="35"/>
        <v>9.9487094117647043E-2</v>
      </c>
    </row>
    <row r="810" spans="1:9" x14ac:dyDescent="0.3">
      <c r="A810" s="23" t="s">
        <v>48</v>
      </c>
      <c r="B810" s="30" t="s">
        <v>122</v>
      </c>
      <c r="C810" s="19">
        <v>46246</v>
      </c>
      <c r="D810" s="13" t="s">
        <v>29</v>
      </c>
      <c r="E810" s="23">
        <v>1183</v>
      </c>
      <c r="F810" s="12">
        <v>0.40120899999999998</v>
      </c>
      <c r="G810" s="14">
        <v>8.3087800000000003E-2</v>
      </c>
      <c r="H810" s="15">
        <f t="shared" si="36"/>
        <v>0.40350788235294116</v>
      </c>
      <c r="I810" s="16">
        <f t="shared" si="35"/>
        <v>9.9487094117647043E-2</v>
      </c>
    </row>
    <row r="811" spans="1:9" x14ac:dyDescent="0.3">
      <c r="A811" s="23" t="s">
        <v>48</v>
      </c>
      <c r="B811" s="30" t="s">
        <v>122</v>
      </c>
      <c r="C811" s="19">
        <v>46245</v>
      </c>
      <c r="D811" s="13" t="s">
        <v>30</v>
      </c>
      <c r="E811" s="23">
        <v>1002</v>
      </c>
      <c r="F811" s="12">
        <v>0.43513600000000002</v>
      </c>
      <c r="G811" s="14">
        <v>8.7566599999999994E-2</v>
      </c>
      <c r="H811" s="15">
        <f t="shared" si="36"/>
        <v>0.43513600000000002</v>
      </c>
      <c r="I811" s="16">
        <f t="shared" si="35"/>
        <v>8.7566599999999994E-2</v>
      </c>
    </row>
    <row r="812" spans="1:9" x14ac:dyDescent="0.3">
      <c r="A812" s="23" t="s">
        <v>48</v>
      </c>
      <c r="B812" s="30" t="s">
        <v>102</v>
      </c>
      <c r="C812" s="19">
        <v>46245</v>
      </c>
      <c r="D812" s="13" t="s">
        <v>14</v>
      </c>
      <c r="E812" s="23">
        <v>1729</v>
      </c>
      <c r="F812" s="12">
        <v>0.27206599999999997</v>
      </c>
      <c r="G812" s="14">
        <v>7.6504100000000005E-2</v>
      </c>
      <c r="H812" s="15">
        <f t="shared" si="36"/>
        <v>0.31395694444444439</v>
      </c>
      <c r="I812" s="16">
        <f t="shared" si="35"/>
        <v>7.4516150000000003E-2</v>
      </c>
    </row>
    <row r="813" spans="1:9" x14ac:dyDescent="0.3">
      <c r="A813" s="23" t="s">
        <v>48</v>
      </c>
      <c r="B813" s="30" t="s">
        <v>102</v>
      </c>
      <c r="C813" s="19">
        <v>46245</v>
      </c>
      <c r="D813" s="13" t="s">
        <v>15</v>
      </c>
      <c r="E813" s="23">
        <v>1287</v>
      </c>
      <c r="F813" s="12">
        <v>0.29014299999999998</v>
      </c>
      <c r="G813" s="14">
        <v>7.6466599999999996E-2</v>
      </c>
      <c r="H813" s="15">
        <f t="shared" si="36"/>
        <v>0.31395694444444439</v>
      </c>
      <c r="I813" s="16">
        <f t="shared" si="35"/>
        <v>7.4516150000000003E-2</v>
      </c>
    </row>
    <row r="814" spans="1:9" x14ac:dyDescent="0.3">
      <c r="A814" s="23" t="s">
        <v>48</v>
      </c>
      <c r="B814" s="30" t="s">
        <v>102</v>
      </c>
      <c r="C814" s="19">
        <v>46245</v>
      </c>
      <c r="D814" s="13" t="s">
        <v>16</v>
      </c>
      <c r="E814" s="23">
        <v>1224</v>
      </c>
      <c r="F814" s="12">
        <v>0.39331700000000003</v>
      </c>
      <c r="G814" s="14">
        <v>9.2281699999999994E-2</v>
      </c>
      <c r="H814" s="15">
        <f t="shared" si="36"/>
        <v>0.31395694444444439</v>
      </c>
      <c r="I814" s="16">
        <f t="shared" si="35"/>
        <v>7.4516150000000003E-2</v>
      </c>
    </row>
    <row r="815" spans="1:9" x14ac:dyDescent="0.3">
      <c r="A815" s="23" t="s">
        <v>48</v>
      </c>
      <c r="B815" s="30" t="s">
        <v>102</v>
      </c>
      <c r="C815" s="19">
        <v>46245</v>
      </c>
      <c r="D815" s="13" t="s">
        <v>17</v>
      </c>
      <c r="E815" s="23">
        <v>1546</v>
      </c>
      <c r="F815" s="12">
        <v>0.38747199999999998</v>
      </c>
      <c r="G815" s="14">
        <v>7.6756900000000003E-2</v>
      </c>
      <c r="H815" s="15">
        <f t="shared" si="36"/>
        <v>0.31395694444444439</v>
      </c>
      <c r="I815" s="16">
        <f t="shared" si="35"/>
        <v>7.4516150000000003E-2</v>
      </c>
    </row>
    <row r="816" spans="1:9" x14ac:dyDescent="0.3">
      <c r="A816" s="23" t="s">
        <v>48</v>
      </c>
      <c r="B816" s="30" t="s">
        <v>102</v>
      </c>
      <c r="C816" s="19">
        <v>46245</v>
      </c>
      <c r="D816" s="13" t="s">
        <v>18</v>
      </c>
      <c r="E816" s="23">
        <v>1417</v>
      </c>
      <c r="F816" s="12">
        <v>0.19647999999999999</v>
      </c>
      <c r="G816" s="14">
        <v>4.6718000000000003E-2</v>
      </c>
      <c r="H816" s="15">
        <f t="shared" si="36"/>
        <v>0.31395694444444439</v>
      </c>
      <c r="I816" s="16">
        <f t="shared" si="35"/>
        <v>7.4516150000000003E-2</v>
      </c>
    </row>
    <row r="817" spans="1:9" x14ac:dyDescent="0.3">
      <c r="A817" s="23" t="s">
        <v>48</v>
      </c>
      <c r="B817" s="30" t="s">
        <v>102</v>
      </c>
      <c r="C817" s="19">
        <v>46245</v>
      </c>
      <c r="D817" s="13" t="s">
        <v>19</v>
      </c>
      <c r="E817" s="23">
        <v>1292</v>
      </c>
      <c r="F817" s="12">
        <v>0.52198199999999995</v>
      </c>
      <c r="G817" s="14">
        <v>0.109517</v>
      </c>
      <c r="H817" s="15">
        <f t="shared" si="36"/>
        <v>0.31395694444444439</v>
      </c>
      <c r="I817" s="16">
        <f t="shared" si="35"/>
        <v>7.4516150000000003E-2</v>
      </c>
    </row>
    <row r="818" spans="1:9" x14ac:dyDescent="0.3">
      <c r="A818" s="23" t="s">
        <v>48</v>
      </c>
      <c r="B818" s="30" t="s">
        <v>102</v>
      </c>
      <c r="C818" s="19">
        <v>46245</v>
      </c>
      <c r="D818" s="13" t="s">
        <v>20</v>
      </c>
      <c r="E818" s="23">
        <v>1192</v>
      </c>
      <c r="F818" s="12">
        <v>0.31654399999999999</v>
      </c>
      <c r="G818" s="14">
        <v>6.6189700000000004E-2</v>
      </c>
      <c r="H818" s="15">
        <f t="shared" si="36"/>
        <v>0.31395694444444439</v>
      </c>
      <c r="I818" s="16">
        <f t="shared" si="35"/>
        <v>7.4516150000000003E-2</v>
      </c>
    </row>
    <row r="819" spans="1:9" x14ac:dyDescent="0.3">
      <c r="A819" s="23" t="s">
        <v>48</v>
      </c>
      <c r="B819" s="30" t="s">
        <v>102</v>
      </c>
      <c r="C819" s="19">
        <v>46245</v>
      </c>
      <c r="D819" s="13" t="s">
        <v>40</v>
      </c>
      <c r="E819" s="23">
        <v>1133</v>
      </c>
      <c r="F819" s="12">
        <v>0.198407</v>
      </c>
      <c r="G819" s="14">
        <v>6.0118100000000001E-2</v>
      </c>
      <c r="H819" s="15">
        <f t="shared" si="36"/>
        <v>0.31395694444444439</v>
      </c>
      <c r="I819" s="16">
        <f t="shared" si="35"/>
        <v>7.4516150000000003E-2</v>
      </c>
    </row>
    <row r="820" spans="1:9" x14ac:dyDescent="0.3">
      <c r="A820" s="23" t="s">
        <v>48</v>
      </c>
      <c r="B820" s="30" t="s">
        <v>102</v>
      </c>
      <c r="C820" s="19">
        <v>46245</v>
      </c>
      <c r="D820" s="13" t="s">
        <v>21</v>
      </c>
      <c r="E820" s="23">
        <v>2048</v>
      </c>
      <c r="F820" s="12">
        <v>0.57077599999999995</v>
      </c>
      <c r="G820" s="14">
        <v>0.111293</v>
      </c>
      <c r="H820" s="15">
        <f t="shared" si="36"/>
        <v>0.31395694444444439</v>
      </c>
      <c r="I820" s="16">
        <f t="shared" si="35"/>
        <v>7.4516150000000003E-2</v>
      </c>
    </row>
    <row r="821" spans="1:9" x14ac:dyDescent="0.3">
      <c r="A821" s="23" t="s">
        <v>48</v>
      </c>
      <c r="B821" s="30" t="s">
        <v>102</v>
      </c>
      <c r="C821" s="19">
        <v>46245</v>
      </c>
      <c r="D821" s="13" t="s">
        <v>22</v>
      </c>
      <c r="E821" s="23">
        <v>1353</v>
      </c>
      <c r="F821" s="12">
        <v>0.288995</v>
      </c>
      <c r="G821" s="14">
        <v>7.8518400000000002E-2</v>
      </c>
      <c r="H821" s="15">
        <f t="shared" si="36"/>
        <v>0.31395694444444439</v>
      </c>
      <c r="I821" s="16">
        <f t="shared" si="35"/>
        <v>7.4516150000000003E-2</v>
      </c>
    </row>
    <row r="822" spans="1:9" x14ac:dyDescent="0.3">
      <c r="A822" s="23" t="s">
        <v>48</v>
      </c>
      <c r="B822" s="30" t="s">
        <v>102</v>
      </c>
      <c r="C822" s="19">
        <v>46245</v>
      </c>
      <c r="D822" s="13" t="s">
        <v>23</v>
      </c>
      <c r="E822" s="23">
        <v>1458</v>
      </c>
      <c r="F822" s="12">
        <v>0.227017</v>
      </c>
      <c r="G822" s="14">
        <v>7.4515700000000004E-2</v>
      </c>
      <c r="H822" s="15">
        <f t="shared" si="36"/>
        <v>0.31395694444444439</v>
      </c>
      <c r="I822" s="16">
        <f t="shared" si="35"/>
        <v>7.4516150000000003E-2</v>
      </c>
    </row>
    <row r="823" spans="1:9" x14ac:dyDescent="0.3">
      <c r="A823" s="23" t="s">
        <v>48</v>
      </c>
      <c r="B823" s="30" t="s">
        <v>102</v>
      </c>
      <c r="C823" s="19">
        <v>46245</v>
      </c>
      <c r="D823" s="13" t="s">
        <v>24</v>
      </c>
      <c r="E823" s="23">
        <v>2035</v>
      </c>
      <c r="F823" s="12">
        <v>0.214695</v>
      </c>
      <c r="G823" s="14">
        <v>6.6109899999999999E-2</v>
      </c>
      <c r="H823" s="15">
        <f t="shared" si="36"/>
        <v>0.31395694444444439</v>
      </c>
      <c r="I823" s="16">
        <f t="shared" si="35"/>
        <v>7.4516150000000003E-2</v>
      </c>
    </row>
    <row r="824" spans="1:9" x14ac:dyDescent="0.3">
      <c r="A824" s="23" t="s">
        <v>48</v>
      </c>
      <c r="B824" s="30" t="s">
        <v>102</v>
      </c>
      <c r="C824" s="19">
        <v>46245</v>
      </c>
      <c r="D824" s="13" t="s">
        <v>25</v>
      </c>
      <c r="E824" s="23">
        <v>1025</v>
      </c>
      <c r="F824" s="12">
        <v>0.231985</v>
      </c>
      <c r="G824" s="14">
        <v>5.58868E-2</v>
      </c>
      <c r="H824" s="15">
        <f t="shared" si="36"/>
        <v>0.31395694444444439</v>
      </c>
      <c r="I824" s="16">
        <f t="shared" si="35"/>
        <v>7.4516150000000003E-2</v>
      </c>
    </row>
    <row r="825" spans="1:9" x14ac:dyDescent="0.3">
      <c r="A825" s="23" t="s">
        <v>48</v>
      </c>
      <c r="B825" s="30" t="s">
        <v>102</v>
      </c>
      <c r="C825" s="19">
        <v>46245</v>
      </c>
      <c r="D825" s="13" t="s">
        <v>26</v>
      </c>
      <c r="E825" s="23">
        <v>1284</v>
      </c>
      <c r="F825" s="12">
        <v>0.19952</v>
      </c>
      <c r="G825" s="14">
        <v>6.4153100000000005E-2</v>
      </c>
      <c r="H825" s="15">
        <f t="shared" si="36"/>
        <v>0.31395694444444439</v>
      </c>
      <c r="I825" s="16">
        <f t="shared" si="35"/>
        <v>7.4516150000000003E-2</v>
      </c>
    </row>
    <row r="826" spans="1:9" x14ac:dyDescent="0.3">
      <c r="A826" s="23" t="s">
        <v>48</v>
      </c>
      <c r="B826" s="30" t="s">
        <v>102</v>
      </c>
      <c r="C826" s="19">
        <v>46245</v>
      </c>
      <c r="D826" s="13" t="s">
        <v>27</v>
      </c>
      <c r="E826" s="23">
        <v>1005</v>
      </c>
      <c r="F826" s="12">
        <v>0.36130299999999999</v>
      </c>
      <c r="G826" s="14">
        <v>8.2003500000000007E-2</v>
      </c>
      <c r="H826" s="15">
        <f t="shared" si="36"/>
        <v>0.31395694444444439</v>
      </c>
      <c r="I826" s="16">
        <f t="shared" si="35"/>
        <v>7.4516150000000003E-2</v>
      </c>
    </row>
    <row r="827" spans="1:9" x14ac:dyDescent="0.3">
      <c r="A827" s="23" t="s">
        <v>48</v>
      </c>
      <c r="B827" s="30" t="s">
        <v>102</v>
      </c>
      <c r="C827" s="19">
        <v>46245</v>
      </c>
      <c r="D827" s="13" t="s">
        <v>28</v>
      </c>
      <c r="E827" s="23">
        <v>1015</v>
      </c>
      <c r="F827" s="12">
        <v>0.21158199999999999</v>
      </c>
      <c r="G827" s="14">
        <v>4.7496700000000003E-2</v>
      </c>
      <c r="H827" s="15">
        <f t="shared" si="36"/>
        <v>0.31395694444444439</v>
      </c>
      <c r="I827" s="16">
        <f t="shared" si="35"/>
        <v>7.4516150000000003E-2</v>
      </c>
    </row>
    <row r="828" spans="1:9" x14ac:dyDescent="0.3">
      <c r="A828" s="23" t="s">
        <v>48</v>
      </c>
      <c r="B828" s="30" t="s">
        <v>102</v>
      </c>
      <c r="C828" s="19">
        <v>46245</v>
      </c>
      <c r="D828" s="13" t="s">
        <v>29</v>
      </c>
      <c r="E828" s="23">
        <v>1168</v>
      </c>
      <c r="F828" s="12">
        <v>0.300956</v>
      </c>
      <c r="G828" s="14">
        <v>6.2354600000000003E-2</v>
      </c>
      <c r="H828" s="15">
        <f t="shared" si="36"/>
        <v>0.31395694444444439</v>
      </c>
      <c r="I828" s="16">
        <f t="shared" si="35"/>
        <v>7.4516150000000003E-2</v>
      </c>
    </row>
    <row r="829" spans="1:9" x14ac:dyDescent="0.3">
      <c r="A829" s="23" t="s">
        <v>48</v>
      </c>
      <c r="B829" s="30" t="s">
        <v>102</v>
      </c>
      <c r="C829" s="19">
        <v>46245</v>
      </c>
      <c r="D829" s="13" t="s">
        <v>30</v>
      </c>
      <c r="E829" s="23">
        <v>1263</v>
      </c>
      <c r="F829" s="12">
        <v>0.46798499999999998</v>
      </c>
      <c r="G829" s="14">
        <v>9.4406900000000002E-2</v>
      </c>
      <c r="H829" s="15">
        <f t="shared" si="36"/>
        <v>0.31395694444444439</v>
      </c>
      <c r="I829" s="16">
        <f t="shared" si="35"/>
        <v>7.4516150000000003E-2</v>
      </c>
    </row>
    <row r="830" spans="1:9" x14ac:dyDescent="0.3">
      <c r="A830" s="23" t="s">
        <v>48</v>
      </c>
      <c r="B830" s="30" t="s">
        <v>106</v>
      </c>
      <c r="C830" s="19">
        <v>46245</v>
      </c>
      <c r="D830" s="13" t="s">
        <v>25</v>
      </c>
      <c r="E830" s="23">
        <v>1003</v>
      </c>
      <c r="F830" s="12">
        <v>0.23594699999999999</v>
      </c>
      <c r="G830" s="14">
        <v>5.4762499999999999E-2</v>
      </c>
      <c r="H830" s="15">
        <f t="shared" si="36"/>
        <v>0.28085299999999996</v>
      </c>
      <c r="I830" s="16">
        <f t="shared" si="35"/>
        <v>6.8297388888888894E-2</v>
      </c>
    </row>
    <row r="831" spans="1:9" x14ac:dyDescent="0.3">
      <c r="A831" s="23" t="s">
        <v>48</v>
      </c>
      <c r="B831" s="30" t="s">
        <v>106</v>
      </c>
      <c r="C831" s="19">
        <v>46245</v>
      </c>
      <c r="D831" s="13" t="s">
        <v>40</v>
      </c>
      <c r="E831" s="23">
        <v>1102</v>
      </c>
      <c r="F831" s="12">
        <v>0.21417900000000001</v>
      </c>
      <c r="G831" s="14">
        <v>6.6183400000000003E-2</v>
      </c>
      <c r="H831" s="15">
        <f t="shared" si="36"/>
        <v>0.28085299999999996</v>
      </c>
      <c r="I831" s="16">
        <f t="shared" si="35"/>
        <v>6.8297388888888894E-2</v>
      </c>
    </row>
    <row r="832" spans="1:9" x14ac:dyDescent="0.3">
      <c r="A832" s="23" t="s">
        <v>48</v>
      </c>
      <c r="B832" s="30" t="s">
        <v>106</v>
      </c>
      <c r="C832" s="19">
        <v>46245</v>
      </c>
      <c r="D832" s="13" t="s">
        <v>16</v>
      </c>
      <c r="E832" s="23">
        <v>1145</v>
      </c>
      <c r="F832" s="12">
        <v>0.33857700000000002</v>
      </c>
      <c r="G832" s="14">
        <v>8.4584500000000007E-2</v>
      </c>
      <c r="H832" s="15">
        <f t="shared" si="36"/>
        <v>0.28085299999999996</v>
      </c>
      <c r="I832" s="16">
        <f t="shared" si="35"/>
        <v>6.8297388888888894E-2</v>
      </c>
    </row>
    <row r="833" spans="1:9" x14ac:dyDescent="0.3">
      <c r="A833" s="23" t="s">
        <v>48</v>
      </c>
      <c r="B833" s="30" t="s">
        <v>106</v>
      </c>
      <c r="C833" s="19">
        <v>46245</v>
      </c>
      <c r="D833" s="13" t="s">
        <v>28</v>
      </c>
      <c r="E833" s="23">
        <v>1162</v>
      </c>
      <c r="F833" s="12">
        <v>0.21158199999999999</v>
      </c>
      <c r="G833" s="14">
        <v>4.7496700000000003E-2</v>
      </c>
      <c r="H833" s="15">
        <f t="shared" si="36"/>
        <v>0.28085299999999996</v>
      </c>
      <c r="I833" s="16">
        <f t="shared" si="35"/>
        <v>6.8297388888888894E-2</v>
      </c>
    </row>
    <row r="834" spans="1:9" x14ac:dyDescent="0.3">
      <c r="A834" s="23" t="s">
        <v>48</v>
      </c>
      <c r="B834" s="30" t="s">
        <v>106</v>
      </c>
      <c r="C834" s="19">
        <v>46245</v>
      </c>
      <c r="D834" s="13" t="s">
        <v>20</v>
      </c>
      <c r="E834" s="23">
        <v>1236</v>
      </c>
      <c r="F834" s="12">
        <v>0.284049</v>
      </c>
      <c r="G834" s="14">
        <v>6.1347899999999997E-2</v>
      </c>
      <c r="H834" s="15">
        <f t="shared" si="36"/>
        <v>0.28085299999999996</v>
      </c>
      <c r="I834" s="16">
        <f t="shared" si="35"/>
        <v>6.8297388888888894E-2</v>
      </c>
    </row>
    <row r="835" spans="1:9" x14ac:dyDescent="0.3">
      <c r="A835" s="23" t="s">
        <v>48</v>
      </c>
      <c r="B835" s="30" t="s">
        <v>106</v>
      </c>
      <c r="C835" s="19">
        <v>46245</v>
      </c>
      <c r="D835" s="13" t="s">
        <v>29</v>
      </c>
      <c r="E835" s="23">
        <v>1249</v>
      </c>
      <c r="F835" s="12">
        <v>0.24942300000000001</v>
      </c>
      <c r="G835" s="14">
        <v>5.4318400000000003E-2</v>
      </c>
      <c r="H835" s="15">
        <f t="shared" si="36"/>
        <v>0.28085299999999996</v>
      </c>
      <c r="I835" s="16">
        <f t="shared" ref="I835:I898" si="37">IFERROR(AVERAGEIFS($G:$G, $A:$A, $A835, $B:$B,$B835, $C:$C,$C835),"")</f>
        <v>6.8297388888888894E-2</v>
      </c>
    </row>
    <row r="836" spans="1:9" x14ac:dyDescent="0.3">
      <c r="A836" s="23" t="s">
        <v>48</v>
      </c>
      <c r="B836" s="30" t="s">
        <v>106</v>
      </c>
      <c r="C836" s="19">
        <v>46245</v>
      </c>
      <c r="D836" s="13" t="s">
        <v>23</v>
      </c>
      <c r="E836" s="23">
        <v>1301</v>
      </c>
      <c r="F836" s="12">
        <v>0.253776</v>
      </c>
      <c r="G836" s="14">
        <v>8.5800899999999999E-2</v>
      </c>
      <c r="H836" s="15">
        <f t="shared" si="36"/>
        <v>0.28085299999999996</v>
      </c>
      <c r="I836" s="16">
        <f t="shared" si="37"/>
        <v>6.8297388888888894E-2</v>
      </c>
    </row>
    <row r="837" spans="1:9" x14ac:dyDescent="0.3">
      <c r="A837" s="23" t="s">
        <v>48</v>
      </c>
      <c r="B837" s="30" t="s">
        <v>106</v>
      </c>
      <c r="C837" s="19">
        <v>46245</v>
      </c>
      <c r="D837" s="13" t="s">
        <v>15</v>
      </c>
      <c r="E837" s="23">
        <v>1333</v>
      </c>
      <c r="F837" s="12">
        <v>0.54901</v>
      </c>
      <c r="G837" s="14">
        <v>0.152257</v>
      </c>
      <c r="H837" s="15">
        <f t="shared" si="36"/>
        <v>0.28085299999999996</v>
      </c>
      <c r="I837" s="16">
        <f t="shared" si="37"/>
        <v>6.8297388888888894E-2</v>
      </c>
    </row>
    <row r="838" spans="1:9" x14ac:dyDescent="0.3">
      <c r="A838" s="23" t="s">
        <v>48</v>
      </c>
      <c r="B838" s="30" t="s">
        <v>106</v>
      </c>
      <c r="C838" s="19">
        <v>46245</v>
      </c>
      <c r="D838" s="13" t="s">
        <v>19</v>
      </c>
      <c r="E838" s="23">
        <v>1358</v>
      </c>
      <c r="F838" s="12">
        <v>0.27177000000000001</v>
      </c>
      <c r="G838" s="14">
        <v>5.95259E-2</v>
      </c>
      <c r="H838" s="15">
        <f t="shared" si="36"/>
        <v>0.28085299999999996</v>
      </c>
      <c r="I838" s="16">
        <f t="shared" si="37"/>
        <v>6.8297388888888894E-2</v>
      </c>
    </row>
    <row r="839" spans="1:9" x14ac:dyDescent="0.3">
      <c r="A839" s="23" t="s">
        <v>48</v>
      </c>
      <c r="B839" s="30" t="s">
        <v>106</v>
      </c>
      <c r="C839" s="19">
        <v>46245</v>
      </c>
      <c r="D839" s="13" t="s">
        <v>27</v>
      </c>
      <c r="E839" s="23">
        <v>1366</v>
      </c>
      <c r="F839" s="12">
        <v>0.31492399999999998</v>
      </c>
      <c r="G839" s="14">
        <v>6.7834000000000005E-2</v>
      </c>
      <c r="H839" s="15">
        <f t="shared" si="36"/>
        <v>0.28085299999999996</v>
      </c>
      <c r="I839" s="16">
        <f t="shared" si="37"/>
        <v>6.8297388888888894E-2</v>
      </c>
    </row>
    <row r="840" spans="1:9" x14ac:dyDescent="0.3">
      <c r="A840" s="23" t="s">
        <v>48</v>
      </c>
      <c r="B840" s="30" t="s">
        <v>106</v>
      </c>
      <c r="C840" s="19">
        <v>46245</v>
      </c>
      <c r="D840" s="13" t="s">
        <v>26</v>
      </c>
      <c r="E840" s="23">
        <v>1423</v>
      </c>
      <c r="F840" s="12">
        <v>0.15012700000000001</v>
      </c>
      <c r="G840" s="14">
        <v>4.7119899999999999E-2</v>
      </c>
      <c r="H840" s="15">
        <f t="shared" si="36"/>
        <v>0.28085299999999996</v>
      </c>
      <c r="I840" s="16">
        <f t="shared" si="37"/>
        <v>6.8297388888888894E-2</v>
      </c>
    </row>
    <row r="841" spans="1:9" x14ac:dyDescent="0.3">
      <c r="A841" s="23" t="s">
        <v>48</v>
      </c>
      <c r="B841" s="30" t="s">
        <v>106</v>
      </c>
      <c r="C841" s="19">
        <v>46245</v>
      </c>
      <c r="D841" s="13" t="s">
        <v>18</v>
      </c>
      <c r="E841" s="23">
        <v>1460</v>
      </c>
      <c r="F841" s="12">
        <v>0.20166500000000001</v>
      </c>
      <c r="G841" s="14">
        <v>5.0853000000000002E-2</v>
      </c>
      <c r="H841" s="15">
        <f t="shared" si="36"/>
        <v>0.28085299999999996</v>
      </c>
      <c r="I841" s="16">
        <f t="shared" si="37"/>
        <v>6.8297388888888894E-2</v>
      </c>
    </row>
    <row r="842" spans="1:9" x14ac:dyDescent="0.3">
      <c r="A842" s="23" t="s">
        <v>48</v>
      </c>
      <c r="B842" s="30" t="s">
        <v>106</v>
      </c>
      <c r="C842" s="19">
        <v>46245</v>
      </c>
      <c r="D842" s="13" t="s">
        <v>30</v>
      </c>
      <c r="E842" s="23">
        <v>1594</v>
      </c>
      <c r="F842" s="12">
        <v>0.34706599999999999</v>
      </c>
      <c r="G842" s="14">
        <v>6.6649399999999998E-2</v>
      </c>
      <c r="H842" s="15">
        <f t="shared" si="36"/>
        <v>0.28085299999999996</v>
      </c>
      <c r="I842" s="16">
        <f t="shared" si="37"/>
        <v>6.8297388888888894E-2</v>
      </c>
    </row>
    <row r="843" spans="1:9" x14ac:dyDescent="0.3">
      <c r="A843" s="23" t="s">
        <v>48</v>
      </c>
      <c r="B843" s="30" t="s">
        <v>106</v>
      </c>
      <c r="C843" s="19">
        <v>46245</v>
      </c>
      <c r="D843" s="13" t="s">
        <v>14</v>
      </c>
      <c r="E843" s="23">
        <v>1747</v>
      </c>
      <c r="F843" s="12">
        <v>0.182897</v>
      </c>
      <c r="G843" s="14">
        <v>5.4035199999999999E-2</v>
      </c>
      <c r="H843" s="15">
        <f t="shared" si="36"/>
        <v>0.28085299999999996</v>
      </c>
      <c r="I843" s="16">
        <f t="shared" si="37"/>
        <v>6.8297388888888894E-2</v>
      </c>
    </row>
    <row r="844" spans="1:9" x14ac:dyDescent="0.3">
      <c r="A844" s="23" t="s">
        <v>48</v>
      </c>
      <c r="B844" s="30" t="s">
        <v>106</v>
      </c>
      <c r="C844" s="19">
        <v>46245</v>
      </c>
      <c r="D844" s="13" t="s">
        <v>22</v>
      </c>
      <c r="E844" s="23">
        <v>1777</v>
      </c>
      <c r="F844" s="12">
        <v>0.27105200000000002</v>
      </c>
      <c r="G844" s="14">
        <v>7.0106100000000005E-2</v>
      </c>
      <c r="H844" s="15">
        <f t="shared" si="36"/>
        <v>0.28085299999999996</v>
      </c>
      <c r="I844" s="16">
        <f t="shared" si="37"/>
        <v>6.8297388888888894E-2</v>
      </c>
    </row>
    <row r="845" spans="1:9" x14ac:dyDescent="0.3">
      <c r="A845" s="23" t="s">
        <v>48</v>
      </c>
      <c r="B845" s="30" t="s">
        <v>106</v>
      </c>
      <c r="C845" s="19">
        <v>46245</v>
      </c>
      <c r="D845" s="13" t="s">
        <v>24</v>
      </c>
      <c r="E845" s="23">
        <v>1821</v>
      </c>
      <c r="F845" s="12">
        <v>0.19298299999999999</v>
      </c>
      <c r="G845" s="14">
        <v>5.8369299999999999E-2</v>
      </c>
      <c r="H845" s="15">
        <f t="shared" si="36"/>
        <v>0.28085299999999996</v>
      </c>
      <c r="I845" s="16">
        <f t="shared" si="37"/>
        <v>6.8297388888888894E-2</v>
      </c>
    </row>
    <row r="846" spans="1:9" x14ac:dyDescent="0.3">
      <c r="A846" s="23" t="s">
        <v>48</v>
      </c>
      <c r="B846" s="30" t="s">
        <v>106</v>
      </c>
      <c r="C846" s="19">
        <v>46245</v>
      </c>
      <c r="D846" s="13" t="s">
        <v>17</v>
      </c>
      <c r="E846" s="23">
        <v>1964</v>
      </c>
      <c r="F846" s="12">
        <v>0.37069600000000003</v>
      </c>
      <c r="G846" s="14">
        <v>7.0191799999999999E-2</v>
      </c>
      <c r="H846" s="15">
        <f t="shared" si="36"/>
        <v>0.28085299999999996</v>
      </c>
      <c r="I846" s="16">
        <f t="shared" si="37"/>
        <v>6.8297388888888894E-2</v>
      </c>
    </row>
    <row r="847" spans="1:9" x14ac:dyDescent="0.3">
      <c r="A847" s="23" t="s">
        <v>48</v>
      </c>
      <c r="B847" s="30" t="s">
        <v>106</v>
      </c>
      <c r="C847" s="19">
        <v>46245</v>
      </c>
      <c r="D847" s="13" t="s">
        <v>21</v>
      </c>
      <c r="E847" s="23">
        <v>2482</v>
      </c>
      <c r="F847" s="12">
        <v>0.41563099999999997</v>
      </c>
      <c r="G847" s="14">
        <v>7.7917100000000003E-2</v>
      </c>
      <c r="H847" s="15">
        <f t="shared" si="36"/>
        <v>0.28085299999999996</v>
      </c>
      <c r="I847" s="16">
        <f t="shared" si="37"/>
        <v>6.8297388888888894E-2</v>
      </c>
    </row>
    <row r="848" spans="1:9" x14ac:dyDescent="0.3">
      <c r="A848" s="23" t="s">
        <v>48</v>
      </c>
      <c r="B848" s="30" t="s">
        <v>107</v>
      </c>
      <c r="C848" s="19">
        <v>46245</v>
      </c>
      <c r="D848" s="13" t="s">
        <v>16</v>
      </c>
      <c r="E848" s="23">
        <v>1004</v>
      </c>
      <c r="F848" s="12">
        <v>0.47324699999999997</v>
      </c>
      <c r="G848" s="14">
        <v>0.109863</v>
      </c>
      <c r="H848" s="15">
        <f t="shared" si="36"/>
        <v>0.47672877777777778</v>
      </c>
      <c r="I848" s="16">
        <f t="shared" si="37"/>
        <v>0.11062158333333333</v>
      </c>
    </row>
    <row r="849" spans="1:9" x14ac:dyDescent="0.3">
      <c r="A849" s="23" t="s">
        <v>48</v>
      </c>
      <c r="B849" s="30" t="s">
        <v>107</v>
      </c>
      <c r="C849" s="19">
        <v>46245</v>
      </c>
      <c r="D849" s="13" t="s">
        <v>29</v>
      </c>
      <c r="E849" s="23">
        <v>1053</v>
      </c>
      <c r="F849" s="12">
        <v>0.41830400000000001</v>
      </c>
      <c r="G849" s="14">
        <v>8.6969099999999994E-2</v>
      </c>
      <c r="H849" s="15">
        <f t="shared" si="36"/>
        <v>0.47672877777777778</v>
      </c>
      <c r="I849" s="16">
        <f t="shared" si="37"/>
        <v>0.11062158333333333</v>
      </c>
    </row>
    <row r="850" spans="1:9" x14ac:dyDescent="0.3">
      <c r="A850" s="23" t="s">
        <v>48</v>
      </c>
      <c r="B850" s="30" t="s">
        <v>107</v>
      </c>
      <c r="C850" s="19">
        <v>46245</v>
      </c>
      <c r="D850" s="13" t="s">
        <v>15</v>
      </c>
      <c r="E850" s="23">
        <v>1100</v>
      </c>
      <c r="F850" s="12">
        <v>0.38794000000000001</v>
      </c>
      <c r="G850" s="14">
        <v>0.103297</v>
      </c>
      <c r="H850" s="15">
        <f t="shared" si="36"/>
        <v>0.47672877777777778</v>
      </c>
      <c r="I850" s="16">
        <f t="shared" si="37"/>
        <v>0.11062158333333333</v>
      </c>
    </row>
    <row r="851" spans="1:9" x14ac:dyDescent="0.3">
      <c r="A851" s="23" t="s">
        <v>48</v>
      </c>
      <c r="B851" s="30" t="s">
        <v>107</v>
      </c>
      <c r="C851" s="19">
        <v>46245</v>
      </c>
      <c r="D851" s="13" t="s">
        <v>25</v>
      </c>
      <c r="E851" s="23">
        <v>1111</v>
      </c>
      <c r="F851" s="12">
        <v>0.237763</v>
      </c>
      <c r="G851" s="14">
        <v>5.9915700000000002E-2</v>
      </c>
      <c r="H851" s="15">
        <f t="shared" si="36"/>
        <v>0.47672877777777778</v>
      </c>
      <c r="I851" s="16">
        <f t="shared" si="37"/>
        <v>0.11062158333333333</v>
      </c>
    </row>
    <row r="852" spans="1:9" x14ac:dyDescent="0.3">
      <c r="A852" s="23" t="s">
        <v>48</v>
      </c>
      <c r="B852" s="30" t="s">
        <v>107</v>
      </c>
      <c r="C852" s="19">
        <v>46245</v>
      </c>
      <c r="D852" s="13" t="s">
        <v>28</v>
      </c>
      <c r="E852" s="23">
        <v>1113</v>
      </c>
      <c r="F852" s="12">
        <v>0.41351300000000002</v>
      </c>
      <c r="G852" s="14">
        <v>9.42162E-2</v>
      </c>
      <c r="H852" s="15">
        <f t="shared" si="36"/>
        <v>0.47672877777777778</v>
      </c>
      <c r="I852" s="16">
        <f t="shared" si="37"/>
        <v>0.11062158333333333</v>
      </c>
    </row>
    <row r="853" spans="1:9" x14ac:dyDescent="0.3">
      <c r="A853" s="23" t="s">
        <v>48</v>
      </c>
      <c r="B853" s="30" t="s">
        <v>107</v>
      </c>
      <c r="C853" s="19">
        <v>46245</v>
      </c>
      <c r="D853" s="13" t="s">
        <v>23</v>
      </c>
      <c r="E853" s="23">
        <v>1180</v>
      </c>
      <c r="F853" s="12">
        <v>0.20420099999999999</v>
      </c>
      <c r="G853" s="14">
        <v>7.0372500000000004E-2</v>
      </c>
      <c r="H853" s="15">
        <f t="shared" si="36"/>
        <v>0.47672877777777778</v>
      </c>
      <c r="I853" s="16">
        <f t="shared" si="37"/>
        <v>0.11062158333333333</v>
      </c>
    </row>
    <row r="854" spans="1:9" x14ac:dyDescent="0.3">
      <c r="A854" s="23" t="s">
        <v>48</v>
      </c>
      <c r="B854" s="30" t="s">
        <v>107</v>
      </c>
      <c r="C854" s="19">
        <v>46245</v>
      </c>
      <c r="D854" s="13" t="s">
        <v>40</v>
      </c>
      <c r="E854" s="23">
        <v>1206</v>
      </c>
      <c r="F854" s="12">
        <v>0.21417900000000001</v>
      </c>
      <c r="G854" s="14">
        <v>6.6183400000000003E-2</v>
      </c>
      <c r="H854" s="15">
        <f t="shared" si="36"/>
        <v>0.47672877777777778</v>
      </c>
      <c r="I854" s="16">
        <f t="shared" si="37"/>
        <v>0.11062158333333333</v>
      </c>
    </row>
    <row r="855" spans="1:9" x14ac:dyDescent="0.3">
      <c r="A855" s="23" t="s">
        <v>48</v>
      </c>
      <c r="B855" s="30" t="s">
        <v>107</v>
      </c>
      <c r="C855" s="19">
        <v>46245</v>
      </c>
      <c r="D855" s="13" t="s">
        <v>18</v>
      </c>
      <c r="E855" s="23">
        <v>1222</v>
      </c>
      <c r="F855" s="12">
        <v>0.30455500000000002</v>
      </c>
      <c r="G855" s="14">
        <v>7.0540099999999994E-2</v>
      </c>
      <c r="H855" s="15">
        <f t="shared" si="36"/>
        <v>0.47672877777777778</v>
      </c>
      <c r="I855" s="16">
        <f t="shared" si="37"/>
        <v>0.11062158333333333</v>
      </c>
    </row>
    <row r="856" spans="1:9" x14ac:dyDescent="0.3">
      <c r="A856" s="23" t="s">
        <v>48</v>
      </c>
      <c r="B856" s="30" t="s">
        <v>107</v>
      </c>
      <c r="C856" s="19">
        <v>46245</v>
      </c>
      <c r="D856" s="13" t="s">
        <v>19</v>
      </c>
      <c r="E856" s="23">
        <v>1233</v>
      </c>
      <c r="F856" s="12">
        <v>0.53724400000000005</v>
      </c>
      <c r="G856" s="14">
        <v>0.109545</v>
      </c>
      <c r="H856" s="15">
        <f t="shared" si="36"/>
        <v>0.47672877777777778</v>
      </c>
      <c r="I856" s="16">
        <f t="shared" si="37"/>
        <v>0.11062158333333333</v>
      </c>
    </row>
    <row r="857" spans="1:9" x14ac:dyDescent="0.3">
      <c r="A857" s="23" t="s">
        <v>48</v>
      </c>
      <c r="B857" s="30" t="s">
        <v>107</v>
      </c>
      <c r="C857" s="19">
        <v>46245</v>
      </c>
      <c r="D857" s="13" t="s">
        <v>20</v>
      </c>
      <c r="E857" s="23">
        <v>1241</v>
      </c>
      <c r="F857" s="12">
        <v>0.698967</v>
      </c>
      <c r="G857" s="14">
        <v>0.141239</v>
      </c>
      <c r="H857" s="15">
        <f t="shared" si="36"/>
        <v>0.47672877777777778</v>
      </c>
      <c r="I857" s="16">
        <f t="shared" si="37"/>
        <v>0.11062158333333333</v>
      </c>
    </row>
    <row r="858" spans="1:9" x14ac:dyDescent="0.3">
      <c r="A858" s="23" t="s">
        <v>48</v>
      </c>
      <c r="B858" s="30" t="s">
        <v>107</v>
      </c>
      <c r="C858" s="19">
        <v>46245</v>
      </c>
      <c r="D858" s="13" t="s">
        <v>27</v>
      </c>
      <c r="E858" s="23">
        <v>1276</v>
      </c>
      <c r="F858" s="12">
        <v>0.46389799999999998</v>
      </c>
      <c r="G858" s="14">
        <v>0.108349</v>
      </c>
      <c r="H858" s="15">
        <f t="shared" si="36"/>
        <v>0.47672877777777778</v>
      </c>
      <c r="I858" s="16">
        <f t="shared" si="37"/>
        <v>0.11062158333333333</v>
      </c>
    </row>
    <row r="859" spans="1:9" x14ac:dyDescent="0.3">
      <c r="A859" s="23" t="s">
        <v>48</v>
      </c>
      <c r="B859" s="30" t="s">
        <v>107</v>
      </c>
      <c r="C859" s="19">
        <v>46245</v>
      </c>
      <c r="D859" s="13" t="s">
        <v>30</v>
      </c>
      <c r="E859" s="23">
        <v>1295</v>
      </c>
      <c r="F859" s="12">
        <v>1.42056</v>
      </c>
      <c r="G859" s="14">
        <v>0.28700599999999998</v>
      </c>
      <c r="H859" s="15">
        <f t="shared" si="36"/>
        <v>0.47672877777777778</v>
      </c>
      <c r="I859" s="16">
        <f t="shared" si="37"/>
        <v>0.11062158333333333</v>
      </c>
    </row>
    <row r="860" spans="1:9" x14ac:dyDescent="0.3">
      <c r="A860" s="23" t="s">
        <v>48</v>
      </c>
      <c r="B860" s="30" t="s">
        <v>107</v>
      </c>
      <c r="C860" s="19">
        <v>46245</v>
      </c>
      <c r="D860" s="13" t="s">
        <v>14</v>
      </c>
      <c r="E860" s="23">
        <v>1329</v>
      </c>
      <c r="F860" s="12">
        <v>0.40732299999999999</v>
      </c>
      <c r="G860" s="14">
        <v>0.117493</v>
      </c>
      <c r="H860" s="15">
        <f t="shared" si="36"/>
        <v>0.47672877777777778</v>
      </c>
      <c r="I860" s="16">
        <f t="shared" si="37"/>
        <v>0.11062158333333333</v>
      </c>
    </row>
    <row r="861" spans="1:9" x14ac:dyDescent="0.3">
      <c r="A861" s="23" t="s">
        <v>48</v>
      </c>
      <c r="B861" s="30" t="s">
        <v>107</v>
      </c>
      <c r="C861" s="19">
        <v>46245</v>
      </c>
      <c r="D861" s="13" t="s">
        <v>26</v>
      </c>
      <c r="E861" s="23">
        <v>1346</v>
      </c>
      <c r="F861" s="12">
        <v>0.35156399999999999</v>
      </c>
      <c r="G861" s="14">
        <v>0.107654</v>
      </c>
      <c r="H861" s="15">
        <f t="shared" si="36"/>
        <v>0.47672877777777778</v>
      </c>
      <c r="I861" s="16">
        <f t="shared" si="37"/>
        <v>0.11062158333333333</v>
      </c>
    </row>
    <row r="862" spans="1:9" x14ac:dyDescent="0.3">
      <c r="A862" s="23" t="s">
        <v>48</v>
      </c>
      <c r="B862" s="30" t="s">
        <v>107</v>
      </c>
      <c r="C862" s="19">
        <v>46245</v>
      </c>
      <c r="D862" s="13" t="s">
        <v>22</v>
      </c>
      <c r="E862" s="23">
        <v>1674</v>
      </c>
      <c r="F862" s="12">
        <v>0.27619899999999997</v>
      </c>
      <c r="G862" s="14">
        <v>7.3335300000000006E-2</v>
      </c>
      <c r="H862" s="15">
        <f t="shared" si="36"/>
        <v>0.47672877777777778</v>
      </c>
      <c r="I862" s="16">
        <f t="shared" si="37"/>
        <v>0.11062158333333333</v>
      </c>
    </row>
    <row r="863" spans="1:9" x14ac:dyDescent="0.3">
      <c r="A863" s="23" t="s">
        <v>48</v>
      </c>
      <c r="B863" s="30" t="s">
        <v>107</v>
      </c>
      <c r="C863" s="19">
        <v>46245</v>
      </c>
      <c r="D863" s="13" t="s">
        <v>17</v>
      </c>
      <c r="E863" s="23">
        <v>1677</v>
      </c>
      <c r="F863" s="12">
        <v>0.95342700000000002</v>
      </c>
      <c r="G863" s="14">
        <v>0.18822800000000001</v>
      </c>
      <c r="H863" s="15">
        <f t="shared" si="36"/>
        <v>0.47672877777777778</v>
      </c>
      <c r="I863" s="16">
        <f t="shared" si="37"/>
        <v>0.11062158333333333</v>
      </c>
    </row>
    <row r="864" spans="1:9" x14ac:dyDescent="0.3">
      <c r="A864" s="23" t="s">
        <v>48</v>
      </c>
      <c r="B864" s="30" t="s">
        <v>107</v>
      </c>
      <c r="C864" s="19">
        <v>46245</v>
      </c>
      <c r="D864" s="13" t="s">
        <v>24</v>
      </c>
      <c r="E864" s="23">
        <v>1911</v>
      </c>
      <c r="F864" s="12">
        <v>0.25583400000000001</v>
      </c>
      <c r="G864" s="14">
        <v>8.3779199999999998E-2</v>
      </c>
      <c r="H864" s="15">
        <f t="shared" si="36"/>
        <v>0.47672877777777778</v>
      </c>
      <c r="I864" s="16">
        <f t="shared" si="37"/>
        <v>0.11062158333333333</v>
      </c>
    </row>
    <row r="865" spans="1:9" x14ac:dyDescent="0.3">
      <c r="A865" s="23" t="s">
        <v>48</v>
      </c>
      <c r="B865" s="30" t="s">
        <v>107</v>
      </c>
      <c r="C865" s="19">
        <v>46245</v>
      </c>
      <c r="D865" s="13" t="s">
        <v>21</v>
      </c>
      <c r="E865" s="23">
        <v>2300</v>
      </c>
      <c r="F865" s="12">
        <v>0.56240000000000001</v>
      </c>
      <c r="G865" s="14">
        <v>0.113203</v>
      </c>
      <c r="H865" s="15">
        <f t="shared" si="36"/>
        <v>0.47672877777777778</v>
      </c>
      <c r="I865" s="16">
        <f t="shared" si="37"/>
        <v>0.11062158333333333</v>
      </c>
    </row>
    <row r="866" spans="1:9" x14ac:dyDescent="0.3">
      <c r="A866" s="23" t="s">
        <v>48</v>
      </c>
      <c r="B866" s="30" t="s">
        <v>123</v>
      </c>
      <c r="C866" s="19">
        <v>46246</v>
      </c>
      <c r="D866" s="13" t="s">
        <v>14</v>
      </c>
      <c r="E866" s="23">
        <v>2036</v>
      </c>
      <c r="F866" s="12">
        <v>0.48893999999999999</v>
      </c>
      <c r="G866" s="14">
        <v>0.13750599999999999</v>
      </c>
      <c r="H866" s="15">
        <f t="shared" si="36"/>
        <v>0.38141035294117642</v>
      </c>
      <c r="I866" s="16">
        <f t="shared" si="37"/>
        <v>9.3228123529411774E-2</v>
      </c>
    </row>
    <row r="867" spans="1:9" x14ac:dyDescent="0.3">
      <c r="A867" s="23" t="s">
        <v>48</v>
      </c>
      <c r="B867" s="30" t="s">
        <v>123</v>
      </c>
      <c r="C867" s="19">
        <v>46246</v>
      </c>
      <c r="D867" s="13" t="s">
        <v>15</v>
      </c>
      <c r="E867" s="23">
        <v>1654</v>
      </c>
      <c r="F867" s="12">
        <v>0.91455299999999995</v>
      </c>
      <c r="G867" s="14">
        <v>0.23045199999999999</v>
      </c>
      <c r="H867" s="15">
        <f t="shared" si="36"/>
        <v>0.38141035294117642</v>
      </c>
      <c r="I867" s="16">
        <f t="shared" si="37"/>
        <v>9.3228123529411774E-2</v>
      </c>
    </row>
    <row r="868" spans="1:9" x14ac:dyDescent="0.3">
      <c r="A868" s="23" t="s">
        <v>48</v>
      </c>
      <c r="B868" s="30" t="s">
        <v>123</v>
      </c>
      <c r="C868" s="19">
        <v>46246</v>
      </c>
      <c r="D868" s="13" t="s">
        <v>16</v>
      </c>
      <c r="E868" s="23">
        <v>1137</v>
      </c>
      <c r="F868" s="12">
        <v>0.41677799999999998</v>
      </c>
      <c r="G868" s="14">
        <v>9.4250500000000001E-2</v>
      </c>
      <c r="H868" s="15">
        <f t="shared" si="36"/>
        <v>0.38141035294117642</v>
      </c>
      <c r="I868" s="16">
        <f t="shared" si="37"/>
        <v>9.3228123529411774E-2</v>
      </c>
    </row>
    <row r="869" spans="1:9" x14ac:dyDescent="0.3">
      <c r="A869" s="23" t="s">
        <v>48</v>
      </c>
      <c r="B869" s="30" t="s">
        <v>123</v>
      </c>
      <c r="C869" s="19">
        <v>46246</v>
      </c>
      <c r="D869" s="13" t="s">
        <v>17</v>
      </c>
      <c r="E869" s="23">
        <v>2178</v>
      </c>
      <c r="F869" s="12">
        <v>0.41347800000000001</v>
      </c>
      <c r="G869" s="14">
        <v>8.5338399999999995E-2</v>
      </c>
      <c r="H869" s="15">
        <f t="shared" si="36"/>
        <v>0.38141035294117642</v>
      </c>
      <c r="I869" s="16">
        <f t="shared" si="37"/>
        <v>9.3228123529411774E-2</v>
      </c>
    </row>
    <row r="870" spans="1:9" x14ac:dyDescent="0.3">
      <c r="A870" s="23" t="s">
        <v>48</v>
      </c>
      <c r="B870" s="30" t="s">
        <v>123</v>
      </c>
      <c r="C870" s="19">
        <v>46246</v>
      </c>
      <c r="D870" s="13" t="s">
        <v>18</v>
      </c>
      <c r="E870" s="23">
        <v>1790</v>
      </c>
      <c r="F870" s="12">
        <v>0.28914099999999998</v>
      </c>
      <c r="G870" s="14">
        <v>6.7369799999999994E-2</v>
      </c>
      <c r="H870" s="15">
        <f t="shared" ref="H870:H933" si="38">IFERROR(AVERAGEIFS($F:$F, $A:$A, $A870, $B:$B,$B870, $C:$C,$C870),"")</f>
        <v>0.38141035294117642</v>
      </c>
      <c r="I870" s="16">
        <f t="shared" si="37"/>
        <v>9.3228123529411774E-2</v>
      </c>
    </row>
    <row r="871" spans="1:9" x14ac:dyDescent="0.3">
      <c r="A871" s="23" t="s">
        <v>48</v>
      </c>
      <c r="B871" s="30" t="s">
        <v>123</v>
      </c>
      <c r="C871" s="19">
        <v>46246</v>
      </c>
      <c r="D871" s="13" t="s">
        <v>19</v>
      </c>
      <c r="E871" s="23">
        <v>1983</v>
      </c>
      <c r="F871" s="12">
        <v>0.44439200000000001</v>
      </c>
      <c r="G871" s="14">
        <v>9.2895699999999998E-2</v>
      </c>
      <c r="H871" s="15">
        <f t="shared" si="38"/>
        <v>0.38141035294117642</v>
      </c>
      <c r="I871" s="16">
        <f t="shared" si="37"/>
        <v>9.3228123529411774E-2</v>
      </c>
    </row>
    <row r="872" spans="1:9" x14ac:dyDescent="0.3">
      <c r="A872" s="23" t="s">
        <v>48</v>
      </c>
      <c r="B872" s="30" t="s">
        <v>123</v>
      </c>
      <c r="C872" s="19">
        <v>46246</v>
      </c>
      <c r="D872" s="13" t="s">
        <v>20</v>
      </c>
      <c r="E872" s="23">
        <v>1908</v>
      </c>
      <c r="F872" s="12">
        <v>0.34362500000000001</v>
      </c>
      <c r="G872" s="14">
        <v>7.2266700000000003E-2</v>
      </c>
      <c r="H872" s="15">
        <f t="shared" si="38"/>
        <v>0.38141035294117642</v>
      </c>
      <c r="I872" s="16">
        <f t="shared" si="37"/>
        <v>9.3228123529411774E-2</v>
      </c>
    </row>
    <row r="873" spans="1:9" x14ac:dyDescent="0.3">
      <c r="A873" s="23" t="s">
        <v>48</v>
      </c>
      <c r="B873" s="30" t="s">
        <v>123</v>
      </c>
      <c r="C873" s="19">
        <v>46246</v>
      </c>
      <c r="D873" s="13" t="s">
        <v>40</v>
      </c>
      <c r="E873" s="23">
        <v>1131</v>
      </c>
      <c r="F873" s="12">
        <v>0.21276300000000001</v>
      </c>
      <c r="G873" s="14">
        <v>6.6497399999999998E-2</v>
      </c>
      <c r="H873" s="15">
        <f t="shared" si="38"/>
        <v>0.38141035294117642</v>
      </c>
      <c r="I873" s="16">
        <f t="shared" si="37"/>
        <v>9.3228123529411774E-2</v>
      </c>
    </row>
    <row r="874" spans="1:9" x14ac:dyDescent="0.3">
      <c r="A874" s="23" t="s">
        <v>48</v>
      </c>
      <c r="B874" s="30" t="s">
        <v>123</v>
      </c>
      <c r="C874" s="19">
        <v>46246</v>
      </c>
      <c r="D874" s="13" t="s">
        <v>21</v>
      </c>
      <c r="E874" s="23">
        <v>3124</v>
      </c>
      <c r="F874" s="12">
        <v>0.52111399999999997</v>
      </c>
      <c r="G874" s="14">
        <v>0.101732</v>
      </c>
      <c r="H874" s="15">
        <f t="shared" si="38"/>
        <v>0.38141035294117642</v>
      </c>
      <c r="I874" s="16">
        <f t="shared" si="37"/>
        <v>9.3228123529411774E-2</v>
      </c>
    </row>
    <row r="875" spans="1:9" x14ac:dyDescent="0.3">
      <c r="A875" s="23" t="s">
        <v>48</v>
      </c>
      <c r="B875" s="30" t="s">
        <v>123</v>
      </c>
      <c r="C875" s="19">
        <v>46246</v>
      </c>
      <c r="D875" s="13" t="s">
        <v>22</v>
      </c>
      <c r="E875" s="23">
        <v>2106</v>
      </c>
      <c r="F875" s="12">
        <v>0.28700199999999998</v>
      </c>
      <c r="G875" s="14">
        <v>8.2809099999999997E-2</v>
      </c>
      <c r="H875" s="15">
        <f t="shared" si="38"/>
        <v>0.38141035294117642</v>
      </c>
      <c r="I875" s="16">
        <f t="shared" si="37"/>
        <v>9.3228123529411774E-2</v>
      </c>
    </row>
    <row r="876" spans="1:9" x14ac:dyDescent="0.3">
      <c r="A876" s="23" t="s">
        <v>48</v>
      </c>
      <c r="B876" s="30" t="s">
        <v>123</v>
      </c>
      <c r="C876" s="19">
        <v>46246</v>
      </c>
      <c r="D876" s="13" t="s">
        <v>23</v>
      </c>
      <c r="E876" s="23">
        <v>1002</v>
      </c>
      <c r="F876" s="12">
        <v>0.411939</v>
      </c>
      <c r="G876" s="14">
        <v>0.12675500000000001</v>
      </c>
      <c r="H876" s="15">
        <f t="shared" si="38"/>
        <v>0.38141035294117642</v>
      </c>
      <c r="I876" s="16">
        <f t="shared" si="37"/>
        <v>9.3228123529411774E-2</v>
      </c>
    </row>
    <row r="877" spans="1:9" x14ac:dyDescent="0.3">
      <c r="A877" s="23" t="s">
        <v>48</v>
      </c>
      <c r="B877" s="30" t="s">
        <v>123</v>
      </c>
      <c r="C877" s="19">
        <v>46246</v>
      </c>
      <c r="D877" s="13" t="s">
        <v>24</v>
      </c>
      <c r="E877" s="23">
        <v>2341</v>
      </c>
      <c r="F877" s="12">
        <v>0.21904699999999999</v>
      </c>
      <c r="G877" s="14">
        <v>6.4852499999999993E-2</v>
      </c>
      <c r="H877" s="15">
        <f t="shared" si="38"/>
        <v>0.38141035294117642</v>
      </c>
      <c r="I877" s="16">
        <f t="shared" si="37"/>
        <v>9.3228123529411774E-2</v>
      </c>
    </row>
    <row r="878" spans="1:9" x14ac:dyDescent="0.3">
      <c r="A878" s="23" t="s">
        <v>48</v>
      </c>
      <c r="B878" s="30" t="s">
        <v>123</v>
      </c>
      <c r="C878" s="19">
        <v>46246</v>
      </c>
      <c r="D878" s="13" t="s">
        <v>25</v>
      </c>
      <c r="E878" s="23">
        <v>1095</v>
      </c>
      <c r="F878" s="12">
        <v>0.24135499999999999</v>
      </c>
      <c r="G878" s="14">
        <v>5.7526300000000002E-2</v>
      </c>
      <c r="H878" s="15">
        <f t="shared" si="38"/>
        <v>0.38141035294117642</v>
      </c>
      <c r="I878" s="16">
        <f t="shared" si="37"/>
        <v>9.3228123529411774E-2</v>
      </c>
    </row>
    <row r="879" spans="1:9" x14ac:dyDescent="0.3">
      <c r="A879" s="23" t="s">
        <v>48</v>
      </c>
      <c r="B879" s="30" t="s">
        <v>123</v>
      </c>
      <c r="C879" s="19">
        <v>46246</v>
      </c>
      <c r="D879" s="13" t="s">
        <v>26</v>
      </c>
      <c r="E879" s="23">
        <v>1895</v>
      </c>
      <c r="F879" s="12">
        <v>0.17096500000000001</v>
      </c>
      <c r="G879" s="14">
        <v>5.8447199999999998E-2</v>
      </c>
      <c r="H879" s="15">
        <f t="shared" si="38"/>
        <v>0.38141035294117642</v>
      </c>
      <c r="I879" s="16">
        <f t="shared" si="37"/>
        <v>9.3228123529411774E-2</v>
      </c>
    </row>
    <row r="880" spans="1:9" x14ac:dyDescent="0.3">
      <c r="A880" s="23" t="s">
        <v>48</v>
      </c>
      <c r="B880" s="30" t="s">
        <v>123</v>
      </c>
      <c r="C880" s="19">
        <v>46246</v>
      </c>
      <c r="D880" s="13" t="s">
        <v>27</v>
      </c>
      <c r="E880" s="23">
        <v>1591</v>
      </c>
      <c r="F880" s="12">
        <v>0.337507</v>
      </c>
      <c r="G880" s="14">
        <v>7.7844700000000003E-2</v>
      </c>
      <c r="H880" s="15">
        <f t="shared" si="38"/>
        <v>0.38141035294117642</v>
      </c>
      <c r="I880" s="16">
        <f t="shared" si="37"/>
        <v>9.3228123529411774E-2</v>
      </c>
    </row>
    <row r="881" spans="1:9" x14ac:dyDescent="0.3">
      <c r="A881" s="23" t="s">
        <v>48</v>
      </c>
      <c r="B881" s="30" t="s">
        <v>123</v>
      </c>
      <c r="C881" s="19">
        <v>46246</v>
      </c>
      <c r="D881" s="13" t="s">
        <v>28</v>
      </c>
      <c r="E881" s="23">
        <v>1029</v>
      </c>
      <c r="F881" s="12">
        <v>0.45597500000000002</v>
      </c>
      <c r="G881" s="14">
        <v>0.105598</v>
      </c>
      <c r="H881" s="15">
        <f t="shared" si="38"/>
        <v>0.38141035294117642</v>
      </c>
      <c r="I881" s="16">
        <f t="shared" si="37"/>
        <v>9.3228123529411774E-2</v>
      </c>
    </row>
    <row r="882" spans="1:9" x14ac:dyDescent="0.3">
      <c r="A882" s="23" t="s">
        <v>48</v>
      </c>
      <c r="B882" s="30" t="s">
        <v>123</v>
      </c>
      <c r="C882" s="19">
        <v>46246</v>
      </c>
      <c r="D882" s="13" t="s">
        <v>29</v>
      </c>
      <c r="E882" s="23">
        <v>1274</v>
      </c>
      <c r="F882" s="12">
        <v>0.31540200000000002</v>
      </c>
      <c r="G882" s="14">
        <v>6.2736799999999995E-2</v>
      </c>
      <c r="H882" s="15">
        <f t="shared" si="38"/>
        <v>0.38141035294117642</v>
      </c>
      <c r="I882" s="16">
        <f t="shared" si="37"/>
        <v>9.3228123529411774E-2</v>
      </c>
    </row>
    <row r="883" spans="1:9" x14ac:dyDescent="0.3">
      <c r="A883" s="23" t="s">
        <v>48</v>
      </c>
      <c r="B883" s="30" t="s">
        <v>123</v>
      </c>
      <c r="C883" s="19">
        <v>46245</v>
      </c>
      <c r="D883" s="13" t="s">
        <v>30</v>
      </c>
      <c r="E883" s="23">
        <v>1459</v>
      </c>
      <c r="F883" s="12">
        <v>0.78098199999999995</v>
      </c>
      <c r="G883" s="14">
        <v>0.16389999999999999</v>
      </c>
      <c r="H883" s="15">
        <f t="shared" si="38"/>
        <v>0.78098199999999995</v>
      </c>
      <c r="I883" s="16">
        <f t="shared" si="37"/>
        <v>0.16389999999999999</v>
      </c>
    </row>
    <row r="884" spans="1:9" x14ac:dyDescent="0.3">
      <c r="A884" s="23" t="s">
        <v>48</v>
      </c>
      <c r="B884" s="30" t="s">
        <v>103</v>
      </c>
      <c r="C884" s="19">
        <v>46246</v>
      </c>
      <c r="D884" s="13" t="s">
        <v>14</v>
      </c>
      <c r="E884" s="23">
        <v>2075</v>
      </c>
      <c r="F884" s="12">
        <v>0.61073299999999997</v>
      </c>
      <c r="G884" s="14">
        <v>0.17188100000000001</v>
      </c>
      <c r="H884" s="15">
        <f t="shared" si="38"/>
        <v>0.51211722222222211</v>
      </c>
      <c r="I884" s="16">
        <f t="shared" si="37"/>
        <v>0.12117922222222226</v>
      </c>
    </row>
    <row r="885" spans="1:9" x14ac:dyDescent="0.3">
      <c r="A885" s="23" t="s">
        <v>48</v>
      </c>
      <c r="B885" s="30" t="s">
        <v>103</v>
      </c>
      <c r="C885" s="19">
        <v>46246</v>
      </c>
      <c r="D885" s="13" t="s">
        <v>15</v>
      </c>
      <c r="E885" s="23">
        <v>1803</v>
      </c>
      <c r="F885" s="12">
        <v>0.836808</v>
      </c>
      <c r="G885" s="14">
        <v>0.22062999999999999</v>
      </c>
      <c r="H885" s="15">
        <f t="shared" si="38"/>
        <v>0.51211722222222211</v>
      </c>
      <c r="I885" s="16">
        <f t="shared" si="37"/>
        <v>0.12117922222222226</v>
      </c>
    </row>
    <row r="886" spans="1:9" x14ac:dyDescent="0.3">
      <c r="A886" s="23" t="s">
        <v>48</v>
      </c>
      <c r="B886" s="30" t="s">
        <v>103</v>
      </c>
      <c r="C886" s="19">
        <v>46246</v>
      </c>
      <c r="D886" s="13" t="s">
        <v>16</v>
      </c>
      <c r="E886" s="23">
        <v>1248</v>
      </c>
      <c r="F886" s="12">
        <v>0.422099</v>
      </c>
      <c r="G886" s="14">
        <v>9.8858100000000004E-2</v>
      </c>
      <c r="H886" s="15">
        <f t="shared" si="38"/>
        <v>0.51211722222222211</v>
      </c>
      <c r="I886" s="16">
        <f t="shared" si="37"/>
        <v>0.12117922222222226</v>
      </c>
    </row>
    <row r="887" spans="1:9" x14ac:dyDescent="0.3">
      <c r="A887" s="23" t="s">
        <v>48</v>
      </c>
      <c r="B887" s="30" t="s">
        <v>103</v>
      </c>
      <c r="C887" s="19">
        <v>46246</v>
      </c>
      <c r="D887" s="13" t="s">
        <v>17</v>
      </c>
      <c r="E887" s="23">
        <v>1814</v>
      </c>
      <c r="F887" s="12">
        <v>0.42316799999999999</v>
      </c>
      <c r="G887" s="14">
        <v>8.3366099999999999E-2</v>
      </c>
      <c r="H887" s="15">
        <f t="shared" si="38"/>
        <v>0.51211722222222211</v>
      </c>
      <c r="I887" s="16">
        <f t="shared" si="37"/>
        <v>0.12117922222222226</v>
      </c>
    </row>
    <row r="888" spans="1:9" x14ac:dyDescent="0.3">
      <c r="A888" s="23" t="s">
        <v>48</v>
      </c>
      <c r="B888" s="30" t="s">
        <v>103</v>
      </c>
      <c r="C888" s="19">
        <v>46246</v>
      </c>
      <c r="D888" s="13" t="s">
        <v>18</v>
      </c>
      <c r="E888" s="23">
        <v>1407</v>
      </c>
      <c r="F888" s="12">
        <v>0.59568299999999996</v>
      </c>
      <c r="G888" s="14">
        <v>0.14131199999999999</v>
      </c>
      <c r="H888" s="15">
        <f t="shared" si="38"/>
        <v>0.51211722222222211</v>
      </c>
      <c r="I888" s="16">
        <f t="shared" si="37"/>
        <v>0.12117922222222226</v>
      </c>
    </row>
    <row r="889" spans="1:9" x14ac:dyDescent="0.3">
      <c r="A889" s="23" t="s">
        <v>48</v>
      </c>
      <c r="B889" s="30" t="s">
        <v>103</v>
      </c>
      <c r="C889" s="19">
        <v>46246</v>
      </c>
      <c r="D889" s="13" t="s">
        <v>19</v>
      </c>
      <c r="E889" s="23">
        <v>1521</v>
      </c>
      <c r="F889" s="12">
        <v>1.4746300000000001</v>
      </c>
      <c r="G889" s="14">
        <v>0.30990099999999998</v>
      </c>
      <c r="H889" s="15">
        <f t="shared" si="38"/>
        <v>0.51211722222222211</v>
      </c>
      <c r="I889" s="16">
        <f t="shared" si="37"/>
        <v>0.12117922222222226</v>
      </c>
    </row>
    <row r="890" spans="1:9" x14ac:dyDescent="0.3">
      <c r="A890" s="23" t="s">
        <v>48</v>
      </c>
      <c r="B890" s="30" t="s">
        <v>103</v>
      </c>
      <c r="C890" s="19">
        <v>46246</v>
      </c>
      <c r="D890" s="13" t="s">
        <v>20</v>
      </c>
      <c r="E890" s="23">
        <v>1511</v>
      </c>
      <c r="F890" s="12">
        <v>0.77268899999999996</v>
      </c>
      <c r="G890" s="14">
        <v>0.16123699999999999</v>
      </c>
      <c r="H890" s="15">
        <f t="shared" si="38"/>
        <v>0.51211722222222211</v>
      </c>
      <c r="I890" s="16">
        <f t="shared" si="37"/>
        <v>0.12117922222222226</v>
      </c>
    </row>
    <row r="891" spans="1:9" x14ac:dyDescent="0.3">
      <c r="A891" s="23" t="s">
        <v>48</v>
      </c>
      <c r="B891" s="30" t="s">
        <v>103</v>
      </c>
      <c r="C891" s="19">
        <v>46246</v>
      </c>
      <c r="D891" s="13" t="s">
        <v>40</v>
      </c>
      <c r="E891" s="23">
        <v>1089</v>
      </c>
      <c r="F891" s="12">
        <v>0.31725700000000001</v>
      </c>
      <c r="G891" s="14">
        <v>9.5367800000000003E-2</v>
      </c>
      <c r="H891" s="15">
        <f t="shared" si="38"/>
        <v>0.51211722222222211</v>
      </c>
      <c r="I891" s="16">
        <f t="shared" si="37"/>
        <v>0.12117922222222226</v>
      </c>
    </row>
    <row r="892" spans="1:9" x14ac:dyDescent="0.3">
      <c r="A892" s="23" t="s">
        <v>48</v>
      </c>
      <c r="B892" s="30" t="s">
        <v>103</v>
      </c>
      <c r="C892" s="19">
        <v>46246</v>
      </c>
      <c r="D892" s="13" t="s">
        <v>21</v>
      </c>
      <c r="E892" s="23">
        <v>2360</v>
      </c>
      <c r="F892" s="12">
        <v>0.52617499999999995</v>
      </c>
      <c r="G892" s="14">
        <v>0.10256999999999999</v>
      </c>
      <c r="H892" s="15">
        <f t="shared" si="38"/>
        <v>0.51211722222222211</v>
      </c>
      <c r="I892" s="16">
        <f t="shared" si="37"/>
        <v>0.12117922222222226</v>
      </c>
    </row>
    <row r="893" spans="1:9" x14ac:dyDescent="0.3">
      <c r="A893" s="23" t="s">
        <v>48</v>
      </c>
      <c r="B893" s="30" t="s">
        <v>103</v>
      </c>
      <c r="C893" s="19">
        <v>46246</v>
      </c>
      <c r="D893" s="13" t="s">
        <v>22</v>
      </c>
      <c r="E893" s="23">
        <v>1402</v>
      </c>
      <c r="F893" s="12">
        <v>0.29166399999999998</v>
      </c>
      <c r="G893" s="14">
        <v>7.8948299999999999E-2</v>
      </c>
      <c r="H893" s="15">
        <f t="shared" si="38"/>
        <v>0.51211722222222211</v>
      </c>
      <c r="I893" s="16">
        <f t="shared" si="37"/>
        <v>0.12117922222222226</v>
      </c>
    </row>
    <row r="894" spans="1:9" x14ac:dyDescent="0.3">
      <c r="A894" s="23" t="s">
        <v>48</v>
      </c>
      <c r="B894" s="30" t="s">
        <v>103</v>
      </c>
      <c r="C894" s="19">
        <v>46246</v>
      </c>
      <c r="D894" s="13" t="s">
        <v>23</v>
      </c>
      <c r="E894" s="23">
        <v>1537</v>
      </c>
      <c r="F894" s="12">
        <v>0.41604099999999999</v>
      </c>
      <c r="G894" s="14">
        <v>0.13688900000000001</v>
      </c>
      <c r="H894" s="15">
        <f t="shared" si="38"/>
        <v>0.51211722222222211</v>
      </c>
      <c r="I894" s="16">
        <f t="shared" si="37"/>
        <v>0.12117922222222226</v>
      </c>
    </row>
    <row r="895" spans="1:9" x14ac:dyDescent="0.3">
      <c r="A895" s="23" t="s">
        <v>48</v>
      </c>
      <c r="B895" s="30" t="s">
        <v>103</v>
      </c>
      <c r="C895" s="19">
        <v>46246</v>
      </c>
      <c r="D895" s="13" t="s">
        <v>24</v>
      </c>
      <c r="E895" s="23">
        <v>2059</v>
      </c>
      <c r="F895" s="12">
        <v>0.18245900000000001</v>
      </c>
      <c r="G895" s="14">
        <v>5.6480700000000002E-2</v>
      </c>
      <c r="H895" s="15">
        <f t="shared" si="38"/>
        <v>0.51211722222222211</v>
      </c>
      <c r="I895" s="16">
        <f t="shared" si="37"/>
        <v>0.12117922222222226</v>
      </c>
    </row>
    <row r="896" spans="1:9" x14ac:dyDescent="0.3">
      <c r="A896" s="23" t="s">
        <v>48</v>
      </c>
      <c r="B896" s="30" t="s">
        <v>103</v>
      </c>
      <c r="C896" s="19">
        <v>46246</v>
      </c>
      <c r="D896" s="13" t="s">
        <v>25</v>
      </c>
      <c r="E896" s="23">
        <v>1004</v>
      </c>
      <c r="F896" s="12">
        <v>0.27812900000000002</v>
      </c>
      <c r="G896" s="14">
        <v>6.7163399999999998E-2</v>
      </c>
      <c r="H896" s="15">
        <f t="shared" si="38"/>
        <v>0.51211722222222211</v>
      </c>
      <c r="I896" s="16">
        <f t="shared" si="37"/>
        <v>0.12117922222222226</v>
      </c>
    </row>
    <row r="897" spans="1:9" x14ac:dyDescent="0.3">
      <c r="A897" s="23" t="s">
        <v>48</v>
      </c>
      <c r="B897" s="30" t="s">
        <v>103</v>
      </c>
      <c r="C897" s="19">
        <v>46246</v>
      </c>
      <c r="D897" s="13" t="s">
        <v>26</v>
      </c>
      <c r="E897" s="23">
        <v>1310</v>
      </c>
      <c r="F897" s="12">
        <v>0.19995299999999999</v>
      </c>
      <c r="G897" s="14">
        <v>6.3817100000000002E-2</v>
      </c>
      <c r="H897" s="15">
        <f t="shared" si="38"/>
        <v>0.51211722222222211</v>
      </c>
      <c r="I897" s="16">
        <f t="shared" si="37"/>
        <v>0.12117922222222226</v>
      </c>
    </row>
    <row r="898" spans="1:9" x14ac:dyDescent="0.3">
      <c r="A898" s="23" t="s">
        <v>48</v>
      </c>
      <c r="B898" s="30" t="s">
        <v>103</v>
      </c>
      <c r="C898" s="19">
        <v>46246</v>
      </c>
      <c r="D898" s="13" t="s">
        <v>27</v>
      </c>
      <c r="E898" s="23">
        <v>1089</v>
      </c>
      <c r="F898" s="12">
        <v>0.31719000000000003</v>
      </c>
      <c r="G898" s="14">
        <v>7.1652800000000003E-2</v>
      </c>
      <c r="H898" s="15">
        <f t="shared" si="38"/>
        <v>0.51211722222222211</v>
      </c>
      <c r="I898" s="16">
        <f t="shared" si="37"/>
        <v>0.12117922222222226</v>
      </c>
    </row>
    <row r="899" spans="1:9" x14ac:dyDescent="0.3">
      <c r="A899" s="23" t="s">
        <v>48</v>
      </c>
      <c r="B899" s="30" t="s">
        <v>103</v>
      </c>
      <c r="C899" s="19">
        <v>46246</v>
      </c>
      <c r="D899" s="13" t="s">
        <v>28</v>
      </c>
      <c r="E899" s="23">
        <v>1192</v>
      </c>
      <c r="F899" s="12">
        <v>0.25763000000000003</v>
      </c>
      <c r="G899" s="14">
        <v>5.7515700000000003E-2</v>
      </c>
      <c r="H899" s="15">
        <f t="shared" si="38"/>
        <v>0.51211722222222211</v>
      </c>
      <c r="I899" s="16">
        <f t="shared" ref="I899:I962" si="39">IFERROR(AVERAGEIFS($G:$G, $A:$A, $A899, $B:$B,$B899, $C:$C,$C899),"")</f>
        <v>0.12117922222222226</v>
      </c>
    </row>
    <row r="900" spans="1:9" x14ac:dyDescent="0.3">
      <c r="A900" s="23" t="s">
        <v>48</v>
      </c>
      <c r="B900" s="30" t="s">
        <v>103</v>
      </c>
      <c r="C900" s="19">
        <v>46246</v>
      </c>
      <c r="D900" s="13" t="s">
        <v>29</v>
      </c>
      <c r="E900" s="23">
        <v>1386</v>
      </c>
      <c r="F900" s="12">
        <v>0.59838199999999997</v>
      </c>
      <c r="G900" s="14">
        <v>0.12384299999999999</v>
      </c>
      <c r="H900" s="15">
        <f t="shared" si="38"/>
        <v>0.51211722222222211</v>
      </c>
      <c r="I900" s="16">
        <f t="shared" si="39"/>
        <v>0.12117922222222226</v>
      </c>
    </row>
    <row r="901" spans="1:9" x14ac:dyDescent="0.3">
      <c r="A901" s="23" t="s">
        <v>48</v>
      </c>
      <c r="B901" s="30" t="s">
        <v>103</v>
      </c>
      <c r="C901" s="19">
        <v>46246</v>
      </c>
      <c r="D901" s="13" t="s">
        <v>30</v>
      </c>
      <c r="E901" s="23">
        <v>1283</v>
      </c>
      <c r="F901" s="12">
        <v>0.69742000000000004</v>
      </c>
      <c r="G901" s="14">
        <v>0.139793</v>
      </c>
      <c r="H901" s="15">
        <f t="shared" si="38"/>
        <v>0.51211722222222211</v>
      </c>
      <c r="I901" s="16">
        <f t="shared" si="39"/>
        <v>0.12117922222222226</v>
      </c>
    </row>
    <row r="902" spans="1:9" x14ac:dyDescent="0.3">
      <c r="A902" s="23" t="s">
        <v>48</v>
      </c>
      <c r="B902" s="30" t="s">
        <v>108</v>
      </c>
      <c r="C902" s="19">
        <v>46246</v>
      </c>
      <c r="D902" s="13" t="s">
        <v>14</v>
      </c>
      <c r="E902" s="23">
        <v>2683</v>
      </c>
      <c r="F902" s="12">
        <v>0.30937199999999998</v>
      </c>
      <c r="G902" s="14">
        <v>9.1898800000000003E-2</v>
      </c>
      <c r="H902" s="15">
        <f t="shared" si="38"/>
        <v>0.42551411111111109</v>
      </c>
      <c r="I902" s="16">
        <f t="shared" si="39"/>
        <v>0.10026711111111111</v>
      </c>
    </row>
    <row r="903" spans="1:9" x14ac:dyDescent="0.3">
      <c r="A903" s="23" t="s">
        <v>48</v>
      </c>
      <c r="B903" s="30" t="s">
        <v>108</v>
      </c>
      <c r="C903" s="19">
        <v>46246</v>
      </c>
      <c r="D903" s="13" t="s">
        <v>15</v>
      </c>
      <c r="E903" s="23">
        <v>2170</v>
      </c>
      <c r="F903" s="12">
        <v>0.42722700000000002</v>
      </c>
      <c r="G903" s="14">
        <v>0.116392</v>
      </c>
      <c r="H903" s="15">
        <f t="shared" si="38"/>
        <v>0.42551411111111109</v>
      </c>
      <c r="I903" s="16">
        <f t="shared" si="39"/>
        <v>0.10026711111111111</v>
      </c>
    </row>
    <row r="904" spans="1:9" x14ac:dyDescent="0.3">
      <c r="A904" s="23" t="s">
        <v>48</v>
      </c>
      <c r="B904" s="30" t="s">
        <v>108</v>
      </c>
      <c r="C904" s="19">
        <v>46246</v>
      </c>
      <c r="D904" s="13" t="s">
        <v>16</v>
      </c>
      <c r="E904" s="23">
        <v>1203</v>
      </c>
      <c r="F904" s="12">
        <v>0.29200599999999999</v>
      </c>
      <c r="G904" s="14">
        <v>6.90138E-2</v>
      </c>
      <c r="H904" s="15">
        <f t="shared" si="38"/>
        <v>0.42551411111111109</v>
      </c>
      <c r="I904" s="16">
        <f t="shared" si="39"/>
        <v>0.10026711111111111</v>
      </c>
    </row>
    <row r="905" spans="1:9" x14ac:dyDescent="0.3">
      <c r="A905" s="23" t="s">
        <v>48</v>
      </c>
      <c r="B905" s="30" t="s">
        <v>108</v>
      </c>
      <c r="C905" s="19">
        <v>46246</v>
      </c>
      <c r="D905" s="13" t="s">
        <v>17</v>
      </c>
      <c r="E905" s="23">
        <v>1833</v>
      </c>
      <c r="F905" s="12">
        <v>0.42316799999999999</v>
      </c>
      <c r="G905" s="14">
        <v>8.3366099999999999E-2</v>
      </c>
      <c r="H905" s="15">
        <f t="shared" si="38"/>
        <v>0.42551411111111109</v>
      </c>
      <c r="I905" s="16">
        <f t="shared" si="39"/>
        <v>0.10026711111111111</v>
      </c>
    </row>
    <row r="906" spans="1:9" x14ac:dyDescent="0.3">
      <c r="A906" s="23" t="s">
        <v>48</v>
      </c>
      <c r="B906" s="30" t="s">
        <v>108</v>
      </c>
      <c r="C906" s="19">
        <v>46246</v>
      </c>
      <c r="D906" s="13" t="s">
        <v>18</v>
      </c>
      <c r="E906" s="23">
        <v>1435</v>
      </c>
      <c r="F906" s="12">
        <v>0.59568299999999996</v>
      </c>
      <c r="G906" s="14">
        <v>0.14131199999999999</v>
      </c>
      <c r="H906" s="15">
        <f t="shared" si="38"/>
        <v>0.42551411111111109</v>
      </c>
      <c r="I906" s="16">
        <f t="shared" si="39"/>
        <v>0.10026711111111111</v>
      </c>
    </row>
    <row r="907" spans="1:9" x14ac:dyDescent="0.3">
      <c r="A907" s="23" t="s">
        <v>48</v>
      </c>
      <c r="B907" s="30" t="s">
        <v>108</v>
      </c>
      <c r="C907" s="19">
        <v>46246</v>
      </c>
      <c r="D907" s="13" t="s">
        <v>19</v>
      </c>
      <c r="E907" s="23">
        <v>1512</v>
      </c>
      <c r="F907" s="12">
        <v>0.90618900000000002</v>
      </c>
      <c r="G907" s="14">
        <v>0.18437700000000001</v>
      </c>
      <c r="H907" s="15">
        <f t="shared" si="38"/>
        <v>0.42551411111111109</v>
      </c>
      <c r="I907" s="16">
        <f t="shared" si="39"/>
        <v>0.10026711111111111</v>
      </c>
    </row>
    <row r="908" spans="1:9" x14ac:dyDescent="0.3">
      <c r="A908" s="23" t="s">
        <v>48</v>
      </c>
      <c r="B908" s="30" t="s">
        <v>108</v>
      </c>
      <c r="C908" s="19">
        <v>46246</v>
      </c>
      <c r="D908" s="13" t="s">
        <v>20</v>
      </c>
      <c r="E908" s="23">
        <v>1582</v>
      </c>
      <c r="F908" s="12">
        <v>0.71550499999999995</v>
      </c>
      <c r="G908" s="14">
        <v>0.143758</v>
      </c>
      <c r="H908" s="15">
        <f t="shared" si="38"/>
        <v>0.42551411111111109</v>
      </c>
      <c r="I908" s="16">
        <f t="shared" si="39"/>
        <v>0.10026711111111111</v>
      </c>
    </row>
    <row r="909" spans="1:9" x14ac:dyDescent="0.3">
      <c r="A909" s="23" t="s">
        <v>48</v>
      </c>
      <c r="B909" s="30" t="s">
        <v>108</v>
      </c>
      <c r="C909" s="19">
        <v>46246</v>
      </c>
      <c r="D909" s="13" t="s">
        <v>40</v>
      </c>
      <c r="E909" s="23">
        <v>1288</v>
      </c>
      <c r="F909" s="12">
        <v>0.19472</v>
      </c>
      <c r="G909" s="14">
        <v>5.5112000000000001E-2</v>
      </c>
      <c r="H909" s="15">
        <f t="shared" si="38"/>
        <v>0.42551411111111109</v>
      </c>
      <c r="I909" s="16">
        <f t="shared" si="39"/>
        <v>0.10026711111111111</v>
      </c>
    </row>
    <row r="910" spans="1:9" x14ac:dyDescent="0.3">
      <c r="A910" s="23" t="s">
        <v>48</v>
      </c>
      <c r="B910" s="30" t="s">
        <v>108</v>
      </c>
      <c r="C910" s="19">
        <v>46246</v>
      </c>
      <c r="D910" s="13" t="s">
        <v>21</v>
      </c>
      <c r="E910" s="23">
        <v>2445</v>
      </c>
      <c r="F910" s="12">
        <v>0.47140700000000002</v>
      </c>
      <c r="G910" s="14">
        <v>9.4234799999999994E-2</v>
      </c>
      <c r="H910" s="15">
        <f t="shared" si="38"/>
        <v>0.42551411111111109</v>
      </c>
      <c r="I910" s="16">
        <f t="shared" si="39"/>
        <v>0.10026711111111111</v>
      </c>
    </row>
    <row r="911" spans="1:9" x14ac:dyDescent="0.3">
      <c r="A911" s="23" t="s">
        <v>48</v>
      </c>
      <c r="B911" s="30" t="s">
        <v>108</v>
      </c>
      <c r="C911" s="19">
        <v>46246</v>
      </c>
      <c r="D911" s="13" t="s">
        <v>22</v>
      </c>
      <c r="E911" s="23">
        <v>1467</v>
      </c>
      <c r="F911" s="12">
        <v>0.37695400000000001</v>
      </c>
      <c r="G911" s="14">
        <v>9.6904500000000005E-2</v>
      </c>
      <c r="H911" s="15">
        <f t="shared" si="38"/>
        <v>0.42551411111111109</v>
      </c>
      <c r="I911" s="16">
        <f t="shared" si="39"/>
        <v>0.10026711111111111</v>
      </c>
    </row>
    <row r="912" spans="1:9" x14ac:dyDescent="0.3">
      <c r="A912" s="23" t="s">
        <v>48</v>
      </c>
      <c r="B912" s="30" t="s">
        <v>108</v>
      </c>
      <c r="C912" s="19">
        <v>46246</v>
      </c>
      <c r="D912" s="13" t="s">
        <v>23</v>
      </c>
      <c r="E912" s="23">
        <v>1713</v>
      </c>
      <c r="F912" s="12">
        <v>0.31794600000000001</v>
      </c>
      <c r="G912" s="14">
        <v>0.113223</v>
      </c>
      <c r="H912" s="15">
        <f t="shared" si="38"/>
        <v>0.42551411111111109</v>
      </c>
      <c r="I912" s="16">
        <f t="shared" si="39"/>
        <v>0.10026711111111111</v>
      </c>
    </row>
    <row r="913" spans="1:9" x14ac:dyDescent="0.3">
      <c r="A913" s="23" t="s">
        <v>48</v>
      </c>
      <c r="B913" s="30" t="s">
        <v>108</v>
      </c>
      <c r="C913" s="19">
        <v>46246</v>
      </c>
      <c r="D913" s="13" t="s">
        <v>24</v>
      </c>
      <c r="E913" s="23">
        <v>2497</v>
      </c>
      <c r="F913" s="12">
        <v>0.21368899999999999</v>
      </c>
      <c r="G913" s="14">
        <v>7.1075200000000005E-2</v>
      </c>
      <c r="H913" s="15">
        <f t="shared" si="38"/>
        <v>0.42551411111111109</v>
      </c>
      <c r="I913" s="16">
        <f t="shared" si="39"/>
        <v>0.10026711111111111</v>
      </c>
    </row>
    <row r="914" spans="1:9" x14ac:dyDescent="0.3">
      <c r="A914" s="23" t="s">
        <v>48</v>
      </c>
      <c r="B914" s="30" t="s">
        <v>108</v>
      </c>
      <c r="C914" s="19">
        <v>46246</v>
      </c>
      <c r="D914" s="13" t="s">
        <v>25</v>
      </c>
      <c r="E914" s="23">
        <v>1107</v>
      </c>
      <c r="F914" s="12">
        <v>0.20857899999999999</v>
      </c>
      <c r="G914" s="14">
        <v>5.2473800000000001E-2</v>
      </c>
      <c r="H914" s="15">
        <f t="shared" si="38"/>
        <v>0.42551411111111109</v>
      </c>
      <c r="I914" s="16">
        <f t="shared" si="39"/>
        <v>0.10026711111111111</v>
      </c>
    </row>
    <row r="915" spans="1:9" x14ac:dyDescent="0.3">
      <c r="A915" s="23" t="s">
        <v>48</v>
      </c>
      <c r="B915" s="30" t="s">
        <v>108</v>
      </c>
      <c r="C915" s="19">
        <v>46246</v>
      </c>
      <c r="D915" s="13" t="s">
        <v>26</v>
      </c>
      <c r="E915" s="23">
        <v>1580</v>
      </c>
      <c r="F915" s="12">
        <v>0.23075100000000001</v>
      </c>
      <c r="G915" s="14">
        <v>6.8616499999999997E-2</v>
      </c>
      <c r="H915" s="15">
        <f t="shared" si="38"/>
        <v>0.42551411111111109</v>
      </c>
      <c r="I915" s="16">
        <f t="shared" si="39"/>
        <v>0.10026711111111111</v>
      </c>
    </row>
    <row r="916" spans="1:9" x14ac:dyDescent="0.3">
      <c r="A916" s="23" t="s">
        <v>48</v>
      </c>
      <c r="B916" s="30" t="s">
        <v>108</v>
      </c>
      <c r="C916" s="19">
        <v>46246</v>
      </c>
      <c r="D916" s="13" t="s">
        <v>27</v>
      </c>
      <c r="E916" s="23">
        <v>1002</v>
      </c>
      <c r="F916" s="12">
        <v>0.44911200000000001</v>
      </c>
      <c r="G916" s="14">
        <v>0.103433</v>
      </c>
      <c r="H916" s="15">
        <f t="shared" si="38"/>
        <v>0.42551411111111109</v>
      </c>
      <c r="I916" s="16">
        <f t="shared" si="39"/>
        <v>0.10026711111111111</v>
      </c>
    </row>
    <row r="917" spans="1:9" x14ac:dyDescent="0.3">
      <c r="A917" s="23" t="s">
        <v>48</v>
      </c>
      <c r="B917" s="30" t="s">
        <v>108</v>
      </c>
      <c r="C917" s="19">
        <v>46246</v>
      </c>
      <c r="D917" s="13" t="s">
        <v>28</v>
      </c>
      <c r="E917" s="23">
        <v>1155</v>
      </c>
      <c r="F917" s="12">
        <v>0.55079199999999995</v>
      </c>
      <c r="G917" s="14">
        <v>0.122629</v>
      </c>
      <c r="H917" s="15">
        <f t="shared" si="38"/>
        <v>0.42551411111111109</v>
      </c>
      <c r="I917" s="16">
        <f t="shared" si="39"/>
        <v>0.10026711111111111</v>
      </c>
    </row>
    <row r="918" spans="1:9" x14ac:dyDescent="0.3">
      <c r="A918" s="23" t="s">
        <v>48</v>
      </c>
      <c r="B918" s="30" t="s">
        <v>108</v>
      </c>
      <c r="C918" s="19">
        <v>46246</v>
      </c>
      <c r="D918" s="13" t="s">
        <v>29</v>
      </c>
      <c r="E918" s="23">
        <v>1417</v>
      </c>
      <c r="F918" s="12">
        <v>0.30549100000000001</v>
      </c>
      <c r="G918" s="14">
        <v>6.4800499999999997E-2</v>
      </c>
      <c r="H918" s="15">
        <f t="shared" si="38"/>
        <v>0.42551411111111109</v>
      </c>
      <c r="I918" s="16">
        <f t="shared" si="39"/>
        <v>0.10026711111111111</v>
      </c>
    </row>
    <row r="919" spans="1:9" x14ac:dyDescent="0.3">
      <c r="A919" s="23" t="s">
        <v>48</v>
      </c>
      <c r="B919" s="30" t="s">
        <v>108</v>
      </c>
      <c r="C919" s="19">
        <v>46246</v>
      </c>
      <c r="D919" s="13" t="s">
        <v>30</v>
      </c>
      <c r="E919" s="23">
        <v>1247</v>
      </c>
      <c r="F919" s="12">
        <v>0.67066300000000001</v>
      </c>
      <c r="G919" s="14">
        <v>0.132188</v>
      </c>
      <c r="H919" s="15">
        <f t="shared" si="38"/>
        <v>0.42551411111111109</v>
      </c>
      <c r="I919" s="16">
        <f t="shared" si="39"/>
        <v>0.10026711111111111</v>
      </c>
    </row>
    <row r="920" spans="1:9" x14ac:dyDescent="0.3">
      <c r="A920" s="23" t="s">
        <v>48</v>
      </c>
      <c r="B920" s="30" t="s">
        <v>109</v>
      </c>
      <c r="C920" s="19">
        <v>46246</v>
      </c>
      <c r="D920" s="13" t="s">
        <v>14</v>
      </c>
      <c r="E920" s="23">
        <v>1842</v>
      </c>
      <c r="F920" s="12">
        <v>1.5818099999999999</v>
      </c>
      <c r="G920" s="14">
        <v>0.44534899999999999</v>
      </c>
      <c r="H920" s="15">
        <f t="shared" si="38"/>
        <v>0.86146366666666652</v>
      </c>
      <c r="I920" s="16">
        <f t="shared" si="39"/>
        <v>0.20853869444444445</v>
      </c>
    </row>
    <row r="921" spans="1:9" x14ac:dyDescent="0.3">
      <c r="A921" s="23" t="s">
        <v>48</v>
      </c>
      <c r="B921" s="30" t="s">
        <v>109</v>
      </c>
      <c r="C921" s="19">
        <v>46246</v>
      </c>
      <c r="D921" s="13" t="s">
        <v>15</v>
      </c>
      <c r="E921" s="23">
        <v>1455</v>
      </c>
      <c r="F921" s="12">
        <v>1.7665500000000001</v>
      </c>
      <c r="G921" s="14">
        <v>0.46729300000000001</v>
      </c>
      <c r="H921" s="15">
        <f t="shared" si="38"/>
        <v>0.86146366666666652</v>
      </c>
      <c r="I921" s="16">
        <f t="shared" si="39"/>
        <v>0.20853869444444445</v>
      </c>
    </row>
    <row r="922" spans="1:9" x14ac:dyDescent="0.3">
      <c r="A922" s="23" t="s">
        <v>48</v>
      </c>
      <c r="B922" s="30" t="s">
        <v>109</v>
      </c>
      <c r="C922" s="19">
        <v>46246</v>
      </c>
      <c r="D922" s="13" t="s">
        <v>16</v>
      </c>
      <c r="E922" s="23">
        <v>1004</v>
      </c>
      <c r="F922" s="12">
        <v>0.50111099999999997</v>
      </c>
      <c r="G922" s="14">
        <v>0.117565</v>
      </c>
      <c r="H922" s="15">
        <f t="shared" si="38"/>
        <v>0.86146366666666652</v>
      </c>
      <c r="I922" s="16">
        <f t="shared" si="39"/>
        <v>0.20853869444444445</v>
      </c>
    </row>
    <row r="923" spans="1:9" x14ac:dyDescent="0.3">
      <c r="A923" s="23" t="s">
        <v>48</v>
      </c>
      <c r="B923" s="30" t="s">
        <v>109</v>
      </c>
      <c r="C923" s="19">
        <v>46246</v>
      </c>
      <c r="D923" s="13" t="s">
        <v>17</v>
      </c>
      <c r="E923" s="23">
        <v>2030</v>
      </c>
      <c r="F923" s="12">
        <v>0.70398400000000005</v>
      </c>
      <c r="G923" s="14">
        <v>0.13963500000000001</v>
      </c>
      <c r="H923" s="15">
        <f t="shared" si="38"/>
        <v>0.86146366666666652</v>
      </c>
      <c r="I923" s="16">
        <f t="shared" si="39"/>
        <v>0.20853869444444445</v>
      </c>
    </row>
    <row r="924" spans="1:9" x14ac:dyDescent="0.3">
      <c r="A924" s="23" t="s">
        <v>48</v>
      </c>
      <c r="B924" s="30" t="s">
        <v>109</v>
      </c>
      <c r="C924" s="19">
        <v>46246</v>
      </c>
      <c r="D924" s="13" t="s">
        <v>18</v>
      </c>
      <c r="E924" s="23">
        <v>1268</v>
      </c>
      <c r="F924" s="12">
        <v>1.62218</v>
      </c>
      <c r="G924" s="14">
        <v>0.38552599999999998</v>
      </c>
      <c r="H924" s="15">
        <f t="shared" si="38"/>
        <v>0.86146366666666652</v>
      </c>
      <c r="I924" s="16">
        <f t="shared" si="39"/>
        <v>0.20853869444444445</v>
      </c>
    </row>
    <row r="925" spans="1:9" x14ac:dyDescent="0.3">
      <c r="A925" s="23" t="s">
        <v>48</v>
      </c>
      <c r="B925" s="30" t="s">
        <v>109</v>
      </c>
      <c r="C925" s="19">
        <v>46246</v>
      </c>
      <c r="D925" s="13" t="s">
        <v>19</v>
      </c>
      <c r="E925" s="23">
        <v>1477</v>
      </c>
      <c r="F925" s="12">
        <v>1.74108</v>
      </c>
      <c r="G925" s="14">
        <v>0.36779699999999999</v>
      </c>
      <c r="H925" s="15">
        <f t="shared" si="38"/>
        <v>0.86146366666666652</v>
      </c>
      <c r="I925" s="16">
        <f t="shared" si="39"/>
        <v>0.20853869444444445</v>
      </c>
    </row>
    <row r="926" spans="1:9" x14ac:dyDescent="0.3">
      <c r="A926" s="23" t="s">
        <v>48</v>
      </c>
      <c r="B926" s="30" t="s">
        <v>109</v>
      </c>
      <c r="C926" s="19">
        <v>46246</v>
      </c>
      <c r="D926" s="13" t="s">
        <v>20</v>
      </c>
      <c r="E926" s="23">
        <v>1456</v>
      </c>
      <c r="F926" s="12">
        <v>1.5929199999999999</v>
      </c>
      <c r="G926" s="14">
        <v>0.33326</v>
      </c>
      <c r="H926" s="15">
        <f t="shared" si="38"/>
        <v>0.86146366666666652</v>
      </c>
      <c r="I926" s="16">
        <f t="shared" si="39"/>
        <v>0.20853869444444445</v>
      </c>
    </row>
    <row r="927" spans="1:9" x14ac:dyDescent="0.3">
      <c r="A927" s="23" t="s">
        <v>48</v>
      </c>
      <c r="B927" s="30" t="s">
        <v>109</v>
      </c>
      <c r="C927" s="19">
        <v>46246</v>
      </c>
      <c r="D927" s="13" t="s">
        <v>40</v>
      </c>
      <c r="E927" s="23">
        <v>1071</v>
      </c>
      <c r="F927" s="12">
        <v>0.68545500000000004</v>
      </c>
      <c r="G927" s="14">
        <v>0.20788699999999999</v>
      </c>
      <c r="H927" s="15">
        <f t="shared" si="38"/>
        <v>0.86146366666666652</v>
      </c>
      <c r="I927" s="16">
        <f t="shared" si="39"/>
        <v>0.20853869444444445</v>
      </c>
    </row>
    <row r="928" spans="1:9" x14ac:dyDescent="0.3">
      <c r="A928" s="23" t="s">
        <v>48</v>
      </c>
      <c r="B928" s="30" t="s">
        <v>109</v>
      </c>
      <c r="C928" s="19">
        <v>46246</v>
      </c>
      <c r="D928" s="13" t="s">
        <v>21</v>
      </c>
      <c r="E928" s="23">
        <v>2477</v>
      </c>
      <c r="F928" s="12">
        <v>0.71321500000000004</v>
      </c>
      <c r="G928" s="14">
        <v>0.13899900000000001</v>
      </c>
      <c r="H928" s="15">
        <f t="shared" si="38"/>
        <v>0.86146366666666652</v>
      </c>
      <c r="I928" s="16">
        <f t="shared" si="39"/>
        <v>0.20853869444444445</v>
      </c>
    </row>
    <row r="929" spans="1:9" x14ac:dyDescent="0.3">
      <c r="A929" s="23" t="s">
        <v>48</v>
      </c>
      <c r="B929" s="30" t="s">
        <v>109</v>
      </c>
      <c r="C929" s="19">
        <v>46246</v>
      </c>
      <c r="D929" s="13" t="s">
        <v>22</v>
      </c>
      <c r="E929" s="23">
        <v>1664</v>
      </c>
      <c r="F929" s="12">
        <v>1.2822</v>
      </c>
      <c r="G929" s="14">
        <v>0.34958600000000001</v>
      </c>
      <c r="H929" s="15">
        <f t="shared" si="38"/>
        <v>0.86146366666666652</v>
      </c>
      <c r="I929" s="16">
        <f t="shared" si="39"/>
        <v>0.20853869444444445</v>
      </c>
    </row>
    <row r="930" spans="1:9" x14ac:dyDescent="0.3">
      <c r="A930" s="23" t="s">
        <v>48</v>
      </c>
      <c r="B930" s="30" t="s">
        <v>109</v>
      </c>
      <c r="C930" s="19">
        <v>46246</v>
      </c>
      <c r="D930" s="13" t="s">
        <v>23</v>
      </c>
      <c r="E930" s="23">
        <v>1378</v>
      </c>
      <c r="F930" s="12">
        <v>0.29906199999999999</v>
      </c>
      <c r="G930" s="14">
        <v>9.82402E-2</v>
      </c>
      <c r="H930" s="15">
        <f t="shared" si="38"/>
        <v>0.86146366666666652</v>
      </c>
      <c r="I930" s="16">
        <f t="shared" si="39"/>
        <v>0.20853869444444445</v>
      </c>
    </row>
    <row r="931" spans="1:9" x14ac:dyDescent="0.3">
      <c r="A931" s="23" t="s">
        <v>48</v>
      </c>
      <c r="B931" s="30" t="s">
        <v>109</v>
      </c>
      <c r="C931" s="19">
        <v>46246</v>
      </c>
      <c r="D931" s="13" t="s">
        <v>24</v>
      </c>
      <c r="E931" s="23">
        <v>1864</v>
      </c>
      <c r="F931" s="12">
        <v>0.340582</v>
      </c>
      <c r="G931" s="14">
        <v>0.104976</v>
      </c>
      <c r="H931" s="15">
        <f t="shared" si="38"/>
        <v>0.86146366666666652</v>
      </c>
      <c r="I931" s="16">
        <f t="shared" si="39"/>
        <v>0.20853869444444445</v>
      </c>
    </row>
    <row r="932" spans="1:9" x14ac:dyDescent="0.3">
      <c r="A932" s="23" t="s">
        <v>48</v>
      </c>
      <c r="B932" s="30" t="s">
        <v>109</v>
      </c>
      <c r="C932" s="19">
        <v>46246</v>
      </c>
      <c r="D932" s="13" t="s">
        <v>25</v>
      </c>
      <c r="E932" s="23">
        <v>1127</v>
      </c>
      <c r="F932" s="12">
        <v>0.30177900000000002</v>
      </c>
      <c r="G932" s="14">
        <v>7.2733400000000004E-2</v>
      </c>
      <c r="H932" s="15">
        <f t="shared" si="38"/>
        <v>0.86146366666666652</v>
      </c>
      <c r="I932" s="16">
        <f t="shared" si="39"/>
        <v>0.20853869444444445</v>
      </c>
    </row>
    <row r="933" spans="1:9" x14ac:dyDescent="0.3">
      <c r="A933" s="23" t="s">
        <v>48</v>
      </c>
      <c r="B933" s="30" t="s">
        <v>109</v>
      </c>
      <c r="C933" s="19">
        <v>46246</v>
      </c>
      <c r="D933" s="13" t="s">
        <v>26</v>
      </c>
      <c r="E933" s="23">
        <v>1616</v>
      </c>
      <c r="F933" s="12">
        <v>0.18582799999999999</v>
      </c>
      <c r="G933" s="14">
        <v>5.9869100000000001E-2</v>
      </c>
      <c r="H933" s="15">
        <f t="shared" si="38"/>
        <v>0.86146366666666652</v>
      </c>
      <c r="I933" s="16">
        <f t="shared" si="39"/>
        <v>0.20853869444444445</v>
      </c>
    </row>
    <row r="934" spans="1:9" x14ac:dyDescent="0.3">
      <c r="A934" s="23" t="s">
        <v>48</v>
      </c>
      <c r="B934" s="30" t="s">
        <v>109</v>
      </c>
      <c r="C934" s="19">
        <v>46246</v>
      </c>
      <c r="D934" s="13" t="s">
        <v>27</v>
      </c>
      <c r="E934" s="23">
        <v>1186</v>
      </c>
      <c r="F934" s="12">
        <v>0.55137800000000003</v>
      </c>
      <c r="G934" s="14">
        <v>0.12540499999999999</v>
      </c>
      <c r="H934" s="15">
        <f t="shared" ref="H934:H997" si="40">IFERROR(AVERAGEIFS($F:$F, $A:$A, $A934, $B:$B,$B934, $C:$C,$C934),"")</f>
        <v>0.86146366666666652</v>
      </c>
      <c r="I934" s="16">
        <f t="shared" si="39"/>
        <v>0.20853869444444445</v>
      </c>
    </row>
    <row r="935" spans="1:9" x14ac:dyDescent="0.3">
      <c r="A935" s="23" t="s">
        <v>48</v>
      </c>
      <c r="B935" s="30" t="s">
        <v>109</v>
      </c>
      <c r="C935" s="19">
        <v>46246</v>
      </c>
      <c r="D935" s="13" t="s">
        <v>28</v>
      </c>
      <c r="E935" s="23">
        <v>1114</v>
      </c>
      <c r="F935" s="12">
        <v>0.25556699999999999</v>
      </c>
      <c r="G935" s="14">
        <v>5.7430799999999997E-2</v>
      </c>
      <c r="H935" s="15">
        <f t="shared" si="40"/>
        <v>0.86146366666666652</v>
      </c>
      <c r="I935" s="16">
        <f t="shared" si="39"/>
        <v>0.20853869444444445</v>
      </c>
    </row>
    <row r="936" spans="1:9" x14ac:dyDescent="0.3">
      <c r="A936" s="23" t="s">
        <v>48</v>
      </c>
      <c r="B936" s="30" t="s">
        <v>109</v>
      </c>
      <c r="C936" s="19">
        <v>46246</v>
      </c>
      <c r="D936" s="13" t="s">
        <v>29</v>
      </c>
      <c r="E936" s="23">
        <v>1155</v>
      </c>
      <c r="F936" s="12">
        <v>0.59922799999999998</v>
      </c>
      <c r="G936" s="14">
        <v>0.124347</v>
      </c>
      <c r="H936" s="15">
        <f t="shared" si="40"/>
        <v>0.86146366666666652</v>
      </c>
      <c r="I936" s="16">
        <f t="shared" si="39"/>
        <v>0.20853869444444445</v>
      </c>
    </row>
    <row r="937" spans="1:9" x14ac:dyDescent="0.3">
      <c r="A937" s="23" t="s">
        <v>48</v>
      </c>
      <c r="B937" s="30" t="s">
        <v>109</v>
      </c>
      <c r="C937" s="19">
        <v>46246</v>
      </c>
      <c r="D937" s="13" t="s">
        <v>30</v>
      </c>
      <c r="E937" s="23">
        <v>1362</v>
      </c>
      <c r="F937" s="12">
        <v>0.78241700000000003</v>
      </c>
      <c r="G937" s="14">
        <v>0.15779799999999999</v>
      </c>
      <c r="H937" s="15">
        <f t="shared" si="40"/>
        <v>0.86146366666666652</v>
      </c>
      <c r="I937" s="16">
        <f t="shared" si="39"/>
        <v>0.20853869444444445</v>
      </c>
    </row>
    <row r="938" spans="1:9" x14ac:dyDescent="0.3">
      <c r="A938" s="23" t="s">
        <v>48</v>
      </c>
      <c r="B938" s="30" t="s">
        <v>124</v>
      </c>
      <c r="C938" s="19">
        <v>46246</v>
      </c>
      <c r="D938" s="13" t="s">
        <v>14</v>
      </c>
      <c r="E938" s="23">
        <v>1683</v>
      </c>
      <c r="F938" s="12">
        <v>0.28791800000000001</v>
      </c>
      <c r="G938" s="14">
        <v>8.0959900000000001E-2</v>
      </c>
      <c r="H938" s="15">
        <f t="shared" si="40"/>
        <v>0.3096255555555556</v>
      </c>
      <c r="I938" s="16">
        <f t="shared" si="39"/>
        <v>7.498857222222223E-2</v>
      </c>
    </row>
    <row r="939" spans="1:9" x14ac:dyDescent="0.3">
      <c r="A939" s="23" t="s">
        <v>48</v>
      </c>
      <c r="B939" s="30" t="s">
        <v>124</v>
      </c>
      <c r="C939" s="19">
        <v>46246</v>
      </c>
      <c r="D939" s="13" t="s">
        <v>15</v>
      </c>
      <c r="E939" s="23">
        <v>1542</v>
      </c>
      <c r="F939" s="12">
        <v>0.37459399999999998</v>
      </c>
      <c r="G939" s="14">
        <v>9.8652500000000004E-2</v>
      </c>
      <c r="H939" s="15">
        <f t="shared" si="40"/>
        <v>0.3096255555555556</v>
      </c>
      <c r="I939" s="16">
        <f t="shared" si="39"/>
        <v>7.498857222222223E-2</v>
      </c>
    </row>
    <row r="940" spans="1:9" x14ac:dyDescent="0.3">
      <c r="A940" s="23" t="s">
        <v>48</v>
      </c>
      <c r="B940" s="30" t="s">
        <v>124</v>
      </c>
      <c r="C940" s="19">
        <v>46246</v>
      </c>
      <c r="D940" s="13" t="s">
        <v>16</v>
      </c>
      <c r="E940" s="23">
        <v>1003</v>
      </c>
      <c r="F940" s="12">
        <v>0.38369700000000001</v>
      </c>
      <c r="G940" s="14">
        <v>9.0057999999999999E-2</v>
      </c>
      <c r="H940" s="15">
        <f t="shared" si="40"/>
        <v>0.3096255555555556</v>
      </c>
      <c r="I940" s="16">
        <f t="shared" si="39"/>
        <v>7.498857222222223E-2</v>
      </c>
    </row>
    <row r="941" spans="1:9" x14ac:dyDescent="0.3">
      <c r="A941" s="23" t="s">
        <v>48</v>
      </c>
      <c r="B941" s="30" t="s">
        <v>124</v>
      </c>
      <c r="C941" s="19">
        <v>46246</v>
      </c>
      <c r="D941" s="13" t="s">
        <v>17</v>
      </c>
      <c r="E941" s="23">
        <v>2037</v>
      </c>
      <c r="F941" s="12">
        <v>0.45769599999999999</v>
      </c>
      <c r="G941" s="14">
        <v>9.0551999999999994E-2</v>
      </c>
      <c r="H941" s="15">
        <f t="shared" si="40"/>
        <v>0.3096255555555556</v>
      </c>
      <c r="I941" s="16">
        <f t="shared" si="39"/>
        <v>7.498857222222223E-2</v>
      </c>
    </row>
    <row r="942" spans="1:9" x14ac:dyDescent="0.3">
      <c r="A942" s="23" t="s">
        <v>48</v>
      </c>
      <c r="B942" s="30" t="s">
        <v>124</v>
      </c>
      <c r="C942" s="19">
        <v>46246</v>
      </c>
      <c r="D942" s="13" t="s">
        <v>18</v>
      </c>
      <c r="E942" s="23">
        <v>1376</v>
      </c>
      <c r="F942" s="12">
        <v>0.24545800000000001</v>
      </c>
      <c r="G942" s="14">
        <v>5.8411200000000003E-2</v>
      </c>
      <c r="H942" s="15">
        <f t="shared" si="40"/>
        <v>0.3096255555555556</v>
      </c>
      <c r="I942" s="16">
        <f t="shared" si="39"/>
        <v>7.498857222222223E-2</v>
      </c>
    </row>
    <row r="943" spans="1:9" x14ac:dyDescent="0.3">
      <c r="A943" s="23" t="s">
        <v>48</v>
      </c>
      <c r="B943" s="30" t="s">
        <v>124</v>
      </c>
      <c r="C943" s="19">
        <v>46246</v>
      </c>
      <c r="D943" s="13" t="s">
        <v>19</v>
      </c>
      <c r="E943" s="23">
        <v>1716</v>
      </c>
      <c r="F943" s="12">
        <v>0.33059899999999998</v>
      </c>
      <c r="G943" s="14">
        <v>6.9513400000000003E-2</v>
      </c>
      <c r="H943" s="15">
        <f t="shared" si="40"/>
        <v>0.3096255555555556</v>
      </c>
      <c r="I943" s="16">
        <f t="shared" si="39"/>
        <v>7.498857222222223E-2</v>
      </c>
    </row>
    <row r="944" spans="1:9" x14ac:dyDescent="0.3">
      <c r="A944" s="23" t="s">
        <v>48</v>
      </c>
      <c r="B944" s="30" t="s">
        <v>124</v>
      </c>
      <c r="C944" s="19">
        <v>46246</v>
      </c>
      <c r="D944" s="13" t="s">
        <v>20</v>
      </c>
      <c r="E944" s="23">
        <v>1710</v>
      </c>
      <c r="F944" s="12">
        <v>0.40410600000000002</v>
      </c>
      <c r="G944" s="14">
        <v>8.4524000000000002E-2</v>
      </c>
      <c r="H944" s="15">
        <f t="shared" si="40"/>
        <v>0.3096255555555556</v>
      </c>
      <c r="I944" s="16">
        <f t="shared" si="39"/>
        <v>7.498857222222223E-2</v>
      </c>
    </row>
    <row r="945" spans="1:9" x14ac:dyDescent="0.3">
      <c r="A945" s="23" t="s">
        <v>48</v>
      </c>
      <c r="B945" s="30" t="s">
        <v>124</v>
      </c>
      <c r="C945" s="19">
        <v>46246</v>
      </c>
      <c r="D945" s="13" t="s">
        <v>40</v>
      </c>
      <c r="E945" s="23">
        <v>1163</v>
      </c>
      <c r="F945" s="12">
        <v>0.20267299999999999</v>
      </c>
      <c r="G945" s="14">
        <v>6.1436400000000002E-2</v>
      </c>
      <c r="H945" s="15">
        <f t="shared" si="40"/>
        <v>0.3096255555555556</v>
      </c>
      <c r="I945" s="16">
        <f t="shared" si="39"/>
        <v>7.498857222222223E-2</v>
      </c>
    </row>
    <row r="946" spans="1:9" x14ac:dyDescent="0.3">
      <c r="A946" s="23" t="s">
        <v>48</v>
      </c>
      <c r="B946" s="30" t="s">
        <v>124</v>
      </c>
      <c r="C946" s="19">
        <v>46246</v>
      </c>
      <c r="D946" s="13" t="s">
        <v>21</v>
      </c>
      <c r="E946" s="23">
        <v>2627</v>
      </c>
      <c r="F946" s="12">
        <v>0.35921599999999998</v>
      </c>
      <c r="G946" s="14">
        <v>6.98965E-2</v>
      </c>
      <c r="H946" s="15">
        <f t="shared" si="40"/>
        <v>0.3096255555555556</v>
      </c>
      <c r="I946" s="16">
        <f t="shared" si="39"/>
        <v>7.498857222222223E-2</v>
      </c>
    </row>
    <row r="947" spans="1:9" x14ac:dyDescent="0.3">
      <c r="A947" s="23" t="s">
        <v>48</v>
      </c>
      <c r="B947" s="30" t="s">
        <v>124</v>
      </c>
      <c r="C947" s="19">
        <v>46246</v>
      </c>
      <c r="D947" s="13" t="s">
        <v>22</v>
      </c>
      <c r="E947" s="23">
        <v>1493</v>
      </c>
      <c r="F947" s="12">
        <v>0.34558699999999998</v>
      </c>
      <c r="G947" s="14">
        <v>9.3879599999999994E-2</v>
      </c>
      <c r="H947" s="15">
        <f t="shared" si="40"/>
        <v>0.3096255555555556</v>
      </c>
      <c r="I947" s="16">
        <f t="shared" si="39"/>
        <v>7.498857222222223E-2</v>
      </c>
    </row>
    <row r="948" spans="1:9" x14ac:dyDescent="0.3">
      <c r="A948" s="23" t="s">
        <v>48</v>
      </c>
      <c r="B948" s="30" t="s">
        <v>124</v>
      </c>
      <c r="C948" s="19">
        <v>46246</v>
      </c>
      <c r="D948" s="13" t="s">
        <v>23</v>
      </c>
      <c r="E948" s="23">
        <v>1093</v>
      </c>
      <c r="F948" s="12">
        <v>0.328629</v>
      </c>
      <c r="G948" s="14">
        <v>0.10785699999999999</v>
      </c>
      <c r="H948" s="15">
        <f t="shared" si="40"/>
        <v>0.3096255555555556</v>
      </c>
      <c r="I948" s="16">
        <f t="shared" si="39"/>
        <v>7.498857222222223E-2</v>
      </c>
    </row>
    <row r="949" spans="1:9" x14ac:dyDescent="0.3">
      <c r="A949" s="23" t="s">
        <v>48</v>
      </c>
      <c r="B949" s="30" t="s">
        <v>124</v>
      </c>
      <c r="C949" s="19">
        <v>46246</v>
      </c>
      <c r="D949" s="13" t="s">
        <v>24</v>
      </c>
      <c r="E949" s="23">
        <v>1769</v>
      </c>
      <c r="F949" s="12">
        <v>0.23980599999999999</v>
      </c>
      <c r="G949" s="14">
        <v>7.3883699999999997E-2</v>
      </c>
      <c r="H949" s="15">
        <f t="shared" si="40"/>
        <v>0.3096255555555556</v>
      </c>
      <c r="I949" s="16">
        <f t="shared" si="39"/>
        <v>7.498857222222223E-2</v>
      </c>
    </row>
    <row r="950" spans="1:9" x14ac:dyDescent="0.3">
      <c r="A950" s="23" t="s">
        <v>48</v>
      </c>
      <c r="B950" s="30" t="s">
        <v>124</v>
      </c>
      <c r="C950" s="19">
        <v>46246</v>
      </c>
      <c r="D950" s="13" t="s">
        <v>25</v>
      </c>
      <c r="E950" s="23">
        <v>1062</v>
      </c>
      <c r="F950" s="12">
        <v>0.20179</v>
      </c>
      <c r="G950" s="14">
        <v>4.8508799999999998E-2</v>
      </c>
      <c r="H950" s="15">
        <f t="shared" si="40"/>
        <v>0.3096255555555556</v>
      </c>
      <c r="I950" s="16">
        <f t="shared" si="39"/>
        <v>7.498857222222223E-2</v>
      </c>
    </row>
    <row r="951" spans="1:9" x14ac:dyDescent="0.3">
      <c r="A951" s="23" t="s">
        <v>48</v>
      </c>
      <c r="B951" s="30" t="s">
        <v>124</v>
      </c>
      <c r="C951" s="19">
        <v>46246</v>
      </c>
      <c r="D951" s="13" t="s">
        <v>26</v>
      </c>
      <c r="E951" s="23">
        <v>1622</v>
      </c>
      <c r="F951" s="12">
        <v>0.193277</v>
      </c>
      <c r="G951" s="14">
        <v>6.21506E-2</v>
      </c>
      <c r="H951" s="15">
        <f t="shared" si="40"/>
        <v>0.3096255555555556</v>
      </c>
      <c r="I951" s="16">
        <f t="shared" si="39"/>
        <v>7.498857222222223E-2</v>
      </c>
    </row>
    <row r="952" spans="1:9" x14ac:dyDescent="0.3">
      <c r="A952" s="23" t="s">
        <v>48</v>
      </c>
      <c r="B952" s="30" t="s">
        <v>124</v>
      </c>
      <c r="C952" s="19">
        <v>46246</v>
      </c>
      <c r="D952" s="13" t="s">
        <v>27</v>
      </c>
      <c r="E952" s="23">
        <v>1489</v>
      </c>
      <c r="F952" s="12">
        <v>0.27049299999999998</v>
      </c>
      <c r="G952" s="14">
        <v>6.13748E-2</v>
      </c>
      <c r="H952" s="15">
        <f t="shared" si="40"/>
        <v>0.3096255555555556</v>
      </c>
      <c r="I952" s="16">
        <f t="shared" si="39"/>
        <v>7.498857222222223E-2</v>
      </c>
    </row>
    <row r="953" spans="1:9" x14ac:dyDescent="0.3">
      <c r="A953" s="23" t="s">
        <v>48</v>
      </c>
      <c r="B953" s="30" t="s">
        <v>124</v>
      </c>
      <c r="C953" s="19">
        <v>46246</v>
      </c>
      <c r="D953" s="13" t="s">
        <v>28</v>
      </c>
      <c r="E953" s="23">
        <v>1456</v>
      </c>
      <c r="F953" s="12">
        <v>0.23838899999999999</v>
      </c>
      <c r="G953" s="14">
        <v>5.3503700000000001E-2</v>
      </c>
      <c r="H953" s="15">
        <f t="shared" si="40"/>
        <v>0.3096255555555556</v>
      </c>
      <c r="I953" s="16">
        <f t="shared" si="39"/>
        <v>7.498857222222223E-2</v>
      </c>
    </row>
    <row r="954" spans="1:9" x14ac:dyDescent="0.3">
      <c r="A954" s="23" t="s">
        <v>48</v>
      </c>
      <c r="B954" s="30" t="s">
        <v>124</v>
      </c>
      <c r="C954" s="19">
        <v>46246</v>
      </c>
      <c r="D954" s="13" t="s">
        <v>29</v>
      </c>
      <c r="E954" s="23">
        <v>1192</v>
      </c>
      <c r="F954" s="12">
        <v>0.31917299999999998</v>
      </c>
      <c r="G954" s="14">
        <v>6.6100599999999995E-2</v>
      </c>
      <c r="H954" s="15">
        <f t="shared" si="40"/>
        <v>0.3096255555555556</v>
      </c>
      <c r="I954" s="16">
        <f t="shared" si="39"/>
        <v>7.498857222222223E-2</v>
      </c>
    </row>
    <row r="955" spans="1:9" x14ac:dyDescent="0.3">
      <c r="A955" s="23" t="s">
        <v>48</v>
      </c>
      <c r="B955" s="30" t="s">
        <v>124</v>
      </c>
      <c r="C955" s="19">
        <v>46246</v>
      </c>
      <c r="D955" s="13" t="s">
        <v>30</v>
      </c>
      <c r="E955" s="23">
        <v>1261</v>
      </c>
      <c r="F955" s="12">
        <v>0.39015899999999998</v>
      </c>
      <c r="G955" s="14">
        <v>7.8531599999999993E-2</v>
      </c>
      <c r="H955" s="15">
        <f t="shared" si="40"/>
        <v>0.3096255555555556</v>
      </c>
      <c r="I955" s="16">
        <f t="shared" si="39"/>
        <v>7.498857222222223E-2</v>
      </c>
    </row>
    <row r="956" spans="1:9" x14ac:dyDescent="0.3">
      <c r="A956" s="23" t="s">
        <v>48</v>
      </c>
      <c r="B956" s="30" t="s">
        <v>112</v>
      </c>
      <c r="C956" s="19">
        <v>46246</v>
      </c>
      <c r="D956" s="13" t="s">
        <v>14</v>
      </c>
      <c r="E956" s="23">
        <v>2560</v>
      </c>
      <c r="F956" s="12">
        <v>0.43761499999999998</v>
      </c>
      <c r="G956" s="14">
        <v>0.123062</v>
      </c>
      <c r="H956" s="15">
        <f t="shared" si="40"/>
        <v>0.34042788888888892</v>
      </c>
      <c r="I956" s="16">
        <f t="shared" si="39"/>
        <v>8.3619938888888898E-2</v>
      </c>
    </row>
    <row r="957" spans="1:9" x14ac:dyDescent="0.3">
      <c r="A957" s="23" t="s">
        <v>48</v>
      </c>
      <c r="B957" s="30" t="s">
        <v>112</v>
      </c>
      <c r="C957" s="19">
        <v>46246</v>
      </c>
      <c r="D957" s="13" t="s">
        <v>15</v>
      </c>
      <c r="E957" s="23">
        <v>2050</v>
      </c>
      <c r="F957" s="12">
        <v>0.50001200000000001</v>
      </c>
      <c r="G957" s="14">
        <v>0.131749</v>
      </c>
      <c r="H957" s="15">
        <f t="shared" si="40"/>
        <v>0.34042788888888892</v>
      </c>
      <c r="I957" s="16">
        <f t="shared" si="39"/>
        <v>8.3619938888888898E-2</v>
      </c>
    </row>
    <row r="958" spans="1:9" x14ac:dyDescent="0.3">
      <c r="A958" s="23" t="s">
        <v>48</v>
      </c>
      <c r="B958" s="30" t="s">
        <v>112</v>
      </c>
      <c r="C958" s="19">
        <v>46246</v>
      </c>
      <c r="D958" s="13" t="s">
        <v>16</v>
      </c>
      <c r="E958" s="23">
        <v>1004</v>
      </c>
      <c r="F958" s="12">
        <v>0.396677</v>
      </c>
      <c r="G958" s="14">
        <v>9.3064800000000003E-2</v>
      </c>
      <c r="H958" s="15">
        <f t="shared" si="40"/>
        <v>0.34042788888888892</v>
      </c>
      <c r="I958" s="16">
        <f t="shared" si="39"/>
        <v>8.3619938888888898E-2</v>
      </c>
    </row>
    <row r="959" spans="1:9" x14ac:dyDescent="0.3">
      <c r="A959" s="23" t="s">
        <v>48</v>
      </c>
      <c r="B959" s="30" t="s">
        <v>112</v>
      </c>
      <c r="C959" s="19">
        <v>46246</v>
      </c>
      <c r="D959" s="13" t="s">
        <v>17</v>
      </c>
      <c r="E959" s="23">
        <v>1927</v>
      </c>
      <c r="F959" s="12">
        <v>0.42604999999999998</v>
      </c>
      <c r="G959" s="14">
        <v>8.4276400000000001E-2</v>
      </c>
      <c r="H959" s="15">
        <f t="shared" si="40"/>
        <v>0.34042788888888892</v>
      </c>
      <c r="I959" s="16">
        <f t="shared" si="39"/>
        <v>8.3619938888888898E-2</v>
      </c>
    </row>
    <row r="960" spans="1:9" x14ac:dyDescent="0.3">
      <c r="A960" s="23" t="s">
        <v>48</v>
      </c>
      <c r="B960" s="30" t="s">
        <v>112</v>
      </c>
      <c r="C960" s="19">
        <v>46246</v>
      </c>
      <c r="D960" s="13" t="s">
        <v>18</v>
      </c>
      <c r="E960" s="23">
        <v>1648</v>
      </c>
      <c r="F960" s="12">
        <v>0.23693500000000001</v>
      </c>
      <c r="G960" s="14">
        <v>5.6362200000000001E-2</v>
      </c>
      <c r="H960" s="15">
        <f t="shared" si="40"/>
        <v>0.34042788888888892</v>
      </c>
      <c r="I960" s="16">
        <f t="shared" si="39"/>
        <v>8.3619938888888898E-2</v>
      </c>
    </row>
    <row r="961" spans="1:9" x14ac:dyDescent="0.3">
      <c r="A961" s="23" t="s">
        <v>48</v>
      </c>
      <c r="B961" s="30" t="s">
        <v>112</v>
      </c>
      <c r="C961" s="19">
        <v>46246</v>
      </c>
      <c r="D961" s="13" t="s">
        <v>19</v>
      </c>
      <c r="E961" s="23">
        <v>1785</v>
      </c>
      <c r="F961" s="12">
        <v>0.30307200000000001</v>
      </c>
      <c r="G961" s="14">
        <v>6.3706200000000004E-2</v>
      </c>
      <c r="H961" s="15">
        <f t="shared" si="40"/>
        <v>0.34042788888888892</v>
      </c>
      <c r="I961" s="16">
        <f t="shared" si="39"/>
        <v>8.3619938888888898E-2</v>
      </c>
    </row>
    <row r="962" spans="1:9" x14ac:dyDescent="0.3">
      <c r="A962" s="23" t="s">
        <v>48</v>
      </c>
      <c r="B962" s="30" t="s">
        <v>112</v>
      </c>
      <c r="C962" s="19">
        <v>46246</v>
      </c>
      <c r="D962" s="13" t="s">
        <v>20</v>
      </c>
      <c r="E962" s="23">
        <v>1632</v>
      </c>
      <c r="F962" s="12">
        <v>0.29898000000000002</v>
      </c>
      <c r="G962" s="14">
        <v>6.2529699999999994E-2</v>
      </c>
      <c r="H962" s="15">
        <f t="shared" si="40"/>
        <v>0.34042788888888892</v>
      </c>
      <c r="I962" s="16">
        <f t="shared" si="39"/>
        <v>8.3619938888888898E-2</v>
      </c>
    </row>
    <row r="963" spans="1:9" x14ac:dyDescent="0.3">
      <c r="A963" s="23" t="s">
        <v>48</v>
      </c>
      <c r="B963" s="30" t="s">
        <v>112</v>
      </c>
      <c r="C963" s="19">
        <v>46246</v>
      </c>
      <c r="D963" s="13" t="s">
        <v>40</v>
      </c>
      <c r="E963" s="23">
        <v>1124</v>
      </c>
      <c r="F963" s="12">
        <v>0.23336999999999999</v>
      </c>
      <c r="G963" s="14">
        <v>7.0697200000000002E-2</v>
      </c>
      <c r="H963" s="15">
        <f t="shared" si="40"/>
        <v>0.34042788888888892</v>
      </c>
      <c r="I963" s="16">
        <f t="shared" ref="I963:I1026" si="41">IFERROR(AVERAGEIFS($G:$G, $A:$A, $A963, $B:$B,$B963, $C:$C,$C963),"")</f>
        <v>8.3619938888888898E-2</v>
      </c>
    </row>
    <row r="964" spans="1:9" x14ac:dyDescent="0.3">
      <c r="A964" s="23" t="s">
        <v>48</v>
      </c>
      <c r="B964" s="30" t="s">
        <v>112</v>
      </c>
      <c r="C964" s="19">
        <v>46246</v>
      </c>
      <c r="D964" s="13" t="s">
        <v>21</v>
      </c>
      <c r="E964" s="23">
        <v>2293</v>
      </c>
      <c r="F964" s="12">
        <v>0.50419899999999995</v>
      </c>
      <c r="G964" s="14">
        <v>9.8090200000000002E-2</v>
      </c>
      <c r="H964" s="15">
        <f t="shared" si="40"/>
        <v>0.34042788888888892</v>
      </c>
      <c r="I964" s="16">
        <f t="shared" si="41"/>
        <v>8.3619938888888898E-2</v>
      </c>
    </row>
    <row r="965" spans="1:9" x14ac:dyDescent="0.3">
      <c r="A965" s="23" t="s">
        <v>48</v>
      </c>
      <c r="B965" s="30" t="s">
        <v>112</v>
      </c>
      <c r="C965" s="19">
        <v>46246</v>
      </c>
      <c r="D965" s="13" t="s">
        <v>22</v>
      </c>
      <c r="E965" s="23">
        <v>2004</v>
      </c>
      <c r="F965" s="12">
        <v>0.36100599999999999</v>
      </c>
      <c r="G965" s="14">
        <v>9.8004800000000003E-2</v>
      </c>
      <c r="H965" s="15">
        <f t="shared" si="40"/>
        <v>0.34042788888888892</v>
      </c>
      <c r="I965" s="16">
        <f t="shared" si="41"/>
        <v>8.3619938888888898E-2</v>
      </c>
    </row>
    <row r="966" spans="1:9" x14ac:dyDescent="0.3">
      <c r="A966" s="23" t="s">
        <v>48</v>
      </c>
      <c r="B966" s="30" t="s">
        <v>112</v>
      </c>
      <c r="C966" s="19">
        <v>46246</v>
      </c>
      <c r="D966" s="13" t="s">
        <v>23</v>
      </c>
      <c r="E966" s="23">
        <v>1517</v>
      </c>
      <c r="F966" s="12">
        <v>0.55817000000000005</v>
      </c>
      <c r="G966" s="14">
        <v>0.18329200000000001</v>
      </c>
      <c r="H966" s="15">
        <f t="shared" si="40"/>
        <v>0.34042788888888892</v>
      </c>
      <c r="I966" s="16">
        <f t="shared" si="41"/>
        <v>8.3619938888888898E-2</v>
      </c>
    </row>
    <row r="967" spans="1:9" x14ac:dyDescent="0.3">
      <c r="A967" s="23" t="s">
        <v>48</v>
      </c>
      <c r="B967" s="30" t="s">
        <v>112</v>
      </c>
      <c r="C967" s="19">
        <v>46246</v>
      </c>
      <c r="D967" s="13" t="s">
        <v>24</v>
      </c>
      <c r="E967" s="23">
        <v>1909</v>
      </c>
      <c r="F967" s="12">
        <v>0.181394</v>
      </c>
      <c r="G967" s="14">
        <v>5.5835000000000003E-2</v>
      </c>
      <c r="H967" s="15">
        <f t="shared" si="40"/>
        <v>0.34042788888888892</v>
      </c>
      <c r="I967" s="16">
        <f t="shared" si="41"/>
        <v>8.3619938888888898E-2</v>
      </c>
    </row>
    <row r="968" spans="1:9" x14ac:dyDescent="0.3">
      <c r="A968" s="23" t="s">
        <v>48</v>
      </c>
      <c r="B968" s="30" t="s">
        <v>112</v>
      </c>
      <c r="C968" s="19">
        <v>46246</v>
      </c>
      <c r="D968" s="13" t="s">
        <v>25</v>
      </c>
      <c r="E968" s="23">
        <v>1010</v>
      </c>
      <c r="F968" s="12">
        <v>0.23325399999999999</v>
      </c>
      <c r="G968" s="14">
        <v>5.60755E-2</v>
      </c>
      <c r="H968" s="15">
        <f t="shared" si="40"/>
        <v>0.34042788888888892</v>
      </c>
      <c r="I968" s="16">
        <f t="shared" si="41"/>
        <v>8.3619938888888898E-2</v>
      </c>
    </row>
    <row r="969" spans="1:9" x14ac:dyDescent="0.3">
      <c r="A969" s="23" t="s">
        <v>48</v>
      </c>
      <c r="B969" s="30" t="s">
        <v>112</v>
      </c>
      <c r="C969" s="19">
        <v>46246</v>
      </c>
      <c r="D969" s="13" t="s">
        <v>26</v>
      </c>
      <c r="E969" s="23">
        <v>1846</v>
      </c>
      <c r="F969" s="12">
        <v>0.15140600000000001</v>
      </c>
      <c r="G969" s="14">
        <v>4.8649299999999999E-2</v>
      </c>
      <c r="H969" s="15">
        <f t="shared" si="40"/>
        <v>0.34042788888888892</v>
      </c>
      <c r="I969" s="16">
        <f t="shared" si="41"/>
        <v>8.3619938888888898E-2</v>
      </c>
    </row>
    <row r="970" spans="1:9" x14ac:dyDescent="0.3">
      <c r="A970" s="23" t="s">
        <v>48</v>
      </c>
      <c r="B970" s="30" t="s">
        <v>112</v>
      </c>
      <c r="C970" s="19">
        <v>46246</v>
      </c>
      <c r="D970" s="13" t="s">
        <v>27</v>
      </c>
      <c r="E970" s="23">
        <v>1168</v>
      </c>
      <c r="F970" s="12">
        <v>0.32158199999999998</v>
      </c>
      <c r="G970" s="14">
        <v>7.2941400000000003E-2</v>
      </c>
      <c r="H970" s="15">
        <f t="shared" si="40"/>
        <v>0.34042788888888892</v>
      </c>
      <c r="I970" s="16">
        <f t="shared" si="41"/>
        <v>8.3619938888888898E-2</v>
      </c>
    </row>
    <row r="971" spans="1:9" x14ac:dyDescent="0.3">
      <c r="A971" s="23" t="s">
        <v>48</v>
      </c>
      <c r="B971" s="30" t="s">
        <v>112</v>
      </c>
      <c r="C971" s="19">
        <v>46246</v>
      </c>
      <c r="D971" s="13" t="s">
        <v>28</v>
      </c>
      <c r="E971" s="23">
        <v>1397</v>
      </c>
      <c r="F971" s="12">
        <v>0.30777500000000002</v>
      </c>
      <c r="G971" s="14">
        <v>6.9066799999999998E-2</v>
      </c>
      <c r="H971" s="15">
        <f t="shared" si="40"/>
        <v>0.34042788888888892</v>
      </c>
      <c r="I971" s="16">
        <f t="shared" si="41"/>
        <v>8.3619938888888898E-2</v>
      </c>
    </row>
    <row r="972" spans="1:9" x14ac:dyDescent="0.3">
      <c r="A972" s="23" t="s">
        <v>48</v>
      </c>
      <c r="B972" s="30" t="s">
        <v>112</v>
      </c>
      <c r="C972" s="19">
        <v>46246</v>
      </c>
      <c r="D972" s="13" t="s">
        <v>29</v>
      </c>
      <c r="E972" s="23">
        <v>1221</v>
      </c>
      <c r="F972" s="12">
        <v>0.29533199999999998</v>
      </c>
      <c r="G972" s="14">
        <v>6.1141300000000003E-2</v>
      </c>
      <c r="H972" s="15">
        <f t="shared" si="40"/>
        <v>0.34042788888888892</v>
      </c>
      <c r="I972" s="16">
        <f t="shared" si="41"/>
        <v>8.3619938888888898E-2</v>
      </c>
    </row>
    <row r="973" spans="1:9" x14ac:dyDescent="0.3">
      <c r="A973" s="23" t="s">
        <v>48</v>
      </c>
      <c r="B973" s="30" t="s">
        <v>112</v>
      </c>
      <c r="C973" s="19">
        <v>46246</v>
      </c>
      <c r="D973" s="13" t="s">
        <v>30</v>
      </c>
      <c r="E973" s="23">
        <v>1444</v>
      </c>
      <c r="F973" s="12">
        <v>0.38087300000000002</v>
      </c>
      <c r="G973" s="14">
        <v>7.6615100000000005E-2</v>
      </c>
      <c r="H973" s="15">
        <f t="shared" si="40"/>
        <v>0.34042788888888892</v>
      </c>
      <c r="I973" s="16">
        <f t="shared" si="41"/>
        <v>8.3619938888888898E-2</v>
      </c>
    </row>
    <row r="974" spans="1:9" x14ac:dyDescent="0.3">
      <c r="A974" s="23" t="s">
        <v>48</v>
      </c>
      <c r="B974" s="30" t="s">
        <v>113</v>
      </c>
      <c r="C974" s="19">
        <v>46246</v>
      </c>
      <c r="D974" s="13" t="s">
        <v>14</v>
      </c>
      <c r="E974" s="23">
        <v>2389</v>
      </c>
      <c r="F974" s="12">
        <v>0.36908299999999999</v>
      </c>
      <c r="G974" s="14">
        <v>0.103765</v>
      </c>
      <c r="H974" s="15">
        <f t="shared" si="40"/>
        <v>0.31728616666666665</v>
      </c>
      <c r="I974" s="16">
        <f t="shared" si="41"/>
        <v>7.6625477777777784E-2</v>
      </c>
    </row>
    <row r="975" spans="1:9" x14ac:dyDescent="0.3">
      <c r="A975" s="23" t="s">
        <v>48</v>
      </c>
      <c r="B975" s="30" t="s">
        <v>113</v>
      </c>
      <c r="C975" s="19">
        <v>46246</v>
      </c>
      <c r="D975" s="13" t="s">
        <v>15</v>
      </c>
      <c r="E975" s="23">
        <v>1852</v>
      </c>
      <c r="F975" s="12">
        <v>0.38283699999999998</v>
      </c>
      <c r="G975" s="14">
        <v>0.100854</v>
      </c>
      <c r="H975" s="15">
        <f t="shared" si="40"/>
        <v>0.31728616666666665</v>
      </c>
      <c r="I975" s="16">
        <f t="shared" si="41"/>
        <v>7.6625477777777784E-2</v>
      </c>
    </row>
    <row r="976" spans="1:9" x14ac:dyDescent="0.3">
      <c r="A976" s="23" t="s">
        <v>48</v>
      </c>
      <c r="B976" s="30" t="s">
        <v>113</v>
      </c>
      <c r="C976" s="19">
        <v>46246</v>
      </c>
      <c r="D976" s="13" t="s">
        <v>16</v>
      </c>
      <c r="E976" s="23">
        <v>1102</v>
      </c>
      <c r="F976" s="12">
        <v>0.37531599999999998</v>
      </c>
      <c r="G976" s="14">
        <v>8.8076299999999996E-2</v>
      </c>
      <c r="H976" s="15">
        <f t="shared" si="40"/>
        <v>0.31728616666666665</v>
      </c>
      <c r="I976" s="16">
        <f t="shared" si="41"/>
        <v>7.6625477777777784E-2</v>
      </c>
    </row>
    <row r="977" spans="1:9" x14ac:dyDescent="0.3">
      <c r="A977" s="23" t="s">
        <v>48</v>
      </c>
      <c r="B977" s="30" t="s">
        <v>113</v>
      </c>
      <c r="C977" s="19">
        <v>46246</v>
      </c>
      <c r="D977" s="13" t="s">
        <v>17</v>
      </c>
      <c r="E977" s="23">
        <v>1773</v>
      </c>
      <c r="F977" s="12">
        <v>0.41708800000000001</v>
      </c>
      <c r="G977" s="14">
        <v>8.2510200000000006E-2</v>
      </c>
      <c r="H977" s="15">
        <f t="shared" si="40"/>
        <v>0.31728616666666665</v>
      </c>
      <c r="I977" s="16">
        <f t="shared" si="41"/>
        <v>7.6625477777777784E-2</v>
      </c>
    </row>
    <row r="978" spans="1:9" x14ac:dyDescent="0.3">
      <c r="A978" s="23" t="s">
        <v>48</v>
      </c>
      <c r="B978" s="30" t="s">
        <v>113</v>
      </c>
      <c r="C978" s="19">
        <v>46246</v>
      </c>
      <c r="D978" s="13" t="s">
        <v>18</v>
      </c>
      <c r="E978" s="23">
        <v>1550</v>
      </c>
      <c r="F978" s="12">
        <v>0.255467</v>
      </c>
      <c r="G978" s="14">
        <v>6.0779399999999997E-2</v>
      </c>
      <c r="H978" s="15">
        <f t="shared" si="40"/>
        <v>0.31728616666666665</v>
      </c>
      <c r="I978" s="16">
        <f t="shared" si="41"/>
        <v>7.6625477777777784E-2</v>
      </c>
    </row>
    <row r="979" spans="1:9" x14ac:dyDescent="0.3">
      <c r="A979" s="23" t="s">
        <v>48</v>
      </c>
      <c r="B979" s="30" t="s">
        <v>113</v>
      </c>
      <c r="C979" s="19">
        <v>46246</v>
      </c>
      <c r="D979" s="13" t="s">
        <v>19</v>
      </c>
      <c r="E979" s="23">
        <v>1648</v>
      </c>
      <c r="F979" s="12">
        <v>0.34635100000000002</v>
      </c>
      <c r="G979" s="14">
        <v>7.2812100000000005E-2</v>
      </c>
      <c r="H979" s="15">
        <f t="shared" si="40"/>
        <v>0.31728616666666665</v>
      </c>
      <c r="I979" s="16">
        <f t="shared" si="41"/>
        <v>7.6625477777777784E-2</v>
      </c>
    </row>
    <row r="980" spans="1:9" x14ac:dyDescent="0.3">
      <c r="A980" s="23" t="s">
        <v>48</v>
      </c>
      <c r="B980" s="30" t="s">
        <v>113</v>
      </c>
      <c r="C980" s="19">
        <v>46246</v>
      </c>
      <c r="D980" s="13" t="s">
        <v>20</v>
      </c>
      <c r="E980" s="23">
        <v>1831</v>
      </c>
      <c r="F980" s="12">
        <v>0.32270199999999999</v>
      </c>
      <c r="G980" s="14">
        <v>6.7503099999999996E-2</v>
      </c>
      <c r="H980" s="15">
        <f t="shared" si="40"/>
        <v>0.31728616666666665</v>
      </c>
      <c r="I980" s="16">
        <f t="shared" si="41"/>
        <v>7.6625477777777784E-2</v>
      </c>
    </row>
    <row r="981" spans="1:9" x14ac:dyDescent="0.3">
      <c r="A981" s="23" t="s">
        <v>48</v>
      </c>
      <c r="B981" s="30" t="s">
        <v>113</v>
      </c>
      <c r="C981" s="19">
        <v>46246</v>
      </c>
      <c r="D981" s="13" t="s">
        <v>40</v>
      </c>
      <c r="E981" s="23">
        <v>1130</v>
      </c>
      <c r="F981" s="12">
        <v>0.19698099999999999</v>
      </c>
      <c r="G981" s="14">
        <v>5.9698500000000002E-2</v>
      </c>
      <c r="H981" s="15">
        <f t="shared" si="40"/>
        <v>0.31728616666666665</v>
      </c>
      <c r="I981" s="16">
        <f t="shared" si="41"/>
        <v>7.6625477777777784E-2</v>
      </c>
    </row>
    <row r="982" spans="1:9" x14ac:dyDescent="0.3">
      <c r="A982" s="23" t="s">
        <v>48</v>
      </c>
      <c r="B982" s="30" t="s">
        <v>113</v>
      </c>
      <c r="C982" s="19">
        <v>46246</v>
      </c>
      <c r="D982" s="13" t="s">
        <v>21</v>
      </c>
      <c r="E982" s="23">
        <v>2471</v>
      </c>
      <c r="F982" s="12">
        <v>0.47091100000000002</v>
      </c>
      <c r="G982" s="14">
        <v>9.1606199999999999E-2</v>
      </c>
      <c r="H982" s="15">
        <f t="shared" si="40"/>
        <v>0.31728616666666665</v>
      </c>
      <c r="I982" s="16">
        <f t="shared" si="41"/>
        <v>7.6625477777777784E-2</v>
      </c>
    </row>
    <row r="983" spans="1:9" x14ac:dyDescent="0.3">
      <c r="A983" s="23" t="s">
        <v>48</v>
      </c>
      <c r="B983" s="30" t="s">
        <v>113</v>
      </c>
      <c r="C983" s="19">
        <v>46246</v>
      </c>
      <c r="D983" s="13" t="s">
        <v>22</v>
      </c>
      <c r="E983" s="23">
        <v>1690</v>
      </c>
      <c r="F983" s="12">
        <v>0.34836</v>
      </c>
      <c r="G983" s="14">
        <v>9.4600500000000004E-2</v>
      </c>
      <c r="H983" s="15">
        <f t="shared" si="40"/>
        <v>0.31728616666666665</v>
      </c>
      <c r="I983" s="16">
        <f t="shared" si="41"/>
        <v>7.6625477777777784E-2</v>
      </c>
    </row>
    <row r="984" spans="1:9" x14ac:dyDescent="0.3">
      <c r="A984" s="23" t="s">
        <v>48</v>
      </c>
      <c r="B984" s="30" t="s">
        <v>113</v>
      </c>
      <c r="C984" s="19">
        <v>46246</v>
      </c>
      <c r="D984" s="13" t="s">
        <v>23</v>
      </c>
      <c r="E984" s="23">
        <v>1393</v>
      </c>
      <c r="F984" s="12">
        <v>0.37065799999999999</v>
      </c>
      <c r="G984" s="14">
        <v>0.121674</v>
      </c>
      <c r="H984" s="15">
        <f t="shared" si="40"/>
        <v>0.31728616666666665</v>
      </c>
      <c r="I984" s="16">
        <f t="shared" si="41"/>
        <v>7.6625477777777784E-2</v>
      </c>
    </row>
    <row r="985" spans="1:9" x14ac:dyDescent="0.3">
      <c r="A985" s="23" t="s">
        <v>48</v>
      </c>
      <c r="B985" s="30" t="s">
        <v>113</v>
      </c>
      <c r="C985" s="19">
        <v>46246</v>
      </c>
      <c r="D985" s="13" t="s">
        <v>24</v>
      </c>
      <c r="E985" s="23">
        <v>2068</v>
      </c>
      <c r="F985" s="12">
        <v>0.14955399999999999</v>
      </c>
      <c r="G985" s="14">
        <v>4.6043800000000003E-2</v>
      </c>
      <c r="H985" s="15">
        <f t="shared" si="40"/>
        <v>0.31728616666666665</v>
      </c>
      <c r="I985" s="16">
        <f t="shared" si="41"/>
        <v>7.6625477777777784E-2</v>
      </c>
    </row>
    <row r="986" spans="1:9" x14ac:dyDescent="0.3">
      <c r="A986" s="23" t="s">
        <v>48</v>
      </c>
      <c r="B986" s="30" t="s">
        <v>113</v>
      </c>
      <c r="C986" s="19">
        <v>46246</v>
      </c>
      <c r="D986" s="13" t="s">
        <v>25</v>
      </c>
      <c r="E986" s="23">
        <v>1002</v>
      </c>
      <c r="F986" s="12">
        <v>0.27395599999999998</v>
      </c>
      <c r="G986" s="14">
        <v>6.5919000000000005E-2</v>
      </c>
      <c r="H986" s="15">
        <f t="shared" si="40"/>
        <v>0.31728616666666665</v>
      </c>
      <c r="I986" s="16">
        <f t="shared" si="41"/>
        <v>7.6625477777777784E-2</v>
      </c>
    </row>
    <row r="987" spans="1:9" x14ac:dyDescent="0.3">
      <c r="A987" s="23" t="s">
        <v>48</v>
      </c>
      <c r="B987" s="30" t="s">
        <v>113</v>
      </c>
      <c r="C987" s="19">
        <v>46246</v>
      </c>
      <c r="D987" s="13" t="s">
        <v>26</v>
      </c>
      <c r="E987" s="23">
        <v>1657</v>
      </c>
      <c r="F987" s="12">
        <v>0.16448399999999999</v>
      </c>
      <c r="G987" s="14">
        <v>5.2883899999999998E-2</v>
      </c>
      <c r="H987" s="15">
        <f t="shared" si="40"/>
        <v>0.31728616666666665</v>
      </c>
      <c r="I987" s="16">
        <f t="shared" si="41"/>
        <v>7.6625477777777784E-2</v>
      </c>
    </row>
    <row r="988" spans="1:9" x14ac:dyDescent="0.3">
      <c r="A988" s="23" t="s">
        <v>48</v>
      </c>
      <c r="B988" s="30" t="s">
        <v>113</v>
      </c>
      <c r="C988" s="19">
        <v>46246</v>
      </c>
      <c r="D988" s="13" t="s">
        <v>27</v>
      </c>
      <c r="E988" s="23">
        <v>1201</v>
      </c>
      <c r="F988" s="12">
        <v>0.31583499999999998</v>
      </c>
      <c r="G988" s="14">
        <v>7.1655099999999999E-2</v>
      </c>
      <c r="H988" s="15">
        <f t="shared" si="40"/>
        <v>0.31728616666666665</v>
      </c>
      <c r="I988" s="16">
        <f t="shared" si="41"/>
        <v>7.6625477777777784E-2</v>
      </c>
    </row>
    <row r="989" spans="1:9" x14ac:dyDescent="0.3">
      <c r="A989" s="23" t="s">
        <v>48</v>
      </c>
      <c r="B989" s="30" t="s">
        <v>113</v>
      </c>
      <c r="C989" s="19">
        <v>46246</v>
      </c>
      <c r="D989" s="13" t="s">
        <v>28</v>
      </c>
      <c r="E989" s="23">
        <v>1028</v>
      </c>
      <c r="F989" s="12">
        <v>0.25137799999999999</v>
      </c>
      <c r="G989" s="14">
        <v>5.6391299999999998E-2</v>
      </c>
      <c r="H989" s="15">
        <f t="shared" si="40"/>
        <v>0.31728616666666665</v>
      </c>
      <c r="I989" s="16">
        <f t="shared" si="41"/>
        <v>7.6625477777777784E-2</v>
      </c>
    </row>
    <row r="990" spans="1:9" x14ac:dyDescent="0.3">
      <c r="A990" s="23" t="s">
        <v>48</v>
      </c>
      <c r="B990" s="30" t="s">
        <v>113</v>
      </c>
      <c r="C990" s="19">
        <v>46246</v>
      </c>
      <c r="D990" s="13" t="s">
        <v>29</v>
      </c>
      <c r="E990" s="23">
        <v>1381</v>
      </c>
      <c r="F990" s="12">
        <v>0.27266600000000002</v>
      </c>
      <c r="G990" s="14">
        <v>5.6464399999999998E-2</v>
      </c>
      <c r="H990" s="15">
        <f t="shared" si="40"/>
        <v>0.31728616666666665</v>
      </c>
      <c r="I990" s="16">
        <f t="shared" si="41"/>
        <v>7.6625477777777784E-2</v>
      </c>
    </row>
    <row r="991" spans="1:9" x14ac:dyDescent="0.3">
      <c r="A991" s="23" t="s">
        <v>48</v>
      </c>
      <c r="B991" s="30" t="s">
        <v>113</v>
      </c>
      <c r="C991" s="19">
        <v>46246</v>
      </c>
      <c r="D991" s="13" t="s">
        <v>30</v>
      </c>
      <c r="E991" s="23">
        <v>1182</v>
      </c>
      <c r="F991" s="12">
        <v>0.42752400000000002</v>
      </c>
      <c r="G991" s="14">
        <v>8.6021799999999995E-2</v>
      </c>
      <c r="H991" s="15">
        <f t="shared" si="40"/>
        <v>0.31728616666666665</v>
      </c>
      <c r="I991" s="16">
        <f t="shared" si="41"/>
        <v>7.6625477777777784E-2</v>
      </c>
    </row>
    <row r="992" spans="1:9" x14ac:dyDescent="0.3">
      <c r="A992" s="23" t="s">
        <v>48</v>
      </c>
      <c r="B992" s="30" t="s">
        <v>114</v>
      </c>
      <c r="C992" s="19">
        <v>46246</v>
      </c>
      <c r="D992" s="13" t="s">
        <v>14</v>
      </c>
      <c r="E992" s="23">
        <v>2191</v>
      </c>
      <c r="F992" s="12">
        <v>0.37225799999999998</v>
      </c>
      <c r="G992" s="14">
        <v>0.10466399999999999</v>
      </c>
      <c r="H992" s="15">
        <f t="shared" si="40"/>
        <v>0.32077516666666672</v>
      </c>
      <c r="I992" s="16">
        <f t="shared" si="41"/>
        <v>7.789879999999999E-2</v>
      </c>
    </row>
    <row r="993" spans="1:9" x14ac:dyDescent="0.3">
      <c r="A993" s="23" t="s">
        <v>48</v>
      </c>
      <c r="B993" s="30" t="s">
        <v>114</v>
      </c>
      <c r="C993" s="19">
        <v>46246</v>
      </c>
      <c r="D993" s="13" t="s">
        <v>15</v>
      </c>
      <c r="E993" s="23">
        <v>1695</v>
      </c>
      <c r="F993" s="12">
        <v>0.403167</v>
      </c>
      <c r="G993" s="14">
        <v>0.106201</v>
      </c>
      <c r="H993" s="15">
        <f t="shared" si="40"/>
        <v>0.32077516666666672</v>
      </c>
      <c r="I993" s="16">
        <f t="shared" si="41"/>
        <v>7.789879999999999E-2</v>
      </c>
    </row>
    <row r="994" spans="1:9" x14ac:dyDescent="0.3">
      <c r="A994" s="23" t="s">
        <v>48</v>
      </c>
      <c r="B994" s="30" t="s">
        <v>114</v>
      </c>
      <c r="C994" s="19">
        <v>46246</v>
      </c>
      <c r="D994" s="13" t="s">
        <v>16</v>
      </c>
      <c r="E994" s="23">
        <v>1029</v>
      </c>
      <c r="F994" s="12">
        <v>0.37919599999999998</v>
      </c>
      <c r="G994" s="14">
        <v>8.8974700000000004E-2</v>
      </c>
      <c r="H994" s="15">
        <f t="shared" si="40"/>
        <v>0.32077516666666672</v>
      </c>
      <c r="I994" s="16">
        <f t="shared" si="41"/>
        <v>7.789879999999999E-2</v>
      </c>
    </row>
    <row r="995" spans="1:9" x14ac:dyDescent="0.3">
      <c r="A995" s="23" t="s">
        <v>48</v>
      </c>
      <c r="B995" s="30" t="s">
        <v>114</v>
      </c>
      <c r="C995" s="19">
        <v>46246</v>
      </c>
      <c r="D995" s="13" t="s">
        <v>17</v>
      </c>
      <c r="E995" s="23">
        <v>1965</v>
      </c>
      <c r="F995" s="12">
        <v>0.388349</v>
      </c>
      <c r="G995" s="14">
        <v>7.6811900000000002E-2</v>
      </c>
      <c r="H995" s="15">
        <f t="shared" si="40"/>
        <v>0.32077516666666672</v>
      </c>
      <c r="I995" s="16">
        <f t="shared" si="41"/>
        <v>7.789879999999999E-2</v>
      </c>
    </row>
    <row r="996" spans="1:9" x14ac:dyDescent="0.3">
      <c r="A996" s="23" t="s">
        <v>48</v>
      </c>
      <c r="B996" s="30" t="s">
        <v>114</v>
      </c>
      <c r="C996" s="19">
        <v>46246</v>
      </c>
      <c r="D996" s="13" t="s">
        <v>18</v>
      </c>
      <c r="E996" s="23">
        <v>1636</v>
      </c>
      <c r="F996" s="12">
        <v>0.21632599999999999</v>
      </c>
      <c r="G996" s="14">
        <v>5.1457299999999997E-2</v>
      </c>
      <c r="H996" s="15">
        <f t="shared" si="40"/>
        <v>0.32077516666666672</v>
      </c>
      <c r="I996" s="16">
        <f t="shared" si="41"/>
        <v>7.789879999999999E-2</v>
      </c>
    </row>
    <row r="997" spans="1:9" x14ac:dyDescent="0.3">
      <c r="A997" s="23" t="s">
        <v>48</v>
      </c>
      <c r="B997" s="30" t="s">
        <v>114</v>
      </c>
      <c r="C997" s="19">
        <v>46246</v>
      </c>
      <c r="D997" s="13" t="s">
        <v>19</v>
      </c>
      <c r="E997" s="23">
        <v>1715</v>
      </c>
      <c r="F997" s="12">
        <v>0.31617299999999998</v>
      </c>
      <c r="G997" s="14">
        <v>6.6485299999999997E-2</v>
      </c>
      <c r="H997" s="15">
        <f t="shared" si="40"/>
        <v>0.32077516666666672</v>
      </c>
      <c r="I997" s="16">
        <f t="shared" si="41"/>
        <v>7.789879999999999E-2</v>
      </c>
    </row>
    <row r="998" spans="1:9" x14ac:dyDescent="0.3">
      <c r="A998" s="23" t="s">
        <v>48</v>
      </c>
      <c r="B998" s="30" t="s">
        <v>114</v>
      </c>
      <c r="C998" s="19">
        <v>46246</v>
      </c>
      <c r="D998" s="13" t="s">
        <v>20</v>
      </c>
      <c r="E998" s="23">
        <v>1687</v>
      </c>
      <c r="F998" s="12">
        <v>0.35856399999999999</v>
      </c>
      <c r="G998" s="14">
        <v>7.49697E-2</v>
      </c>
      <c r="H998" s="15">
        <f t="shared" ref="H998:H1061" si="42">IFERROR(AVERAGEIFS($F:$F, $A:$A, $A998, $B:$B,$B998, $C:$C,$C998),"")</f>
        <v>0.32077516666666672</v>
      </c>
      <c r="I998" s="16">
        <f t="shared" si="41"/>
        <v>7.789879999999999E-2</v>
      </c>
    </row>
    <row r="999" spans="1:9" x14ac:dyDescent="0.3">
      <c r="A999" s="23" t="s">
        <v>48</v>
      </c>
      <c r="B999" s="30" t="s">
        <v>114</v>
      </c>
      <c r="C999" s="19">
        <v>46246</v>
      </c>
      <c r="D999" s="13" t="s">
        <v>40</v>
      </c>
      <c r="E999" s="23">
        <v>1007</v>
      </c>
      <c r="F999" s="12">
        <v>0.21589</v>
      </c>
      <c r="G999" s="14">
        <v>6.5395499999999995E-2</v>
      </c>
      <c r="H999" s="15">
        <f t="shared" si="42"/>
        <v>0.32077516666666672</v>
      </c>
      <c r="I999" s="16">
        <f t="shared" si="41"/>
        <v>7.789879999999999E-2</v>
      </c>
    </row>
    <row r="1000" spans="1:9" x14ac:dyDescent="0.3">
      <c r="A1000" s="23" t="s">
        <v>48</v>
      </c>
      <c r="B1000" s="30" t="s">
        <v>114</v>
      </c>
      <c r="C1000" s="19">
        <v>46246</v>
      </c>
      <c r="D1000" s="13" t="s">
        <v>21</v>
      </c>
      <c r="E1000" s="23">
        <v>2559</v>
      </c>
      <c r="F1000" s="12">
        <v>0.43557200000000001</v>
      </c>
      <c r="G1000" s="14">
        <v>8.4743100000000002E-2</v>
      </c>
      <c r="H1000" s="15">
        <f t="shared" si="42"/>
        <v>0.32077516666666672</v>
      </c>
      <c r="I1000" s="16">
        <f t="shared" si="41"/>
        <v>7.789879999999999E-2</v>
      </c>
    </row>
    <row r="1001" spans="1:9" x14ac:dyDescent="0.3">
      <c r="A1001" s="23" t="s">
        <v>48</v>
      </c>
      <c r="B1001" s="30" t="s">
        <v>114</v>
      </c>
      <c r="C1001" s="19">
        <v>46246</v>
      </c>
      <c r="D1001" s="13" t="s">
        <v>22</v>
      </c>
      <c r="E1001" s="23">
        <v>1960</v>
      </c>
      <c r="F1001" s="12">
        <v>0.37569200000000003</v>
      </c>
      <c r="G1001" s="14">
        <v>0.102023</v>
      </c>
      <c r="H1001" s="15">
        <f t="shared" si="42"/>
        <v>0.32077516666666672</v>
      </c>
      <c r="I1001" s="16">
        <f t="shared" si="41"/>
        <v>7.789879999999999E-2</v>
      </c>
    </row>
    <row r="1002" spans="1:9" x14ac:dyDescent="0.3">
      <c r="A1002" s="23" t="s">
        <v>48</v>
      </c>
      <c r="B1002" s="30" t="s">
        <v>114</v>
      </c>
      <c r="C1002" s="19">
        <v>46246</v>
      </c>
      <c r="D1002" s="13" t="s">
        <v>23</v>
      </c>
      <c r="E1002" s="23">
        <v>1278</v>
      </c>
      <c r="F1002" s="12">
        <v>0.43094399999999999</v>
      </c>
      <c r="G1002" s="14">
        <v>0.14143</v>
      </c>
      <c r="H1002" s="15">
        <f t="shared" si="42"/>
        <v>0.32077516666666672</v>
      </c>
      <c r="I1002" s="16">
        <f t="shared" si="41"/>
        <v>7.789879999999999E-2</v>
      </c>
    </row>
    <row r="1003" spans="1:9" x14ac:dyDescent="0.3">
      <c r="A1003" s="23" t="s">
        <v>48</v>
      </c>
      <c r="B1003" s="30" t="s">
        <v>114</v>
      </c>
      <c r="C1003" s="19">
        <v>46246</v>
      </c>
      <c r="D1003" s="13" t="s">
        <v>24</v>
      </c>
      <c r="E1003" s="23">
        <v>2164</v>
      </c>
      <c r="F1003" s="12">
        <v>0.141343</v>
      </c>
      <c r="G1003" s="14">
        <v>4.3519099999999998E-2</v>
      </c>
      <c r="H1003" s="15">
        <f t="shared" si="42"/>
        <v>0.32077516666666672</v>
      </c>
      <c r="I1003" s="16">
        <f t="shared" si="41"/>
        <v>7.789879999999999E-2</v>
      </c>
    </row>
    <row r="1004" spans="1:9" x14ac:dyDescent="0.3">
      <c r="A1004" s="23" t="s">
        <v>48</v>
      </c>
      <c r="B1004" s="30" t="s">
        <v>114</v>
      </c>
      <c r="C1004" s="19">
        <v>46246</v>
      </c>
      <c r="D1004" s="13" t="s">
        <v>25</v>
      </c>
      <c r="E1004" s="23">
        <v>1036</v>
      </c>
      <c r="F1004" s="12">
        <v>0.31674000000000002</v>
      </c>
      <c r="G1004" s="14">
        <v>7.6238600000000004E-2</v>
      </c>
      <c r="H1004" s="15">
        <f t="shared" si="42"/>
        <v>0.32077516666666672</v>
      </c>
      <c r="I1004" s="16">
        <f t="shared" si="41"/>
        <v>7.789879999999999E-2</v>
      </c>
    </row>
    <row r="1005" spans="1:9" x14ac:dyDescent="0.3">
      <c r="A1005" s="23" t="s">
        <v>48</v>
      </c>
      <c r="B1005" s="30" t="s">
        <v>114</v>
      </c>
      <c r="C1005" s="19">
        <v>46246</v>
      </c>
      <c r="D1005" s="13" t="s">
        <v>26</v>
      </c>
      <c r="E1005" s="23">
        <v>1663</v>
      </c>
      <c r="F1005" s="12">
        <v>0.134521</v>
      </c>
      <c r="G1005" s="14">
        <v>4.3235999999999997E-2</v>
      </c>
      <c r="H1005" s="15">
        <f t="shared" si="42"/>
        <v>0.32077516666666672</v>
      </c>
      <c r="I1005" s="16">
        <f t="shared" si="41"/>
        <v>7.789879999999999E-2</v>
      </c>
    </row>
    <row r="1006" spans="1:9" x14ac:dyDescent="0.3">
      <c r="A1006" s="23" t="s">
        <v>48</v>
      </c>
      <c r="B1006" s="30" t="s">
        <v>114</v>
      </c>
      <c r="C1006" s="19">
        <v>46246</v>
      </c>
      <c r="D1006" s="13" t="s">
        <v>27</v>
      </c>
      <c r="E1006" s="23">
        <v>1160</v>
      </c>
      <c r="F1006" s="12">
        <v>0.31430399999999997</v>
      </c>
      <c r="G1006" s="14">
        <v>7.1301799999999999E-2</v>
      </c>
      <c r="H1006" s="15">
        <f t="shared" si="42"/>
        <v>0.32077516666666672</v>
      </c>
      <c r="I1006" s="16">
        <f t="shared" si="41"/>
        <v>7.789879999999999E-2</v>
      </c>
    </row>
    <row r="1007" spans="1:9" x14ac:dyDescent="0.3">
      <c r="A1007" s="23" t="s">
        <v>48</v>
      </c>
      <c r="B1007" s="30" t="s">
        <v>114</v>
      </c>
      <c r="C1007" s="19">
        <v>46246</v>
      </c>
      <c r="D1007" s="13" t="s">
        <v>28</v>
      </c>
      <c r="E1007" s="23">
        <v>1113</v>
      </c>
      <c r="F1007" s="12">
        <v>0.29616500000000001</v>
      </c>
      <c r="G1007" s="14">
        <v>6.6450200000000001E-2</v>
      </c>
      <c r="H1007" s="15">
        <f t="shared" si="42"/>
        <v>0.32077516666666672</v>
      </c>
      <c r="I1007" s="16">
        <f t="shared" si="41"/>
        <v>7.789879999999999E-2</v>
      </c>
    </row>
    <row r="1008" spans="1:9" x14ac:dyDescent="0.3">
      <c r="A1008" s="23" t="s">
        <v>48</v>
      </c>
      <c r="B1008" s="30" t="s">
        <v>114</v>
      </c>
      <c r="C1008" s="19">
        <v>46246</v>
      </c>
      <c r="D1008" s="13" t="s">
        <v>29</v>
      </c>
      <c r="E1008" s="23">
        <v>1210</v>
      </c>
      <c r="F1008" s="12">
        <v>0.29637000000000002</v>
      </c>
      <c r="G1008" s="14">
        <v>6.1366299999999999E-2</v>
      </c>
      <c r="H1008" s="15">
        <f t="shared" si="42"/>
        <v>0.32077516666666672</v>
      </c>
      <c r="I1008" s="16">
        <f t="shared" si="41"/>
        <v>7.789879999999999E-2</v>
      </c>
    </row>
    <row r="1009" spans="1:9" x14ac:dyDescent="0.3">
      <c r="A1009" s="23" t="s">
        <v>48</v>
      </c>
      <c r="B1009" s="30" t="s">
        <v>114</v>
      </c>
      <c r="C1009" s="19">
        <v>46246</v>
      </c>
      <c r="D1009" s="13" t="s">
        <v>30</v>
      </c>
      <c r="E1009" s="23">
        <v>1321</v>
      </c>
      <c r="F1009" s="12">
        <v>0.38237900000000002</v>
      </c>
      <c r="G1009" s="14">
        <v>7.6910900000000004E-2</v>
      </c>
      <c r="H1009" s="15">
        <f t="shared" si="42"/>
        <v>0.32077516666666672</v>
      </c>
      <c r="I1009" s="16">
        <f t="shared" si="41"/>
        <v>7.789879999999999E-2</v>
      </c>
    </row>
    <row r="1010" spans="1:9" x14ac:dyDescent="0.3">
      <c r="A1010" s="23" t="s">
        <v>48</v>
      </c>
      <c r="B1010" s="30" t="s">
        <v>125</v>
      </c>
      <c r="C1010" s="19">
        <v>46246</v>
      </c>
      <c r="D1010" s="13" t="s">
        <v>14</v>
      </c>
      <c r="E1010" s="23">
        <v>2527</v>
      </c>
      <c r="F1010" s="12">
        <v>0.39891100000000002</v>
      </c>
      <c r="G1010" s="14">
        <v>0.121493</v>
      </c>
      <c r="H1010" s="15">
        <f t="shared" si="42"/>
        <v>0.33022572222222224</v>
      </c>
      <c r="I1010" s="16">
        <f t="shared" si="41"/>
        <v>8.0754166666666669E-2</v>
      </c>
    </row>
    <row r="1011" spans="1:9" x14ac:dyDescent="0.3">
      <c r="A1011" s="23" t="s">
        <v>48</v>
      </c>
      <c r="B1011" s="30" t="s">
        <v>125</v>
      </c>
      <c r="C1011" s="19">
        <v>46246</v>
      </c>
      <c r="D1011" s="13" t="s">
        <v>15</v>
      </c>
      <c r="E1011" s="23">
        <v>2167</v>
      </c>
      <c r="F1011" s="12">
        <v>0.46268300000000001</v>
      </c>
      <c r="G1011" s="14">
        <v>0.12789</v>
      </c>
      <c r="H1011" s="15">
        <f t="shared" si="42"/>
        <v>0.33022572222222224</v>
      </c>
      <c r="I1011" s="16">
        <f t="shared" si="41"/>
        <v>8.0754166666666669E-2</v>
      </c>
    </row>
    <row r="1012" spans="1:9" x14ac:dyDescent="0.3">
      <c r="A1012" s="23" t="s">
        <v>48</v>
      </c>
      <c r="B1012" s="30" t="s">
        <v>125</v>
      </c>
      <c r="C1012" s="19">
        <v>46246</v>
      </c>
      <c r="D1012" s="13" t="s">
        <v>16</v>
      </c>
      <c r="E1012" s="23">
        <v>1004</v>
      </c>
      <c r="F1012" s="12">
        <v>0.421323</v>
      </c>
      <c r="G1012" s="14">
        <v>0.100045</v>
      </c>
      <c r="H1012" s="15">
        <f t="shared" si="42"/>
        <v>0.33022572222222224</v>
      </c>
      <c r="I1012" s="16">
        <f t="shared" si="41"/>
        <v>8.0754166666666669E-2</v>
      </c>
    </row>
    <row r="1013" spans="1:9" x14ac:dyDescent="0.3">
      <c r="A1013" s="23" t="s">
        <v>48</v>
      </c>
      <c r="B1013" s="30" t="s">
        <v>125</v>
      </c>
      <c r="C1013" s="19">
        <v>46246</v>
      </c>
      <c r="D1013" s="13" t="s">
        <v>17</v>
      </c>
      <c r="E1013" s="23">
        <v>2108</v>
      </c>
      <c r="F1013" s="12">
        <v>0.45769599999999999</v>
      </c>
      <c r="G1013" s="14">
        <v>9.0551999999999994E-2</v>
      </c>
      <c r="H1013" s="15">
        <f t="shared" si="42"/>
        <v>0.33022572222222224</v>
      </c>
      <c r="I1013" s="16">
        <f t="shared" si="41"/>
        <v>8.0754166666666669E-2</v>
      </c>
    </row>
    <row r="1014" spans="1:9" x14ac:dyDescent="0.3">
      <c r="A1014" s="23" t="s">
        <v>48</v>
      </c>
      <c r="B1014" s="30" t="s">
        <v>125</v>
      </c>
      <c r="C1014" s="19">
        <v>46246</v>
      </c>
      <c r="D1014" s="13" t="s">
        <v>18</v>
      </c>
      <c r="E1014" s="23">
        <v>1583</v>
      </c>
      <c r="F1014" s="12">
        <v>0.203433</v>
      </c>
      <c r="G1014" s="14">
        <v>4.7329799999999998E-2</v>
      </c>
      <c r="H1014" s="15">
        <f t="shared" si="42"/>
        <v>0.33022572222222224</v>
      </c>
      <c r="I1014" s="16">
        <f t="shared" si="41"/>
        <v>8.0754166666666669E-2</v>
      </c>
    </row>
    <row r="1015" spans="1:9" x14ac:dyDescent="0.3">
      <c r="A1015" s="23" t="s">
        <v>48</v>
      </c>
      <c r="B1015" s="30" t="s">
        <v>125</v>
      </c>
      <c r="C1015" s="19">
        <v>46246</v>
      </c>
      <c r="D1015" s="13" t="s">
        <v>19</v>
      </c>
      <c r="E1015" s="23">
        <v>1931</v>
      </c>
      <c r="F1015" s="12">
        <v>0.33059899999999998</v>
      </c>
      <c r="G1015" s="14">
        <v>6.9513400000000003E-2</v>
      </c>
      <c r="H1015" s="15">
        <f t="shared" si="42"/>
        <v>0.33022572222222224</v>
      </c>
      <c r="I1015" s="16">
        <f t="shared" si="41"/>
        <v>8.0754166666666669E-2</v>
      </c>
    </row>
    <row r="1016" spans="1:9" x14ac:dyDescent="0.3">
      <c r="A1016" s="23" t="s">
        <v>48</v>
      </c>
      <c r="B1016" s="30" t="s">
        <v>125</v>
      </c>
      <c r="C1016" s="19">
        <v>46246</v>
      </c>
      <c r="D1016" s="13" t="s">
        <v>20</v>
      </c>
      <c r="E1016" s="23">
        <v>1887</v>
      </c>
      <c r="F1016" s="12">
        <v>0.396534</v>
      </c>
      <c r="G1016" s="14">
        <v>7.8763899999999998E-2</v>
      </c>
      <c r="H1016" s="15">
        <f t="shared" si="42"/>
        <v>0.33022572222222224</v>
      </c>
      <c r="I1016" s="16">
        <f t="shared" si="41"/>
        <v>8.0754166666666669E-2</v>
      </c>
    </row>
    <row r="1017" spans="1:9" x14ac:dyDescent="0.3">
      <c r="A1017" s="23" t="s">
        <v>48</v>
      </c>
      <c r="B1017" s="30" t="s">
        <v>125</v>
      </c>
      <c r="C1017" s="19">
        <v>46246</v>
      </c>
      <c r="D1017" s="13" t="s">
        <v>40</v>
      </c>
      <c r="E1017" s="23">
        <v>1073</v>
      </c>
      <c r="F1017" s="12">
        <v>0.190972</v>
      </c>
      <c r="G1017" s="14">
        <v>5.27853E-2</v>
      </c>
      <c r="H1017" s="15">
        <f t="shared" si="42"/>
        <v>0.33022572222222224</v>
      </c>
      <c r="I1017" s="16">
        <f t="shared" si="41"/>
        <v>8.0754166666666669E-2</v>
      </c>
    </row>
    <row r="1018" spans="1:9" x14ac:dyDescent="0.3">
      <c r="A1018" s="23" t="s">
        <v>48</v>
      </c>
      <c r="B1018" s="30" t="s">
        <v>125</v>
      </c>
      <c r="C1018" s="19">
        <v>46246</v>
      </c>
      <c r="D1018" s="13" t="s">
        <v>21</v>
      </c>
      <c r="E1018" s="23">
        <v>2758</v>
      </c>
      <c r="F1018" s="12">
        <v>0.49648700000000001</v>
      </c>
      <c r="G1018" s="14">
        <v>0.100312</v>
      </c>
      <c r="H1018" s="15">
        <f t="shared" si="42"/>
        <v>0.33022572222222224</v>
      </c>
      <c r="I1018" s="16">
        <f t="shared" si="41"/>
        <v>8.0754166666666669E-2</v>
      </c>
    </row>
    <row r="1019" spans="1:9" x14ac:dyDescent="0.3">
      <c r="A1019" s="23" t="s">
        <v>48</v>
      </c>
      <c r="B1019" s="30" t="s">
        <v>125</v>
      </c>
      <c r="C1019" s="19">
        <v>46246</v>
      </c>
      <c r="D1019" s="13" t="s">
        <v>22</v>
      </c>
      <c r="E1019" s="23">
        <v>2226</v>
      </c>
      <c r="F1019" s="12">
        <v>0.27875</v>
      </c>
      <c r="G1019" s="14">
        <v>7.0153599999999997E-2</v>
      </c>
      <c r="H1019" s="15">
        <f t="shared" si="42"/>
        <v>0.33022572222222224</v>
      </c>
      <c r="I1019" s="16">
        <f t="shared" si="41"/>
        <v>8.0754166666666669E-2</v>
      </c>
    </row>
    <row r="1020" spans="1:9" x14ac:dyDescent="0.3">
      <c r="A1020" s="23" t="s">
        <v>48</v>
      </c>
      <c r="B1020" s="30" t="s">
        <v>125</v>
      </c>
      <c r="C1020" s="19">
        <v>46246</v>
      </c>
      <c r="D1020" s="13" t="s">
        <v>23</v>
      </c>
      <c r="E1020" s="23">
        <v>1402</v>
      </c>
      <c r="F1020" s="12">
        <v>0.351775</v>
      </c>
      <c r="G1020" s="14">
        <v>0.12987599999999999</v>
      </c>
      <c r="H1020" s="15">
        <f t="shared" si="42"/>
        <v>0.33022572222222224</v>
      </c>
      <c r="I1020" s="16">
        <f t="shared" si="41"/>
        <v>8.0754166666666669E-2</v>
      </c>
    </row>
    <row r="1021" spans="1:9" x14ac:dyDescent="0.3">
      <c r="A1021" s="23" t="s">
        <v>48</v>
      </c>
      <c r="B1021" s="30" t="s">
        <v>125</v>
      </c>
      <c r="C1021" s="19">
        <v>46246</v>
      </c>
      <c r="D1021" s="13" t="s">
        <v>24</v>
      </c>
      <c r="E1021" s="23">
        <v>2182</v>
      </c>
      <c r="F1021" s="12">
        <v>0.13330800000000001</v>
      </c>
      <c r="G1021" s="14">
        <v>4.5813899999999998E-2</v>
      </c>
      <c r="H1021" s="15">
        <f t="shared" si="42"/>
        <v>0.33022572222222224</v>
      </c>
      <c r="I1021" s="16">
        <f t="shared" si="41"/>
        <v>8.0754166666666669E-2</v>
      </c>
    </row>
    <row r="1022" spans="1:9" x14ac:dyDescent="0.3">
      <c r="A1022" s="23" t="s">
        <v>48</v>
      </c>
      <c r="B1022" s="30" t="s">
        <v>125</v>
      </c>
      <c r="C1022" s="19">
        <v>46246</v>
      </c>
      <c r="D1022" s="13" t="s">
        <v>25</v>
      </c>
      <c r="E1022" s="23">
        <v>1092</v>
      </c>
      <c r="F1022" s="12">
        <v>0.26752399999999998</v>
      </c>
      <c r="G1022" s="14">
        <v>6.8503900000000006E-2</v>
      </c>
      <c r="H1022" s="15">
        <f t="shared" si="42"/>
        <v>0.33022572222222224</v>
      </c>
      <c r="I1022" s="16">
        <f t="shared" si="41"/>
        <v>8.0754166666666669E-2</v>
      </c>
    </row>
    <row r="1023" spans="1:9" x14ac:dyDescent="0.3">
      <c r="A1023" s="23" t="s">
        <v>48</v>
      </c>
      <c r="B1023" s="30" t="s">
        <v>125</v>
      </c>
      <c r="C1023" s="19">
        <v>46246</v>
      </c>
      <c r="D1023" s="13" t="s">
        <v>26</v>
      </c>
      <c r="E1023" s="23">
        <v>2017</v>
      </c>
      <c r="F1023" s="12">
        <v>0.25748700000000002</v>
      </c>
      <c r="G1023" s="14">
        <v>7.4466000000000004E-2</v>
      </c>
      <c r="H1023" s="15">
        <f t="shared" si="42"/>
        <v>0.33022572222222224</v>
      </c>
      <c r="I1023" s="16">
        <f t="shared" si="41"/>
        <v>8.0754166666666669E-2</v>
      </c>
    </row>
    <row r="1024" spans="1:9" x14ac:dyDescent="0.3">
      <c r="A1024" s="23" t="s">
        <v>48</v>
      </c>
      <c r="B1024" s="30" t="s">
        <v>125</v>
      </c>
      <c r="C1024" s="19">
        <v>46246</v>
      </c>
      <c r="D1024" s="13" t="s">
        <v>27</v>
      </c>
      <c r="E1024" s="23">
        <v>1479</v>
      </c>
      <c r="F1024" s="12">
        <v>0.28928199999999998</v>
      </c>
      <c r="G1024" s="14">
        <v>6.6886100000000004E-2</v>
      </c>
      <c r="H1024" s="15">
        <f t="shared" si="42"/>
        <v>0.33022572222222224</v>
      </c>
      <c r="I1024" s="16">
        <f t="shared" si="41"/>
        <v>8.0754166666666669E-2</v>
      </c>
    </row>
    <row r="1025" spans="1:9" x14ac:dyDescent="0.3">
      <c r="A1025" s="23" t="s">
        <v>48</v>
      </c>
      <c r="B1025" s="30" t="s">
        <v>125</v>
      </c>
      <c r="C1025" s="19">
        <v>46246</v>
      </c>
      <c r="D1025" s="13" t="s">
        <v>28</v>
      </c>
      <c r="E1025" s="23">
        <v>1072</v>
      </c>
      <c r="F1025" s="12">
        <v>0.27339799999999997</v>
      </c>
      <c r="G1025" s="14">
        <v>6.0473499999999999E-2</v>
      </c>
      <c r="H1025" s="15">
        <f t="shared" si="42"/>
        <v>0.33022572222222224</v>
      </c>
      <c r="I1025" s="16">
        <f t="shared" si="41"/>
        <v>8.0754166666666669E-2</v>
      </c>
    </row>
    <row r="1026" spans="1:9" x14ac:dyDescent="0.3">
      <c r="A1026" s="23" t="s">
        <v>48</v>
      </c>
      <c r="B1026" s="30" t="s">
        <v>125</v>
      </c>
      <c r="C1026" s="19">
        <v>46246</v>
      </c>
      <c r="D1026" s="13" t="s">
        <v>29</v>
      </c>
      <c r="E1026" s="23">
        <v>1425</v>
      </c>
      <c r="F1026" s="12">
        <v>0.30196200000000001</v>
      </c>
      <c r="G1026" s="14">
        <v>6.4735600000000004E-2</v>
      </c>
      <c r="H1026" s="15">
        <f t="shared" si="42"/>
        <v>0.33022572222222224</v>
      </c>
      <c r="I1026" s="16">
        <f t="shared" si="41"/>
        <v>8.0754166666666669E-2</v>
      </c>
    </row>
    <row r="1027" spans="1:9" x14ac:dyDescent="0.3">
      <c r="A1027" s="23" t="s">
        <v>48</v>
      </c>
      <c r="B1027" s="30" t="s">
        <v>125</v>
      </c>
      <c r="C1027" s="19">
        <v>46246</v>
      </c>
      <c r="D1027" s="13" t="s">
        <v>30</v>
      </c>
      <c r="E1027" s="23">
        <v>1442</v>
      </c>
      <c r="F1027" s="12">
        <v>0.43193900000000002</v>
      </c>
      <c r="G1027" s="14">
        <v>8.3982000000000001E-2</v>
      </c>
      <c r="H1027" s="15">
        <f t="shared" si="42"/>
        <v>0.33022572222222224</v>
      </c>
      <c r="I1027" s="16">
        <f t="shared" ref="I1027:I1090" si="43">IFERROR(AVERAGEIFS($G:$G, $A:$A, $A1027, $B:$B,$B1027, $C:$C,$C1027),"")</f>
        <v>8.0754166666666669E-2</v>
      </c>
    </row>
    <row r="1028" spans="1:9" x14ac:dyDescent="0.3">
      <c r="A1028" s="23" t="s">
        <v>41</v>
      </c>
      <c r="B1028" s="30" t="str">
        <f t="shared" ref="B1028:B1045" si="44">IF($A1028="Daily", "n/a", "")</f>
        <v>n/a</v>
      </c>
      <c r="C1028" s="19">
        <v>46247</v>
      </c>
      <c r="D1028" s="13" t="s">
        <v>14</v>
      </c>
      <c r="E1028" s="23">
        <v>2333</v>
      </c>
      <c r="F1028" s="12">
        <v>0.40513300000000002</v>
      </c>
      <c r="G1028" s="14">
        <v>0.113922</v>
      </c>
      <c r="H1028" s="15">
        <f t="shared" si="42"/>
        <v>0.3348787222222222</v>
      </c>
      <c r="I1028" s="16">
        <f t="shared" si="43"/>
        <v>8.0860061111111103E-2</v>
      </c>
    </row>
    <row r="1029" spans="1:9" x14ac:dyDescent="0.3">
      <c r="A1029" s="23" t="s">
        <v>41</v>
      </c>
      <c r="B1029" s="30" t="str">
        <f t="shared" si="44"/>
        <v>n/a</v>
      </c>
      <c r="C1029" s="19">
        <v>46247</v>
      </c>
      <c r="D1029" s="13" t="s">
        <v>15</v>
      </c>
      <c r="E1029" s="23">
        <v>1823</v>
      </c>
      <c r="F1029" s="12">
        <v>0.45545999999999998</v>
      </c>
      <c r="G1029" s="14">
        <v>0.120023</v>
      </c>
      <c r="H1029" s="15">
        <f t="shared" si="42"/>
        <v>0.3348787222222222</v>
      </c>
      <c r="I1029" s="16">
        <f t="shared" si="43"/>
        <v>8.0860061111111103E-2</v>
      </c>
    </row>
    <row r="1030" spans="1:9" x14ac:dyDescent="0.3">
      <c r="A1030" s="23" t="s">
        <v>41</v>
      </c>
      <c r="B1030" s="30" t="str">
        <f t="shared" si="44"/>
        <v>n/a</v>
      </c>
      <c r="C1030" s="19">
        <v>46247</v>
      </c>
      <c r="D1030" s="13" t="s">
        <v>16</v>
      </c>
      <c r="E1030" s="23">
        <v>1149</v>
      </c>
      <c r="F1030" s="12">
        <v>0.37745299999999998</v>
      </c>
      <c r="G1030" s="14">
        <v>8.8552900000000004E-2</v>
      </c>
      <c r="H1030" s="15">
        <f t="shared" si="42"/>
        <v>0.3348787222222222</v>
      </c>
      <c r="I1030" s="16">
        <f t="shared" si="43"/>
        <v>8.0860061111111103E-2</v>
      </c>
    </row>
    <row r="1031" spans="1:9" x14ac:dyDescent="0.3">
      <c r="A1031" s="23" t="s">
        <v>41</v>
      </c>
      <c r="B1031" s="30" t="str">
        <f t="shared" si="44"/>
        <v>n/a</v>
      </c>
      <c r="C1031" s="19">
        <v>46247</v>
      </c>
      <c r="D1031" s="13" t="s">
        <v>17</v>
      </c>
      <c r="E1031" s="23">
        <v>1864</v>
      </c>
      <c r="F1031" s="12">
        <v>0.450706</v>
      </c>
      <c r="G1031" s="14">
        <v>8.9120500000000005E-2</v>
      </c>
      <c r="H1031" s="15">
        <f t="shared" si="42"/>
        <v>0.3348787222222222</v>
      </c>
      <c r="I1031" s="16">
        <f t="shared" si="43"/>
        <v>8.0860061111111103E-2</v>
      </c>
    </row>
    <row r="1032" spans="1:9" x14ac:dyDescent="0.3">
      <c r="A1032" s="23" t="s">
        <v>41</v>
      </c>
      <c r="B1032" s="30" t="str">
        <f t="shared" si="44"/>
        <v>n/a</v>
      </c>
      <c r="C1032" s="19">
        <v>46247</v>
      </c>
      <c r="D1032" s="13" t="s">
        <v>18</v>
      </c>
      <c r="E1032" s="23">
        <v>1421</v>
      </c>
      <c r="F1032" s="12">
        <v>0.21718199999999999</v>
      </c>
      <c r="G1032" s="14">
        <v>5.1662399999999997E-2</v>
      </c>
      <c r="H1032" s="15">
        <f t="shared" si="42"/>
        <v>0.3348787222222222</v>
      </c>
      <c r="I1032" s="16">
        <f t="shared" si="43"/>
        <v>8.0860061111111103E-2</v>
      </c>
    </row>
    <row r="1033" spans="1:9" x14ac:dyDescent="0.3">
      <c r="A1033" s="23" t="s">
        <v>41</v>
      </c>
      <c r="B1033" s="30" t="str">
        <f t="shared" si="44"/>
        <v>n/a</v>
      </c>
      <c r="C1033" s="19">
        <v>46247</v>
      </c>
      <c r="D1033" s="13" t="s">
        <v>19</v>
      </c>
      <c r="E1033" s="23">
        <v>1542</v>
      </c>
      <c r="F1033" s="12">
        <v>0.35380299999999998</v>
      </c>
      <c r="G1033" s="14">
        <v>7.4387800000000004E-2</v>
      </c>
      <c r="H1033" s="15">
        <f t="shared" si="42"/>
        <v>0.3348787222222222</v>
      </c>
      <c r="I1033" s="16">
        <f t="shared" si="43"/>
        <v>8.0860061111111103E-2</v>
      </c>
    </row>
    <row r="1034" spans="1:9" x14ac:dyDescent="0.3">
      <c r="A1034" s="23" t="s">
        <v>41</v>
      </c>
      <c r="B1034" s="30" t="str">
        <f t="shared" si="44"/>
        <v>n/a</v>
      </c>
      <c r="C1034" s="19">
        <v>46247</v>
      </c>
      <c r="D1034" s="13" t="s">
        <v>20</v>
      </c>
      <c r="E1034" s="23">
        <v>1458</v>
      </c>
      <c r="F1034" s="12">
        <v>0.35374899999999998</v>
      </c>
      <c r="G1034" s="14">
        <v>7.3980000000000004E-2</v>
      </c>
      <c r="H1034" s="15">
        <f t="shared" si="42"/>
        <v>0.3348787222222222</v>
      </c>
      <c r="I1034" s="16">
        <f t="shared" si="43"/>
        <v>8.0860061111111103E-2</v>
      </c>
    </row>
    <row r="1035" spans="1:9" x14ac:dyDescent="0.3">
      <c r="A1035" s="23" t="s">
        <v>41</v>
      </c>
      <c r="B1035" s="30" t="str">
        <f t="shared" si="44"/>
        <v>n/a</v>
      </c>
      <c r="C1035" s="19">
        <v>46247</v>
      </c>
      <c r="D1035" s="13" t="s">
        <v>40</v>
      </c>
      <c r="E1035" s="23">
        <v>1092</v>
      </c>
      <c r="F1035" s="12">
        <v>0.18215500000000001</v>
      </c>
      <c r="G1035" s="14">
        <v>5.5200300000000001E-2</v>
      </c>
      <c r="H1035" s="15">
        <f t="shared" si="42"/>
        <v>0.3348787222222222</v>
      </c>
      <c r="I1035" s="16">
        <f t="shared" si="43"/>
        <v>8.0860061111111103E-2</v>
      </c>
    </row>
    <row r="1036" spans="1:9" x14ac:dyDescent="0.3">
      <c r="A1036" s="23" t="s">
        <v>41</v>
      </c>
      <c r="B1036" s="30" t="str">
        <f t="shared" si="44"/>
        <v>n/a</v>
      </c>
      <c r="C1036" s="19">
        <v>46247</v>
      </c>
      <c r="D1036" s="13" t="s">
        <v>21</v>
      </c>
      <c r="E1036" s="23">
        <v>2428</v>
      </c>
      <c r="F1036" s="12">
        <v>0.53639599999999998</v>
      </c>
      <c r="G1036" s="14">
        <v>0.10433099999999999</v>
      </c>
      <c r="H1036" s="15">
        <f t="shared" si="42"/>
        <v>0.3348787222222222</v>
      </c>
      <c r="I1036" s="16">
        <f t="shared" si="43"/>
        <v>8.0860061111111103E-2</v>
      </c>
    </row>
    <row r="1037" spans="1:9" x14ac:dyDescent="0.3">
      <c r="A1037" s="23" t="s">
        <v>41</v>
      </c>
      <c r="B1037" s="30" t="str">
        <f t="shared" si="44"/>
        <v>n/a</v>
      </c>
      <c r="C1037" s="19">
        <v>46247</v>
      </c>
      <c r="D1037" s="13" t="s">
        <v>22</v>
      </c>
      <c r="E1037" s="23">
        <v>1369</v>
      </c>
      <c r="F1037" s="12">
        <v>0.38875100000000001</v>
      </c>
      <c r="G1037" s="14">
        <v>0.105559</v>
      </c>
      <c r="H1037" s="15">
        <f t="shared" si="42"/>
        <v>0.3348787222222222</v>
      </c>
      <c r="I1037" s="16">
        <f t="shared" si="43"/>
        <v>8.0860061111111103E-2</v>
      </c>
    </row>
    <row r="1038" spans="1:9" x14ac:dyDescent="0.3">
      <c r="A1038" s="23" t="s">
        <v>41</v>
      </c>
      <c r="B1038" s="30" t="str">
        <f t="shared" si="44"/>
        <v>n/a</v>
      </c>
      <c r="C1038" s="19">
        <v>46247</v>
      </c>
      <c r="D1038" s="13" t="s">
        <v>23</v>
      </c>
      <c r="E1038" s="23">
        <v>1535</v>
      </c>
      <c r="F1038" s="12">
        <v>0.38173400000000002</v>
      </c>
      <c r="G1038" s="14">
        <v>0.12531</v>
      </c>
      <c r="H1038" s="15">
        <f t="shared" si="42"/>
        <v>0.3348787222222222</v>
      </c>
      <c r="I1038" s="16">
        <f t="shared" si="43"/>
        <v>8.0860061111111103E-2</v>
      </c>
    </row>
    <row r="1039" spans="1:9" x14ac:dyDescent="0.3">
      <c r="A1039" s="23" t="s">
        <v>41</v>
      </c>
      <c r="B1039" s="30" t="str">
        <f t="shared" si="44"/>
        <v>n/a</v>
      </c>
      <c r="C1039" s="19">
        <v>46247</v>
      </c>
      <c r="D1039" s="13" t="s">
        <v>24</v>
      </c>
      <c r="E1039" s="23">
        <v>2256</v>
      </c>
      <c r="F1039" s="12">
        <v>0.18396000000000001</v>
      </c>
      <c r="G1039" s="14">
        <v>5.6661400000000001E-2</v>
      </c>
      <c r="H1039" s="15">
        <f t="shared" si="42"/>
        <v>0.3348787222222222</v>
      </c>
      <c r="I1039" s="16">
        <f t="shared" si="43"/>
        <v>8.0860061111111103E-2</v>
      </c>
    </row>
    <row r="1040" spans="1:9" x14ac:dyDescent="0.3">
      <c r="A1040" s="23" t="s">
        <v>41</v>
      </c>
      <c r="B1040" s="30" t="str">
        <f t="shared" si="44"/>
        <v>n/a</v>
      </c>
      <c r="C1040" s="19">
        <v>46247</v>
      </c>
      <c r="D1040" s="13" t="s">
        <v>25</v>
      </c>
      <c r="E1040" s="23">
        <v>1052</v>
      </c>
      <c r="F1040" s="12">
        <v>0.36312100000000003</v>
      </c>
      <c r="G1040" s="14">
        <v>8.7344000000000005E-2</v>
      </c>
      <c r="H1040" s="15">
        <f t="shared" si="42"/>
        <v>0.3348787222222222</v>
      </c>
      <c r="I1040" s="16">
        <f t="shared" si="43"/>
        <v>8.0860061111111103E-2</v>
      </c>
    </row>
    <row r="1041" spans="1:9" x14ac:dyDescent="0.3">
      <c r="A1041" s="23" t="s">
        <v>41</v>
      </c>
      <c r="B1041" s="30" t="str">
        <f t="shared" si="44"/>
        <v>n/a</v>
      </c>
      <c r="C1041" s="19">
        <v>46247</v>
      </c>
      <c r="D1041" s="13" t="s">
        <v>26</v>
      </c>
      <c r="E1041" s="23">
        <v>1292</v>
      </c>
      <c r="F1041" s="12">
        <v>0.13841200000000001</v>
      </c>
      <c r="G1041" s="14">
        <v>4.45136E-2</v>
      </c>
      <c r="H1041" s="15">
        <f t="shared" si="42"/>
        <v>0.3348787222222222</v>
      </c>
      <c r="I1041" s="16">
        <f t="shared" si="43"/>
        <v>8.0860061111111103E-2</v>
      </c>
    </row>
    <row r="1042" spans="1:9" x14ac:dyDescent="0.3">
      <c r="A1042" s="23" t="s">
        <v>41</v>
      </c>
      <c r="B1042" s="30" t="str">
        <f t="shared" si="44"/>
        <v>n/a</v>
      </c>
      <c r="C1042" s="19">
        <v>46247</v>
      </c>
      <c r="D1042" s="13" t="s">
        <v>27</v>
      </c>
      <c r="E1042" s="23">
        <v>1004</v>
      </c>
      <c r="F1042" s="12">
        <v>0.30528899999999998</v>
      </c>
      <c r="G1042" s="14">
        <v>6.9248599999999993E-2</v>
      </c>
      <c r="H1042" s="15">
        <f t="shared" si="42"/>
        <v>0.3348787222222222</v>
      </c>
      <c r="I1042" s="16">
        <f t="shared" si="43"/>
        <v>8.0860061111111103E-2</v>
      </c>
    </row>
    <row r="1043" spans="1:9" x14ac:dyDescent="0.3">
      <c r="A1043" s="23" t="s">
        <v>41</v>
      </c>
      <c r="B1043" s="30" t="str">
        <f t="shared" si="44"/>
        <v>n/a</v>
      </c>
      <c r="C1043" s="19">
        <v>46247</v>
      </c>
      <c r="D1043" s="13" t="s">
        <v>28</v>
      </c>
      <c r="E1043" s="23">
        <v>1172</v>
      </c>
      <c r="F1043" s="12">
        <v>0.25225700000000001</v>
      </c>
      <c r="G1043" s="14">
        <v>5.6595100000000002E-2</v>
      </c>
      <c r="H1043" s="15">
        <f t="shared" si="42"/>
        <v>0.3348787222222222</v>
      </c>
      <c r="I1043" s="16">
        <f t="shared" si="43"/>
        <v>8.0860061111111103E-2</v>
      </c>
    </row>
    <row r="1044" spans="1:9" x14ac:dyDescent="0.3">
      <c r="A1044" s="23" t="s">
        <v>41</v>
      </c>
      <c r="B1044" s="30" t="str">
        <f t="shared" si="44"/>
        <v>n/a</v>
      </c>
      <c r="C1044" s="19">
        <v>46247</v>
      </c>
      <c r="D1044" s="13" t="s">
        <v>29</v>
      </c>
      <c r="E1044" s="23">
        <v>1341</v>
      </c>
      <c r="F1044" s="12">
        <v>0.310336</v>
      </c>
      <c r="G1044" s="14">
        <v>6.4263700000000007E-2</v>
      </c>
      <c r="H1044" s="15">
        <f t="shared" si="42"/>
        <v>0.3348787222222222</v>
      </c>
      <c r="I1044" s="16">
        <f t="shared" si="43"/>
        <v>8.0860061111111103E-2</v>
      </c>
    </row>
    <row r="1045" spans="1:9" x14ac:dyDescent="0.3">
      <c r="A1045" s="23" t="s">
        <v>41</v>
      </c>
      <c r="B1045" s="30" t="str">
        <f t="shared" si="44"/>
        <v>n/a</v>
      </c>
      <c r="C1045" s="19">
        <v>46247</v>
      </c>
      <c r="D1045" s="13" t="s">
        <v>30</v>
      </c>
      <c r="E1045" s="23">
        <v>1133</v>
      </c>
      <c r="F1045" s="12">
        <v>0.37191999999999997</v>
      </c>
      <c r="G1045" s="14">
        <v>7.4805800000000006E-2</v>
      </c>
      <c r="H1045" s="15">
        <f t="shared" si="42"/>
        <v>0.3348787222222222</v>
      </c>
      <c r="I1045" s="16">
        <f t="shared" si="43"/>
        <v>8.0860061111111103E-2</v>
      </c>
    </row>
    <row r="1046" spans="1:9" x14ac:dyDescent="0.3">
      <c r="A1046" s="23" t="s">
        <v>42</v>
      </c>
      <c r="B1046" s="30" t="s">
        <v>127</v>
      </c>
      <c r="C1046" s="19">
        <v>46248</v>
      </c>
      <c r="D1046" s="13" t="s">
        <v>14</v>
      </c>
      <c r="E1046" s="23">
        <v>1484</v>
      </c>
      <c r="F1046" s="12">
        <v>0.51471900000000004</v>
      </c>
      <c r="G1046" s="14">
        <v>0.144732</v>
      </c>
      <c r="H1046" s="15">
        <f t="shared" si="42"/>
        <v>0.42893455555555554</v>
      </c>
      <c r="I1046" s="16">
        <f t="shared" si="43"/>
        <v>0.10444114444444445</v>
      </c>
    </row>
    <row r="1047" spans="1:9" x14ac:dyDescent="0.3">
      <c r="A1047" s="23" t="s">
        <v>42</v>
      </c>
      <c r="B1047" s="30" t="s">
        <v>127</v>
      </c>
      <c r="C1047" s="19">
        <v>46248</v>
      </c>
      <c r="D1047" s="13" t="s">
        <v>15</v>
      </c>
      <c r="E1047" s="23">
        <v>1290</v>
      </c>
      <c r="F1047" s="12">
        <v>0.51744500000000004</v>
      </c>
      <c r="G1047" s="14">
        <v>0.13630500000000001</v>
      </c>
      <c r="H1047" s="15">
        <f t="shared" si="42"/>
        <v>0.42893455555555554</v>
      </c>
      <c r="I1047" s="16">
        <f t="shared" si="43"/>
        <v>0.10444114444444445</v>
      </c>
    </row>
    <row r="1048" spans="1:9" x14ac:dyDescent="0.3">
      <c r="A1048" s="23" t="s">
        <v>42</v>
      </c>
      <c r="B1048" s="30" t="s">
        <v>127</v>
      </c>
      <c r="C1048" s="19">
        <v>46248</v>
      </c>
      <c r="D1048" s="13" t="s">
        <v>16</v>
      </c>
      <c r="E1048" s="23">
        <v>1093</v>
      </c>
      <c r="F1048" s="12">
        <v>0.50374699999999994</v>
      </c>
      <c r="G1048" s="14">
        <v>0.11812</v>
      </c>
      <c r="H1048" s="15">
        <f t="shared" si="42"/>
        <v>0.42893455555555554</v>
      </c>
      <c r="I1048" s="16">
        <f t="shared" si="43"/>
        <v>0.10444114444444445</v>
      </c>
    </row>
    <row r="1049" spans="1:9" x14ac:dyDescent="0.3">
      <c r="A1049" s="23" t="s">
        <v>42</v>
      </c>
      <c r="B1049" s="30" t="s">
        <v>127</v>
      </c>
      <c r="C1049" s="19">
        <v>46248</v>
      </c>
      <c r="D1049" s="13" t="s">
        <v>17</v>
      </c>
      <c r="E1049" s="23">
        <v>1834</v>
      </c>
      <c r="F1049" s="12">
        <v>0.473553</v>
      </c>
      <c r="G1049" s="14">
        <v>9.3615100000000007E-2</v>
      </c>
      <c r="H1049" s="15">
        <f t="shared" si="42"/>
        <v>0.42893455555555554</v>
      </c>
      <c r="I1049" s="16">
        <f t="shared" si="43"/>
        <v>0.10444114444444445</v>
      </c>
    </row>
    <row r="1050" spans="1:9" x14ac:dyDescent="0.3">
      <c r="A1050" s="23" t="s">
        <v>42</v>
      </c>
      <c r="B1050" s="30" t="s">
        <v>127</v>
      </c>
      <c r="C1050" s="19">
        <v>46248</v>
      </c>
      <c r="D1050" s="13" t="s">
        <v>18</v>
      </c>
      <c r="E1050" s="23">
        <v>1247</v>
      </c>
      <c r="F1050" s="12">
        <v>0.30589699999999997</v>
      </c>
      <c r="G1050" s="14">
        <v>7.2731000000000004E-2</v>
      </c>
      <c r="H1050" s="15">
        <f t="shared" si="42"/>
        <v>0.42893455555555554</v>
      </c>
      <c r="I1050" s="16">
        <f t="shared" si="43"/>
        <v>0.10444114444444445</v>
      </c>
    </row>
    <row r="1051" spans="1:9" x14ac:dyDescent="0.3">
      <c r="A1051" s="23" t="s">
        <v>42</v>
      </c>
      <c r="B1051" s="30" t="s">
        <v>127</v>
      </c>
      <c r="C1051" s="19">
        <v>46248</v>
      </c>
      <c r="D1051" s="13" t="s">
        <v>19</v>
      </c>
      <c r="E1051" s="23">
        <v>1230</v>
      </c>
      <c r="F1051" s="12">
        <v>0.41856599999999999</v>
      </c>
      <c r="G1051" s="14">
        <v>8.8034799999999996E-2</v>
      </c>
      <c r="H1051" s="15">
        <f t="shared" si="42"/>
        <v>0.42893455555555554</v>
      </c>
      <c r="I1051" s="16">
        <f t="shared" si="43"/>
        <v>0.10444114444444445</v>
      </c>
    </row>
    <row r="1052" spans="1:9" x14ac:dyDescent="0.3">
      <c r="A1052" s="23" t="s">
        <v>42</v>
      </c>
      <c r="B1052" s="30" t="s">
        <v>127</v>
      </c>
      <c r="C1052" s="19">
        <v>46248</v>
      </c>
      <c r="D1052" s="13" t="s">
        <v>20</v>
      </c>
      <c r="E1052" s="23">
        <v>1058</v>
      </c>
      <c r="F1052" s="12">
        <v>0.45166299999999998</v>
      </c>
      <c r="G1052" s="14">
        <v>9.4480400000000006E-2</v>
      </c>
      <c r="H1052" s="15">
        <f t="shared" si="42"/>
        <v>0.42893455555555554</v>
      </c>
      <c r="I1052" s="16">
        <f t="shared" si="43"/>
        <v>0.10444114444444445</v>
      </c>
    </row>
    <row r="1053" spans="1:9" x14ac:dyDescent="0.3">
      <c r="A1053" s="23" t="s">
        <v>42</v>
      </c>
      <c r="B1053" s="30" t="s">
        <v>127</v>
      </c>
      <c r="C1053" s="19">
        <v>46248</v>
      </c>
      <c r="D1053" s="13" t="s">
        <v>40</v>
      </c>
      <c r="E1053" s="23">
        <v>1367</v>
      </c>
      <c r="F1053" s="12">
        <v>0.21645600000000001</v>
      </c>
      <c r="G1053" s="14">
        <v>6.5588999999999995E-2</v>
      </c>
      <c r="H1053" s="15">
        <f t="shared" si="42"/>
        <v>0.42893455555555554</v>
      </c>
      <c r="I1053" s="16">
        <f t="shared" si="43"/>
        <v>0.10444114444444445</v>
      </c>
    </row>
    <row r="1054" spans="1:9" x14ac:dyDescent="0.3">
      <c r="A1054" s="23" t="s">
        <v>42</v>
      </c>
      <c r="B1054" s="30" t="s">
        <v>127</v>
      </c>
      <c r="C1054" s="19">
        <v>46248</v>
      </c>
      <c r="D1054" s="13" t="s">
        <v>21</v>
      </c>
      <c r="E1054" s="23">
        <v>1961</v>
      </c>
      <c r="F1054" s="12">
        <v>0.61155000000000004</v>
      </c>
      <c r="G1054" s="14">
        <v>0.118918</v>
      </c>
      <c r="H1054" s="15">
        <f t="shared" si="42"/>
        <v>0.42893455555555554</v>
      </c>
      <c r="I1054" s="16">
        <f t="shared" si="43"/>
        <v>0.10444114444444445</v>
      </c>
    </row>
    <row r="1055" spans="1:9" x14ac:dyDescent="0.3">
      <c r="A1055" s="23" t="s">
        <v>42</v>
      </c>
      <c r="B1055" s="30" t="s">
        <v>127</v>
      </c>
      <c r="C1055" s="19">
        <v>46248</v>
      </c>
      <c r="D1055" s="13" t="s">
        <v>22</v>
      </c>
      <c r="E1055" s="23">
        <v>2148</v>
      </c>
      <c r="F1055" s="12">
        <v>0.393646</v>
      </c>
      <c r="G1055" s="14">
        <v>0.106936</v>
      </c>
      <c r="H1055" s="15">
        <f t="shared" si="42"/>
        <v>0.42893455555555554</v>
      </c>
      <c r="I1055" s="16">
        <f t="shared" si="43"/>
        <v>0.10444114444444445</v>
      </c>
    </row>
    <row r="1056" spans="1:9" x14ac:dyDescent="0.3">
      <c r="A1056" s="23" t="s">
        <v>42</v>
      </c>
      <c r="B1056" s="30" t="s">
        <v>127</v>
      </c>
      <c r="C1056" s="19">
        <v>46248</v>
      </c>
      <c r="D1056" s="13" t="s">
        <v>23</v>
      </c>
      <c r="E1056" s="23">
        <v>1200</v>
      </c>
      <c r="F1056" s="12">
        <v>0.30959999999999999</v>
      </c>
      <c r="G1056" s="14">
        <v>0.10154299999999999</v>
      </c>
      <c r="H1056" s="15">
        <f t="shared" si="42"/>
        <v>0.42893455555555554</v>
      </c>
      <c r="I1056" s="16">
        <f t="shared" si="43"/>
        <v>0.10444114444444445</v>
      </c>
    </row>
    <row r="1057" spans="1:9" x14ac:dyDescent="0.3">
      <c r="A1057" s="23" t="s">
        <v>42</v>
      </c>
      <c r="B1057" s="30" t="s">
        <v>127</v>
      </c>
      <c r="C1057" s="19">
        <v>46248</v>
      </c>
      <c r="D1057" s="13" t="s">
        <v>24</v>
      </c>
      <c r="E1057" s="23">
        <v>1803</v>
      </c>
      <c r="F1057" s="12">
        <v>0.483261</v>
      </c>
      <c r="G1057" s="14">
        <v>0.14886199999999999</v>
      </c>
      <c r="H1057" s="15">
        <f t="shared" si="42"/>
        <v>0.42893455555555554</v>
      </c>
      <c r="I1057" s="16">
        <f t="shared" si="43"/>
        <v>0.10444114444444445</v>
      </c>
    </row>
    <row r="1058" spans="1:9" x14ac:dyDescent="0.3">
      <c r="A1058" s="23" t="s">
        <v>42</v>
      </c>
      <c r="B1058" s="30" t="s">
        <v>127</v>
      </c>
      <c r="C1058" s="19">
        <v>46248</v>
      </c>
      <c r="D1058" s="13" t="s">
        <v>25</v>
      </c>
      <c r="E1058" s="23">
        <v>1195</v>
      </c>
      <c r="F1058" s="12">
        <v>0.25312800000000002</v>
      </c>
      <c r="G1058" s="14">
        <v>6.0905500000000001E-2</v>
      </c>
      <c r="H1058" s="15">
        <f t="shared" si="42"/>
        <v>0.42893455555555554</v>
      </c>
      <c r="I1058" s="16">
        <f t="shared" si="43"/>
        <v>0.10444114444444445</v>
      </c>
    </row>
    <row r="1059" spans="1:9" x14ac:dyDescent="0.3">
      <c r="A1059" s="23" t="s">
        <v>42</v>
      </c>
      <c r="B1059" s="30" t="s">
        <v>127</v>
      </c>
      <c r="C1059" s="19">
        <v>46248</v>
      </c>
      <c r="D1059" s="13" t="s">
        <v>26</v>
      </c>
      <c r="E1059" s="23">
        <v>1999</v>
      </c>
      <c r="F1059" s="12">
        <v>0.38802900000000001</v>
      </c>
      <c r="G1059" s="14">
        <v>0.12475700000000001</v>
      </c>
      <c r="H1059" s="15">
        <f t="shared" si="42"/>
        <v>0.42893455555555554</v>
      </c>
      <c r="I1059" s="16">
        <f t="shared" si="43"/>
        <v>0.10444114444444445</v>
      </c>
    </row>
    <row r="1060" spans="1:9" x14ac:dyDescent="0.3">
      <c r="A1060" s="23" t="s">
        <v>42</v>
      </c>
      <c r="B1060" s="30" t="s">
        <v>127</v>
      </c>
      <c r="C1060" s="19">
        <v>46248</v>
      </c>
      <c r="D1060" s="13" t="s">
        <v>27</v>
      </c>
      <c r="E1060" s="23">
        <v>1502</v>
      </c>
      <c r="F1060" s="12">
        <v>0.505027</v>
      </c>
      <c r="G1060" s="14">
        <v>0.114513</v>
      </c>
      <c r="H1060" s="15">
        <f t="shared" si="42"/>
        <v>0.42893455555555554</v>
      </c>
      <c r="I1060" s="16">
        <f t="shared" si="43"/>
        <v>0.10444114444444445</v>
      </c>
    </row>
    <row r="1061" spans="1:9" x14ac:dyDescent="0.3">
      <c r="A1061" s="23" t="s">
        <v>42</v>
      </c>
      <c r="B1061" s="30" t="s">
        <v>127</v>
      </c>
      <c r="C1061" s="19">
        <v>46248</v>
      </c>
      <c r="D1061" s="13" t="s">
        <v>28</v>
      </c>
      <c r="E1061" s="23">
        <v>1436</v>
      </c>
      <c r="F1061" s="12">
        <v>0.45906400000000003</v>
      </c>
      <c r="G1061" s="14">
        <v>0.103034</v>
      </c>
      <c r="H1061" s="15">
        <f t="shared" si="42"/>
        <v>0.42893455555555554</v>
      </c>
      <c r="I1061" s="16">
        <f t="shared" si="43"/>
        <v>0.10444114444444445</v>
      </c>
    </row>
    <row r="1062" spans="1:9" x14ac:dyDescent="0.3">
      <c r="A1062" s="23" t="s">
        <v>42</v>
      </c>
      <c r="B1062" s="30" t="s">
        <v>127</v>
      </c>
      <c r="C1062" s="19">
        <v>46248</v>
      </c>
      <c r="D1062" s="13" t="s">
        <v>29</v>
      </c>
      <c r="E1062" s="23">
        <v>1000</v>
      </c>
      <c r="F1062" s="12">
        <v>0.46846599999999999</v>
      </c>
      <c r="G1062" s="14">
        <v>9.6959400000000001E-2</v>
      </c>
      <c r="H1062" s="15">
        <f t="shared" ref="H1062:H1125" si="45">IFERROR(AVERAGEIFS($F:$F, $A:$A, $A1062, $B:$B,$B1062, $C:$C,$C1062),"")</f>
        <v>0.42893455555555554</v>
      </c>
      <c r="I1062" s="16">
        <f t="shared" si="43"/>
        <v>0.10444114444444445</v>
      </c>
    </row>
    <row r="1063" spans="1:9" x14ac:dyDescent="0.3">
      <c r="A1063" s="23" t="s">
        <v>42</v>
      </c>
      <c r="B1063" s="30" t="s">
        <v>127</v>
      </c>
      <c r="C1063" s="19">
        <v>46248</v>
      </c>
      <c r="D1063" s="13" t="s">
        <v>30</v>
      </c>
      <c r="E1063" s="23">
        <v>1119</v>
      </c>
      <c r="F1063" s="12">
        <v>0.44700499999999999</v>
      </c>
      <c r="G1063" s="14">
        <v>8.9905399999999996E-2</v>
      </c>
      <c r="H1063" s="15">
        <f t="shared" si="45"/>
        <v>0.42893455555555554</v>
      </c>
      <c r="I1063" s="16">
        <f t="shared" si="43"/>
        <v>0.10444114444444445</v>
      </c>
    </row>
    <row r="1064" spans="1:9" x14ac:dyDescent="0.3">
      <c r="A1064" s="23" t="s">
        <v>41</v>
      </c>
      <c r="B1064" s="30" t="str">
        <f t="shared" ref="B1064:B1127" si="46">IF($A1064="Daily", "n/a", "")</f>
        <v>n/a</v>
      </c>
      <c r="C1064" s="19">
        <v>46248</v>
      </c>
      <c r="D1064" s="13" t="s">
        <v>14</v>
      </c>
      <c r="E1064" s="23">
        <v>1899</v>
      </c>
      <c r="F1064" s="12">
        <v>0.43187500000000001</v>
      </c>
      <c r="G1064" s="14">
        <v>0.12145400000000001</v>
      </c>
      <c r="H1064" s="15">
        <f t="shared" si="45"/>
        <v>0.39099744444444445</v>
      </c>
      <c r="I1064" s="16">
        <f t="shared" si="43"/>
        <v>9.5190122222222215E-2</v>
      </c>
    </row>
    <row r="1065" spans="1:9" x14ac:dyDescent="0.3">
      <c r="A1065" s="23" t="s">
        <v>41</v>
      </c>
      <c r="B1065" s="30" t="str">
        <f t="shared" si="46"/>
        <v>n/a</v>
      </c>
      <c r="C1065" s="19">
        <v>46248</v>
      </c>
      <c r="D1065" s="13" t="s">
        <v>15</v>
      </c>
      <c r="E1065" s="23">
        <v>1509</v>
      </c>
      <c r="F1065" s="12">
        <v>0.40726699999999999</v>
      </c>
      <c r="G1065" s="14">
        <v>0.107267</v>
      </c>
      <c r="H1065" s="15">
        <f t="shared" si="45"/>
        <v>0.39099744444444445</v>
      </c>
      <c r="I1065" s="16">
        <f t="shared" si="43"/>
        <v>9.5190122222222215E-2</v>
      </c>
    </row>
    <row r="1066" spans="1:9" x14ac:dyDescent="0.3">
      <c r="A1066" s="23" t="s">
        <v>41</v>
      </c>
      <c r="B1066" s="30" t="str">
        <f t="shared" si="46"/>
        <v>n/a</v>
      </c>
      <c r="C1066" s="19">
        <v>46248</v>
      </c>
      <c r="D1066" s="13" t="s">
        <v>16</v>
      </c>
      <c r="E1066" s="23">
        <v>1159</v>
      </c>
      <c r="F1066" s="12">
        <v>0.44434699999999999</v>
      </c>
      <c r="G1066" s="14">
        <v>0.10422099999999999</v>
      </c>
      <c r="H1066" s="15">
        <f t="shared" si="45"/>
        <v>0.39099744444444445</v>
      </c>
      <c r="I1066" s="16">
        <f t="shared" si="43"/>
        <v>9.5190122222222215E-2</v>
      </c>
    </row>
    <row r="1067" spans="1:9" x14ac:dyDescent="0.3">
      <c r="A1067" s="23" t="s">
        <v>41</v>
      </c>
      <c r="B1067" s="30" t="str">
        <f t="shared" si="46"/>
        <v>n/a</v>
      </c>
      <c r="C1067" s="19">
        <v>46248</v>
      </c>
      <c r="D1067" s="13" t="s">
        <v>17</v>
      </c>
      <c r="E1067" s="23">
        <v>1721</v>
      </c>
      <c r="F1067" s="12">
        <v>0.458926</v>
      </c>
      <c r="G1067" s="14">
        <v>9.0715000000000004E-2</v>
      </c>
      <c r="H1067" s="15">
        <f t="shared" si="45"/>
        <v>0.39099744444444445</v>
      </c>
      <c r="I1067" s="16">
        <f t="shared" si="43"/>
        <v>9.5190122222222215E-2</v>
      </c>
    </row>
    <row r="1068" spans="1:9" x14ac:dyDescent="0.3">
      <c r="A1068" s="23" t="s">
        <v>41</v>
      </c>
      <c r="B1068" s="30" t="str">
        <f t="shared" si="46"/>
        <v>n/a</v>
      </c>
      <c r="C1068" s="19">
        <v>46248</v>
      </c>
      <c r="D1068" s="13" t="s">
        <v>18</v>
      </c>
      <c r="E1068" s="23">
        <v>1370</v>
      </c>
      <c r="F1068" s="12">
        <v>0.29020200000000002</v>
      </c>
      <c r="G1068" s="14">
        <v>6.9010299999999997E-2</v>
      </c>
      <c r="H1068" s="15">
        <f t="shared" si="45"/>
        <v>0.39099744444444445</v>
      </c>
      <c r="I1068" s="16">
        <f t="shared" si="43"/>
        <v>9.5190122222222215E-2</v>
      </c>
    </row>
    <row r="1069" spans="1:9" x14ac:dyDescent="0.3">
      <c r="A1069" s="23" t="s">
        <v>41</v>
      </c>
      <c r="B1069" s="30" t="str">
        <f t="shared" si="46"/>
        <v>n/a</v>
      </c>
      <c r="C1069" s="19">
        <v>46248</v>
      </c>
      <c r="D1069" s="13" t="s">
        <v>19</v>
      </c>
      <c r="E1069" s="23">
        <v>1316</v>
      </c>
      <c r="F1069" s="12">
        <v>0.482379</v>
      </c>
      <c r="G1069" s="14">
        <v>0.101456</v>
      </c>
      <c r="H1069" s="15">
        <f t="shared" si="45"/>
        <v>0.39099744444444445</v>
      </c>
      <c r="I1069" s="16">
        <f t="shared" si="43"/>
        <v>9.5190122222222215E-2</v>
      </c>
    </row>
    <row r="1070" spans="1:9" x14ac:dyDescent="0.3">
      <c r="A1070" s="23" t="s">
        <v>41</v>
      </c>
      <c r="B1070" s="30" t="str">
        <f t="shared" si="46"/>
        <v>n/a</v>
      </c>
      <c r="C1070" s="19">
        <v>46248</v>
      </c>
      <c r="D1070" s="13" t="s">
        <v>20</v>
      </c>
      <c r="E1070" s="23">
        <v>1162</v>
      </c>
      <c r="F1070" s="12">
        <v>0.50386299999999995</v>
      </c>
      <c r="G1070" s="14">
        <v>0.10539</v>
      </c>
      <c r="H1070" s="15">
        <f t="shared" si="45"/>
        <v>0.39099744444444445</v>
      </c>
      <c r="I1070" s="16">
        <f t="shared" si="43"/>
        <v>9.5190122222222215E-2</v>
      </c>
    </row>
    <row r="1071" spans="1:9" x14ac:dyDescent="0.3">
      <c r="A1071" s="23" t="s">
        <v>41</v>
      </c>
      <c r="B1071" s="30" t="str">
        <f t="shared" si="46"/>
        <v>n/a</v>
      </c>
      <c r="C1071" s="19">
        <v>46248</v>
      </c>
      <c r="D1071" s="13" t="s">
        <v>40</v>
      </c>
      <c r="E1071" s="23">
        <v>1310</v>
      </c>
      <c r="F1071" s="12">
        <v>0.26705099999999998</v>
      </c>
      <c r="G1071" s="14">
        <v>8.0909599999999998E-2</v>
      </c>
      <c r="H1071" s="15">
        <f t="shared" si="45"/>
        <v>0.39099744444444445</v>
      </c>
      <c r="I1071" s="16">
        <f t="shared" si="43"/>
        <v>9.5190122222222215E-2</v>
      </c>
    </row>
    <row r="1072" spans="1:9" x14ac:dyDescent="0.3">
      <c r="A1072" s="23" t="s">
        <v>41</v>
      </c>
      <c r="B1072" s="30" t="str">
        <f t="shared" si="46"/>
        <v>n/a</v>
      </c>
      <c r="C1072" s="19">
        <v>46248</v>
      </c>
      <c r="D1072" s="13" t="s">
        <v>21</v>
      </c>
      <c r="E1072" s="23">
        <v>2288</v>
      </c>
      <c r="F1072" s="12">
        <v>0.45082499999999998</v>
      </c>
      <c r="G1072" s="14">
        <v>8.7667900000000007E-2</v>
      </c>
      <c r="H1072" s="15">
        <f t="shared" si="45"/>
        <v>0.39099744444444445</v>
      </c>
      <c r="I1072" s="16">
        <f t="shared" si="43"/>
        <v>9.5190122222222215E-2</v>
      </c>
    </row>
    <row r="1073" spans="1:9" x14ac:dyDescent="0.3">
      <c r="A1073" s="23" t="s">
        <v>41</v>
      </c>
      <c r="B1073" s="30" t="str">
        <f t="shared" si="46"/>
        <v>n/a</v>
      </c>
      <c r="C1073" s="19">
        <v>46248</v>
      </c>
      <c r="D1073" s="13" t="s">
        <v>22</v>
      </c>
      <c r="E1073" s="23">
        <v>1848</v>
      </c>
      <c r="F1073" s="12">
        <v>0.33244299999999999</v>
      </c>
      <c r="G1073" s="14">
        <v>9.0296399999999999E-2</v>
      </c>
      <c r="H1073" s="15">
        <f t="shared" si="45"/>
        <v>0.39099744444444445</v>
      </c>
      <c r="I1073" s="16">
        <f t="shared" si="43"/>
        <v>9.5190122222222215E-2</v>
      </c>
    </row>
    <row r="1074" spans="1:9" x14ac:dyDescent="0.3">
      <c r="A1074" s="23" t="s">
        <v>41</v>
      </c>
      <c r="B1074" s="30" t="str">
        <f t="shared" si="46"/>
        <v>n/a</v>
      </c>
      <c r="C1074" s="19">
        <v>46248</v>
      </c>
      <c r="D1074" s="13" t="s">
        <v>23</v>
      </c>
      <c r="E1074" s="23">
        <v>1451</v>
      </c>
      <c r="F1074" s="12">
        <v>0.36969099999999999</v>
      </c>
      <c r="G1074" s="14">
        <v>0.121264</v>
      </c>
      <c r="H1074" s="15">
        <f t="shared" si="45"/>
        <v>0.39099744444444445</v>
      </c>
      <c r="I1074" s="16">
        <f t="shared" si="43"/>
        <v>9.5190122222222215E-2</v>
      </c>
    </row>
    <row r="1075" spans="1:9" x14ac:dyDescent="0.3">
      <c r="A1075" s="23" t="s">
        <v>41</v>
      </c>
      <c r="B1075" s="30" t="str">
        <f t="shared" si="46"/>
        <v>n/a</v>
      </c>
      <c r="C1075" s="19">
        <v>46248</v>
      </c>
      <c r="D1075" s="13" t="s">
        <v>24</v>
      </c>
      <c r="E1075" s="23">
        <v>2023</v>
      </c>
      <c r="F1075" s="12">
        <v>0.29422399999999999</v>
      </c>
      <c r="G1075" s="14">
        <v>9.0599100000000002E-2</v>
      </c>
      <c r="H1075" s="15">
        <f t="shared" si="45"/>
        <v>0.39099744444444445</v>
      </c>
      <c r="I1075" s="16">
        <f t="shared" si="43"/>
        <v>9.5190122222222215E-2</v>
      </c>
    </row>
    <row r="1076" spans="1:9" x14ac:dyDescent="0.3">
      <c r="A1076" s="23" t="s">
        <v>41</v>
      </c>
      <c r="B1076" s="30" t="str">
        <f t="shared" si="46"/>
        <v>n/a</v>
      </c>
      <c r="C1076" s="19">
        <v>46248</v>
      </c>
      <c r="D1076" s="13" t="s">
        <v>25</v>
      </c>
      <c r="E1076" s="23">
        <v>1341</v>
      </c>
      <c r="F1076" s="12">
        <v>0.284999</v>
      </c>
      <c r="G1076" s="14">
        <v>6.8542400000000003E-2</v>
      </c>
      <c r="H1076" s="15">
        <f t="shared" si="45"/>
        <v>0.39099744444444445</v>
      </c>
      <c r="I1076" s="16">
        <f t="shared" si="43"/>
        <v>9.5190122222222215E-2</v>
      </c>
    </row>
    <row r="1077" spans="1:9" x14ac:dyDescent="0.3">
      <c r="A1077" s="23" t="s">
        <v>41</v>
      </c>
      <c r="B1077" s="30" t="str">
        <f t="shared" si="46"/>
        <v>n/a</v>
      </c>
      <c r="C1077" s="19">
        <v>46248</v>
      </c>
      <c r="D1077" s="13" t="s">
        <v>26</v>
      </c>
      <c r="E1077" s="23">
        <v>1721</v>
      </c>
      <c r="F1077" s="12">
        <v>0.37112299999999998</v>
      </c>
      <c r="G1077" s="14">
        <v>0.11930399999999999</v>
      </c>
      <c r="H1077" s="15">
        <f t="shared" si="45"/>
        <v>0.39099744444444445</v>
      </c>
      <c r="I1077" s="16">
        <f t="shared" si="43"/>
        <v>9.5190122222222215E-2</v>
      </c>
    </row>
    <row r="1078" spans="1:9" x14ac:dyDescent="0.3">
      <c r="A1078" s="23" t="s">
        <v>41</v>
      </c>
      <c r="B1078" s="30" t="str">
        <f t="shared" si="46"/>
        <v>n/a</v>
      </c>
      <c r="C1078" s="19">
        <v>46248</v>
      </c>
      <c r="D1078" s="13" t="s">
        <v>27</v>
      </c>
      <c r="E1078" s="23">
        <v>1333</v>
      </c>
      <c r="F1078" s="12">
        <v>0.444878</v>
      </c>
      <c r="G1078" s="14">
        <v>0.100879</v>
      </c>
      <c r="H1078" s="15">
        <f t="shared" si="45"/>
        <v>0.39099744444444445</v>
      </c>
      <c r="I1078" s="16">
        <f t="shared" si="43"/>
        <v>9.5190122222222215E-2</v>
      </c>
    </row>
    <row r="1079" spans="1:9" x14ac:dyDescent="0.3">
      <c r="A1079" s="23" t="s">
        <v>41</v>
      </c>
      <c r="B1079" s="30" t="str">
        <f t="shared" si="46"/>
        <v>n/a</v>
      </c>
      <c r="C1079" s="19">
        <v>46248</v>
      </c>
      <c r="D1079" s="13" t="s">
        <v>28</v>
      </c>
      <c r="E1079" s="23">
        <v>1002</v>
      </c>
      <c r="F1079" s="12">
        <v>0.43327399999999999</v>
      </c>
      <c r="G1079" s="14">
        <v>9.7245799999999993E-2</v>
      </c>
      <c r="H1079" s="15">
        <f t="shared" si="45"/>
        <v>0.39099744444444445</v>
      </c>
      <c r="I1079" s="16">
        <f t="shared" si="43"/>
        <v>9.5190122222222215E-2</v>
      </c>
    </row>
    <row r="1080" spans="1:9" x14ac:dyDescent="0.3">
      <c r="A1080" s="23" t="s">
        <v>41</v>
      </c>
      <c r="B1080" s="30" t="str">
        <f t="shared" si="46"/>
        <v>n/a</v>
      </c>
      <c r="C1080" s="19">
        <v>46248</v>
      </c>
      <c r="D1080" s="13" t="s">
        <v>29</v>
      </c>
      <c r="E1080" s="23">
        <v>1083</v>
      </c>
      <c r="F1080" s="12">
        <v>0.37295600000000001</v>
      </c>
      <c r="G1080" s="14">
        <v>7.7229000000000006E-2</v>
      </c>
      <c r="H1080" s="15">
        <f t="shared" si="45"/>
        <v>0.39099744444444445</v>
      </c>
      <c r="I1080" s="16">
        <f t="shared" si="43"/>
        <v>9.5190122222222215E-2</v>
      </c>
    </row>
    <row r="1081" spans="1:9" x14ac:dyDescent="0.3">
      <c r="A1081" s="23" t="s">
        <v>41</v>
      </c>
      <c r="B1081" s="30" t="str">
        <f t="shared" si="46"/>
        <v>n/a</v>
      </c>
      <c r="C1081" s="19">
        <v>46248</v>
      </c>
      <c r="D1081" s="13" t="s">
        <v>30</v>
      </c>
      <c r="E1081" s="23">
        <v>1311</v>
      </c>
      <c r="F1081" s="12">
        <v>0.39763100000000001</v>
      </c>
      <c r="G1081" s="14">
        <v>7.9971700000000007E-2</v>
      </c>
      <c r="H1081" s="15">
        <f t="shared" si="45"/>
        <v>0.39099744444444445</v>
      </c>
      <c r="I1081" s="16">
        <f t="shared" si="43"/>
        <v>9.5190122222222215E-2</v>
      </c>
    </row>
    <row r="1082" spans="1:9" x14ac:dyDescent="0.3">
      <c r="A1082" s="23" t="s">
        <v>41</v>
      </c>
      <c r="B1082" s="30" t="s">
        <v>128</v>
      </c>
      <c r="C1082" s="19">
        <v>46251</v>
      </c>
      <c r="D1082" s="13" t="s">
        <v>14</v>
      </c>
      <c r="E1082" s="23">
        <v>2066</v>
      </c>
      <c r="F1082" s="12">
        <v>0.50405199999999994</v>
      </c>
      <c r="G1082" s="14">
        <v>0.14171300000000001</v>
      </c>
      <c r="H1082" s="15">
        <f t="shared" si="45"/>
        <v>0.4757022222222223</v>
      </c>
      <c r="I1082" s="16">
        <f t="shared" si="43"/>
        <v>0.11488596111111112</v>
      </c>
    </row>
    <row r="1083" spans="1:9" x14ac:dyDescent="0.3">
      <c r="A1083" s="23" t="s">
        <v>41</v>
      </c>
      <c r="B1083" s="30" t="s">
        <v>128</v>
      </c>
      <c r="C1083" s="19">
        <v>46251</v>
      </c>
      <c r="D1083" s="13" t="s">
        <v>15</v>
      </c>
      <c r="E1083" s="23">
        <v>1635</v>
      </c>
      <c r="F1083" s="12">
        <v>0.42883700000000002</v>
      </c>
      <c r="G1083" s="14">
        <v>0.112932</v>
      </c>
      <c r="H1083" s="15">
        <f t="shared" si="45"/>
        <v>0.4757022222222223</v>
      </c>
      <c r="I1083" s="16">
        <f t="shared" si="43"/>
        <v>0.11488596111111112</v>
      </c>
    </row>
    <row r="1084" spans="1:9" x14ac:dyDescent="0.3">
      <c r="A1084" s="23" t="s">
        <v>41</v>
      </c>
      <c r="B1084" s="30" t="s">
        <v>128</v>
      </c>
      <c r="C1084" s="19">
        <v>46251</v>
      </c>
      <c r="D1084" s="13" t="s">
        <v>16</v>
      </c>
      <c r="E1084" s="23">
        <v>1376</v>
      </c>
      <c r="F1084" s="12">
        <v>0.58386400000000005</v>
      </c>
      <c r="G1084" s="14">
        <v>0.136906</v>
      </c>
      <c r="H1084" s="15">
        <f t="shared" si="45"/>
        <v>0.4757022222222223</v>
      </c>
      <c r="I1084" s="16">
        <f t="shared" si="43"/>
        <v>0.11488596111111112</v>
      </c>
    </row>
    <row r="1085" spans="1:9" x14ac:dyDescent="0.3">
      <c r="A1085" s="23" t="s">
        <v>41</v>
      </c>
      <c r="B1085" s="30" t="s">
        <v>128</v>
      </c>
      <c r="C1085" s="19">
        <v>46251</v>
      </c>
      <c r="D1085" s="13" t="s">
        <v>17</v>
      </c>
      <c r="E1085" s="23">
        <v>1683</v>
      </c>
      <c r="F1085" s="12">
        <v>0.61798799999999998</v>
      </c>
      <c r="G1085" s="14">
        <v>0.122215</v>
      </c>
      <c r="H1085" s="15">
        <f t="shared" si="45"/>
        <v>0.4757022222222223</v>
      </c>
      <c r="I1085" s="16">
        <f t="shared" si="43"/>
        <v>0.11488596111111112</v>
      </c>
    </row>
    <row r="1086" spans="1:9" x14ac:dyDescent="0.3">
      <c r="A1086" s="23" t="s">
        <v>41</v>
      </c>
      <c r="B1086" s="30" t="s">
        <v>128</v>
      </c>
      <c r="C1086" s="19">
        <v>46251</v>
      </c>
      <c r="D1086" s="13" t="s">
        <v>18</v>
      </c>
      <c r="E1086" s="23">
        <v>1548</v>
      </c>
      <c r="F1086" s="12">
        <v>0.39536300000000002</v>
      </c>
      <c r="G1086" s="14">
        <v>9.4000600000000004E-2</v>
      </c>
      <c r="H1086" s="15">
        <f t="shared" si="45"/>
        <v>0.4757022222222223</v>
      </c>
      <c r="I1086" s="16">
        <f t="shared" si="43"/>
        <v>0.11488596111111112</v>
      </c>
    </row>
    <row r="1087" spans="1:9" x14ac:dyDescent="0.3">
      <c r="A1087" s="23" t="s">
        <v>41</v>
      </c>
      <c r="B1087" s="30" t="s">
        <v>128</v>
      </c>
      <c r="C1087" s="19">
        <v>46251</v>
      </c>
      <c r="D1087" s="13" t="s">
        <v>19</v>
      </c>
      <c r="E1087" s="23">
        <v>1307</v>
      </c>
      <c r="F1087" s="12">
        <v>0.546041</v>
      </c>
      <c r="G1087" s="14">
        <v>0.114838</v>
      </c>
      <c r="H1087" s="15">
        <f t="shared" si="45"/>
        <v>0.4757022222222223</v>
      </c>
      <c r="I1087" s="16">
        <f t="shared" si="43"/>
        <v>0.11488596111111112</v>
      </c>
    </row>
    <row r="1088" spans="1:9" x14ac:dyDescent="0.3">
      <c r="A1088" s="23" t="s">
        <v>41</v>
      </c>
      <c r="B1088" s="30" t="s">
        <v>128</v>
      </c>
      <c r="C1088" s="19">
        <v>46251</v>
      </c>
      <c r="D1088" s="13" t="s">
        <v>20</v>
      </c>
      <c r="E1088" s="23">
        <v>1264</v>
      </c>
      <c r="F1088" s="12">
        <v>0.53737500000000005</v>
      </c>
      <c r="G1088" s="14">
        <v>0.112399</v>
      </c>
      <c r="H1088" s="15">
        <f t="shared" si="45"/>
        <v>0.4757022222222223</v>
      </c>
      <c r="I1088" s="16">
        <f t="shared" si="43"/>
        <v>0.11488596111111112</v>
      </c>
    </row>
    <row r="1089" spans="1:9" x14ac:dyDescent="0.3">
      <c r="A1089" s="23" t="s">
        <v>41</v>
      </c>
      <c r="B1089" s="30" t="s">
        <v>128</v>
      </c>
      <c r="C1089" s="19">
        <v>46251</v>
      </c>
      <c r="D1089" s="13" t="s">
        <v>40</v>
      </c>
      <c r="E1089" s="23">
        <v>1286</v>
      </c>
      <c r="F1089" s="12">
        <v>0.27073900000000001</v>
      </c>
      <c r="G1089" s="14">
        <v>8.2005300000000003E-2</v>
      </c>
      <c r="H1089" s="15">
        <f t="shared" si="45"/>
        <v>0.4757022222222223</v>
      </c>
      <c r="I1089" s="16">
        <f t="shared" si="43"/>
        <v>0.11488596111111112</v>
      </c>
    </row>
    <row r="1090" spans="1:9" x14ac:dyDescent="0.3">
      <c r="A1090" s="23" t="s">
        <v>41</v>
      </c>
      <c r="B1090" s="30" t="s">
        <v>128</v>
      </c>
      <c r="C1090" s="19">
        <v>46251</v>
      </c>
      <c r="D1090" s="13" t="s">
        <v>21</v>
      </c>
      <c r="E1090" s="23">
        <v>1808</v>
      </c>
      <c r="F1090" s="12">
        <v>0.57258699999999996</v>
      </c>
      <c r="G1090" s="14">
        <v>0.111369</v>
      </c>
      <c r="H1090" s="15">
        <f t="shared" si="45"/>
        <v>0.4757022222222223</v>
      </c>
      <c r="I1090" s="16">
        <f t="shared" si="43"/>
        <v>0.11488596111111112</v>
      </c>
    </row>
    <row r="1091" spans="1:9" x14ac:dyDescent="0.3">
      <c r="A1091" s="23" t="s">
        <v>41</v>
      </c>
      <c r="B1091" s="30" t="s">
        <v>128</v>
      </c>
      <c r="C1091" s="19">
        <v>46251</v>
      </c>
      <c r="D1091" s="13" t="s">
        <v>22</v>
      </c>
      <c r="E1091" s="23">
        <v>1982</v>
      </c>
      <c r="F1091" s="12">
        <v>0.42099999999999999</v>
      </c>
      <c r="G1091" s="14">
        <v>0.11437</v>
      </c>
      <c r="H1091" s="15">
        <f t="shared" si="45"/>
        <v>0.4757022222222223</v>
      </c>
      <c r="I1091" s="16">
        <f t="shared" ref="I1091:I1152" si="47">IFERROR(AVERAGEIFS($G:$G, $A:$A, $A1091, $B:$B,$B1091, $C:$C,$C1091),"")</f>
        <v>0.11488596111111112</v>
      </c>
    </row>
    <row r="1092" spans="1:9" x14ac:dyDescent="0.3">
      <c r="A1092" s="23" t="s">
        <v>41</v>
      </c>
      <c r="B1092" s="30" t="s">
        <v>128</v>
      </c>
      <c r="C1092" s="19">
        <v>46251</v>
      </c>
      <c r="D1092" s="13" t="s">
        <v>23</v>
      </c>
      <c r="E1092" s="23">
        <v>1566</v>
      </c>
      <c r="F1092" s="12">
        <v>0.55238900000000002</v>
      </c>
      <c r="G1092" s="14">
        <v>0.18115400000000001</v>
      </c>
      <c r="H1092" s="15">
        <f t="shared" si="45"/>
        <v>0.4757022222222223</v>
      </c>
      <c r="I1092" s="16">
        <f t="shared" si="47"/>
        <v>0.11488596111111112</v>
      </c>
    </row>
    <row r="1093" spans="1:9" x14ac:dyDescent="0.3">
      <c r="A1093" s="23" t="s">
        <v>41</v>
      </c>
      <c r="B1093" s="30" t="s">
        <v>128</v>
      </c>
      <c r="C1093" s="19">
        <v>46251</v>
      </c>
      <c r="D1093" s="13" t="s">
        <v>24</v>
      </c>
      <c r="E1093" s="23">
        <v>2127</v>
      </c>
      <c r="F1093" s="12">
        <v>0.26756999999999997</v>
      </c>
      <c r="G1093" s="14">
        <v>8.2367899999999994E-2</v>
      </c>
      <c r="H1093" s="15">
        <f t="shared" si="45"/>
        <v>0.4757022222222223</v>
      </c>
      <c r="I1093" s="16">
        <f t="shared" si="47"/>
        <v>0.11488596111111112</v>
      </c>
    </row>
    <row r="1094" spans="1:9" x14ac:dyDescent="0.3">
      <c r="A1094" s="23" t="s">
        <v>41</v>
      </c>
      <c r="B1094" s="30" t="s">
        <v>128</v>
      </c>
      <c r="C1094" s="19">
        <v>46251</v>
      </c>
      <c r="D1094" s="13" t="s">
        <v>25</v>
      </c>
      <c r="E1094" s="23">
        <v>1002</v>
      </c>
      <c r="F1094" s="12">
        <v>0.38618400000000003</v>
      </c>
      <c r="G1094" s="14">
        <v>9.2931299999999994E-2</v>
      </c>
      <c r="H1094" s="15">
        <f t="shared" si="45"/>
        <v>0.4757022222222223</v>
      </c>
      <c r="I1094" s="16">
        <f t="shared" si="47"/>
        <v>0.11488596111111112</v>
      </c>
    </row>
    <row r="1095" spans="1:9" x14ac:dyDescent="0.3">
      <c r="A1095" s="23" t="s">
        <v>41</v>
      </c>
      <c r="B1095" s="30" t="s">
        <v>128</v>
      </c>
      <c r="C1095" s="19">
        <v>46251</v>
      </c>
      <c r="D1095" s="13" t="s">
        <v>26</v>
      </c>
      <c r="E1095" s="23">
        <v>2055</v>
      </c>
      <c r="F1095" s="12">
        <v>0.32248500000000002</v>
      </c>
      <c r="G1095" s="14">
        <v>0.10366599999999999</v>
      </c>
      <c r="H1095" s="15">
        <f t="shared" si="45"/>
        <v>0.4757022222222223</v>
      </c>
      <c r="I1095" s="16">
        <f t="shared" si="47"/>
        <v>0.11488596111111112</v>
      </c>
    </row>
    <row r="1096" spans="1:9" x14ac:dyDescent="0.3">
      <c r="A1096" s="23" t="s">
        <v>41</v>
      </c>
      <c r="B1096" s="30" t="s">
        <v>128</v>
      </c>
      <c r="C1096" s="19">
        <v>46251</v>
      </c>
      <c r="D1096" s="13" t="s">
        <v>27</v>
      </c>
      <c r="E1096" s="23">
        <v>1202</v>
      </c>
      <c r="F1096" s="12">
        <v>0.69558200000000003</v>
      </c>
      <c r="G1096" s="14">
        <v>0.157753</v>
      </c>
      <c r="H1096" s="15">
        <f t="shared" si="45"/>
        <v>0.4757022222222223</v>
      </c>
      <c r="I1096" s="16">
        <f t="shared" si="47"/>
        <v>0.11488596111111112</v>
      </c>
    </row>
    <row r="1097" spans="1:9" x14ac:dyDescent="0.3">
      <c r="A1097" s="23" t="s">
        <v>41</v>
      </c>
      <c r="B1097" s="30" t="s">
        <v>128</v>
      </c>
      <c r="C1097" s="19">
        <v>46251</v>
      </c>
      <c r="D1097" s="13" t="s">
        <v>28</v>
      </c>
      <c r="E1097" s="23">
        <v>1272</v>
      </c>
      <c r="F1097" s="12">
        <v>0.47101700000000002</v>
      </c>
      <c r="G1097" s="14">
        <v>0.10573200000000001</v>
      </c>
      <c r="H1097" s="15">
        <f t="shared" si="45"/>
        <v>0.4757022222222223</v>
      </c>
      <c r="I1097" s="16">
        <f t="shared" si="47"/>
        <v>0.11488596111111112</v>
      </c>
    </row>
    <row r="1098" spans="1:9" x14ac:dyDescent="0.3">
      <c r="A1098" s="23" t="s">
        <v>41</v>
      </c>
      <c r="B1098" s="30" t="s">
        <v>128</v>
      </c>
      <c r="C1098" s="19">
        <v>46251</v>
      </c>
      <c r="D1098" s="13" t="s">
        <v>29</v>
      </c>
      <c r="E1098" s="23">
        <v>1086</v>
      </c>
      <c r="F1098" s="12">
        <v>0.43622499999999997</v>
      </c>
      <c r="G1098" s="14">
        <v>9.0280200000000005E-2</v>
      </c>
      <c r="H1098" s="15">
        <f t="shared" si="45"/>
        <v>0.4757022222222223</v>
      </c>
      <c r="I1098" s="16">
        <f t="shared" si="47"/>
        <v>0.11488596111111112</v>
      </c>
    </row>
    <row r="1099" spans="1:9" x14ac:dyDescent="0.3">
      <c r="A1099" s="23" t="s">
        <v>41</v>
      </c>
      <c r="B1099" s="30" t="s">
        <v>128</v>
      </c>
      <c r="C1099" s="19">
        <v>46251</v>
      </c>
      <c r="D1099" s="13" t="s">
        <v>30</v>
      </c>
      <c r="E1099" s="23">
        <v>1096</v>
      </c>
      <c r="F1099" s="12">
        <v>0.553342</v>
      </c>
      <c r="G1099" s="14">
        <v>0.111315</v>
      </c>
      <c r="H1099" s="15">
        <f t="shared" si="45"/>
        <v>0.4757022222222223</v>
      </c>
      <c r="I1099" s="16">
        <f t="shared" si="47"/>
        <v>0.11488596111111112</v>
      </c>
    </row>
    <row r="1100" spans="1:9" x14ac:dyDescent="0.3">
      <c r="A1100" s="23" t="s">
        <v>41</v>
      </c>
      <c r="B1100" s="30" t="s">
        <v>129</v>
      </c>
      <c r="C1100" s="19">
        <v>46251</v>
      </c>
      <c r="D1100" s="13" t="s">
        <v>14</v>
      </c>
      <c r="E1100" s="23">
        <v>2625</v>
      </c>
      <c r="F1100" s="12">
        <v>0.32448399999999999</v>
      </c>
      <c r="G1100" s="14">
        <v>9.1342800000000002E-2</v>
      </c>
      <c r="H1100" s="15">
        <f t="shared" si="45"/>
        <v>0.43154094444444446</v>
      </c>
      <c r="I1100" s="16">
        <f t="shared" si="47"/>
        <v>0.10342318888888889</v>
      </c>
    </row>
    <row r="1101" spans="1:9" x14ac:dyDescent="0.3">
      <c r="A1101" s="23" t="s">
        <v>41</v>
      </c>
      <c r="B1101" s="30" t="s">
        <v>129</v>
      </c>
      <c r="C1101" s="19">
        <v>46251</v>
      </c>
      <c r="D1101" s="13" t="s">
        <v>15</v>
      </c>
      <c r="E1101" s="23">
        <v>1923</v>
      </c>
      <c r="F1101" s="12">
        <v>0.430589</v>
      </c>
      <c r="G1101" s="14">
        <v>0.113538</v>
      </c>
      <c r="H1101" s="15">
        <f t="shared" si="45"/>
        <v>0.43154094444444446</v>
      </c>
      <c r="I1101" s="16">
        <f t="shared" si="47"/>
        <v>0.10342318888888889</v>
      </c>
    </row>
    <row r="1102" spans="1:9" x14ac:dyDescent="0.3">
      <c r="A1102" s="23" t="s">
        <v>41</v>
      </c>
      <c r="B1102" s="30" t="s">
        <v>129</v>
      </c>
      <c r="C1102" s="19">
        <v>46251</v>
      </c>
      <c r="D1102" s="13" t="s">
        <v>16</v>
      </c>
      <c r="E1102" s="23">
        <v>1599</v>
      </c>
      <c r="F1102" s="12">
        <v>0.51976599999999995</v>
      </c>
      <c r="G1102" s="14">
        <v>0.122027</v>
      </c>
      <c r="H1102" s="15">
        <f t="shared" si="45"/>
        <v>0.43154094444444446</v>
      </c>
      <c r="I1102" s="16">
        <f t="shared" si="47"/>
        <v>0.10342318888888889</v>
      </c>
    </row>
    <row r="1103" spans="1:9" x14ac:dyDescent="0.3">
      <c r="A1103" s="23" t="s">
        <v>41</v>
      </c>
      <c r="B1103" s="30" t="s">
        <v>129</v>
      </c>
      <c r="C1103" s="19">
        <v>46251</v>
      </c>
      <c r="D1103" s="13" t="s">
        <v>17</v>
      </c>
      <c r="E1103" s="23">
        <v>1668</v>
      </c>
      <c r="F1103" s="12">
        <v>0.59371300000000005</v>
      </c>
      <c r="G1103" s="14">
        <v>0.117408</v>
      </c>
      <c r="H1103" s="15">
        <f t="shared" si="45"/>
        <v>0.43154094444444446</v>
      </c>
      <c r="I1103" s="16">
        <f t="shared" si="47"/>
        <v>0.10342318888888889</v>
      </c>
    </row>
    <row r="1104" spans="1:9" x14ac:dyDescent="0.3">
      <c r="A1104" s="23" t="s">
        <v>41</v>
      </c>
      <c r="B1104" s="30" t="s">
        <v>129</v>
      </c>
      <c r="C1104" s="19">
        <v>46251</v>
      </c>
      <c r="D1104" s="13" t="s">
        <v>18</v>
      </c>
      <c r="E1104" s="23">
        <v>1653</v>
      </c>
      <c r="F1104" s="12">
        <v>0.36810799999999999</v>
      </c>
      <c r="G1104" s="14">
        <v>8.7630100000000002E-2</v>
      </c>
      <c r="H1104" s="15">
        <f t="shared" si="45"/>
        <v>0.43154094444444446</v>
      </c>
      <c r="I1104" s="16">
        <f t="shared" si="47"/>
        <v>0.10342318888888889</v>
      </c>
    </row>
    <row r="1105" spans="1:9" x14ac:dyDescent="0.3">
      <c r="A1105" s="23" t="s">
        <v>41</v>
      </c>
      <c r="B1105" s="30" t="s">
        <v>129</v>
      </c>
      <c r="C1105" s="19">
        <v>46251</v>
      </c>
      <c r="D1105" s="13" t="s">
        <v>19</v>
      </c>
      <c r="E1105" s="23">
        <v>1321</v>
      </c>
      <c r="F1105" s="12">
        <v>0.57203800000000005</v>
      </c>
      <c r="G1105" s="14">
        <v>0.12042600000000001</v>
      </c>
      <c r="H1105" s="15">
        <f t="shared" si="45"/>
        <v>0.43154094444444446</v>
      </c>
      <c r="I1105" s="16">
        <f t="shared" si="47"/>
        <v>0.10342318888888889</v>
      </c>
    </row>
    <row r="1106" spans="1:9" x14ac:dyDescent="0.3">
      <c r="A1106" s="23" t="s">
        <v>41</v>
      </c>
      <c r="B1106" s="30" t="s">
        <v>129</v>
      </c>
      <c r="C1106" s="19">
        <v>46251</v>
      </c>
      <c r="D1106" s="13" t="s">
        <v>20</v>
      </c>
      <c r="E1106" s="23">
        <v>1153</v>
      </c>
      <c r="F1106" s="12">
        <v>0.52254199999999995</v>
      </c>
      <c r="G1106" s="14">
        <v>0.109412</v>
      </c>
      <c r="H1106" s="15">
        <f t="shared" si="45"/>
        <v>0.43154094444444446</v>
      </c>
      <c r="I1106" s="16">
        <f t="shared" si="47"/>
        <v>0.10342318888888889</v>
      </c>
    </row>
    <row r="1107" spans="1:9" x14ac:dyDescent="0.3">
      <c r="A1107" s="23" t="s">
        <v>41</v>
      </c>
      <c r="B1107" s="30" t="s">
        <v>129</v>
      </c>
      <c r="C1107" s="19">
        <v>46251</v>
      </c>
      <c r="D1107" s="13" t="s">
        <v>40</v>
      </c>
      <c r="E1107" s="23">
        <v>1555</v>
      </c>
      <c r="F1107" s="12">
        <v>0.28472399999999998</v>
      </c>
      <c r="G1107" s="14">
        <v>8.6307800000000004E-2</v>
      </c>
      <c r="H1107" s="15">
        <f t="shared" si="45"/>
        <v>0.43154094444444446</v>
      </c>
      <c r="I1107" s="16">
        <f t="shared" si="47"/>
        <v>0.10342318888888889</v>
      </c>
    </row>
    <row r="1108" spans="1:9" x14ac:dyDescent="0.3">
      <c r="A1108" s="23" t="s">
        <v>41</v>
      </c>
      <c r="B1108" s="30" t="s">
        <v>129</v>
      </c>
      <c r="C1108" s="19">
        <v>46251</v>
      </c>
      <c r="D1108" s="13" t="s">
        <v>21</v>
      </c>
      <c r="E1108" s="23">
        <v>1686</v>
      </c>
      <c r="F1108" s="12">
        <v>0.51975700000000002</v>
      </c>
      <c r="G1108" s="14">
        <v>0.101156</v>
      </c>
      <c r="H1108" s="15">
        <f t="shared" si="45"/>
        <v>0.43154094444444446</v>
      </c>
      <c r="I1108" s="16">
        <f t="shared" si="47"/>
        <v>0.10342318888888889</v>
      </c>
    </row>
    <row r="1109" spans="1:9" x14ac:dyDescent="0.3">
      <c r="A1109" s="23" t="s">
        <v>41</v>
      </c>
      <c r="B1109" s="30" t="s">
        <v>129</v>
      </c>
      <c r="C1109" s="19">
        <v>46251</v>
      </c>
      <c r="D1109" s="13" t="s">
        <v>22</v>
      </c>
      <c r="E1109" s="23">
        <v>1987</v>
      </c>
      <c r="F1109" s="12">
        <v>0.380083</v>
      </c>
      <c r="G1109" s="14">
        <v>0.103313</v>
      </c>
      <c r="H1109" s="15">
        <f t="shared" si="45"/>
        <v>0.43154094444444446</v>
      </c>
      <c r="I1109" s="16">
        <f t="shared" si="47"/>
        <v>0.10342318888888889</v>
      </c>
    </row>
    <row r="1110" spans="1:9" x14ac:dyDescent="0.3">
      <c r="A1110" s="23" t="s">
        <v>41</v>
      </c>
      <c r="B1110" s="30" t="s">
        <v>129</v>
      </c>
      <c r="C1110" s="19">
        <v>46251</v>
      </c>
      <c r="D1110" s="13" t="s">
        <v>23</v>
      </c>
      <c r="E1110" s="23">
        <v>2293</v>
      </c>
      <c r="F1110" s="12">
        <v>0.38328200000000001</v>
      </c>
      <c r="G1110" s="14">
        <v>0.125803</v>
      </c>
      <c r="H1110" s="15">
        <f t="shared" si="45"/>
        <v>0.43154094444444446</v>
      </c>
      <c r="I1110" s="16">
        <f t="shared" si="47"/>
        <v>0.10342318888888889</v>
      </c>
    </row>
    <row r="1111" spans="1:9" x14ac:dyDescent="0.3">
      <c r="A1111" s="23" t="s">
        <v>41</v>
      </c>
      <c r="B1111" s="30" t="s">
        <v>129</v>
      </c>
      <c r="C1111" s="19">
        <v>46251</v>
      </c>
      <c r="D1111" s="13" t="s">
        <v>24</v>
      </c>
      <c r="E1111" s="23">
        <v>2471</v>
      </c>
      <c r="F1111" s="12">
        <v>0.30921300000000002</v>
      </c>
      <c r="G1111" s="14">
        <v>9.5219700000000004E-2</v>
      </c>
      <c r="H1111" s="15">
        <f t="shared" si="45"/>
        <v>0.43154094444444446</v>
      </c>
      <c r="I1111" s="16">
        <f t="shared" si="47"/>
        <v>0.10342318888888889</v>
      </c>
    </row>
    <row r="1112" spans="1:9" x14ac:dyDescent="0.3">
      <c r="A1112" s="23" t="s">
        <v>41</v>
      </c>
      <c r="B1112" s="30" t="s">
        <v>129</v>
      </c>
      <c r="C1112" s="19">
        <v>46251</v>
      </c>
      <c r="D1112" s="13" t="s">
        <v>25</v>
      </c>
      <c r="E1112" s="23">
        <v>1172</v>
      </c>
      <c r="F1112" s="12">
        <v>0.32364399999999999</v>
      </c>
      <c r="G1112" s="14">
        <v>7.7815700000000002E-2</v>
      </c>
      <c r="H1112" s="15">
        <f t="shared" si="45"/>
        <v>0.43154094444444446</v>
      </c>
      <c r="I1112" s="16">
        <f t="shared" si="47"/>
        <v>0.10342318888888889</v>
      </c>
    </row>
    <row r="1113" spans="1:9" x14ac:dyDescent="0.3">
      <c r="A1113" s="23" t="s">
        <v>41</v>
      </c>
      <c r="B1113" s="30" t="s">
        <v>129</v>
      </c>
      <c r="C1113" s="19">
        <v>46251</v>
      </c>
      <c r="D1113" s="13" t="s">
        <v>26</v>
      </c>
      <c r="E1113" s="23">
        <v>1845</v>
      </c>
      <c r="F1113" s="12">
        <v>0.27182600000000001</v>
      </c>
      <c r="G1113" s="14">
        <v>8.7448100000000001E-2</v>
      </c>
      <c r="H1113" s="15">
        <f t="shared" si="45"/>
        <v>0.43154094444444446</v>
      </c>
      <c r="I1113" s="16">
        <f t="shared" si="47"/>
        <v>0.10342318888888889</v>
      </c>
    </row>
    <row r="1114" spans="1:9" x14ac:dyDescent="0.3">
      <c r="A1114" s="23" t="s">
        <v>41</v>
      </c>
      <c r="B1114" s="30" t="s">
        <v>129</v>
      </c>
      <c r="C1114" s="19">
        <v>46251</v>
      </c>
      <c r="D1114" s="13" t="s">
        <v>27</v>
      </c>
      <c r="E1114" s="23">
        <v>1001</v>
      </c>
      <c r="F1114" s="12">
        <v>0.60282599999999997</v>
      </c>
      <c r="G1114" s="14">
        <v>0.13685900000000001</v>
      </c>
      <c r="H1114" s="15">
        <f t="shared" si="45"/>
        <v>0.43154094444444446</v>
      </c>
      <c r="I1114" s="16">
        <f t="shared" si="47"/>
        <v>0.10342318888888889</v>
      </c>
    </row>
    <row r="1115" spans="1:9" x14ac:dyDescent="0.3">
      <c r="A1115" s="23" t="s">
        <v>41</v>
      </c>
      <c r="B1115" s="30" t="s">
        <v>129</v>
      </c>
      <c r="C1115" s="19">
        <v>46251</v>
      </c>
      <c r="D1115" s="13" t="s">
        <v>28</v>
      </c>
      <c r="E1115" s="23">
        <v>1416</v>
      </c>
      <c r="F1115" s="12">
        <v>0.42255999999999999</v>
      </c>
      <c r="G1115" s="14">
        <v>9.4866400000000004E-2</v>
      </c>
      <c r="H1115" s="15">
        <f t="shared" si="45"/>
        <v>0.43154094444444446</v>
      </c>
      <c r="I1115" s="16">
        <f t="shared" si="47"/>
        <v>0.10342318888888889</v>
      </c>
    </row>
    <row r="1116" spans="1:9" x14ac:dyDescent="0.3">
      <c r="A1116" s="23" t="s">
        <v>41</v>
      </c>
      <c r="B1116" s="30" t="s">
        <v>129</v>
      </c>
      <c r="C1116" s="19">
        <v>46251</v>
      </c>
      <c r="D1116" s="13" t="s">
        <v>29</v>
      </c>
      <c r="E1116" s="23">
        <v>1280</v>
      </c>
      <c r="F1116" s="12">
        <v>0.35569499999999998</v>
      </c>
      <c r="G1116" s="14">
        <v>7.3693800000000004E-2</v>
      </c>
      <c r="H1116" s="15">
        <f t="shared" si="45"/>
        <v>0.43154094444444446</v>
      </c>
      <c r="I1116" s="16">
        <f t="shared" si="47"/>
        <v>0.10342318888888889</v>
      </c>
    </row>
    <row r="1117" spans="1:9" x14ac:dyDescent="0.3">
      <c r="A1117" s="23" t="s">
        <v>41</v>
      </c>
      <c r="B1117" s="30" t="s">
        <v>129</v>
      </c>
      <c r="C1117" s="19">
        <v>46251</v>
      </c>
      <c r="D1117" s="13" t="s">
        <v>30</v>
      </c>
      <c r="E1117" s="23">
        <v>1111</v>
      </c>
      <c r="F1117" s="12">
        <v>0.58288700000000004</v>
      </c>
      <c r="G1117" s="14">
        <v>0.117351</v>
      </c>
      <c r="H1117" s="15">
        <f t="shared" si="45"/>
        <v>0.43154094444444446</v>
      </c>
      <c r="I1117" s="16">
        <f t="shared" si="47"/>
        <v>0.10342318888888889</v>
      </c>
    </row>
    <row r="1118" spans="1:9" x14ac:dyDescent="0.3">
      <c r="A1118" s="23" t="s">
        <v>41</v>
      </c>
      <c r="B1118" s="30" t="str">
        <f t="shared" si="46"/>
        <v>n/a</v>
      </c>
      <c r="C1118" s="19">
        <v>46251</v>
      </c>
      <c r="D1118" s="13" t="s">
        <v>14</v>
      </c>
      <c r="E1118" s="23">
        <v>2242</v>
      </c>
      <c r="F1118" s="12">
        <v>0.398567</v>
      </c>
      <c r="G1118" s="14">
        <v>0.11214499999999999</v>
      </c>
      <c r="H1118" s="15">
        <f t="shared" si="45"/>
        <v>0.42146349999999999</v>
      </c>
      <c r="I1118" s="16">
        <f t="shared" si="47"/>
        <v>0.10134896666666665</v>
      </c>
    </row>
    <row r="1119" spans="1:9" x14ac:dyDescent="0.3">
      <c r="A1119" s="23" t="s">
        <v>41</v>
      </c>
      <c r="B1119" s="30" t="str">
        <f t="shared" si="46"/>
        <v>n/a</v>
      </c>
      <c r="C1119" s="19">
        <v>46251</v>
      </c>
      <c r="D1119" s="13" t="s">
        <v>15</v>
      </c>
      <c r="E1119" s="23">
        <v>1709</v>
      </c>
      <c r="F1119" s="12">
        <v>0.36160999999999999</v>
      </c>
      <c r="G1119" s="14">
        <v>9.5325900000000005E-2</v>
      </c>
      <c r="H1119" s="15">
        <f t="shared" si="45"/>
        <v>0.42146349999999999</v>
      </c>
      <c r="I1119" s="16">
        <f t="shared" si="47"/>
        <v>0.10134896666666665</v>
      </c>
    </row>
    <row r="1120" spans="1:9" x14ac:dyDescent="0.3">
      <c r="A1120" s="23" t="s">
        <v>41</v>
      </c>
      <c r="B1120" s="30" t="str">
        <f t="shared" si="46"/>
        <v>n/a</v>
      </c>
      <c r="C1120" s="19">
        <v>46251</v>
      </c>
      <c r="D1120" s="13" t="s">
        <v>16</v>
      </c>
      <c r="E1120" s="23">
        <v>1583</v>
      </c>
      <c r="F1120" s="12">
        <v>0.48918</v>
      </c>
      <c r="G1120" s="14">
        <v>0.114796</v>
      </c>
      <c r="H1120" s="15">
        <f t="shared" si="45"/>
        <v>0.42146349999999999</v>
      </c>
      <c r="I1120" s="16">
        <f t="shared" si="47"/>
        <v>0.10134896666666665</v>
      </c>
    </row>
    <row r="1121" spans="1:9" x14ac:dyDescent="0.3">
      <c r="A1121" s="23" t="s">
        <v>41</v>
      </c>
      <c r="B1121" s="30" t="str">
        <f t="shared" si="46"/>
        <v>n/a</v>
      </c>
      <c r="C1121" s="19">
        <v>46251</v>
      </c>
      <c r="D1121" s="13" t="s">
        <v>17</v>
      </c>
      <c r="E1121" s="23">
        <v>1974</v>
      </c>
      <c r="F1121" s="12">
        <v>0.52810699999999999</v>
      </c>
      <c r="G1121" s="14">
        <v>0.104508</v>
      </c>
      <c r="H1121" s="15">
        <f t="shared" si="45"/>
        <v>0.42146349999999999</v>
      </c>
      <c r="I1121" s="16">
        <f t="shared" si="47"/>
        <v>0.10134896666666665</v>
      </c>
    </row>
    <row r="1122" spans="1:9" x14ac:dyDescent="0.3">
      <c r="A1122" s="23" t="s">
        <v>41</v>
      </c>
      <c r="B1122" s="30" t="str">
        <f t="shared" si="46"/>
        <v>n/a</v>
      </c>
      <c r="C1122" s="19">
        <v>46251</v>
      </c>
      <c r="D1122" s="13" t="s">
        <v>18</v>
      </c>
      <c r="E1122" s="23">
        <v>1672</v>
      </c>
      <c r="F1122" s="12">
        <v>0.35497099999999998</v>
      </c>
      <c r="G1122" s="14">
        <v>8.4469199999999994E-2</v>
      </c>
      <c r="H1122" s="15">
        <f t="shared" si="45"/>
        <v>0.42146349999999999</v>
      </c>
      <c r="I1122" s="16">
        <f t="shared" si="47"/>
        <v>0.10134896666666665</v>
      </c>
    </row>
    <row r="1123" spans="1:9" x14ac:dyDescent="0.3">
      <c r="A1123" s="23" t="s">
        <v>41</v>
      </c>
      <c r="B1123" s="30" t="str">
        <f t="shared" si="46"/>
        <v>n/a</v>
      </c>
      <c r="C1123" s="19">
        <v>46251</v>
      </c>
      <c r="D1123" s="13" t="s">
        <v>19</v>
      </c>
      <c r="E1123" s="23">
        <v>1670</v>
      </c>
      <c r="F1123" s="12">
        <v>0.53395000000000004</v>
      </c>
      <c r="G1123" s="14">
        <v>0.11239</v>
      </c>
      <c r="H1123" s="15">
        <f t="shared" si="45"/>
        <v>0.42146349999999999</v>
      </c>
      <c r="I1123" s="16">
        <f t="shared" si="47"/>
        <v>0.10134896666666665</v>
      </c>
    </row>
    <row r="1124" spans="1:9" x14ac:dyDescent="0.3">
      <c r="A1124" s="23" t="s">
        <v>41</v>
      </c>
      <c r="B1124" s="30" t="str">
        <f t="shared" si="46"/>
        <v>n/a</v>
      </c>
      <c r="C1124" s="19">
        <v>46251</v>
      </c>
      <c r="D1124" s="13" t="s">
        <v>20</v>
      </c>
      <c r="E1124" s="23">
        <v>1457</v>
      </c>
      <c r="F1124" s="12">
        <v>0.51797000000000004</v>
      </c>
      <c r="G1124" s="14">
        <v>0.108448</v>
      </c>
      <c r="H1124" s="15">
        <f t="shared" si="45"/>
        <v>0.42146349999999999</v>
      </c>
      <c r="I1124" s="16">
        <f t="shared" si="47"/>
        <v>0.10134896666666665</v>
      </c>
    </row>
    <row r="1125" spans="1:9" x14ac:dyDescent="0.3">
      <c r="A1125" s="23" t="s">
        <v>41</v>
      </c>
      <c r="B1125" s="30" t="str">
        <f t="shared" si="46"/>
        <v>n/a</v>
      </c>
      <c r="C1125" s="19">
        <v>46251</v>
      </c>
      <c r="D1125" s="13" t="s">
        <v>40</v>
      </c>
      <c r="E1125" s="23">
        <v>1754</v>
      </c>
      <c r="F1125" s="12">
        <v>0.29023500000000002</v>
      </c>
      <c r="G1125" s="14">
        <v>8.7974200000000002E-2</v>
      </c>
      <c r="H1125" s="15">
        <f t="shared" si="45"/>
        <v>0.42146349999999999</v>
      </c>
      <c r="I1125" s="16">
        <f t="shared" si="47"/>
        <v>0.10134896666666665</v>
      </c>
    </row>
    <row r="1126" spans="1:9" x14ac:dyDescent="0.3">
      <c r="A1126" s="23" t="s">
        <v>41</v>
      </c>
      <c r="B1126" s="30" t="str">
        <f t="shared" si="46"/>
        <v>n/a</v>
      </c>
      <c r="C1126" s="19">
        <v>46251</v>
      </c>
      <c r="D1126" s="13" t="s">
        <v>21</v>
      </c>
      <c r="E1126" s="23">
        <v>1608</v>
      </c>
      <c r="F1126" s="12">
        <v>0.48822300000000002</v>
      </c>
      <c r="G1126" s="14">
        <v>9.5040399999999997E-2</v>
      </c>
      <c r="H1126" s="15">
        <f t="shared" ref="H1126:H1189" si="48">IFERROR(AVERAGEIFS($F:$F, $A:$A, $A1126, $B:$B,$B1126, $C:$C,$C1126),"")</f>
        <v>0.42146349999999999</v>
      </c>
      <c r="I1126" s="16">
        <f t="shared" si="47"/>
        <v>0.10134896666666665</v>
      </c>
    </row>
    <row r="1127" spans="1:9" x14ac:dyDescent="0.3">
      <c r="A1127" s="23" t="s">
        <v>41</v>
      </c>
      <c r="B1127" s="30" t="str">
        <f t="shared" si="46"/>
        <v>n/a</v>
      </c>
      <c r="C1127" s="19">
        <v>46251</v>
      </c>
      <c r="D1127" s="13" t="s">
        <v>22</v>
      </c>
      <c r="E1127" s="23">
        <v>2311</v>
      </c>
      <c r="F1127" s="12">
        <v>0.34321800000000002</v>
      </c>
      <c r="G1127" s="14">
        <v>9.3296199999999996E-2</v>
      </c>
      <c r="H1127" s="15">
        <f t="shared" si="48"/>
        <v>0.42146349999999999</v>
      </c>
      <c r="I1127" s="16">
        <f t="shared" si="47"/>
        <v>0.10134896666666665</v>
      </c>
    </row>
    <row r="1128" spans="1:9" x14ac:dyDescent="0.3">
      <c r="A1128" s="23" t="s">
        <v>41</v>
      </c>
      <c r="B1128" s="30" t="str">
        <f t="shared" ref="B1128:B1135" si="49">IF($A1128="Daily", "n/a", "")</f>
        <v>n/a</v>
      </c>
      <c r="C1128" s="19">
        <v>46251</v>
      </c>
      <c r="D1128" s="13" t="s">
        <v>23</v>
      </c>
      <c r="E1128" s="23">
        <v>1723</v>
      </c>
      <c r="F1128" s="12">
        <v>0.35619899999999999</v>
      </c>
      <c r="G1128" s="14">
        <v>0.116948</v>
      </c>
      <c r="H1128" s="15">
        <f t="shared" si="48"/>
        <v>0.42146349999999999</v>
      </c>
      <c r="I1128" s="16">
        <f t="shared" si="47"/>
        <v>0.10134896666666665</v>
      </c>
    </row>
    <row r="1129" spans="1:9" x14ac:dyDescent="0.3">
      <c r="A1129" s="23" t="s">
        <v>41</v>
      </c>
      <c r="B1129" s="30" t="str">
        <f t="shared" si="49"/>
        <v>n/a</v>
      </c>
      <c r="C1129" s="19">
        <v>46251</v>
      </c>
      <c r="D1129" s="13" t="s">
        <v>24</v>
      </c>
      <c r="E1129" s="23">
        <v>2320</v>
      </c>
      <c r="F1129" s="12">
        <v>0.31590299999999999</v>
      </c>
      <c r="G1129" s="14">
        <v>9.7337800000000002E-2</v>
      </c>
      <c r="H1129" s="15">
        <f t="shared" si="48"/>
        <v>0.42146349999999999</v>
      </c>
      <c r="I1129" s="16">
        <f t="shared" si="47"/>
        <v>0.10134896666666665</v>
      </c>
    </row>
    <row r="1130" spans="1:9" x14ac:dyDescent="0.3">
      <c r="A1130" s="23" t="s">
        <v>41</v>
      </c>
      <c r="B1130" s="30" t="str">
        <f t="shared" si="49"/>
        <v>n/a</v>
      </c>
      <c r="C1130" s="19">
        <v>46251</v>
      </c>
      <c r="D1130" s="13" t="s">
        <v>25</v>
      </c>
      <c r="E1130" s="23">
        <v>1012</v>
      </c>
      <c r="F1130" s="12">
        <v>0.39032899999999998</v>
      </c>
      <c r="G1130" s="14">
        <v>9.3941499999999997E-2</v>
      </c>
      <c r="H1130" s="15">
        <f t="shared" si="48"/>
        <v>0.42146349999999999</v>
      </c>
      <c r="I1130" s="16">
        <f t="shared" si="47"/>
        <v>0.10134896666666665</v>
      </c>
    </row>
    <row r="1131" spans="1:9" x14ac:dyDescent="0.3">
      <c r="A1131" s="23" t="s">
        <v>41</v>
      </c>
      <c r="B1131" s="30" t="str">
        <f t="shared" si="49"/>
        <v>n/a</v>
      </c>
      <c r="C1131" s="19">
        <v>46251</v>
      </c>
      <c r="D1131" s="13" t="s">
        <v>26</v>
      </c>
      <c r="E1131" s="23">
        <v>2552</v>
      </c>
      <c r="F1131" s="12">
        <v>0.28678700000000001</v>
      </c>
      <c r="G1131" s="14">
        <v>9.2274499999999995E-2</v>
      </c>
      <c r="H1131" s="15">
        <f t="shared" si="48"/>
        <v>0.42146349999999999</v>
      </c>
      <c r="I1131" s="16">
        <f t="shared" si="47"/>
        <v>0.10134896666666665</v>
      </c>
    </row>
    <row r="1132" spans="1:9" x14ac:dyDescent="0.3">
      <c r="A1132" s="23" t="s">
        <v>41</v>
      </c>
      <c r="B1132" s="30" t="str">
        <f t="shared" si="49"/>
        <v>n/a</v>
      </c>
      <c r="C1132" s="19">
        <v>46251</v>
      </c>
      <c r="D1132" s="13" t="s">
        <v>27</v>
      </c>
      <c r="E1132" s="23">
        <v>1035</v>
      </c>
      <c r="F1132" s="12">
        <v>0.57278499999999999</v>
      </c>
      <c r="G1132" s="14">
        <v>0.13004399999999999</v>
      </c>
      <c r="H1132" s="15">
        <f t="shared" si="48"/>
        <v>0.42146349999999999</v>
      </c>
      <c r="I1132" s="16">
        <f t="shared" si="47"/>
        <v>0.10134896666666665</v>
      </c>
    </row>
    <row r="1133" spans="1:9" x14ac:dyDescent="0.3">
      <c r="A1133" s="23" t="s">
        <v>41</v>
      </c>
      <c r="B1133" s="30" t="str">
        <f t="shared" si="49"/>
        <v>n/a</v>
      </c>
      <c r="C1133" s="19">
        <v>46251</v>
      </c>
      <c r="D1133" s="13" t="s">
        <v>28</v>
      </c>
      <c r="E1133" s="23">
        <v>1272</v>
      </c>
      <c r="F1133" s="12">
        <v>0.42932599999999999</v>
      </c>
      <c r="G1133" s="14">
        <v>9.6414600000000003E-2</v>
      </c>
      <c r="H1133" s="15">
        <f t="shared" si="48"/>
        <v>0.42146349999999999</v>
      </c>
      <c r="I1133" s="16">
        <f t="shared" si="47"/>
        <v>0.10134896666666665</v>
      </c>
    </row>
    <row r="1134" spans="1:9" x14ac:dyDescent="0.3">
      <c r="A1134" s="23" t="s">
        <v>41</v>
      </c>
      <c r="B1134" s="30" t="str">
        <f t="shared" si="49"/>
        <v>n/a</v>
      </c>
      <c r="C1134" s="19">
        <v>46251</v>
      </c>
      <c r="D1134" s="13" t="s">
        <v>29</v>
      </c>
      <c r="E1134" s="23">
        <v>1004</v>
      </c>
      <c r="F1134" s="12">
        <v>0.33120699999999997</v>
      </c>
      <c r="G1134" s="14">
        <v>6.8599099999999996E-2</v>
      </c>
      <c r="H1134" s="15">
        <f t="shared" si="48"/>
        <v>0.42146349999999999</v>
      </c>
      <c r="I1134" s="16">
        <f t="shared" si="47"/>
        <v>0.10134896666666665</v>
      </c>
    </row>
    <row r="1135" spans="1:9" x14ac:dyDescent="0.3">
      <c r="A1135" s="23" t="s">
        <v>41</v>
      </c>
      <c r="B1135" s="30" t="str">
        <f t="shared" si="49"/>
        <v>n/a</v>
      </c>
      <c r="C1135" s="19">
        <v>46251</v>
      </c>
      <c r="D1135" s="13" t="s">
        <v>30</v>
      </c>
      <c r="E1135" s="23">
        <v>1423</v>
      </c>
      <c r="F1135" s="12">
        <v>0.59777599999999997</v>
      </c>
      <c r="G1135" s="14">
        <v>0.12032900000000001</v>
      </c>
      <c r="H1135" s="15">
        <f t="shared" si="48"/>
        <v>0.42146349999999999</v>
      </c>
      <c r="I1135" s="16">
        <f t="shared" si="47"/>
        <v>0.10134896666666665</v>
      </c>
    </row>
    <row r="1136" spans="1:9" x14ac:dyDescent="0.3">
      <c r="A1136" s="23" t="s">
        <v>41</v>
      </c>
      <c r="B1136" s="30" t="s">
        <v>50</v>
      </c>
      <c r="C1136" s="19">
        <v>46252</v>
      </c>
      <c r="D1136" s="13" t="s">
        <v>14</v>
      </c>
      <c r="E1136" s="23">
        <v>2683</v>
      </c>
      <c r="F1136" s="12">
        <v>0.41292200000000001</v>
      </c>
      <c r="G1136" s="14">
        <v>0.116243</v>
      </c>
      <c r="H1136" s="15">
        <f t="shared" si="48"/>
        <v>0.44992333333333334</v>
      </c>
      <c r="I1136" s="16">
        <f t="shared" si="47"/>
        <v>0.10735645000000002</v>
      </c>
    </row>
    <row r="1137" spans="1:9" x14ac:dyDescent="0.3">
      <c r="A1137" s="23" t="s">
        <v>41</v>
      </c>
      <c r="B1137" s="30" t="s">
        <v>50</v>
      </c>
      <c r="C1137" s="19">
        <v>46252</v>
      </c>
      <c r="D1137" s="13" t="s">
        <v>15</v>
      </c>
      <c r="E1137" s="23">
        <v>2063</v>
      </c>
      <c r="F1137" s="12">
        <v>0.435645</v>
      </c>
      <c r="G1137" s="14">
        <v>0.114894</v>
      </c>
      <c r="H1137" s="15">
        <f t="shared" si="48"/>
        <v>0.44992333333333334</v>
      </c>
      <c r="I1137" s="16">
        <f t="shared" si="47"/>
        <v>0.10735645000000002</v>
      </c>
    </row>
    <row r="1138" spans="1:9" x14ac:dyDescent="0.3">
      <c r="A1138" s="23" t="s">
        <v>41</v>
      </c>
      <c r="B1138" s="30" t="s">
        <v>50</v>
      </c>
      <c r="C1138" s="19">
        <v>46252</v>
      </c>
      <c r="D1138" s="13" t="s">
        <v>16</v>
      </c>
      <c r="E1138" s="23">
        <v>1393</v>
      </c>
      <c r="F1138" s="12">
        <v>0.51256000000000002</v>
      </c>
      <c r="G1138" s="14">
        <v>0.12031799999999999</v>
      </c>
      <c r="H1138" s="15">
        <f t="shared" si="48"/>
        <v>0.44992333333333334</v>
      </c>
      <c r="I1138" s="16">
        <f t="shared" si="47"/>
        <v>0.10735645000000002</v>
      </c>
    </row>
    <row r="1139" spans="1:9" x14ac:dyDescent="0.3">
      <c r="A1139" s="23" t="s">
        <v>41</v>
      </c>
      <c r="B1139" s="30" t="s">
        <v>50</v>
      </c>
      <c r="C1139" s="19">
        <v>46252</v>
      </c>
      <c r="D1139" s="13" t="s">
        <v>17</v>
      </c>
      <c r="E1139" s="23">
        <v>1839</v>
      </c>
      <c r="F1139" s="12">
        <v>0.64675400000000005</v>
      </c>
      <c r="G1139" s="14">
        <v>0.12797800000000001</v>
      </c>
      <c r="H1139" s="15">
        <f t="shared" si="48"/>
        <v>0.44992333333333334</v>
      </c>
      <c r="I1139" s="16">
        <f t="shared" si="47"/>
        <v>0.10735645000000002</v>
      </c>
    </row>
    <row r="1140" spans="1:9" x14ac:dyDescent="0.3">
      <c r="A1140" s="23" t="s">
        <v>41</v>
      </c>
      <c r="B1140" s="30" t="s">
        <v>50</v>
      </c>
      <c r="C1140" s="19">
        <v>46252</v>
      </c>
      <c r="D1140" s="13" t="s">
        <v>18</v>
      </c>
      <c r="E1140" s="23">
        <v>1875</v>
      </c>
      <c r="F1140" s="12">
        <v>0.367645</v>
      </c>
      <c r="G1140" s="14">
        <v>8.7530300000000005E-2</v>
      </c>
      <c r="H1140" s="15">
        <f t="shared" si="48"/>
        <v>0.44992333333333334</v>
      </c>
      <c r="I1140" s="16">
        <f t="shared" si="47"/>
        <v>0.10735645000000002</v>
      </c>
    </row>
    <row r="1141" spans="1:9" x14ac:dyDescent="0.3">
      <c r="A1141" s="23" t="s">
        <v>41</v>
      </c>
      <c r="B1141" s="30" t="s">
        <v>50</v>
      </c>
      <c r="C1141" s="19">
        <v>46252</v>
      </c>
      <c r="D1141" s="13" t="s">
        <v>19</v>
      </c>
      <c r="E1141" s="23">
        <v>1426</v>
      </c>
      <c r="F1141" s="12">
        <v>0.55123200000000006</v>
      </c>
      <c r="G1141" s="14">
        <v>0.11608300000000001</v>
      </c>
      <c r="H1141" s="15">
        <f t="shared" si="48"/>
        <v>0.44992333333333334</v>
      </c>
      <c r="I1141" s="16">
        <f t="shared" si="47"/>
        <v>0.10735645000000002</v>
      </c>
    </row>
    <row r="1142" spans="1:9" x14ac:dyDescent="0.3">
      <c r="A1142" s="23" t="s">
        <v>41</v>
      </c>
      <c r="B1142" s="30" t="s">
        <v>50</v>
      </c>
      <c r="C1142" s="19">
        <v>46252</v>
      </c>
      <c r="D1142" s="13" t="s">
        <v>20</v>
      </c>
      <c r="E1142" s="23">
        <v>1230</v>
      </c>
      <c r="F1142" s="12">
        <v>0.63231000000000004</v>
      </c>
      <c r="G1142" s="14">
        <v>0.13243199999999999</v>
      </c>
      <c r="H1142" s="15">
        <f t="shared" si="48"/>
        <v>0.44992333333333334</v>
      </c>
      <c r="I1142" s="16">
        <f t="shared" si="47"/>
        <v>0.10735645000000002</v>
      </c>
    </row>
    <row r="1143" spans="1:9" x14ac:dyDescent="0.3">
      <c r="A1143" s="23" t="s">
        <v>41</v>
      </c>
      <c r="B1143" s="30" t="s">
        <v>50</v>
      </c>
      <c r="C1143" s="19">
        <v>46252</v>
      </c>
      <c r="D1143" s="13" t="s">
        <v>40</v>
      </c>
      <c r="E1143" s="23">
        <v>1745</v>
      </c>
      <c r="F1143" s="12">
        <v>0.232436</v>
      </c>
      <c r="G1143" s="14">
        <v>7.0449899999999996E-2</v>
      </c>
      <c r="H1143" s="15">
        <f t="shared" si="48"/>
        <v>0.44992333333333334</v>
      </c>
      <c r="I1143" s="16">
        <f t="shared" si="47"/>
        <v>0.10735645000000002</v>
      </c>
    </row>
    <row r="1144" spans="1:9" x14ac:dyDescent="0.3">
      <c r="A1144" s="23" t="s">
        <v>41</v>
      </c>
      <c r="B1144" s="30" t="s">
        <v>50</v>
      </c>
      <c r="C1144" s="19">
        <v>46252</v>
      </c>
      <c r="D1144" s="13" t="s">
        <v>21</v>
      </c>
      <c r="E1144" s="23">
        <v>2642</v>
      </c>
      <c r="F1144" s="12">
        <v>0.49119800000000002</v>
      </c>
      <c r="G1144" s="14">
        <v>9.5622499999999999E-2</v>
      </c>
      <c r="H1144" s="15">
        <f t="shared" si="48"/>
        <v>0.44992333333333334</v>
      </c>
      <c r="I1144" s="16">
        <f t="shared" si="47"/>
        <v>0.10735645000000002</v>
      </c>
    </row>
    <row r="1145" spans="1:9" x14ac:dyDescent="0.3">
      <c r="A1145" s="23" t="s">
        <v>41</v>
      </c>
      <c r="B1145" s="30" t="s">
        <v>50</v>
      </c>
      <c r="C1145" s="19">
        <v>46252</v>
      </c>
      <c r="D1145" s="13" t="s">
        <v>22</v>
      </c>
      <c r="E1145" s="23">
        <v>2179</v>
      </c>
      <c r="F1145" s="12">
        <v>0.34789900000000001</v>
      </c>
      <c r="G1145" s="14">
        <v>9.45627E-2</v>
      </c>
      <c r="H1145" s="15">
        <f t="shared" si="48"/>
        <v>0.44992333333333334</v>
      </c>
      <c r="I1145" s="16">
        <f t="shared" si="47"/>
        <v>0.10735645000000002</v>
      </c>
    </row>
    <row r="1146" spans="1:9" x14ac:dyDescent="0.3">
      <c r="A1146" s="23" t="s">
        <v>41</v>
      </c>
      <c r="B1146" s="30" t="s">
        <v>50</v>
      </c>
      <c r="C1146" s="19">
        <v>46252</v>
      </c>
      <c r="D1146" s="13" t="s">
        <v>23</v>
      </c>
      <c r="E1146" s="23">
        <v>2320</v>
      </c>
      <c r="F1146" s="12">
        <v>0.41121099999999999</v>
      </c>
      <c r="G1146" s="14">
        <v>0.135014</v>
      </c>
      <c r="H1146" s="15">
        <f t="shared" si="48"/>
        <v>0.44992333333333334</v>
      </c>
      <c r="I1146" s="16">
        <f t="shared" si="47"/>
        <v>0.10735645000000002</v>
      </c>
    </row>
    <row r="1147" spans="1:9" x14ac:dyDescent="0.3">
      <c r="A1147" s="23" t="s">
        <v>41</v>
      </c>
      <c r="B1147" s="30" t="s">
        <v>50</v>
      </c>
      <c r="C1147" s="19">
        <v>46252</v>
      </c>
      <c r="D1147" s="13" t="s">
        <v>24</v>
      </c>
      <c r="E1147" s="23">
        <v>2710</v>
      </c>
      <c r="F1147" s="12">
        <v>0.29681299999999999</v>
      </c>
      <c r="G1147" s="14">
        <v>9.1429200000000002E-2</v>
      </c>
      <c r="H1147" s="15">
        <f t="shared" si="48"/>
        <v>0.44992333333333334</v>
      </c>
      <c r="I1147" s="16">
        <f t="shared" si="47"/>
        <v>0.10735645000000002</v>
      </c>
    </row>
    <row r="1148" spans="1:9" x14ac:dyDescent="0.3">
      <c r="A1148" s="23" t="s">
        <v>41</v>
      </c>
      <c r="B1148" s="30" t="s">
        <v>50</v>
      </c>
      <c r="C1148" s="19">
        <v>46252</v>
      </c>
      <c r="D1148" s="13" t="s">
        <v>25</v>
      </c>
      <c r="E1148" s="23">
        <v>1379</v>
      </c>
      <c r="F1148" s="12">
        <v>0.35791400000000001</v>
      </c>
      <c r="G1148" s="14">
        <v>8.6167999999999995E-2</v>
      </c>
      <c r="H1148" s="15">
        <f t="shared" si="48"/>
        <v>0.44992333333333334</v>
      </c>
      <c r="I1148" s="16">
        <f t="shared" si="47"/>
        <v>0.10735645000000002</v>
      </c>
    </row>
    <row r="1149" spans="1:9" x14ac:dyDescent="0.3">
      <c r="A1149" s="23" t="s">
        <v>41</v>
      </c>
      <c r="B1149" s="30" t="s">
        <v>50</v>
      </c>
      <c r="C1149" s="19">
        <v>46252</v>
      </c>
      <c r="D1149" s="13" t="s">
        <v>26</v>
      </c>
      <c r="E1149" s="23">
        <v>2429</v>
      </c>
      <c r="F1149" s="12">
        <v>0.27052700000000002</v>
      </c>
      <c r="G1149" s="14">
        <v>8.7048399999999998E-2</v>
      </c>
      <c r="H1149" s="15">
        <f t="shared" si="48"/>
        <v>0.44992333333333334</v>
      </c>
      <c r="I1149" s="16">
        <f t="shared" si="47"/>
        <v>0.10735645000000002</v>
      </c>
    </row>
    <row r="1150" spans="1:9" x14ac:dyDescent="0.3">
      <c r="A1150" s="23" t="s">
        <v>41</v>
      </c>
      <c r="B1150" s="30" t="s">
        <v>50</v>
      </c>
      <c r="C1150" s="19">
        <v>46252</v>
      </c>
      <c r="D1150" s="13" t="s">
        <v>27</v>
      </c>
      <c r="E1150" s="23">
        <v>1937</v>
      </c>
      <c r="F1150" s="12">
        <v>0.48827100000000001</v>
      </c>
      <c r="G1150" s="14">
        <v>0.110857</v>
      </c>
      <c r="H1150" s="15">
        <f t="shared" si="48"/>
        <v>0.44992333333333334</v>
      </c>
      <c r="I1150" s="16">
        <f t="shared" si="47"/>
        <v>0.10735645000000002</v>
      </c>
    </row>
    <row r="1151" spans="1:9" x14ac:dyDescent="0.3">
      <c r="A1151" s="23" t="s">
        <v>41</v>
      </c>
      <c r="B1151" s="30" t="s">
        <v>50</v>
      </c>
      <c r="C1151" s="19">
        <v>46252</v>
      </c>
      <c r="D1151" s="13" t="s">
        <v>28</v>
      </c>
      <c r="E1151" s="23">
        <v>1290</v>
      </c>
      <c r="F1151" s="12">
        <v>0.54166199999999998</v>
      </c>
      <c r="G1151" s="14">
        <v>0.121682</v>
      </c>
      <c r="H1151" s="15">
        <f t="shared" si="48"/>
        <v>0.44992333333333334</v>
      </c>
      <c r="I1151" s="16">
        <f t="shared" si="47"/>
        <v>0.10735645000000002</v>
      </c>
    </row>
    <row r="1152" spans="1:9" x14ac:dyDescent="0.3">
      <c r="A1152" s="23" t="s">
        <v>41</v>
      </c>
      <c r="B1152" s="30" t="s">
        <v>50</v>
      </c>
      <c r="C1152" s="19">
        <v>46252</v>
      </c>
      <c r="D1152" s="13" t="s">
        <v>29</v>
      </c>
      <c r="E1152" s="23">
        <v>1192</v>
      </c>
      <c r="F1152" s="12">
        <v>0.41064200000000001</v>
      </c>
      <c r="G1152" s="14">
        <v>8.5094100000000006E-2</v>
      </c>
      <c r="H1152" s="15">
        <f t="shared" si="48"/>
        <v>0.44992333333333334</v>
      </c>
      <c r="I1152" s="16">
        <f t="shared" si="47"/>
        <v>0.10735645000000002</v>
      </c>
    </row>
    <row r="1153" spans="1:9" x14ac:dyDescent="0.3">
      <c r="A1153" s="23" t="s">
        <v>41</v>
      </c>
      <c r="B1153" s="30" t="s">
        <v>50</v>
      </c>
      <c r="C1153" s="19">
        <v>46252</v>
      </c>
      <c r="D1153" s="13" t="s">
        <v>30</v>
      </c>
      <c r="E1153" s="23">
        <v>1004</v>
      </c>
      <c r="F1153" s="12">
        <v>0.69097900000000001</v>
      </c>
      <c r="G1153" s="14">
        <v>0.13900999999999999</v>
      </c>
      <c r="H1153" s="15">
        <f t="shared" si="48"/>
        <v>0.44992333333333334</v>
      </c>
      <c r="I1153" s="16">
        <f>IFERROR(AVERAGEIFS($G:$G, $A:$A, $A1153, $B:$B,$B1153, $C:$C,$C1153),"")</f>
        <v>0.10735645000000002</v>
      </c>
    </row>
    <row r="1154" spans="1:9" x14ac:dyDescent="0.3">
      <c r="A1154" s="23" t="s">
        <v>41</v>
      </c>
      <c r="B1154" s="30" t="s">
        <v>50</v>
      </c>
      <c r="C1154" s="19">
        <v>46253</v>
      </c>
      <c r="D1154" s="13" t="s">
        <v>14</v>
      </c>
      <c r="E1154" s="23">
        <v>1878</v>
      </c>
      <c r="F1154" s="12">
        <v>0.316361</v>
      </c>
      <c r="G1154" s="14">
        <v>8.9035699999999995E-2</v>
      </c>
      <c r="H1154" s="15">
        <f t="shared" si="48"/>
        <v>0.54501322222222226</v>
      </c>
      <c r="I1154" s="16">
        <f t="shared" ref="I1154:I1217" si="50">IFERROR(AVERAGEIFS($G:$G, $A:$A, $A1154, $B:$B,$B1154, $C:$C,$C1154),"")</f>
        <v>0.12795185555555555</v>
      </c>
    </row>
    <row r="1155" spans="1:9" x14ac:dyDescent="0.3">
      <c r="A1155" s="23" t="s">
        <v>41</v>
      </c>
      <c r="B1155" s="30" t="s">
        <v>50</v>
      </c>
      <c r="C1155" s="19">
        <v>46253</v>
      </c>
      <c r="D1155" s="13" t="s">
        <v>15</v>
      </c>
      <c r="E1155" s="23">
        <v>1341</v>
      </c>
      <c r="F1155" s="12">
        <v>0.54754100000000006</v>
      </c>
      <c r="G1155" s="14">
        <v>0.144426</v>
      </c>
      <c r="H1155" s="15">
        <f t="shared" si="48"/>
        <v>0.54501322222222226</v>
      </c>
      <c r="I1155" s="16">
        <f t="shared" si="50"/>
        <v>0.12795185555555555</v>
      </c>
    </row>
    <row r="1156" spans="1:9" x14ac:dyDescent="0.3">
      <c r="A1156" s="23" t="s">
        <v>41</v>
      </c>
      <c r="B1156" s="30" t="s">
        <v>50</v>
      </c>
      <c r="C1156" s="19">
        <v>46253</v>
      </c>
      <c r="D1156" s="13" t="s">
        <v>16</v>
      </c>
      <c r="E1156" s="23">
        <v>1363</v>
      </c>
      <c r="F1156" s="12">
        <v>0.62712800000000002</v>
      </c>
      <c r="G1156" s="14">
        <v>0.14702699999999999</v>
      </c>
      <c r="H1156" s="15">
        <f t="shared" si="48"/>
        <v>0.54501322222222226</v>
      </c>
      <c r="I1156" s="16">
        <f t="shared" si="50"/>
        <v>0.12795185555555555</v>
      </c>
    </row>
    <row r="1157" spans="1:9" x14ac:dyDescent="0.3">
      <c r="A1157" s="23" t="s">
        <v>41</v>
      </c>
      <c r="B1157" s="30" t="s">
        <v>50</v>
      </c>
      <c r="C1157" s="19">
        <v>46253</v>
      </c>
      <c r="D1157" s="13" t="s">
        <v>17</v>
      </c>
      <c r="E1157" s="23">
        <v>2232</v>
      </c>
      <c r="F1157" s="12">
        <v>0.85533700000000001</v>
      </c>
      <c r="G1157" s="14">
        <v>0.16939599999999999</v>
      </c>
      <c r="H1157" s="15">
        <f t="shared" si="48"/>
        <v>0.54501322222222226</v>
      </c>
      <c r="I1157" s="16">
        <f t="shared" si="50"/>
        <v>0.12795185555555555</v>
      </c>
    </row>
    <row r="1158" spans="1:9" x14ac:dyDescent="0.3">
      <c r="A1158" s="23" t="s">
        <v>41</v>
      </c>
      <c r="B1158" s="30" t="s">
        <v>50</v>
      </c>
      <c r="C1158" s="19">
        <v>46253</v>
      </c>
      <c r="D1158" s="13" t="s">
        <v>18</v>
      </c>
      <c r="E1158" s="23">
        <v>1281</v>
      </c>
      <c r="F1158" s="12">
        <v>0.56932799999999995</v>
      </c>
      <c r="G1158" s="14">
        <v>0.13553999999999999</v>
      </c>
      <c r="H1158" s="15">
        <f t="shared" si="48"/>
        <v>0.54501322222222226</v>
      </c>
      <c r="I1158" s="16">
        <f t="shared" si="50"/>
        <v>0.12795185555555555</v>
      </c>
    </row>
    <row r="1159" spans="1:9" x14ac:dyDescent="0.3">
      <c r="A1159" s="23" t="s">
        <v>41</v>
      </c>
      <c r="B1159" s="30" t="s">
        <v>50</v>
      </c>
      <c r="C1159" s="19">
        <v>46253</v>
      </c>
      <c r="D1159" s="13" t="s">
        <v>19</v>
      </c>
      <c r="E1159" s="23">
        <v>1204</v>
      </c>
      <c r="F1159" s="12">
        <v>0.68071800000000005</v>
      </c>
      <c r="G1159" s="14">
        <v>0.143265</v>
      </c>
      <c r="H1159" s="15">
        <f t="shared" si="48"/>
        <v>0.54501322222222226</v>
      </c>
      <c r="I1159" s="16">
        <f t="shared" si="50"/>
        <v>0.12795185555555555</v>
      </c>
    </row>
    <row r="1160" spans="1:9" x14ac:dyDescent="0.3">
      <c r="A1160" s="23" t="s">
        <v>41</v>
      </c>
      <c r="B1160" s="30" t="s">
        <v>50</v>
      </c>
      <c r="C1160" s="19">
        <v>46253</v>
      </c>
      <c r="D1160" s="13" t="s">
        <v>20</v>
      </c>
      <c r="E1160" s="23">
        <v>1119</v>
      </c>
      <c r="F1160" s="12">
        <v>0.77260399999999996</v>
      </c>
      <c r="G1160" s="14">
        <v>0.16206999999999999</v>
      </c>
      <c r="H1160" s="15">
        <f t="shared" si="48"/>
        <v>0.54501322222222226</v>
      </c>
      <c r="I1160" s="16">
        <f t="shared" si="50"/>
        <v>0.12795185555555555</v>
      </c>
    </row>
    <row r="1161" spans="1:9" x14ac:dyDescent="0.3">
      <c r="A1161" s="23" t="s">
        <v>41</v>
      </c>
      <c r="B1161" s="30" t="s">
        <v>50</v>
      </c>
      <c r="C1161" s="19">
        <v>46253</v>
      </c>
      <c r="D1161" s="13" t="s">
        <v>40</v>
      </c>
      <c r="E1161" s="23">
        <v>1676</v>
      </c>
      <c r="F1161" s="12">
        <v>0.364568</v>
      </c>
      <c r="G1161" s="14">
        <v>0.11058999999999999</v>
      </c>
      <c r="H1161" s="15">
        <f t="shared" si="48"/>
        <v>0.54501322222222226</v>
      </c>
      <c r="I1161" s="16">
        <f t="shared" si="50"/>
        <v>0.12795185555555555</v>
      </c>
    </row>
    <row r="1162" spans="1:9" x14ac:dyDescent="0.3">
      <c r="A1162" s="23" t="s">
        <v>41</v>
      </c>
      <c r="B1162" s="30" t="s">
        <v>50</v>
      </c>
      <c r="C1162" s="19">
        <v>46253</v>
      </c>
      <c r="D1162" s="13" t="s">
        <v>21</v>
      </c>
      <c r="E1162" s="23">
        <v>2728</v>
      </c>
      <c r="F1162" s="12">
        <v>0.50004999999999999</v>
      </c>
      <c r="G1162" s="14">
        <v>9.7254199999999999E-2</v>
      </c>
      <c r="H1162" s="15">
        <f t="shared" si="48"/>
        <v>0.54501322222222226</v>
      </c>
      <c r="I1162" s="16">
        <f t="shared" si="50"/>
        <v>0.12795185555555555</v>
      </c>
    </row>
    <row r="1163" spans="1:9" x14ac:dyDescent="0.3">
      <c r="A1163" s="23" t="s">
        <v>41</v>
      </c>
      <c r="B1163" s="30" t="s">
        <v>50</v>
      </c>
      <c r="C1163" s="19">
        <v>46253</v>
      </c>
      <c r="D1163" s="13" t="s">
        <v>22</v>
      </c>
      <c r="E1163" s="23">
        <v>2567</v>
      </c>
      <c r="F1163" s="12">
        <v>0.43534499999999998</v>
      </c>
      <c r="G1163" s="14">
        <v>0.11839</v>
      </c>
      <c r="H1163" s="15">
        <f t="shared" si="48"/>
        <v>0.54501322222222226</v>
      </c>
      <c r="I1163" s="16">
        <f t="shared" si="50"/>
        <v>0.12795185555555555</v>
      </c>
    </row>
    <row r="1164" spans="1:9" x14ac:dyDescent="0.3">
      <c r="A1164" s="23" t="s">
        <v>41</v>
      </c>
      <c r="B1164" s="30" t="s">
        <v>50</v>
      </c>
      <c r="C1164" s="19">
        <v>46253</v>
      </c>
      <c r="D1164" s="13" t="s">
        <v>23</v>
      </c>
      <c r="E1164" s="23">
        <v>2200</v>
      </c>
      <c r="F1164" s="12">
        <v>0.25521100000000002</v>
      </c>
      <c r="G1164" s="14">
        <v>8.3699099999999999E-2</v>
      </c>
      <c r="H1164" s="15">
        <f t="shared" si="48"/>
        <v>0.54501322222222226</v>
      </c>
      <c r="I1164" s="16">
        <f t="shared" si="50"/>
        <v>0.12795185555555555</v>
      </c>
    </row>
    <row r="1165" spans="1:9" x14ac:dyDescent="0.3">
      <c r="A1165" s="23" t="s">
        <v>41</v>
      </c>
      <c r="B1165" s="30" t="s">
        <v>50</v>
      </c>
      <c r="C1165" s="19">
        <v>46253</v>
      </c>
      <c r="D1165" s="13" t="s">
        <v>24</v>
      </c>
      <c r="E1165" s="23">
        <v>2204</v>
      </c>
      <c r="F1165" s="12">
        <v>0.33561400000000002</v>
      </c>
      <c r="G1165" s="14">
        <v>0.10334599999999999</v>
      </c>
      <c r="H1165" s="15">
        <f t="shared" si="48"/>
        <v>0.54501322222222226</v>
      </c>
      <c r="I1165" s="16">
        <f t="shared" si="50"/>
        <v>0.12795185555555555</v>
      </c>
    </row>
    <row r="1166" spans="1:9" x14ac:dyDescent="0.3">
      <c r="A1166" s="23" t="s">
        <v>41</v>
      </c>
      <c r="B1166" s="30" t="s">
        <v>50</v>
      </c>
      <c r="C1166" s="19">
        <v>46253</v>
      </c>
      <c r="D1166" s="13" t="s">
        <v>25</v>
      </c>
      <c r="E1166" s="23">
        <v>1168</v>
      </c>
      <c r="F1166" s="12">
        <v>0.37372</v>
      </c>
      <c r="G1166" s="14">
        <v>8.9939000000000005E-2</v>
      </c>
      <c r="H1166" s="15">
        <f t="shared" si="48"/>
        <v>0.54501322222222226</v>
      </c>
      <c r="I1166" s="16">
        <f t="shared" si="50"/>
        <v>0.12795185555555555</v>
      </c>
    </row>
    <row r="1167" spans="1:9" x14ac:dyDescent="0.3">
      <c r="A1167" s="23" t="s">
        <v>41</v>
      </c>
      <c r="B1167" s="30" t="s">
        <v>50</v>
      </c>
      <c r="C1167" s="19">
        <v>46253</v>
      </c>
      <c r="D1167" s="13" t="s">
        <v>26</v>
      </c>
      <c r="E1167" s="23">
        <v>2462</v>
      </c>
      <c r="F1167" s="12">
        <v>0.26011400000000001</v>
      </c>
      <c r="G1167" s="14">
        <v>8.3743399999999996E-2</v>
      </c>
      <c r="H1167" s="15">
        <f t="shared" si="48"/>
        <v>0.54501322222222226</v>
      </c>
      <c r="I1167" s="16">
        <f t="shared" si="50"/>
        <v>0.12795185555555555</v>
      </c>
    </row>
    <row r="1168" spans="1:9" x14ac:dyDescent="0.3">
      <c r="A1168" s="23" t="s">
        <v>41</v>
      </c>
      <c r="B1168" s="30" t="s">
        <v>50</v>
      </c>
      <c r="C1168" s="19">
        <v>46253</v>
      </c>
      <c r="D1168" s="13" t="s">
        <v>27</v>
      </c>
      <c r="E1168" s="23">
        <v>1860</v>
      </c>
      <c r="F1168" s="12">
        <v>0.45804299999999998</v>
      </c>
      <c r="G1168" s="14">
        <v>0.103865</v>
      </c>
      <c r="H1168" s="15">
        <f t="shared" si="48"/>
        <v>0.54501322222222226</v>
      </c>
      <c r="I1168" s="16">
        <f t="shared" si="50"/>
        <v>0.12795185555555555</v>
      </c>
    </row>
    <row r="1169" spans="1:9" x14ac:dyDescent="0.3">
      <c r="A1169" s="23" t="s">
        <v>41</v>
      </c>
      <c r="B1169" s="30" t="s">
        <v>50</v>
      </c>
      <c r="C1169" s="19">
        <v>46253</v>
      </c>
      <c r="D1169" s="13" t="s">
        <v>28</v>
      </c>
      <c r="E1169" s="23">
        <v>1001</v>
      </c>
      <c r="F1169" s="12">
        <v>0.97526599999999997</v>
      </c>
      <c r="G1169" s="14">
        <v>0.21911</v>
      </c>
      <c r="H1169" s="15">
        <f t="shared" si="48"/>
        <v>0.54501322222222226</v>
      </c>
      <c r="I1169" s="16">
        <f t="shared" si="50"/>
        <v>0.12795185555555555</v>
      </c>
    </row>
    <row r="1170" spans="1:9" x14ac:dyDescent="0.3">
      <c r="A1170" s="23" t="s">
        <v>41</v>
      </c>
      <c r="B1170" s="30" t="s">
        <v>50</v>
      </c>
      <c r="C1170" s="19">
        <v>46253</v>
      </c>
      <c r="D1170" s="13" t="s">
        <v>29</v>
      </c>
      <c r="E1170" s="23">
        <v>1072</v>
      </c>
      <c r="F1170" s="12">
        <v>0.63518399999999997</v>
      </c>
      <c r="G1170" s="14">
        <v>0.13173699999999999</v>
      </c>
      <c r="H1170" s="15">
        <f t="shared" si="48"/>
        <v>0.54501322222222226</v>
      </c>
      <c r="I1170" s="16">
        <f t="shared" si="50"/>
        <v>0.12795185555555555</v>
      </c>
    </row>
    <row r="1171" spans="1:9" x14ac:dyDescent="0.3">
      <c r="A1171" s="23" t="s">
        <v>41</v>
      </c>
      <c r="B1171" s="30" t="s">
        <v>50</v>
      </c>
      <c r="C1171" s="19">
        <v>46253</v>
      </c>
      <c r="D1171" s="13" t="s">
        <v>30</v>
      </c>
      <c r="E1171" s="23">
        <v>1449</v>
      </c>
      <c r="F1171" s="12">
        <v>0.84810600000000003</v>
      </c>
      <c r="G1171" s="14">
        <v>0.17069999999999999</v>
      </c>
      <c r="H1171" s="15">
        <f t="shared" si="48"/>
        <v>0.54501322222222226</v>
      </c>
      <c r="I1171" s="16">
        <f t="shared" si="50"/>
        <v>0.12795185555555555</v>
      </c>
    </row>
    <row r="1172" spans="1:9" x14ac:dyDescent="0.3">
      <c r="A1172" s="23" t="s">
        <v>42</v>
      </c>
      <c r="B1172" s="30" t="s">
        <v>130</v>
      </c>
      <c r="C1172" s="19">
        <v>46254</v>
      </c>
      <c r="D1172" s="13" t="s">
        <v>14</v>
      </c>
      <c r="E1172" s="23">
        <v>1328</v>
      </c>
      <c r="F1172" s="12">
        <v>0.47842299999999999</v>
      </c>
      <c r="G1172" s="14">
        <v>0.13820099999999999</v>
      </c>
      <c r="H1172" s="15">
        <f t="shared" si="48"/>
        <v>0.53175849999999991</v>
      </c>
      <c r="I1172" s="16">
        <f t="shared" si="50"/>
        <v>0.13634817857142859</v>
      </c>
    </row>
    <row r="1173" spans="1:9" x14ac:dyDescent="0.3">
      <c r="A1173" s="23" t="s">
        <v>42</v>
      </c>
      <c r="B1173" s="30" t="s">
        <v>130</v>
      </c>
      <c r="C1173" s="19">
        <v>46254</v>
      </c>
      <c r="D1173" s="13" t="s">
        <v>15</v>
      </c>
      <c r="E1173" s="23">
        <v>1182</v>
      </c>
      <c r="F1173" s="12">
        <v>0.35516199999999998</v>
      </c>
      <c r="G1173" s="14">
        <v>0.103743</v>
      </c>
      <c r="H1173" s="15">
        <f t="shared" si="48"/>
        <v>0.53175849999999991</v>
      </c>
      <c r="I1173" s="16">
        <f t="shared" si="50"/>
        <v>0.13634817857142859</v>
      </c>
    </row>
    <row r="1174" spans="1:9" x14ac:dyDescent="0.3">
      <c r="A1174" s="23" t="s">
        <v>42</v>
      </c>
      <c r="B1174" s="30" t="s">
        <v>130</v>
      </c>
      <c r="C1174" s="19">
        <v>46254</v>
      </c>
      <c r="D1174" s="13" t="s">
        <v>16</v>
      </c>
      <c r="E1174" s="23">
        <v>1201</v>
      </c>
      <c r="F1174" s="12">
        <v>0.48769600000000002</v>
      </c>
      <c r="G1174" s="14">
        <v>0.14836299999999999</v>
      </c>
      <c r="H1174" s="15">
        <f t="shared" si="48"/>
        <v>0.53175849999999991</v>
      </c>
      <c r="I1174" s="16">
        <f t="shared" si="50"/>
        <v>0.13634817857142859</v>
      </c>
    </row>
    <row r="1175" spans="1:9" x14ac:dyDescent="0.3">
      <c r="A1175" s="23" t="s">
        <v>42</v>
      </c>
      <c r="B1175" s="30" t="s">
        <v>130</v>
      </c>
      <c r="C1175" s="19">
        <v>46254</v>
      </c>
      <c r="D1175" s="13" t="s">
        <v>17</v>
      </c>
      <c r="E1175" s="23">
        <v>1837</v>
      </c>
      <c r="F1175" s="12">
        <v>0.78428100000000001</v>
      </c>
      <c r="G1175" s="14">
        <v>0.135772</v>
      </c>
      <c r="H1175" s="15">
        <f t="shared" si="48"/>
        <v>0.53175849999999991</v>
      </c>
      <c r="I1175" s="16">
        <f t="shared" si="50"/>
        <v>0.13634817857142859</v>
      </c>
    </row>
    <row r="1176" spans="1:9" x14ac:dyDescent="0.3">
      <c r="A1176" s="23" t="s">
        <v>42</v>
      </c>
      <c r="B1176" s="30" t="s">
        <v>130</v>
      </c>
      <c r="C1176" s="19">
        <v>46254</v>
      </c>
      <c r="D1176" s="13" t="s">
        <v>18</v>
      </c>
      <c r="E1176" s="23">
        <v>1393</v>
      </c>
      <c r="F1176" s="12">
        <v>0.67780200000000002</v>
      </c>
      <c r="G1176" s="14">
        <v>0.225942</v>
      </c>
      <c r="H1176" s="15">
        <f t="shared" si="48"/>
        <v>0.53175849999999991</v>
      </c>
      <c r="I1176" s="16">
        <f t="shared" si="50"/>
        <v>0.13634817857142859</v>
      </c>
    </row>
    <row r="1177" spans="1:9" x14ac:dyDescent="0.3">
      <c r="A1177" s="23" t="s">
        <v>42</v>
      </c>
      <c r="B1177" s="30" t="s">
        <v>130</v>
      </c>
      <c r="C1177" s="19">
        <v>46254</v>
      </c>
      <c r="D1177" s="13" t="s">
        <v>19</v>
      </c>
      <c r="E1177" s="23">
        <v>1231</v>
      </c>
      <c r="F1177" s="12">
        <v>0.68079699999999999</v>
      </c>
      <c r="G1177" s="14">
        <v>0.191411</v>
      </c>
      <c r="H1177" s="15">
        <f t="shared" si="48"/>
        <v>0.53175849999999991</v>
      </c>
      <c r="I1177" s="16">
        <f t="shared" si="50"/>
        <v>0.13634817857142859</v>
      </c>
    </row>
    <row r="1178" spans="1:9" x14ac:dyDescent="0.3">
      <c r="A1178" s="23" t="s">
        <v>42</v>
      </c>
      <c r="B1178" s="30" t="s">
        <v>130</v>
      </c>
      <c r="C1178" s="19">
        <v>46254</v>
      </c>
      <c r="D1178" s="13" t="s">
        <v>20</v>
      </c>
      <c r="E1178" s="23">
        <v>1231</v>
      </c>
      <c r="F1178" s="12">
        <v>0.44479999999999997</v>
      </c>
      <c r="G1178" s="14">
        <v>0.12119000000000001</v>
      </c>
      <c r="H1178" s="15">
        <f t="shared" si="48"/>
        <v>0.53175849999999991</v>
      </c>
      <c r="I1178" s="16">
        <f t="shared" si="50"/>
        <v>0.13634817857142859</v>
      </c>
    </row>
    <row r="1179" spans="1:9" x14ac:dyDescent="0.3">
      <c r="A1179" s="23" t="s">
        <v>42</v>
      </c>
      <c r="B1179" s="30" t="s">
        <v>130</v>
      </c>
      <c r="C1179" s="19">
        <v>46254</v>
      </c>
      <c r="D1179" s="13" t="s">
        <v>40</v>
      </c>
      <c r="E1179" s="23">
        <v>1360</v>
      </c>
      <c r="F1179" s="12">
        <v>0.22284399999999999</v>
      </c>
      <c r="G1179" s="14">
        <v>8.7346900000000005E-2</v>
      </c>
      <c r="H1179" s="15">
        <f t="shared" si="48"/>
        <v>0.53175849999999991</v>
      </c>
      <c r="I1179" s="16">
        <f t="shared" si="50"/>
        <v>0.13634817857142859</v>
      </c>
    </row>
    <row r="1180" spans="1:9" x14ac:dyDescent="0.3">
      <c r="A1180" s="23" t="s">
        <v>42</v>
      </c>
      <c r="B1180" s="30" t="s">
        <v>130</v>
      </c>
      <c r="C1180" s="19">
        <v>46254</v>
      </c>
      <c r="D1180" s="13" t="s">
        <v>21</v>
      </c>
      <c r="E1180" s="23">
        <v>2042</v>
      </c>
      <c r="H1180" s="15">
        <f t="shared" si="48"/>
        <v>0.53175849999999991</v>
      </c>
      <c r="I1180" s="16">
        <f t="shared" si="50"/>
        <v>0.13634817857142859</v>
      </c>
    </row>
    <row r="1181" spans="1:9" x14ac:dyDescent="0.3">
      <c r="A1181" s="23" t="s">
        <v>42</v>
      </c>
      <c r="B1181" s="30" t="s">
        <v>130</v>
      </c>
      <c r="C1181" s="19">
        <v>46254</v>
      </c>
      <c r="D1181" s="13" t="s">
        <v>22</v>
      </c>
      <c r="E1181" s="23">
        <v>1529</v>
      </c>
      <c r="F1181" s="12">
        <v>0.305641</v>
      </c>
      <c r="G1181" s="14">
        <v>7.4232000000000006E-2</v>
      </c>
      <c r="H1181" s="15">
        <f t="shared" si="48"/>
        <v>0.53175849999999991</v>
      </c>
      <c r="I1181" s="16">
        <f t="shared" si="50"/>
        <v>0.13634817857142859</v>
      </c>
    </row>
    <row r="1182" spans="1:9" x14ac:dyDescent="0.3">
      <c r="A1182" s="23" t="s">
        <v>42</v>
      </c>
      <c r="B1182" s="30" t="s">
        <v>130</v>
      </c>
      <c r="C1182" s="19">
        <v>46254</v>
      </c>
      <c r="D1182" s="13" t="s">
        <v>23</v>
      </c>
      <c r="E1182" s="23">
        <v>1005</v>
      </c>
      <c r="F1182" s="12">
        <v>0.17479500000000001</v>
      </c>
      <c r="G1182" s="14">
        <v>5.0874000000000003E-2</v>
      </c>
      <c r="H1182" s="15">
        <f t="shared" si="48"/>
        <v>0.53175849999999991</v>
      </c>
      <c r="I1182" s="16">
        <f t="shared" si="50"/>
        <v>0.13634817857142859</v>
      </c>
    </row>
    <row r="1183" spans="1:9" x14ac:dyDescent="0.3">
      <c r="A1183" s="23" t="s">
        <v>42</v>
      </c>
      <c r="B1183" s="30" t="s">
        <v>130</v>
      </c>
      <c r="C1183" s="19">
        <v>46254</v>
      </c>
      <c r="D1183" s="13" t="s">
        <v>24</v>
      </c>
      <c r="E1183" s="23">
        <v>1227</v>
      </c>
      <c r="F1183" s="12">
        <v>0.73821899999999996</v>
      </c>
      <c r="G1183" s="14">
        <v>0.17729300000000001</v>
      </c>
      <c r="H1183" s="15">
        <f t="shared" si="48"/>
        <v>0.53175849999999991</v>
      </c>
      <c r="I1183" s="16">
        <f t="shared" si="50"/>
        <v>0.13634817857142859</v>
      </c>
    </row>
    <row r="1184" spans="1:9" x14ac:dyDescent="0.3">
      <c r="A1184" s="23" t="s">
        <v>42</v>
      </c>
      <c r="B1184" s="30" t="s">
        <v>130</v>
      </c>
      <c r="C1184" s="19">
        <v>46254</v>
      </c>
      <c r="D1184" s="13" t="s">
        <v>25</v>
      </c>
      <c r="E1184" s="23">
        <v>1276</v>
      </c>
      <c r="H1184" s="15">
        <f t="shared" si="48"/>
        <v>0.53175849999999991</v>
      </c>
      <c r="I1184" s="16">
        <f t="shared" si="50"/>
        <v>0.13634817857142859</v>
      </c>
    </row>
    <row r="1185" spans="1:9" x14ac:dyDescent="0.3">
      <c r="A1185" s="23" t="s">
        <v>42</v>
      </c>
      <c r="B1185" s="30" t="s">
        <v>130</v>
      </c>
      <c r="C1185" s="19">
        <v>46254</v>
      </c>
      <c r="D1185" s="13" t="s">
        <v>26</v>
      </c>
      <c r="E1185" s="23">
        <v>1231</v>
      </c>
      <c r="F1185" s="12">
        <v>0.26401200000000002</v>
      </c>
      <c r="G1185" s="14">
        <v>8.7435600000000002E-2</v>
      </c>
      <c r="H1185" s="15">
        <f t="shared" si="48"/>
        <v>0.53175849999999991</v>
      </c>
      <c r="I1185" s="16">
        <f t="shared" si="50"/>
        <v>0.13634817857142859</v>
      </c>
    </row>
    <row r="1186" spans="1:9" x14ac:dyDescent="0.3">
      <c r="A1186" s="23" t="s">
        <v>42</v>
      </c>
      <c r="B1186" s="30" t="s">
        <v>130</v>
      </c>
      <c r="C1186" s="19">
        <v>46254</v>
      </c>
      <c r="D1186" s="13" t="s">
        <v>27</v>
      </c>
      <c r="E1186" s="23">
        <v>1162</v>
      </c>
      <c r="H1186" s="15">
        <f t="shared" si="48"/>
        <v>0.53175849999999991</v>
      </c>
      <c r="I1186" s="16">
        <f t="shared" si="50"/>
        <v>0.13634817857142859</v>
      </c>
    </row>
    <row r="1187" spans="1:9" x14ac:dyDescent="0.3">
      <c r="A1187" s="23" t="s">
        <v>42</v>
      </c>
      <c r="B1187" s="30" t="s">
        <v>130</v>
      </c>
      <c r="C1187" s="19">
        <v>46254</v>
      </c>
      <c r="D1187" s="13" t="s">
        <v>28</v>
      </c>
      <c r="E1187" s="23">
        <v>1006</v>
      </c>
      <c r="H1187" s="15">
        <f t="shared" si="48"/>
        <v>0.53175849999999991</v>
      </c>
      <c r="I1187" s="16">
        <f t="shared" si="50"/>
        <v>0.13634817857142859</v>
      </c>
    </row>
    <row r="1188" spans="1:9" x14ac:dyDescent="0.3">
      <c r="A1188" s="23" t="s">
        <v>42</v>
      </c>
      <c r="B1188" s="30" t="s">
        <v>130</v>
      </c>
      <c r="C1188" s="19">
        <v>46254</v>
      </c>
      <c r="D1188" s="13" t="s">
        <v>29</v>
      </c>
      <c r="E1188" s="23">
        <v>1122</v>
      </c>
      <c r="F1188" s="12">
        <v>0.75259699999999996</v>
      </c>
      <c r="G1188" s="14">
        <v>0.18034800000000001</v>
      </c>
      <c r="H1188" s="15">
        <f t="shared" si="48"/>
        <v>0.53175849999999991</v>
      </c>
      <c r="I1188" s="16">
        <f t="shared" si="50"/>
        <v>0.13634817857142859</v>
      </c>
    </row>
    <row r="1189" spans="1:9" x14ac:dyDescent="0.3">
      <c r="A1189" s="23" t="s">
        <v>42</v>
      </c>
      <c r="B1189" s="30" t="s">
        <v>130</v>
      </c>
      <c r="C1189" s="19">
        <v>46254</v>
      </c>
      <c r="D1189" s="13" t="s">
        <v>30</v>
      </c>
      <c r="E1189" s="23">
        <v>1580</v>
      </c>
      <c r="F1189" s="12">
        <v>1.07755</v>
      </c>
      <c r="G1189" s="14">
        <v>0.186723</v>
      </c>
      <c r="H1189" s="15">
        <f t="shared" si="48"/>
        <v>0.53175849999999991</v>
      </c>
      <c r="I1189" s="16">
        <f t="shared" si="50"/>
        <v>0.13634817857142859</v>
      </c>
    </row>
    <row r="1190" spans="1:9" x14ac:dyDescent="0.3">
      <c r="A1190" s="23" t="s">
        <v>41</v>
      </c>
      <c r="B1190" s="30" t="s">
        <v>50</v>
      </c>
      <c r="C1190" s="19">
        <v>46254</v>
      </c>
      <c r="D1190" s="13" t="s">
        <v>14</v>
      </c>
      <c r="E1190" s="23">
        <v>2669</v>
      </c>
      <c r="F1190" s="12">
        <v>0.33675300000000002</v>
      </c>
      <c r="G1190" s="14">
        <v>9.47881E-2</v>
      </c>
      <c r="H1190" s="15">
        <f t="shared" ref="H1190:H1253" si="51">IFERROR(AVERAGEIFS($F:$F, $A:$A, $A1190, $B:$B,$B1190, $C:$C,$C1190),"")</f>
        <v>0.44261372222222228</v>
      </c>
      <c r="I1190" s="16">
        <f t="shared" si="50"/>
        <v>0.10628490555555556</v>
      </c>
    </row>
    <row r="1191" spans="1:9" x14ac:dyDescent="0.3">
      <c r="A1191" s="23" t="s">
        <v>41</v>
      </c>
      <c r="B1191" s="30" t="s">
        <v>50</v>
      </c>
      <c r="C1191" s="19">
        <v>46254</v>
      </c>
      <c r="D1191" s="13" t="s">
        <v>15</v>
      </c>
      <c r="E1191" s="23">
        <v>1844</v>
      </c>
      <c r="F1191" s="12">
        <v>0.42295199999999999</v>
      </c>
      <c r="G1191" s="14">
        <v>0.111508</v>
      </c>
      <c r="H1191" s="15">
        <f t="shared" si="51"/>
        <v>0.44261372222222228</v>
      </c>
      <c r="I1191" s="16">
        <f t="shared" si="50"/>
        <v>0.10628490555555556</v>
      </c>
    </row>
    <row r="1192" spans="1:9" x14ac:dyDescent="0.3">
      <c r="A1192" s="23" t="s">
        <v>41</v>
      </c>
      <c r="B1192" s="30" t="s">
        <v>50</v>
      </c>
      <c r="C1192" s="19">
        <v>46254</v>
      </c>
      <c r="D1192" s="13" t="s">
        <v>16</v>
      </c>
      <c r="E1192" s="23">
        <v>1520</v>
      </c>
      <c r="F1192" s="12">
        <v>0.56128500000000003</v>
      </c>
      <c r="G1192" s="14">
        <v>0.13175400000000001</v>
      </c>
      <c r="H1192" s="15">
        <f t="shared" si="51"/>
        <v>0.44261372222222228</v>
      </c>
      <c r="I1192" s="16">
        <f t="shared" si="50"/>
        <v>0.10628490555555556</v>
      </c>
    </row>
    <row r="1193" spans="1:9" x14ac:dyDescent="0.3">
      <c r="A1193" s="23" t="s">
        <v>41</v>
      </c>
      <c r="B1193" s="30" t="s">
        <v>50</v>
      </c>
      <c r="C1193" s="19">
        <v>46254</v>
      </c>
      <c r="D1193" s="13" t="s">
        <v>17</v>
      </c>
      <c r="E1193" s="23">
        <v>2138</v>
      </c>
      <c r="F1193" s="12">
        <v>0.60257000000000005</v>
      </c>
      <c r="G1193" s="14">
        <v>0.119186</v>
      </c>
      <c r="H1193" s="15">
        <f t="shared" si="51"/>
        <v>0.44261372222222228</v>
      </c>
      <c r="I1193" s="16">
        <f t="shared" si="50"/>
        <v>0.10628490555555556</v>
      </c>
    </row>
    <row r="1194" spans="1:9" x14ac:dyDescent="0.3">
      <c r="A1194" s="23" t="s">
        <v>41</v>
      </c>
      <c r="B1194" s="30" t="s">
        <v>50</v>
      </c>
      <c r="C1194" s="19">
        <v>46254</v>
      </c>
      <c r="D1194" s="13" t="s">
        <v>18</v>
      </c>
      <c r="E1194" s="23">
        <v>1505</v>
      </c>
      <c r="F1194" s="12">
        <v>0.36153600000000002</v>
      </c>
      <c r="G1194" s="14">
        <v>8.6050100000000004E-2</v>
      </c>
      <c r="H1194" s="15">
        <f t="shared" si="51"/>
        <v>0.44261372222222228</v>
      </c>
      <c r="I1194" s="16">
        <f t="shared" si="50"/>
        <v>0.10628490555555556</v>
      </c>
    </row>
    <row r="1195" spans="1:9" x14ac:dyDescent="0.3">
      <c r="A1195" s="23" t="s">
        <v>41</v>
      </c>
      <c r="B1195" s="30" t="s">
        <v>50</v>
      </c>
      <c r="C1195" s="19">
        <v>46254</v>
      </c>
      <c r="D1195" s="13" t="s">
        <v>19</v>
      </c>
      <c r="E1195" s="23">
        <v>1292</v>
      </c>
      <c r="F1195" s="12">
        <v>0.56686300000000001</v>
      </c>
      <c r="G1195" s="14">
        <v>0.119339</v>
      </c>
      <c r="H1195" s="15">
        <f t="shared" si="51"/>
        <v>0.44261372222222228</v>
      </c>
      <c r="I1195" s="16">
        <f t="shared" si="50"/>
        <v>0.10628490555555556</v>
      </c>
    </row>
    <row r="1196" spans="1:9" x14ac:dyDescent="0.3">
      <c r="A1196" s="23" t="s">
        <v>41</v>
      </c>
      <c r="B1196" s="30" t="s">
        <v>50</v>
      </c>
      <c r="C1196" s="19">
        <v>46254</v>
      </c>
      <c r="D1196" s="13" t="s">
        <v>20</v>
      </c>
      <c r="E1196" s="23">
        <v>1251</v>
      </c>
      <c r="F1196" s="12">
        <v>0.60177599999999998</v>
      </c>
      <c r="G1196" s="14">
        <v>0.12601200000000001</v>
      </c>
      <c r="H1196" s="15">
        <f t="shared" si="51"/>
        <v>0.44261372222222228</v>
      </c>
      <c r="I1196" s="16">
        <f t="shared" si="50"/>
        <v>0.10628490555555556</v>
      </c>
    </row>
    <row r="1197" spans="1:9" x14ac:dyDescent="0.3">
      <c r="A1197" s="23" t="s">
        <v>41</v>
      </c>
      <c r="B1197" s="30" t="s">
        <v>50</v>
      </c>
      <c r="C1197" s="19">
        <v>46254</v>
      </c>
      <c r="D1197" s="13" t="s">
        <v>40</v>
      </c>
      <c r="E1197" s="23">
        <v>1582</v>
      </c>
      <c r="F1197" s="12">
        <v>0.36660300000000001</v>
      </c>
      <c r="G1197" s="14">
        <v>0.111093</v>
      </c>
      <c r="H1197" s="15">
        <f t="shared" si="51"/>
        <v>0.44261372222222228</v>
      </c>
      <c r="I1197" s="16">
        <f t="shared" si="50"/>
        <v>0.10628490555555556</v>
      </c>
    </row>
    <row r="1198" spans="1:9" x14ac:dyDescent="0.3">
      <c r="A1198" s="23" t="s">
        <v>41</v>
      </c>
      <c r="B1198" s="30" t="s">
        <v>50</v>
      </c>
      <c r="C1198" s="19">
        <v>46254</v>
      </c>
      <c r="D1198" s="13" t="s">
        <v>21</v>
      </c>
      <c r="E1198" s="23">
        <v>2078</v>
      </c>
      <c r="F1198" s="12">
        <v>0.51666800000000002</v>
      </c>
      <c r="G1198" s="14">
        <v>0.100517</v>
      </c>
      <c r="H1198" s="15">
        <f t="shared" si="51"/>
        <v>0.44261372222222228</v>
      </c>
      <c r="I1198" s="16">
        <f t="shared" si="50"/>
        <v>0.10628490555555556</v>
      </c>
    </row>
    <row r="1199" spans="1:9" x14ac:dyDescent="0.3">
      <c r="A1199" s="23" t="s">
        <v>41</v>
      </c>
      <c r="B1199" s="30" t="s">
        <v>50</v>
      </c>
      <c r="C1199" s="19">
        <v>46254</v>
      </c>
      <c r="D1199" s="13" t="s">
        <v>22</v>
      </c>
      <c r="E1199" s="23">
        <v>2247</v>
      </c>
      <c r="F1199" s="12">
        <v>0.34465499999999999</v>
      </c>
      <c r="G1199" s="14">
        <v>9.3672500000000006E-2</v>
      </c>
      <c r="H1199" s="15">
        <f t="shared" si="51"/>
        <v>0.44261372222222228</v>
      </c>
      <c r="I1199" s="16">
        <f t="shared" si="50"/>
        <v>0.10628490555555556</v>
      </c>
    </row>
    <row r="1200" spans="1:9" x14ac:dyDescent="0.3">
      <c r="A1200" s="23" t="s">
        <v>41</v>
      </c>
      <c r="B1200" s="30" t="s">
        <v>50</v>
      </c>
      <c r="C1200" s="19">
        <v>46254</v>
      </c>
      <c r="D1200" s="13" t="s">
        <v>23</v>
      </c>
      <c r="E1200" s="23">
        <v>2565</v>
      </c>
      <c r="F1200" s="12">
        <v>0.38963799999999998</v>
      </c>
      <c r="G1200" s="14">
        <v>0.127884</v>
      </c>
      <c r="H1200" s="15">
        <f t="shared" si="51"/>
        <v>0.44261372222222228</v>
      </c>
      <c r="I1200" s="16">
        <f t="shared" si="50"/>
        <v>0.10628490555555556</v>
      </c>
    </row>
    <row r="1201" spans="1:9" x14ac:dyDescent="0.3">
      <c r="A1201" s="23" t="s">
        <v>41</v>
      </c>
      <c r="B1201" s="30" t="s">
        <v>50</v>
      </c>
      <c r="C1201" s="19">
        <v>46254</v>
      </c>
      <c r="D1201" s="13" t="s">
        <v>24</v>
      </c>
      <c r="E1201" s="23">
        <v>3016</v>
      </c>
      <c r="F1201" s="12">
        <v>0.294182</v>
      </c>
      <c r="G1201" s="14">
        <v>9.0604199999999996E-2</v>
      </c>
      <c r="H1201" s="15">
        <f t="shared" si="51"/>
        <v>0.44261372222222228</v>
      </c>
      <c r="I1201" s="16">
        <f t="shared" si="50"/>
        <v>0.10628490555555556</v>
      </c>
    </row>
    <row r="1202" spans="1:9" x14ac:dyDescent="0.3">
      <c r="A1202" s="23" t="s">
        <v>41</v>
      </c>
      <c r="B1202" s="30" t="s">
        <v>50</v>
      </c>
      <c r="C1202" s="19">
        <v>46254</v>
      </c>
      <c r="D1202" s="13" t="s">
        <v>25</v>
      </c>
      <c r="E1202" s="23">
        <v>1005</v>
      </c>
      <c r="F1202" s="12">
        <v>0.44411400000000001</v>
      </c>
      <c r="G1202" s="14">
        <v>0.107061</v>
      </c>
      <c r="H1202" s="15">
        <f t="shared" si="51"/>
        <v>0.44261372222222228</v>
      </c>
      <c r="I1202" s="16">
        <f t="shared" si="50"/>
        <v>0.10628490555555556</v>
      </c>
    </row>
    <row r="1203" spans="1:9" x14ac:dyDescent="0.3">
      <c r="A1203" s="23" t="s">
        <v>41</v>
      </c>
      <c r="B1203" s="30" t="s">
        <v>50</v>
      </c>
      <c r="C1203" s="19">
        <v>46254</v>
      </c>
      <c r="D1203" s="13" t="s">
        <v>26</v>
      </c>
      <c r="E1203" s="23">
        <v>2289</v>
      </c>
      <c r="F1203" s="12">
        <v>0.26846599999999998</v>
      </c>
      <c r="G1203" s="14">
        <v>8.6382500000000001E-2</v>
      </c>
      <c r="H1203" s="15">
        <f t="shared" si="51"/>
        <v>0.44261372222222228</v>
      </c>
      <c r="I1203" s="16">
        <f t="shared" si="50"/>
        <v>0.10628490555555556</v>
      </c>
    </row>
    <row r="1204" spans="1:9" x14ac:dyDescent="0.3">
      <c r="A1204" s="23" t="s">
        <v>41</v>
      </c>
      <c r="B1204" s="30" t="s">
        <v>50</v>
      </c>
      <c r="C1204" s="19">
        <v>46254</v>
      </c>
      <c r="D1204" s="13" t="s">
        <v>27</v>
      </c>
      <c r="E1204" s="23">
        <v>1318</v>
      </c>
      <c r="F1204" s="12">
        <v>0.59123899999999996</v>
      </c>
      <c r="G1204" s="14">
        <v>0.13422300000000001</v>
      </c>
      <c r="H1204" s="15">
        <f t="shared" si="51"/>
        <v>0.44261372222222228</v>
      </c>
      <c r="I1204" s="16">
        <f t="shared" si="50"/>
        <v>0.10628490555555556</v>
      </c>
    </row>
    <row r="1205" spans="1:9" x14ac:dyDescent="0.3">
      <c r="A1205" s="23" t="s">
        <v>41</v>
      </c>
      <c r="B1205" s="30" t="s">
        <v>50</v>
      </c>
      <c r="C1205" s="19">
        <v>46254</v>
      </c>
      <c r="D1205" s="13" t="s">
        <v>28</v>
      </c>
      <c r="E1205" s="23">
        <v>1358</v>
      </c>
      <c r="F1205" s="12">
        <v>0.41948200000000002</v>
      </c>
      <c r="G1205" s="14">
        <v>9.4141199999999994E-2</v>
      </c>
      <c r="H1205" s="15">
        <f t="shared" si="51"/>
        <v>0.44261372222222228</v>
      </c>
      <c r="I1205" s="16">
        <f t="shared" si="50"/>
        <v>0.10628490555555556</v>
      </c>
    </row>
    <row r="1206" spans="1:9" x14ac:dyDescent="0.3">
      <c r="A1206" s="23" t="s">
        <v>41</v>
      </c>
      <c r="B1206" s="30" t="s">
        <v>50</v>
      </c>
      <c r="C1206" s="19">
        <v>46254</v>
      </c>
      <c r="D1206" s="13" t="s">
        <v>29</v>
      </c>
      <c r="E1206" s="23">
        <v>1110</v>
      </c>
      <c r="F1206" s="12">
        <v>0.36768699999999999</v>
      </c>
      <c r="G1206" s="14">
        <v>7.6168700000000006E-2</v>
      </c>
      <c r="H1206" s="15">
        <f t="shared" si="51"/>
        <v>0.44261372222222228</v>
      </c>
      <c r="I1206" s="16">
        <f t="shared" si="50"/>
        <v>0.10628490555555556</v>
      </c>
    </row>
    <row r="1207" spans="1:9" x14ac:dyDescent="0.3">
      <c r="A1207" s="23" t="s">
        <v>41</v>
      </c>
      <c r="B1207" s="30" t="s">
        <v>50</v>
      </c>
      <c r="C1207" s="19">
        <v>46254</v>
      </c>
      <c r="D1207" s="13" t="s">
        <v>30</v>
      </c>
      <c r="E1207" s="23">
        <v>1379</v>
      </c>
      <c r="F1207" s="12">
        <v>0.51057799999999998</v>
      </c>
      <c r="G1207" s="14">
        <v>0.102744</v>
      </c>
      <c r="H1207" s="15">
        <f t="shared" si="51"/>
        <v>0.44261372222222228</v>
      </c>
      <c r="I1207" s="16">
        <f t="shared" si="50"/>
        <v>0.10628490555555556</v>
      </c>
    </row>
    <row r="1208" spans="1:9" x14ac:dyDescent="0.3">
      <c r="A1208" s="23" t="s">
        <v>48</v>
      </c>
      <c r="B1208" s="30" t="s">
        <v>131</v>
      </c>
      <c r="C1208" s="19">
        <v>46253</v>
      </c>
      <c r="D1208" s="13" t="s">
        <v>23</v>
      </c>
      <c r="E1208" s="23">
        <v>1003</v>
      </c>
      <c r="F1208" s="12">
        <v>0.167577</v>
      </c>
      <c r="G1208" s="14">
        <v>5.49744E-2</v>
      </c>
      <c r="H1208" s="15">
        <f t="shared" si="51"/>
        <v>0.167577</v>
      </c>
      <c r="I1208" s="16">
        <f t="shared" si="50"/>
        <v>5.49744E-2</v>
      </c>
    </row>
    <row r="1209" spans="1:9" x14ac:dyDescent="0.3">
      <c r="A1209" s="23" t="s">
        <v>48</v>
      </c>
      <c r="B1209" s="30" t="s">
        <v>132</v>
      </c>
      <c r="C1209" s="19">
        <v>46253</v>
      </c>
      <c r="D1209" s="13" t="s">
        <v>23</v>
      </c>
      <c r="E1209" s="23">
        <v>1001</v>
      </c>
      <c r="F1209" s="12">
        <v>0.123311</v>
      </c>
      <c r="G1209" s="14">
        <v>4.0463199999999998E-2</v>
      </c>
      <c r="H1209" s="15">
        <f t="shared" si="51"/>
        <v>0.123311</v>
      </c>
      <c r="I1209" s="16">
        <f t="shared" si="50"/>
        <v>4.0463199999999998E-2</v>
      </c>
    </row>
    <row r="1210" spans="1:9" x14ac:dyDescent="0.3">
      <c r="A1210" s="23" t="s">
        <v>48</v>
      </c>
      <c r="B1210" s="30" t="s">
        <v>133</v>
      </c>
      <c r="C1210" s="19">
        <v>46253</v>
      </c>
      <c r="D1210" s="13" t="s">
        <v>23</v>
      </c>
      <c r="E1210" s="23">
        <v>1001</v>
      </c>
      <c r="F1210" s="12">
        <v>0.108927</v>
      </c>
      <c r="G1210" s="14">
        <v>3.5765900000000003E-2</v>
      </c>
      <c r="H1210" s="15">
        <f t="shared" si="51"/>
        <v>0.108927</v>
      </c>
      <c r="I1210" s="16">
        <f t="shared" si="50"/>
        <v>3.5765900000000003E-2</v>
      </c>
    </row>
    <row r="1211" spans="1:9" x14ac:dyDescent="0.3">
      <c r="A1211" s="23" t="s">
        <v>48</v>
      </c>
      <c r="B1211" s="30" t="s">
        <v>134</v>
      </c>
      <c r="C1211" s="19">
        <v>46253</v>
      </c>
      <c r="D1211" s="13" t="s">
        <v>23</v>
      </c>
      <c r="E1211" s="23">
        <v>1002</v>
      </c>
      <c r="F1211" s="12">
        <v>0.12937699999999999</v>
      </c>
      <c r="G1211" s="14">
        <v>4.24275E-2</v>
      </c>
      <c r="H1211" s="15">
        <f t="shared" si="51"/>
        <v>0.12937699999999999</v>
      </c>
      <c r="I1211" s="16">
        <f t="shared" si="50"/>
        <v>4.24275E-2</v>
      </c>
    </row>
    <row r="1212" spans="1:9" x14ac:dyDescent="0.3">
      <c r="A1212" s="23" t="s">
        <v>48</v>
      </c>
      <c r="B1212" s="30" t="s">
        <v>135</v>
      </c>
      <c r="C1212" s="19">
        <v>46253</v>
      </c>
      <c r="D1212" s="13" t="s">
        <v>23</v>
      </c>
      <c r="E1212" s="23">
        <v>1003</v>
      </c>
      <c r="F1212" s="12">
        <v>0.16467300000000001</v>
      </c>
      <c r="G1212" s="14">
        <v>5.4067200000000003E-2</v>
      </c>
      <c r="H1212" s="15">
        <f t="shared" si="51"/>
        <v>0.16467300000000001</v>
      </c>
      <c r="I1212" s="16">
        <f t="shared" si="50"/>
        <v>5.4067200000000003E-2</v>
      </c>
    </row>
    <row r="1213" spans="1:9" x14ac:dyDescent="0.3">
      <c r="A1213" s="23" t="s">
        <v>48</v>
      </c>
      <c r="B1213" s="30" t="s">
        <v>136</v>
      </c>
      <c r="C1213" s="19">
        <v>46253</v>
      </c>
      <c r="D1213" s="13" t="s">
        <v>23</v>
      </c>
      <c r="E1213" s="23">
        <v>1002</v>
      </c>
      <c r="F1213" s="12">
        <v>0.10671700000000001</v>
      </c>
      <c r="G1213" s="14">
        <v>3.5031E-2</v>
      </c>
      <c r="H1213" s="15">
        <f t="shared" si="51"/>
        <v>0.10671700000000001</v>
      </c>
      <c r="I1213" s="16">
        <f t="shared" si="50"/>
        <v>3.5031E-2</v>
      </c>
    </row>
    <row r="1214" spans="1:9" x14ac:dyDescent="0.3">
      <c r="A1214" s="23" t="s">
        <v>42</v>
      </c>
      <c r="B1214" s="30" t="s">
        <v>137</v>
      </c>
      <c r="C1214" s="19">
        <v>46255</v>
      </c>
      <c r="D1214" s="13" t="s">
        <v>14</v>
      </c>
      <c r="E1214" s="23">
        <v>2068</v>
      </c>
      <c r="F1214" s="12">
        <v>1.5907100000000001</v>
      </c>
      <c r="G1214" s="14">
        <v>0.44679999999999997</v>
      </c>
      <c r="H1214" s="15">
        <f t="shared" si="51"/>
        <v>1.9933164999999999</v>
      </c>
      <c r="I1214" s="16">
        <f t="shared" si="50"/>
        <v>0.46639344444444436</v>
      </c>
    </row>
    <row r="1215" spans="1:9" x14ac:dyDescent="0.3">
      <c r="A1215" s="23" t="s">
        <v>42</v>
      </c>
      <c r="B1215" s="30" t="s">
        <v>137</v>
      </c>
      <c r="C1215" s="19">
        <v>46255</v>
      </c>
      <c r="D1215" s="13" t="s">
        <v>15</v>
      </c>
      <c r="E1215" s="23">
        <v>1530</v>
      </c>
      <c r="F1215" s="12">
        <v>1.1907099999999999</v>
      </c>
      <c r="G1215" s="14">
        <v>0.31342799999999998</v>
      </c>
      <c r="H1215" s="15">
        <f t="shared" si="51"/>
        <v>1.9933164999999999</v>
      </c>
      <c r="I1215" s="16">
        <f t="shared" si="50"/>
        <v>0.46639344444444436</v>
      </c>
    </row>
    <row r="1216" spans="1:9" x14ac:dyDescent="0.3">
      <c r="A1216" s="23" t="s">
        <v>42</v>
      </c>
      <c r="B1216" s="30" t="s">
        <v>137</v>
      </c>
      <c r="C1216" s="19">
        <v>46255</v>
      </c>
      <c r="D1216" s="13" t="s">
        <v>16</v>
      </c>
      <c r="E1216" s="23">
        <v>1377</v>
      </c>
      <c r="F1216" s="12">
        <v>2.0541399999999999</v>
      </c>
      <c r="G1216" s="14">
        <v>0.48058699999999999</v>
      </c>
      <c r="H1216" s="15">
        <f t="shared" si="51"/>
        <v>1.9933164999999999</v>
      </c>
      <c r="I1216" s="16">
        <f t="shared" si="50"/>
        <v>0.46639344444444436</v>
      </c>
    </row>
    <row r="1217" spans="1:9" x14ac:dyDescent="0.3">
      <c r="A1217" s="23" t="s">
        <v>42</v>
      </c>
      <c r="B1217" s="30" t="s">
        <v>137</v>
      </c>
      <c r="C1217" s="19">
        <v>46255</v>
      </c>
      <c r="D1217" s="13" t="s">
        <v>17</v>
      </c>
      <c r="E1217" s="23">
        <v>1741</v>
      </c>
      <c r="F1217" s="12">
        <v>0.88993599999999995</v>
      </c>
      <c r="G1217" s="14">
        <v>0.17687</v>
      </c>
      <c r="H1217" s="15">
        <f t="shared" si="51"/>
        <v>1.9933164999999999</v>
      </c>
      <c r="I1217" s="16">
        <f t="shared" si="50"/>
        <v>0.46639344444444436</v>
      </c>
    </row>
    <row r="1218" spans="1:9" x14ac:dyDescent="0.3">
      <c r="A1218" s="23" t="s">
        <v>42</v>
      </c>
      <c r="B1218" s="30" t="s">
        <v>137</v>
      </c>
      <c r="C1218" s="19">
        <v>46255</v>
      </c>
      <c r="D1218" s="13" t="s">
        <v>18</v>
      </c>
      <c r="E1218" s="23">
        <v>1392</v>
      </c>
      <c r="F1218" s="12">
        <v>8.08371</v>
      </c>
      <c r="G1218" s="14">
        <v>1.8996200000000001</v>
      </c>
      <c r="H1218" s="15">
        <f t="shared" si="51"/>
        <v>1.9933164999999999</v>
      </c>
      <c r="I1218" s="16">
        <f t="shared" ref="I1218:I1267" si="52">IFERROR(AVERAGEIFS($G:$G, $A:$A, $A1218, $B:$B,$B1218, $C:$C,$C1218),"")</f>
        <v>0.46639344444444436</v>
      </c>
    </row>
    <row r="1219" spans="1:9" x14ac:dyDescent="0.3">
      <c r="A1219" s="23" t="s">
        <v>42</v>
      </c>
      <c r="B1219" s="30" t="s">
        <v>137</v>
      </c>
      <c r="C1219" s="19">
        <v>46255</v>
      </c>
      <c r="D1219" s="13" t="s">
        <v>19</v>
      </c>
      <c r="E1219" s="23">
        <v>1397</v>
      </c>
      <c r="F1219" s="12">
        <v>1.7896399999999999</v>
      </c>
      <c r="G1219" s="14">
        <v>0.37706400000000001</v>
      </c>
      <c r="H1219" s="15">
        <f t="shared" si="51"/>
        <v>1.9933164999999999</v>
      </c>
      <c r="I1219" s="16">
        <f t="shared" si="52"/>
        <v>0.46639344444444436</v>
      </c>
    </row>
    <row r="1220" spans="1:9" x14ac:dyDescent="0.3">
      <c r="A1220" s="23" t="s">
        <v>42</v>
      </c>
      <c r="B1220" s="30" t="s">
        <v>137</v>
      </c>
      <c r="C1220" s="19">
        <v>46255</v>
      </c>
      <c r="D1220" s="13" t="s">
        <v>20</v>
      </c>
      <c r="E1220" s="23">
        <v>1108</v>
      </c>
      <c r="F1220" s="12">
        <v>1.59856</v>
      </c>
      <c r="G1220" s="14">
        <v>0.33344099999999999</v>
      </c>
      <c r="H1220" s="15">
        <f t="shared" si="51"/>
        <v>1.9933164999999999</v>
      </c>
      <c r="I1220" s="16">
        <f t="shared" si="52"/>
        <v>0.46639344444444436</v>
      </c>
    </row>
    <row r="1221" spans="1:9" x14ac:dyDescent="0.3">
      <c r="A1221" s="23" t="s">
        <v>42</v>
      </c>
      <c r="B1221" s="30" t="s">
        <v>137</v>
      </c>
      <c r="C1221" s="19">
        <v>46255</v>
      </c>
      <c r="D1221" s="13" t="s">
        <v>40</v>
      </c>
      <c r="E1221" s="23">
        <v>1497</v>
      </c>
      <c r="F1221" s="12">
        <v>1.0263100000000001</v>
      </c>
      <c r="G1221" s="14">
        <v>0.31339099999999998</v>
      </c>
      <c r="H1221" s="15">
        <f t="shared" si="51"/>
        <v>1.9933164999999999</v>
      </c>
      <c r="I1221" s="16">
        <f t="shared" si="52"/>
        <v>0.46639344444444436</v>
      </c>
    </row>
    <row r="1222" spans="1:9" x14ac:dyDescent="0.3">
      <c r="A1222" s="23" t="s">
        <v>42</v>
      </c>
      <c r="B1222" s="30" t="s">
        <v>137</v>
      </c>
      <c r="C1222" s="19">
        <v>46255</v>
      </c>
      <c r="D1222" s="13" t="s">
        <v>21</v>
      </c>
      <c r="E1222" s="23">
        <v>2089</v>
      </c>
      <c r="F1222" s="12">
        <v>2.2855599999999998</v>
      </c>
      <c r="G1222" s="14">
        <v>0.446185</v>
      </c>
      <c r="H1222" s="15">
        <f t="shared" si="51"/>
        <v>1.9933164999999999</v>
      </c>
      <c r="I1222" s="16">
        <f t="shared" si="52"/>
        <v>0.46639344444444436</v>
      </c>
    </row>
    <row r="1223" spans="1:9" x14ac:dyDescent="0.3">
      <c r="A1223" s="23" t="s">
        <v>42</v>
      </c>
      <c r="B1223" s="30" t="s">
        <v>137</v>
      </c>
      <c r="C1223" s="19">
        <v>46255</v>
      </c>
      <c r="D1223" s="13" t="s">
        <v>22</v>
      </c>
      <c r="E1223" s="23">
        <v>2116</v>
      </c>
      <c r="F1223" s="12">
        <v>0.46966799999999997</v>
      </c>
      <c r="G1223" s="14">
        <v>0.12848799999999999</v>
      </c>
      <c r="H1223" s="15">
        <f t="shared" si="51"/>
        <v>1.9933164999999999</v>
      </c>
      <c r="I1223" s="16">
        <f t="shared" si="52"/>
        <v>0.46639344444444436</v>
      </c>
    </row>
    <row r="1224" spans="1:9" x14ac:dyDescent="0.3">
      <c r="A1224" s="23" t="s">
        <v>42</v>
      </c>
      <c r="B1224" s="30" t="s">
        <v>137</v>
      </c>
      <c r="C1224" s="19">
        <v>46255</v>
      </c>
      <c r="D1224" s="13" t="s">
        <v>23</v>
      </c>
      <c r="E1224" s="23">
        <v>2119</v>
      </c>
      <c r="F1224" s="12">
        <v>0.49752600000000002</v>
      </c>
      <c r="G1224" s="14">
        <v>0.162659</v>
      </c>
      <c r="H1224" s="15">
        <f t="shared" si="51"/>
        <v>1.9933164999999999</v>
      </c>
      <c r="I1224" s="16">
        <f t="shared" si="52"/>
        <v>0.46639344444444436</v>
      </c>
    </row>
    <row r="1225" spans="1:9" x14ac:dyDescent="0.3">
      <c r="A1225" s="23" t="s">
        <v>42</v>
      </c>
      <c r="B1225" s="30" t="s">
        <v>137</v>
      </c>
      <c r="C1225" s="19">
        <v>46255</v>
      </c>
      <c r="D1225" s="13" t="s">
        <v>24</v>
      </c>
      <c r="E1225" s="23">
        <v>1987</v>
      </c>
      <c r="F1225" s="12">
        <v>1.77268</v>
      </c>
      <c r="G1225" s="14">
        <v>0.54729899999999998</v>
      </c>
      <c r="H1225" s="15">
        <f t="shared" si="51"/>
        <v>1.9933164999999999</v>
      </c>
      <c r="I1225" s="16">
        <f t="shared" si="52"/>
        <v>0.46639344444444436</v>
      </c>
    </row>
    <row r="1226" spans="1:9" x14ac:dyDescent="0.3">
      <c r="A1226" s="23" t="s">
        <v>42</v>
      </c>
      <c r="B1226" s="30" t="s">
        <v>137</v>
      </c>
      <c r="C1226" s="19">
        <v>46255</v>
      </c>
      <c r="D1226" s="13" t="s">
        <v>25</v>
      </c>
      <c r="E1226" s="23">
        <v>1001</v>
      </c>
      <c r="F1226" s="12">
        <v>2.5088200000000001</v>
      </c>
      <c r="G1226" s="14">
        <v>0.59784999999999999</v>
      </c>
      <c r="H1226" s="15">
        <f t="shared" si="51"/>
        <v>1.9933164999999999</v>
      </c>
      <c r="I1226" s="16">
        <f t="shared" si="52"/>
        <v>0.46639344444444436</v>
      </c>
    </row>
    <row r="1227" spans="1:9" x14ac:dyDescent="0.3">
      <c r="A1227" s="23" t="s">
        <v>42</v>
      </c>
      <c r="B1227" s="30" t="s">
        <v>137</v>
      </c>
      <c r="C1227" s="19">
        <v>46255</v>
      </c>
      <c r="D1227" s="13" t="s">
        <v>26</v>
      </c>
      <c r="E1227" s="23">
        <v>2188</v>
      </c>
      <c r="F1227" s="12">
        <v>0.362595</v>
      </c>
      <c r="G1227" s="14">
        <v>0.1172</v>
      </c>
      <c r="H1227" s="15">
        <f t="shared" si="51"/>
        <v>1.9933164999999999</v>
      </c>
      <c r="I1227" s="16">
        <f t="shared" si="52"/>
        <v>0.46639344444444436</v>
      </c>
    </row>
    <row r="1228" spans="1:9" x14ac:dyDescent="0.3">
      <c r="A1228" s="23" t="s">
        <v>42</v>
      </c>
      <c r="B1228" s="30" t="s">
        <v>137</v>
      </c>
      <c r="C1228" s="19">
        <v>46255</v>
      </c>
      <c r="D1228" s="13" t="s">
        <v>27</v>
      </c>
      <c r="E1228" s="23">
        <v>1553</v>
      </c>
      <c r="F1228" s="12">
        <v>2.2913700000000001</v>
      </c>
      <c r="G1228" s="14">
        <v>0.523312</v>
      </c>
      <c r="H1228" s="15">
        <f t="shared" si="51"/>
        <v>1.9933164999999999</v>
      </c>
      <c r="I1228" s="16">
        <f t="shared" si="52"/>
        <v>0.46639344444444436</v>
      </c>
    </row>
    <row r="1229" spans="1:9" x14ac:dyDescent="0.3">
      <c r="A1229" s="23" t="s">
        <v>42</v>
      </c>
      <c r="B1229" s="30" t="s">
        <v>137</v>
      </c>
      <c r="C1229" s="19">
        <v>46255</v>
      </c>
      <c r="D1229" s="13" t="s">
        <v>28</v>
      </c>
      <c r="E1229" s="23">
        <v>1129</v>
      </c>
      <c r="F1229" s="12">
        <v>0.80725199999999997</v>
      </c>
      <c r="G1229" s="14">
        <v>0.18199100000000001</v>
      </c>
      <c r="H1229" s="15">
        <f t="shared" si="51"/>
        <v>1.9933164999999999</v>
      </c>
      <c r="I1229" s="16">
        <f t="shared" si="52"/>
        <v>0.46639344444444436</v>
      </c>
    </row>
    <row r="1230" spans="1:9" x14ac:dyDescent="0.3">
      <c r="A1230" s="23" t="s">
        <v>42</v>
      </c>
      <c r="B1230" s="30" t="s">
        <v>137</v>
      </c>
      <c r="C1230" s="19">
        <v>46255</v>
      </c>
      <c r="D1230" s="13" t="s">
        <v>29</v>
      </c>
      <c r="E1230" s="23">
        <v>1103</v>
      </c>
      <c r="F1230" s="12">
        <v>5.1357900000000001</v>
      </c>
      <c r="G1230" s="14">
        <v>1.04112</v>
      </c>
      <c r="H1230" s="15">
        <f t="shared" si="51"/>
        <v>1.9933164999999999</v>
      </c>
      <c r="I1230" s="16">
        <f t="shared" si="52"/>
        <v>0.46639344444444436</v>
      </c>
    </row>
    <row r="1231" spans="1:9" x14ac:dyDescent="0.3">
      <c r="A1231" s="23" t="s">
        <v>42</v>
      </c>
      <c r="B1231" s="30" t="s">
        <v>137</v>
      </c>
      <c r="C1231" s="19">
        <v>46255</v>
      </c>
      <c r="D1231" s="13" t="s">
        <v>30</v>
      </c>
      <c r="E1231" s="23">
        <v>1157</v>
      </c>
      <c r="F1231" s="12">
        <v>1.5247200000000001</v>
      </c>
      <c r="G1231" s="14">
        <v>0.30777700000000002</v>
      </c>
      <c r="H1231" s="15">
        <f t="shared" si="51"/>
        <v>1.9933164999999999</v>
      </c>
      <c r="I1231" s="16">
        <f t="shared" si="52"/>
        <v>0.46639344444444436</v>
      </c>
    </row>
    <row r="1232" spans="1:9" x14ac:dyDescent="0.3">
      <c r="A1232" s="23" t="s">
        <v>41</v>
      </c>
      <c r="B1232" s="30" t="str">
        <f t="shared" ref="B1232:B1249" si="53">IF($A1232="Daily", "n/a", "")</f>
        <v>n/a</v>
      </c>
      <c r="C1232" s="19">
        <v>46255</v>
      </c>
      <c r="D1232" s="13" t="s">
        <v>14</v>
      </c>
      <c r="E1232" s="23">
        <v>1897</v>
      </c>
      <c r="F1232" s="12">
        <v>0.38606699999999999</v>
      </c>
      <c r="G1232" s="14">
        <v>0.108658</v>
      </c>
      <c r="H1232" s="15">
        <f t="shared" si="51"/>
        <v>0.42276977777777769</v>
      </c>
      <c r="I1232" s="16">
        <f t="shared" si="52"/>
        <v>0.10262061111111112</v>
      </c>
    </row>
    <row r="1233" spans="1:9" x14ac:dyDescent="0.3">
      <c r="A1233" s="23" t="s">
        <v>41</v>
      </c>
      <c r="B1233" s="30" t="str">
        <f t="shared" si="53"/>
        <v>n/a</v>
      </c>
      <c r="C1233" s="19">
        <v>46255</v>
      </c>
      <c r="D1233" s="13" t="s">
        <v>15</v>
      </c>
      <c r="E1233" s="23">
        <v>1522</v>
      </c>
      <c r="F1233" s="12">
        <v>0.41974</v>
      </c>
      <c r="G1233" s="14">
        <v>0.110641</v>
      </c>
      <c r="H1233" s="15">
        <f t="shared" si="51"/>
        <v>0.42276977777777769</v>
      </c>
      <c r="I1233" s="16">
        <f t="shared" si="52"/>
        <v>0.10262061111111112</v>
      </c>
    </row>
    <row r="1234" spans="1:9" x14ac:dyDescent="0.3">
      <c r="A1234" s="23" t="s">
        <v>41</v>
      </c>
      <c r="B1234" s="30" t="str">
        <f t="shared" si="53"/>
        <v>n/a</v>
      </c>
      <c r="C1234" s="19">
        <v>46255</v>
      </c>
      <c r="D1234" s="13" t="s">
        <v>16</v>
      </c>
      <c r="E1234" s="23">
        <v>1230</v>
      </c>
      <c r="F1234" s="12">
        <v>0.54217400000000004</v>
      </c>
      <c r="G1234" s="14">
        <v>0.127246</v>
      </c>
      <c r="H1234" s="15">
        <f t="shared" si="51"/>
        <v>0.42276977777777769</v>
      </c>
      <c r="I1234" s="16">
        <f t="shared" si="52"/>
        <v>0.10262061111111112</v>
      </c>
    </row>
    <row r="1235" spans="1:9" x14ac:dyDescent="0.3">
      <c r="A1235" s="23" t="s">
        <v>41</v>
      </c>
      <c r="B1235" s="30" t="str">
        <f t="shared" si="53"/>
        <v>n/a</v>
      </c>
      <c r="C1235" s="19">
        <v>46255</v>
      </c>
      <c r="D1235" s="13" t="s">
        <v>17</v>
      </c>
      <c r="E1235" s="23">
        <v>1890</v>
      </c>
      <c r="F1235" s="12">
        <v>0.55751899999999999</v>
      </c>
      <c r="G1235" s="14">
        <v>0.110322</v>
      </c>
      <c r="H1235" s="15">
        <f t="shared" si="51"/>
        <v>0.42276977777777769</v>
      </c>
      <c r="I1235" s="16">
        <f t="shared" si="52"/>
        <v>0.10262061111111112</v>
      </c>
    </row>
    <row r="1236" spans="1:9" x14ac:dyDescent="0.3">
      <c r="A1236" s="23" t="s">
        <v>41</v>
      </c>
      <c r="B1236" s="30" t="str">
        <f t="shared" si="53"/>
        <v>n/a</v>
      </c>
      <c r="C1236" s="19">
        <v>46255</v>
      </c>
      <c r="D1236" s="13" t="s">
        <v>18</v>
      </c>
      <c r="E1236" s="23">
        <v>1323</v>
      </c>
      <c r="F1236" s="12">
        <v>0.322826</v>
      </c>
      <c r="G1236" s="14">
        <v>7.68263E-2</v>
      </c>
      <c r="H1236" s="15">
        <f t="shared" si="51"/>
        <v>0.42276977777777769</v>
      </c>
      <c r="I1236" s="16">
        <f t="shared" si="52"/>
        <v>0.10262061111111112</v>
      </c>
    </row>
    <row r="1237" spans="1:9" x14ac:dyDescent="0.3">
      <c r="A1237" s="23" t="s">
        <v>41</v>
      </c>
      <c r="B1237" s="30" t="str">
        <f t="shared" si="53"/>
        <v>n/a</v>
      </c>
      <c r="C1237" s="19">
        <v>46255</v>
      </c>
      <c r="D1237" s="13" t="s">
        <v>19</v>
      </c>
      <c r="E1237" s="23">
        <v>1384</v>
      </c>
      <c r="F1237" s="12">
        <v>0.49721900000000002</v>
      </c>
      <c r="G1237" s="14">
        <v>0.104654</v>
      </c>
      <c r="H1237" s="15">
        <f t="shared" si="51"/>
        <v>0.42276977777777769</v>
      </c>
      <c r="I1237" s="16">
        <f t="shared" si="52"/>
        <v>0.10262061111111112</v>
      </c>
    </row>
    <row r="1238" spans="1:9" x14ac:dyDescent="0.3">
      <c r="A1238" s="23" t="s">
        <v>41</v>
      </c>
      <c r="B1238" s="30" t="str">
        <f t="shared" si="53"/>
        <v>n/a</v>
      </c>
      <c r="C1238" s="19">
        <v>46255</v>
      </c>
      <c r="D1238" s="13" t="s">
        <v>20</v>
      </c>
      <c r="E1238" s="23">
        <v>1162</v>
      </c>
      <c r="F1238" s="12">
        <v>0.50142600000000004</v>
      </c>
      <c r="G1238" s="14">
        <v>0.104958</v>
      </c>
      <c r="H1238" s="15">
        <f t="shared" si="51"/>
        <v>0.42276977777777769</v>
      </c>
      <c r="I1238" s="16">
        <f t="shared" si="52"/>
        <v>0.10262061111111112</v>
      </c>
    </row>
    <row r="1239" spans="1:9" x14ac:dyDescent="0.3">
      <c r="A1239" s="23" t="s">
        <v>41</v>
      </c>
      <c r="B1239" s="30" t="str">
        <f t="shared" si="53"/>
        <v>n/a</v>
      </c>
      <c r="C1239" s="19">
        <v>46255</v>
      </c>
      <c r="D1239" s="13" t="s">
        <v>40</v>
      </c>
      <c r="E1239" s="23">
        <v>1377</v>
      </c>
      <c r="F1239" s="12">
        <v>0.26933200000000002</v>
      </c>
      <c r="G1239" s="14">
        <v>8.1655400000000003E-2</v>
      </c>
      <c r="H1239" s="15">
        <f t="shared" si="51"/>
        <v>0.42276977777777769</v>
      </c>
      <c r="I1239" s="16">
        <f t="shared" si="52"/>
        <v>0.10262061111111112</v>
      </c>
    </row>
    <row r="1240" spans="1:9" x14ac:dyDescent="0.3">
      <c r="A1240" s="23" t="s">
        <v>41</v>
      </c>
      <c r="B1240" s="30" t="str">
        <f t="shared" si="53"/>
        <v>n/a</v>
      </c>
      <c r="C1240" s="19">
        <v>46255</v>
      </c>
      <c r="D1240" s="13" t="s">
        <v>21</v>
      </c>
      <c r="E1240" s="23">
        <v>1973</v>
      </c>
      <c r="F1240" s="12">
        <v>0.49700800000000001</v>
      </c>
      <c r="G1240" s="14">
        <v>9.6756599999999998E-2</v>
      </c>
      <c r="H1240" s="15">
        <f t="shared" si="51"/>
        <v>0.42276977777777769</v>
      </c>
      <c r="I1240" s="16">
        <f t="shared" si="52"/>
        <v>0.10262061111111112</v>
      </c>
    </row>
    <row r="1241" spans="1:9" x14ac:dyDescent="0.3">
      <c r="A1241" s="23" t="s">
        <v>41</v>
      </c>
      <c r="B1241" s="30" t="str">
        <f t="shared" si="53"/>
        <v>n/a</v>
      </c>
      <c r="C1241" s="19">
        <v>46255</v>
      </c>
      <c r="D1241" s="13" t="s">
        <v>22</v>
      </c>
      <c r="E1241" s="23">
        <v>2366</v>
      </c>
      <c r="F1241" s="12">
        <v>0.36167700000000003</v>
      </c>
      <c r="G1241" s="14">
        <v>9.8345600000000005E-2</v>
      </c>
      <c r="H1241" s="15">
        <f t="shared" si="51"/>
        <v>0.42276977777777769</v>
      </c>
      <c r="I1241" s="16">
        <f t="shared" si="52"/>
        <v>0.10262061111111112</v>
      </c>
    </row>
    <row r="1242" spans="1:9" x14ac:dyDescent="0.3">
      <c r="A1242" s="23" t="s">
        <v>41</v>
      </c>
      <c r="B1242" s="30" t="str">
        <f t="shared" si="53"/>
        <v>n/a</v>
      </c>
      <c r="C1242" s="19">
        <v>46255</v>
      </c>
      <c r="D1242" s="13" t="s">
        <v>23</v>
      </c>
      <c r="E1242" s="23">
        <v>1760</v>
      </c>
      <c r="F1242" s="12">
        <v>0.45647900000000002</v>
      </c>
      <c r="G1242" s="14">
        <v>0.14977499999999999</v>
      </c>
      <c r="H1242" s="15">
        <f t="shared" si="51"/>
        <v>0.42276977777777769</v>
      </c>
      <c r="I1242" s="16">
        <f t="shared" si="52"/>
        <v>0.10262061111111112</v>
      </c>
    </row>
    <row r="1243" spans="1:9" x14ac:dyDescent="0.3">
      <c r="A1243" s="23" t="s">
        <v>41</v>
      </c>
      <c r="B1243" s="30" t="str">
        <f t="shared" si="53"/>
        <v>n/a</v>
      </c>
      <c r="C1243" s="19">
        <v>46255</v>
      </c>
      <c r="D1243" s="13" t="s">
        <v>24</v>
      </c>
      <c r="E1243" s="23">
        <v>2180</v>
      </c>
      <c r="F1243" s="12">
        <v>0.35242400000000002</v>
      </c>
      <c r="G1243" s="14">
        <v>0.108616</v>
      </c>
      <c r="H1243" s="15">
        <f t="shared" si="51"/>
        <v>0.42276977777777769</v>
      </c>
      <c r="I1243" s="16">
        <f t="shared" si="52"/>
        <v>0.10262061111111112</v>
      </c>
    </row>
    <row r="1244" spans="1:9" x14ac:dyDescent="0.3">
      <c r="A1244" s="23" t="s">
        <v>41</v>
      </c>
      <c r="B1244" s="30" t="str">
        <f t="shared" si="53"/>
        <v>n/a</v>
      </c>
      <c r="C1244" s="19">
        <v>46255</v>
      </c>
      <c r="D1244" s="13" t="s">
        <v>25</v>
      </c>
      <c r="E1244" s="23">
        <v>1126</v>
      </c>
      <c r="F1244" s="12">
        <v>0.26023600000000002</v>
      </c>
      <c r="G1244" s="14">
        <v>6.2629799999999999E-2</v>
      </c>
      <c r="H1244" s="15">
        <f t="shared" si="51"/>
        <v>0.42276977777777769</v>
      </c>
      <c r="I1244" s="16">
        <f t="shared" si="52"/>
        <v>0.10262061111111112</v>
      </c>
    </row>
    <row r="1245" spans="1:9" x14ac:dyDescent="0.3">
      <c r="A1245" s="23" t="s">
        <v>41</v>
      </c>
      <c r="B1245" s="30" t="str">
        <f t="shared" si="53"/>
        <v>n/a</v>
      </c>
      <c r="C1245" s="19">
        <v>46255</v>
      </c>
      <c r="D1245" s="13" t="s">
        <v>26</v>
      </c>
      <c r="E1245" s="23">
        <v>2314</v>
      </c>
      <c r="F1245" s="12">
        <v>0.32979599999999998</v>
      </c>
      <c r="G1245" s="14">
        <v>0.106111</v>
      </c>
      <c r="H1245" s="15">
        <f t="shared" si="51"/>
        <v>0.42276977777777769</v>
      </c>
      <c r="I1245" s="16">
        <f t="shared" si="52"/>
        <v>0.10262061111111112</v>
      </c>
    </row>
    <row r="1246" spans="1:9" x14ac:dyDescent="0.3">
      <c r="A1246" s="23" t="s">
        <v>41</v>
      </c>
      <c r="B1246" s="30" t="str">
        <f t="shared" si="53"/>
        <v>n/a</v>
      </c>
      <c r="C1246" s="19">
        <v>46255</v>
      </c>
      <c r="D1246" s="13" t="s">
        <v>27</v>
      </c>
      <c r="E1246" s="23">
        <v>1361</v>
      </c>
      <c r="F1246" s="12">
        <v>0.51904700000000004</v>
      </c>
      <c r="G1246" s="14">
        <v>0.11781</v>
      </c>
      <c r="H1246" s="15">
        <f t="shared" si="51"/>
        <v>0.42276977777777769</v>
      </c>
      <c r="I1246" s="16">
        <f t="shared" si="52"/>
        <v>0.10262061111111112</v>
      </c>
    </row>
    <row r="1247" spans="1:9" x14ac:dyDescent="0.3">
      <c r="A1247" s="23" t="s">
        <v>41</v>
      </c>
      <c r="B1247" s="30" t="str">
        <f t="shared" si="53"/>
        <v>n/a</v>
      </c>
      <c r="C1247" s="19">
        <v>46255</v>
      </c>
      <c r="D1247" s="13" t="s">
        <v>28</v>
      </c>
      <c r="E1247" s="23">
        <v>1192</v>
      </c>
      <c r="F1247" s="12">
        <v>0.453818</v>
      </c>
      <c r="G1247" s="14">
        <v>0.10198699999999999</v>
      </c>
      <c r="H1247" s="15">
        <f t="shared" si="51"/>
        <v>0.42276977777777769</v>
      </c>
      <c r="I1247" s="16">
        <f t="shared" si="52"/>
        <v>0.10262061111111112</v>
      </c>
    </row>
    <row r="1248" spans="1:9" x14ac:dyDescent="0.3">
      <c r="A1248" s="23" t="s">
        <v>41</v>
      </c>
      <c r="B1248" s="30" t="str">
        <f t="shared" si="53"/>
        <v>n/a</v>
      </c>
      <c r="C1248" s="19">
        <v>46255</v>
      </c>
      <c r="D1248" s="13" t="s">
        <v>29</v>
      </c>
      <c r="E1248" s="23">
        <v>1007</v>
      </c>
      <c r="F1248" s="12">
        <v>0.41626400000000002</v>
      </c>
      <c r="G1248" s="14">
        <v>8.6207000000000006E-2</v>
      </c>
      <c r="H1248" s="15">
        <f t="shared" si="51"/>
        <v>0.42276977777777769</v>
      </c>
      <c r="I1248" s="16">
        <f t="shared" si="52"/>
        <v>0.10262061111111112</v>
      </c>
    </row>
    <row r="1249" spans="1:9" x14ac:dyDescent="0.3">
      <c r="A1249" s="23" t="s">
        <v>41</v>
      </c>
      <c r="B1249" s="30" t="str">
        <f t="shared" si="53"/>
        <v>n/a</v>
      </c>
      <c r="C1249" s="19">
        <v>46255</v>
      </c>
      <c r="D1249" s="13" t="s">
        <v>30</v>
      </c>
      <c r="E1249" s="23">
        <v>1104</v>
      </c>
      <c r="F1249" s="12">
        <v>0.466804</v>
      </c>
      <c r="G1249" s="14">
        <v>9.3972299999999995E-2</v>
      </c>
      <c r="H1249" s="15">
        <f t="shared" si="51"/>
        <v>0.42276977777777769</v>
      </c>
      <c r="I1249" s="16">
        <f t="shared" si="52"/>
        <v>0.10262061111111112</v>
      </c>
    </row>
    <row r="1250" spans="1:9" x14ac:dyDescent="0.3">
      <c r="A1250" s="23" t="s">
        <v>48</v>
      </c>
      <c r="B1250" s="30" t="s">
        <v>138</v>
      </c>
      <c r="C1250" s="19">
        <v>46255</v>
      </c>
      <c r="D1250" s="13" t="s">
        <v>14</v>
      </c>
      <c r="E1250" s="23">
        <v>1958</v>
      </c>
      <c r="F1250" s="12">
        <v>0.33082699999999998</v>
      </c>
      <c r="G1250" s="14">
        <v>9.3121099999999998E-2</v>
      </c>
      <c r="H1250" s="15">
        <f t="shared" si="51"/>
        <v>0.40883977777777764</v>
      </c>
      <c r="I1250" s="16">
        <f t="shared" si="52"/>
        <v>9.8833172222222238E-2</v>
      </c>
    </row>
    <row r="1251" spans="1:9" x14ac:dyDescent="0.3">
      <c r="A1251" s="23" t="s">
        <v>48</v>
      </c>
      <c r="B1251" s="30" t="s">
        <v>138</v>
      </c>
      <c r="C1251" s="19">
        <v>46255</v>
      </c>
      <c r="D1251" s="13" t="s">
        <v>15</v>
      </c>
      <c r="E1251" s="23">
        <v>1496</v>
      </c>
      <c r="F1251" s="12">
        <v>0.39394699999999999</v>
      </c>
      <c r="G1251" s="14">
        <v>0.103864</v>
      </c>
      <c r="H1251" s="15">
        <f t="shared" si="51"/>
        <v>0.40883977777777764</v>
      </c>
      <c r="I1251" s="16">
        <f t="shared" si="52"/>
        <v>9.8833172222222238E-2</v>
      </c>
    </row>
    <row r="1252" spans="1:9" x14ac:dyDescent="0.3">
      <c r="A1252" s="23" t="s">
        <v>48</v>
      </c>
      <c r="B1252" s="30" t="s">
        <v>138</v>
      </c>
      <c r="C1252" s="19">
        <v>46255</v>
      </c>
      <c r="D1252" s="13" t="s">
        <v>16</v>
      </c>
      <c r="E1252" s="23">
        <v>1371</v>
      </c>
      <c r="F1252" s="12">
        <v>0.49240200000000001</v>
      </c>
      <c r="G1252" s="14">
        <v>0.115601</v>
      </c>
      <c r="H1252" s="15">
        <f t="shared" si="51"/>
        <v>0.40883977777777764</v>
      </c>
      <c r="I1252" s="16">
        <f t="shared" si="52"/>
        <v>9.8833172222222238E-2</v>
      </c>
    </row>
    <row r="1253" spans="1:9" x14ac:dyDescent="0.3">
      <c r="A1253" s="23" t="s">
        <v>48</v>
      </c>
      <c r="B1253" s="30" t="s">
        <v>138</v>
      </c>
      <c r="C1253" s="19">
        <v>46255</v>
      </c>
      <c r="D1253" s="13" t="s">
        <v>17</v>
      </c>
      <c r="E1253" s="23">
        <v>1845</v>
      </c>
      <c r="F1253" s="12">
        <v>0.601742</v>
      </c>
      <c r="G1253" s="14">
        <v>0.11905499999999999</v>
      </c>
      <c r="H1253" s="15">
        <f t="shared" si="51"/>
        <v>0.40883977777777764</v>
      </c>
      <c r="I1253" s="16">
        <f t="shared" si="52"/>
        <v>9.8833172222222238E-2</v>
      </c>
    </row>
    <row r="1254" spans="1:9" x14ac:dyDescent="0.3">
      <c r="A1254" s="23" t="s">
        <v>48</v>
      </c>
      <c r="B1254" s="30" t="s">
        <v>138</v>
      </c>
      <c r="C1254" s="19">
        <v>46255</v>
      </c>
      <c r="D1254" s="13" t="s">
        <v>18</v>
      </c>
      <c r="E1254" s="23">
        <v>1396</v>
      </c>
      <c r="F1254" s="12">
        <v>0.30510199999999998</v>
      </c>
      <c r="G1254" s="14">
        <v>7.2619500000000003E-2</v>
      </c>
      <c r="H1254" s="15">
        <f t="shared" ref="H1254:H1267" si="54">IFERROR(AVERAGEIFS($F:$F, $A:$A, $A1254, $B:$B,$B1254, $C:$C,$C1254),"")</f>
        <v>0.40883977777777764</v>
      </c>
      <c r="I1254" s="16">
        <f t="shared" si="52"/>
        <v>9.8833172222222238E-2</v>
      </c>
    </row>
    <row r="1255" spans="1:9" x14ac:dyDescent="0.3">
      <c r="A1255" s="23" t="s">
        <v>48</v>
      </c>
      <c r="B1255" s="30" t="s">
        <v>138</v>
      </c>
      <c r="C1255" s="19">
        <v>46255</v>
      </c>
      <c r="D1255" s="13" t="s">
        <v>19</v>
      </c>
      <c r="E1255" s="23">
        <v>1382</v>
      </c>
      <c r="F1255" s="12">
        <v>0.50143899999999997</v>
      </c>
      <c r="G1255" s="14">
        <v>0.105596</v>
      </c>
      <c r="H1255" s="15">
        <f t="shared" si="54"/>
        <v>0.40883977777777764</v>
      </c>
      <c r="I1255" s="16">
        <f t="shared" si="52"/>
        <v>9.8833172222222238E-2</v>
      </c>
    </row>
    <row r="1256" spans="1:9" x14ac:dyDescent="0.3">
      <c r="A1256" s="23" t="s">
        <v>48</v>
      </c>
      <c r="B1256" s="30" t="s">
        <v>138</v>
      </c>
      <c r="C1256" s="19">
        <v>46255</v>
      </c>
      <c r="D1256" s="13" t="s">
        <v>20</v>
      </c>
      <c r="E1256" s="23">
        <v>1115</v>
      </c>
      <c r="F1256" s="12">
        <v>0.49408400000000002</v>
      </c>
      <c r="G1256" s="14">
        <v>0.10345</v>
      </c>
      <c r="H1256" s="15">
        <f t="shared" si="54"/>
        <v>0.40883977777777764</v>
      </c>
      <c r="I1256" s="16">
        <f t="shared" si="52"/>
        <v>9.8833172222222238E-2</v>
      </c>
    </row>
    <row r="1257" spans="1:9" x14ac:dyDescent="0.3">
      <c r="A1257" s="23" t="s">
        <v>48</v>
      </c>
      <c r="B1257" s="30" t="s">
        <v>138</v>
      </c>
      <c r="C1257" s="19">
        <v>46255</v>
      </c>
      <c r="D1257" s="13" t="s">
        <v>40</v>
      </c>
      <c r="E1257" s="23">
        <v>1498</v>
      </c>
      <c r="F1257" s="12">
        <v>0.28099800000000003</v>
      </c>
      <c r="G1257" s="14">
        <v>8.5202E-2</v>
      </c>
      <c r="H1257" s="15">
        <f t="shared" si="54"/>
        <v>0.40883977777777764</v>
      </c>
      <c r="I1257" s="16">
        <f t="shared" si="52"/>
        <v>9.8833172222222238E-2</v>
      </c>
    </row>
    <row r="1258" spans="1:9" x14ac:dyDescent="0.3">
      <c r="A1258" s="23" t="s">
        <v>48</v>
      </c>
      <c r="B1258" s="30" t="s">
        <v>138</v>
      </c>
      <c r="C1258" s="19">
        <v>46255</v>
      </c>
      <c r="D1258" s="13" t="s">
        <v>21</v>
      </c>
      <c r="E1258" s="23">
        <v>2132</v>
      </c>
      <c r="F1258" s="12">
        <v>0.49568499999999999</v>
      </c>
      <c r="G1258" s="14">
        <v>9.6510299999999993E-2</v>
      </c>
      <c r="H1258" s="15">
        <f t="shared" si="54"/>
        <v>0.40883977777777764</v>
      </c>
      <c r="I1258" s="16">
        <f t="shared" si="52"/>
        <v>9.8833172222222238E-2</v>
      </c>
    </row>
    <row r="1259" spans="1:9" x14ac:dyDescent="0.3">
      <c r="A1259" s="23" t="s">
        <v>48</v>
      </c>
      <c r="B1259" s="30" t="s">
        <v>138</v>
      </c>
      <c r="C1259" s="19">
        <v>46255</v>
      </c>
      <c r="D1259" s="13" t="s">
        <v>22</v>
      </c>
      <c r="E1259" s="23">
        <v>1965</v>
      </c>
      <c r="F1259" s="12">
        <v>0.39345400000000003</v>
      </c>
      <c r="G1259" s="14">
        <v>0.106964</v>
      </c>
      <c r="H1259" s="15">
        <f t="shared" si="54"/>
        <v>0.40883977777777764</v>
      </c>
      <c r="I1259" s="16">
        <f t="shared" si="52"/>
        <v>9.8833172222222238E-2</v>
      </c>
    </row>
    <row r="1260" spans="1:9" x14ac:dyDescent="0.3">
      <c r="A1260" s="23" t="s">
        <v>48</v>
      </c>
      <c r="B1260" s="30" t="s">
        <v>138</v>
      </c>
      <c r="C1260" s="19">
        <v>46255</v>
      </c>
      <c r="D1260" s="13" t="s">
        <v>23</v>
      </c>
      <c r="E1260" s="23">
        <v>1755</v>
      </c>
      <c r="F1260" s="12">
        <v>0.426867</v>
      </c>
      <c r="G1260" s="14">
        <v>0.14013600000000001</v>
      </c>
      <c r="H1260" s="15">
        <f t="shared" si="54"/>
        <v>0.40883977777777764</v>
      </c>
      <c r="I1260" s="16">
        <f t="shared" si="52"/>
        <v>9.8833172222222238E-2</v>
      </c>
    </row>
    <row r="1261" spans="1:9" x14ac:dyDescent="0.3">
      <c r="A1261" s="23" t="s">
        <v>48</v>
      </c>
      <c r="B1261" s="30" t="s">
        <v>138</v>
      </c>
      <c r="C1261" s="19">
        <v>46255</v>
      </c>
      <c r="D1261" s="13" t="s">
        <v>24</v>
      </c>
      <c r="E1261" s="23">
        <v>2088</v>
      </c>
      <c r="F1261" s="12">
        <v>0.30718299999999998</v>
      </c>
      <c r="G1261" s="14">
        <v>9.4645499999999994E-2</v>
      </c>
      <c r="H1261" s="15">
        <f t="shared" si="54"/>
        <v>0.40883977777777764</v>
      </c>
      <c r="I1261" s="16">
        <f t="shared" si="52"/>
        <v>9.8833172222222238E-2</v>
      </c>
    </row>
    <row r="1262" spans="1:9" x14ac:dyDescent="0.3">
      <c r="A1262" s="23" t="s">
        <v>48</v>
      </c>
      <c r="B1262" s="30" t="s">
        <v>138</v>
      </c>
      <c r="C1262" s="19">
        <v>46255</v>
      </c>
      <c r="D1262" s="13" t="s">
        <v>25</v>
      </c>
      <c r="E1262" s="23">
        <v>1091</v>
      </c>
      <c r="F1262" s="12">
        <v>0.32910200000000001</v>
      </c>
      <c r="G1262" s="14">
        <v>7.9194000000000001E-2</v>
      </c>
      <c r="H1262" s="15">
        <f t="shared" si="54"/>
        <v>0.40883977777777764</v>
      </c>
      <c r="I1262" s="16">
        <f t="shared" si="52"/>
        <v>9.8833172222222238E-2</v>
      </c>
    </row>
    <row r="1263" spans="1:9" x14ac:dyDescent="0.3">
      <c r="A1263" s="23" t="s">
        <v>48</v>
      </c>
      <c r="B1263" s="30" t="s">
        <v>138</v>
      </c>
      <c r="C1263" s="19">
        <v>46255</v>
      </c>
      <c r="D1263" s="13" t="s">
        <v>26</v>
      </c>
      <c r="E1263" s="23">
        <v>1914</v>
      </c>
      <c r="F1263" s="12">
        <v>0.30376599999999998</v>
      </c>
      <c r="G1263" s="14">
        <v>9.7724900000000003E-2</v>
      </c>
      <c r="H1263" s="15">
        <f t="shared" si="54"/>
        <v>0.40883977777777764</v>
      </c>
      <c r="I1263" s="16">
        <f t="shared" si="52"/>
        <v>9.8833172222222238E-2</v>
      </c>
    </row>
    <row r="1264" spans="1:9" x14ac:dyDescent="0.3">
      <c r="A1264" s="23" t="s">
        <v>48</v>
      </c>
      <c r="B1264" s="30" t="s">
        <v>138</v>
      </c>
      <c r="C1264" s="19">
        <v>46255</v>
      </c>
      <c r="D1264" s="13" t="s">
        <v>27</v>
      </c>
      <c r="E1264" s="23">
        <v>2163</v>
      </c>
      <c r="F1264" s="12">
        <v>0.44899299999999998</v>
      </c>
      <c r="G1264" s="14">
        <v>0.101935</v>
      </c>
      <c r="H1264" s="15">
        <f t="shared" si="54"/>
        <v>0.40883977777777764</v>
      </c>
      <c r="I1264" s="16">
        <f t="shared" si="52"/>
        <v>9.8833172222222238E-2</v>
      </c>
    </row>
    <row r="1265" spans="1:9" x14ac:dyDescent="0.3">
      <c r="A1265" s="23" t="s">
        <v>48</v>
      </c>
      <c r="B1265" s="30" t="s">
        <v>138</v>
      </c>
      <c r="C1265" s="19">
        <v>46255</v>
      </c>
      <c r="D1265" s="13" t="s">
        <v>28</v>
      </c>
      <c r="E1265" s="23">
        <v>1887</v>
      </c>
      <c r="F1265" s="12">
        <v>0.38950400000000002</v>
      </c>
      <c r="G1265" s="14">
        <v>8.74809E-2</v>
      </c>
      <c r="H1265" s="15">
        <f t="shared" si="54"/>
        <v>0.40883977777777764</v>
      </c>
      <c r="I1265" s="16">
        <f t="shared" si="52"/>
        <v>9.8833172222222238E-2</v>
      </c>
    </row>
    <row r="1266" spans="1:9" x14ac:dyDescent="0.3">
      <c r="A1266" s="23" t="s">
        <v>48</v>
      </c>
      <c r="B1266" s="30" t="s">
        <v>138</v>
      </c>
      <c r="C1266" s="19">
        <v>46255</v>
      </c>
      <c r="D1266" s="13" t="s">
        <v>29</v>
      </c>
      <c r="E1266" s="23">
        <v>1002</v>
      </c>
      <c r="F1266" s="12">
        <v>0.33208100000000002</v>
      </c>
      <c r="G1266" s="14">
        <v>6.8804900000000002E-2</v>
      </c>
      <c r="H1266" s="15">
        <f t="shared" si="54"/>
        <v>0.40883977777777764</v>
      </c>
      <c r="I1266" s="16">
        <f t="shared" si="52"/>
        <v>9.8833172222222238E-2</v>
      </c>
    </row>
    <row r="1267" spans="1:9" x14ac:dyDescent="0.3">
      <c r="A1267" s="23" t="s">
        <v>48</v>
      </c>
      <c r="B1267" s="30" t="s">
        <v>138</v>
      </c>
      <c r="C1267" s="19">
        <v>46255</v>
      </c>
      <c r="D1267" s="13" t="s">
        <v>30</v>
      </c>
      <c r="E1267" s="23">
        <v>1126</v>
      </c>
      <c r="F1267" s="12">
        <v>0.53193999999999997</v>
      </c>
      <c r="G1267" s="14">
        <v>0.10709299999999999</v>
      </c>
      <c r="H1267" s="15">
        <f t="shared" si="54"/>
        <v>0.40883977777777764</v>
      </c>
      <c r="I1267" s="16">
        <f t="shared" si="52"/>
        <v>9.8833172222222238E-2</v>
      </c>
    </row>
    <row r="1268" spans="1:9" x14ac:dyDescent="0.3">
      <c r="B1268" s="30" t="str">
        <f t="shared" ref="B1268:B1319" si="55">IF($A1268="Daily", "n/a", "")</f>
        <v/>
      </c>
    </row>
    <row r="1269" spans="1:9" x14ac:dyDescent="0.3">
      <c r="B1269" s="30" t="str">
        <f t="shared" si="55"/>
        <v/>
      </c>
    </row>
    <row r="1270" spans="1:9" x14ac:dyDescent="0.3">
      <c r="B1270" s="30" t="str">
        <f t="shared" si="55"/>
        <v/>
      </c>
    </row>
    <row r="1271" spans="1:9" x14ac:dyDescent="0.3">
      <c r="B1271" s="30" t="str">
        <f t="shared" si="55"/>
        <v/>
      </c>
    </row>
    <row r="1272" spans="1:9" x14ac:dyDescent="0.3">
      <c r="B1272" s="30" t="str">
        <f t="shared" si="55"/>
        <v/>
      </c>
    </row>
    <row r="1273" spans="1:9" x14ac:dyDescent="0.3">
      <c r="B1273" s="30" t="str">
        <f t="shared" si="55"/>
        <v/>
      </c>
    </row>
    <row r="1274" spans="1:9" x14ac:dyDescent="0.3">
      <c r="B1274" s="30" t="str">
        <f t="shared" si="55"/>
        <v/>
      </c>
    </row>
    <row r="1275" spans="1:9" x14ac:dyDescent="0.3">
      <c r="B1275" s="30" t="str">
        <f t="shared" si="55"/>
        <v/>
      </c>
    </row>
    <row r="1276" spans="1:9" x14ac:dyDescent="0.3">
      <c r="B1276" s="30" t="str">
        <f t="shared" si="55"/>
        <v/>
      </c>
    </row>
    <row r="1277" spans="1:9" x14ac:dyDescent="0.3">
      <c r="B1277" s="30" t="str">
        <f t="shared" si="55"/>
        <v/>
      </c>
    </row>
    <row r="1278" spans="1:9" x14ac:dyDescent="0.3">
      <c r="B1278" s="30" t="str">
        <f t="shared" si="55"/>
        <v/>
      </c>
    </row>
    <row r="1279" spans="1:9" x14ac:dyDescent="0.3">
      <c r="B1279" s="30" t="str">
        <f t="shared" si="55"/>
        <v/>
      </c>
    </row>
    <row r="1280" spans="1:9" x14ac:dyDescent="0.3">
      <c r="B1280" s="30" t="str">
        <f t="shared" si="55"/>
        <v/>
      </c>
    </row>
    <row r="1281" spans="2:2" x14ac:dyDescent="0.3">
      <c r="B1281" s="30" t="str">
        <f t="shared" si="55"/>
        <v/>
      </c>
    </row>
    <row r="1282" spans="2:2" x14ac:dyDescent="0.3">
      <c r="B1282" s="30" t="str">
        <f t="shared" si="55"/>
        <v/>
      </c>
    </row>
    <row r="1283" spans="2:2" x14ac:dyDescent="0.3">
      <c r="B1283" s="30" t="str">
        <f t="shared" si="55"/>
        <v/>
      </c>
    </row>
    <row r="1284" spans="2:2" x14ac:dyDescent="0.3">
      <c r="B1284" s="30" t="str">
        <f t="shared" si="55"/>
        <v/>
      </c>
    </row>
    <row r="1285" spans="2:2" x14ac:dyDescent="0.3">
      <c r="B1285" s="30" t="str">
        <f t="shared" si="55"/>
        <v/>
      </c>
    </row>
    <row r="1286" spans="2:2" x14ac:dyDescent="0.3">
      <c r="B1286" s="30" t="str">
        <f t="shared" si="55"/>
        <v/>
      </c>
    </row>
    <row r="1287" spans="2:2" x14ac:dyDescent="0.3">
      <c r="B1287" s="30" t="str">
        <f t="shared" si="55"/>
        <v/>
      </c>
    </row>
    <row r="1288" spans="2:2" x14ac:dyDescent="0.3">
      <c r="B1288" s="30" t="str">
        <f t="shared" si="55"/>
        <v/>
      </c>
    </row>
    <row r="1289" spans="2:2" x14ac:dyDescent="0.3">
      <c r="B1289" s="30" t="str">
        <f t="shared" si="55"/>
        <v/>
      </c>
    </row>
    <row r="1290" spans="2:2" x14ac:dyDescent="0.3">
      <c r="B1290" s="30" t="str">
        <f t="shared" si="55"/>
        <v/>
      </c>
    </row>
    <row r="1291" spans="2:2" x14ac:dyDescent="0.3">
      <c r="B1291" s="30" t="str">
        <f t="shared" si="55"/>
        <v/>
      </c>
    </row>
    <row r="1292" spans="2:2" x14ac:dyDescent="0.3">
      <c r="B1292" s="30" t="str">
        <f t="shared" si="55"/>
        <v/>
      </c>
    </row>
    <row r="1293" spans="2:2" x14ac:dyDescent="0.3">
      <c r="B1293" s="30" t="str">
        <f t="shared" si="55"/>
        <v/>
      </c>
    </row>
    <row r="1294" spans="2:2" x14ac:dyDescent="0.3">
      <c r="B1294" s="30" t="str">
        <f t="shared" si="55"/>
        <v/>
      </c>
    </row>
    <row r="1295" spans="2:2" x14ac:dyDescent="0.3">
      <c r="B1295" s="30" t="str">
        <f t="shared" si="55"/>
        <v/>
      </c>
    </row>
    <row r="1296" spans="2:2" x14ac:dyDescent="0.3">
      <c r="B1296" s="30" t="str">
        <f t="shared" si="55"/>
        <v/>
      </c>
    </row>
    <row r="1297" spans="2:2" x14ac:dyDescent="0.3">
      <c r="B1297" s="30" t="str">
        <f t="shared" si="55"/>
        <v/>
      </c>
    </row>
    <row r="1298" spans="2:2" x14ac:dyDescent="0.3">
      <c r="B1298" s="30" t="str">
        <f t="shared" si="55"/>
        <v/>
      </c>
    </row>
    <row r="1299" spans="2:2" x14ac:dyDescent="0.3">
      <c r="B1299" s="30" t="str">
        <f t="shared" si="55"/>
        <v/>
      </c>
    </row>
    <row r="1300" spans="2:2" x14ac:dyDescent="0.3">
      <c r="B1300" s="30" t="str">
        <f t="shared" si="55"/>
        <v/>
      </c>
    </row>
    <row r="1301" spans="2:2" x14ac:dyDescent="0.3">
      <c r="B1301" s="30" t="str">
        <f t="shared" si="55"/>
        <v/>
      </c>
    </row>
    <row r="1302" spans="2:2" x14ac:dyDescent="0.3">
      <c r="B1302" s="30" t="str">
        <f t="shared" si="55"/>
        <v/>
      </c>
    </row>
    <row r="1303" spans="2:2" x14ac:dyDescent="0.3">
      <c r="B1303" s="30" t="str">
        <f t="shared" si="55"/>
        <v/>
      </c>
    </row>
    <row r="1304" spans="2:2" x14ac:dyDescent="0.3">
      <c r="B1304" s="30" t="str">
        <f t="shared" si="55"/>
        <v/>
      </c>
    </row>
    <row r="1305" spans="2:2" x14ac:dyDescent="0.3">
      <c r="B1305" s="30" t="str">
        <f t="shared" si="55"/>
        <v/>
      </c>
    </row>
    <row r="1306" spans="2:2" x14ac:dyDescent="0.3">
      <c r="B1306" s="30" t="str">
        <f t="shared" si="55"/>
        <v/>
      </c>
    </row>
    <row r="1307" spans="2:2" x14ac:dyDescent="0.3">
      <c r="B1307" s="30" t="str">
        <f t="shared" si="55"/>
        <v/>
      </c>
    </row>
    <row r="1308" spans="2:2" x14ac:dyDescent="0.3">
      <c r="B1308" s="30" t="str">
        <f t="shared" si="55"/>
        <v/>
      </c>
    </row>
    <row r="1309" spans="2:2" x14ac:dyDescent="0.3">
      <c r="B1309" s="30" t="str">
        <f t="shared" si="55"/>
        <v/>
      </c>
    </row>
    <row r="1310" spans="2:2" x14ac:dyDescent="0.3">
      <c r="B1310" s="30" t="str">
        <f t="shared" si="55"/>
        <v/>
      </c>
    </row>
    <row r="1311" spans="2:2" x14ac:dyDescent="0.3">
      <c r="B1311" s="30" t="str">
        <f t="shared" si="55"/>
        <v/>
      </c>
    </row>
    <row r="1312" spans="2:2" x14ac:dyDescent="0.3">
      <c r="B1312" s="30" t="str">
        <f t="shared" si="55"/>
        <v/>
      </c>
    </row>
    <row r="1313" spans="2:2" x14ac:dyDescent="0.3">
      <c r="B1313" s="30" t="str">
        <f t="shared" si="55"/>
        <v/>
      </c>
    </row>
    <row r="1314" spans="2:2" x14ac:dyDescent="0.3">
      <c r="B1314" s="30" t="str">
        <f t="shared" si="55"/>
        <v/>
      </c>
    </row>
    <row r="1315" spans="2:2" x14ac:dyDescent="0.3">
      <c r="B1315" s="30" t="str">
        <f t="shared" si="55"/>
        <v/>
      </c>
    </row>
    <row r="1316" spans="2:2" x14ac:dyDescent="0.3">
      <c r="B1316" s="30" t="str">
        <f t="shared" si="55"/>
        <v/>
      </c>
    </row>
    <row r="1317" spans="2:2" x14ac:dyDescent="0.3">
      <c r="B1317" s="30" t="str">
        <f t="shared" si="55"/>
        <v/>
      </c>
    </row>
    <row r="1318" spans="2:2" x14ac:dyDescent="0.3">
      <c r="B1318" s="30" t="str">
        <f t="shared" si="55"/>
        <v/>
      </c>
    </row>
    <row r="1319" spans="2:2" x14ac:dyDescent="0.3">
      <c r="B1319" s="30" t="str">
        <f t="shared" si="55"/>
        <v/>
      </c>
    </row>
    <row r="1320" spans="2:2" x14ac:dyDescent="0.3">
      <c r="B1320" s="30" t="str">
        <f t="shared" ref="B1320:B1383" si="56">IF($A1320="Daily", "n/a", "")</f>
        <v/>
      </c>
    </row>
    <row r="1321" spans="2:2" x14ac:dyDescent="0.3">
      <c r="B1321" s="30" t="str">
        <f t="shared" si="56"/>
        <v/>
      </c>
    </row>
    <row r="1322" spans="2:2" x14ac:dyDescent="0.3">
      <c r="B1322" s="30" t="str">
        <f t="shared" si="56"/>
        <v/>
      </c>
    </row>
    <row r="1323" spans="2:2" x14ac:dyDescent="0.3">
      <c r="B1323" s="30" t="str">
        <f t="shared" si="56"/>
        <v/>
      </c>
    </row>
    <row r="1324" spans="2:2" x14ac:dyDescent="0.3">
      <c r="B1324" s="30" t="str">
        <f t="shared" si="56"/>
        <v/>
      </c>
    </row>
    <row r="1325" spans="2:2" x14ac:dyDescent="0.3">
      <c r="B1325" s="30" t="str">
        <f t="shared" si="56"/>
        <v/>
      </c>
    </row>
    <row r="1326" spans="2:2" x14ac:dyDescent="0.3">
      <c r="B1326" s="30" t="str">
        <f t="shared" si="56"/>
        <v/>
      </c>
    </row>
    <row r="1327" spans="2:2" x14ac:dyDescent="0.3">
      <c r="B1327" s="30" t="str">
        <f t="shared" si="56"/>
        <v/>
      </c>
    </row>
    <row r="1328" spans="2:2" x14ac:dyDescent="0.3">
      <c r="B1328" s="30" t="str">
        <f t="shared" si="56"/>
        <v/>
      </c>
    </row>
    <row r="1329" spans="2:2" x14ac:dyDescent="0.3">
      <c r="B1329" s="30" t="str">
        <f t="shared" si="56"/>
        <v/>
      </c>
    </row>
    <row r="1330" spans="2:2" x14ac:dyDescent="0.3">
      <c r="B1330" s="30" t="str">
        <f t="shared" si="56"/>
        <v/>
      </c>
    </row>
    <row r="1331" spans="2:2" x14ac:dyDescent="0.3">
      <c r="B1331" s="30" t="str">
        <f t="shared" si="56"/>
        <v/>
      </c>
    </row>
    <row r="1332" spans="2:2" x14ac:dyDescent="0.3">
      <c r="B1332" s="30" t="str">
        <f t="shared" si="56"/>
        <v/>
      </c>
    </row>
    <row r="1333" spans="2:2" x14ac:dyDescent="0.3">
      <c r="B1333" s="30" t="str">
        <f t="shared" si="56"/>
        <v/>
      </c>
    </row>
    <row r="1334" spans="2:2" x14ac:dyDescent="0.3">
      <c r="B1334" s="30" t="str">
        <f t="shared" si="56"/>
        <v/>
      </c>
    </row>
    <row r="1335" spans="2:2" x14ac:dyDescent="0.3">
      <c r="B1335" s="30" t="str">
        <f t="shared" si="56"/>
        <v/>
      </c>
    </row>
    <row r="1336" spans="2:2" x14ac:dyDescent="0.3">
      <c r="B1336" s="30" t="str">
        <f t="shared" si="56"/>
        <v/>
      </c>
    </row>
    <row r="1337" spans="2:2" x14ac:dyDescent="0.3">
      <c r="B1337" s="30" t="str">
        <f t="shared" si="56"/>
        <v/>
      </c>
    </row>
    <row r="1338" spans="2:2" x14ac:dyDescent="0.3">
      <c r="B1338" s="30" t="str">
        <f t="shared" si="56"/>
        <v/>
      </c>
    </row>
    <row r="1339" spans="2:2" x14ac:dyDescent="0.3">
      <c r="B1339" s="30" t="str">
        <f t="shared" si="56"/>
        <v/>
      </c>
    </row>
    <row r="1340" spans="2:2" x14ac:dyDescent="0.3">
      <c r="B1340" s="30" t="str">
        <f t="shared" si="56"/>
        <v/>
      </c>
    </row>
    <row r="1341" spans="2:2" x14ac:dyDescent="0.3">
      <c r="B1341" s="30" t="str">
        <f t="shared" si="56"/>
        <v/>
      </c>
    </row>
    <row r="1342" spans="2:2" x14ac:dyDescent="0.3">
      <c r="B1342" s="30" t="str">
        <f t="shared" si="56"/>
        <v/>
      </c>
    </row>
    <row r="1343" spans="2:2" x14ac:dyDescent="0.3">
      <c r="B1343" s="30" t="str">
        <f t="shared" si="56"/>
        <v/>
      </c>
    </row>
    <row r="1344" spans="2:2" x14ac:dyDescent="0.3">
      <c r="B1344" s="30" t="str">
        <f t="shared" si="56"/>
        <v/>
      </c>
    </row>
    <row r="1345" spans="2:2" x14ac:dyDescent="0.3">
      <c r="B1345" s="30" t="str">
        <f t="shared" si="56"/>
        <v/>
      </c>
    </row>
    <row r="1346" spans="2:2" x14ac:dyDescent="0.3">
      <c r="B1346" s="30" t="str">
        <f t="shared" si="56"/>
        <v/>
      </c>
    </row>
    <row r="1347" spans="2:2" x14ac:dyDescent="0.3">
      <c r="B1347" s="30" t="str">
        <f t="shared" si="56"/>
        <v/>
      </c>
    </row>
    <row r="1348" spans="2:2" x14ac:dyDescent="0.3">
      <c r="B1348" s="30" t="str">
        <f t="shared" si="56"/>
        <v/>
      </c>
    </row>
    <row r="1349" spans="2:2" x14ac:dyDescent="0.3">
      <c r="B1349" s="30" t="str">
        <f t="shared" si="56"/>
        <v/>
      </c>
    </row>
    <row r="1350" spans="2:2" x14ac:dyDescent="0.3">
      <c r="B1350" s="30" t="str">
        <f t="shared" si="56"/>
        <v/>
      </c>
    </row>
    <row r="1351" spans="2:2" x14ac:dyDescent="0.3">
      <c r="B1351" s="30" t="str">
        <f t="shared" si="56"/>
        <v/>
      </c>
    </row>
    <row r="1352" spans="2:2" x14ac:dyDescent="0.3">
      <c r="B1352" s="30" t="str">
        <f t="shared" si="56"/>
        <v/>
      </c>
    </row>
    <row r="1353" spans="2:2" x14ac:dyDescent="0.3">
      <c r="B1353" s="30" t="str">
        <f t="shared" si="56"/>
        <v/>
      </c>
    </row>
    <row r="1354" spans="2:2" x14ac:dyDescent="0.3">
      <c r="B1354" s="30" t="str">
        <f t="shared" si="56"/>
        <v/>
      </c>
    </row>
    <row r="1355" spans="2:2" x14ac:dyDescent="0.3">
      <c r="B1355" s="30" t="str">
        <f t="shared" si="56"/>
        <v/>
      </c>
    </row>
    <row r="1356" spans="2:2" x14ac:dyDescent="0.3">
      <c r="B1356" s="30" t="str">
        <f t="shared" si="56"/>
        <v/>
      </c>
    </row>
    <row r="1357" spans="2:2" x14ac:dyDescent="0.3">
      <c r="B1357" s="30" t="str">
        <f t="shared" si="56"/>
        <v/>
      </c>
    </row>
    <row r="1358" spans="2:2" x14ac:dyDescent="0.3">
      <c r="B1358" s="30" t="str">
        <f t="shared" si="56"/>
        <v/>
      </c>
    </row>
    <row r="1359" spans="2:2" x14ac:dyDescent="0.3">
      <c r="B1359" s="30" t="str">
        <f t="shared" si="56"/>
        <v/>
      </c>
    </row>
    <row r="1360" spans="2:2" x14ac:dyDescent="0.3">
      <c r="B1360" s="30" t="str">
        <f t="shared" si="56"/>
        <v/>
      </c>
    </row>
    <row r="1361" spans="2:2" x14ac:dyDescent="0.3">
      <c r="B1361" s="30" t="str">
        <f t="shared" si="56"/>
        <v/>
      </c>
    </row>
    <row r="1362" spans="2:2" x14ac:dyDescent="0.3">
      <c r="B1362" s="30" t="str">
        <f t="shared" si="56"/>
        <v/>
      </c>
    </row>
    <row r="1363" spans="2:2" x14ac:dyDescent="0.3">
      <c r="B1363" s="30" t="str">
        <f t="shared" si="56"/>
        <v/>
      </c>
    </row>
    <row r="1364" spans="2:2" x14ac:dyDescent="0.3">
      <c r="B1364" s="30" t="str">
        <f t="shared" si="56"/>
        <v/>
      </c>
    </row>
    <row r="1365" spans="2:2" x14ac:dyDescent="0.3">
      <c r="B1365" s="30" t="str">
        <f t="shared" si="56"/>
        <v/>
      </c>
    </row>
    <row r="1366" spans="2:2" x14ac:dyDescent="0.3">
      <c r="B1366" s="30" t="str">
        <f t="shared" si="56"/>
        <v/>
      </c>
    </row>
    <row r="1367" spans="2:2" x14ac:dyDescent="0.3">
      <c r="B1367" s="30" t="str">
        <f t="shared" si="56"/>
        <v/>
      </c>
    </row>
    <row r="1368" spans="2:2" x14ac:dyDescent="0.3">
      <c r="B1368" s="30" t="str">
        <f t="shared" si="56"/>
        <v/>
      </c>
    </row>
    <row r="1369" spans="2:2" x14ac:dyDescent="0.3">
      <c r="B1369" s="30" t="str">
        <f t="shared" si="56"/>
        <v/>
      </c>
    </row>
    <row r="1370" spans="2:2" x14ac:dyDescent="0.3">
      <c r="B1370" s="30" t="str">
        <f t="shared" si="56"/>
        <v/>
      </c>
    </row>
    <row r="1371" spans="2:2" x14ac:dyDescent="0.3">
      <c r="B1371" s="30" t="str">
        <f t="shared" si="56"/>
        <v/>
      </c>
    </row>
    <row r="1372" spans="2:2" x14ac:dyDescent="0.3">
      <c r="B1372" s="30" t="str">
        <f t="shared" si="56"/>
        <v/>
      </c>
    </row>
    <row r="1373" spans="2:2" x14ac:dyDescent="0.3">
      <c r="B1373" s="30" t="str">
        <f t="shared" si="56"/>
        <v/>
      </c>
    </row>
    <row r="1374" spans="2:2" x14ac:dyDescent="0.3">
      <c r="B1374" s="30" t="str">
        <f t="shared" si="56"/>
        <v/>
      </c>
    </row>
    <row r="1375" spans="2:2" x14ac:dyDescent="0.3">
      <c r="B1375" s="30" t="str">
        <f t="shared" si="56"/>
        <v/>
      </c>
    </row>
    <row r="1376" spans="2:2" x14ac:dyDescent="0.3">
      <c r="B1376" s="30" t="str">
        <f t="shared" si="56"/>
        <v/>
      </c>
    </row>
    <row r="1377" spans="2:2" x14ac:dyDescent="0.3">
      <c r="B1377" s="30" t="str">
        <f t="shared" si="56"/>
        <v/>
      </c>
    </row>
    <row r="1378" spans="2:2" x14ac:dyDescent="0.3">
      <c r="B1378" s="30" t="str">
        <f t="shared" si="56"/>
        <v/>
      </c>
    </row>
    <row r="1379" spans="2:2" x14ac:dyDescent="0.3">
      <c r="B1379" s="30" t="str">
        <f t="shared" si="56"/>
        <v/>
      </c>
    </row>
    <row r="1380" spans="2:2" x14ac:dyDescent="0.3">
      <c r="B1380" s="30" t="str">
        <f t="shared" si="56"/>
        <v/>
      </c>
    </row>
    <row r="1381" spans="2:2" x14ac:dyDescent="0.3">
      <c r="B1381" s="30" t="str">
        <f t="shared" si="56"/>
        <v/>
      </c>
    </row>
    <row r="1382" spans="2:2" x14ac:dyDescent="0.3">
      <c r="B1382" s="30" t="str">
        <f t="shared" si="56"/>
        <v/>
      </c>
    </row>
    <row r="1383" spans="2:2" x14ac:dyDescent="0.3">
      <c r="B1383" s="30" t="str">
        <f t="shared" si="56"/>
        <v/>
      </c>
    </row>
    <row r="1384" spans="2:2" x14ac:dyDescent="0.3">
      <c r="B1384" s="30" t="str">
        <f t="shared" ref="B1384:B1447" si="57">IF($A1384="Daily", "n/a", "")</f>
        <v/>
      </c>
    </row>
    <row r="1385" spans="2:2" x14ac:dyDescent="0.3">
      <c r="B1385" s="30" t="str">
        <f t="shared" si="57"/>
        <v/>
      </c>
    </row>
    <row r="1386" spans="2:2" x14ac:dyDescent="0.3">
      <c r="B1386" s="30" t="str">
        <f t="shared" si="57"/>
        <v/>
      </c>
    </row>
    <row r="1387" spans="2:2" x14ac:dyDescent="0.3">
      <c r="B1387" s="30" t="str">
        <f t="shared" si="57"/>
        <v/>
      </c>
    </row>
    <row r="1388" spans="2:2" x14ac:dyDescent="0.3">
      <c r="B1388" s="30" t="str">
        <f t="shared" si="57"/>
        <v/>
      </c>
    </row>
    <row r="1389" spans="2:2" x14ac:dyDescent="0.3">
      <c r="B1389" s="30" t="str">
        <f t="shared" si="57"/>
        <v/>
      </c>
    </row>
    <row r="1390" spans="2:2" x14ac:dyDescent="0.3">
      <c r="B1390" s="30" t="str">
        <f t="shared" si="57"/>
        <v/>
      </c>
    </row>
    <row r="1391" spans="2:2" x14ac:dyDescent="0.3">
      <c r="B1391" s="30" t="str">
        <f t="shared" si="57"/>
        <v/>
      </c>
    </row>
    <row r="1392" spans="2:2" x14ac:dyDescent="0.3">
      <c r="B1392" s="30" t="str">
        <f t="shared" si="57"/>
        <v/>
      </c>
    </row>
    <row r="1393" spans="2:2" x14ac:dyDescent="0.3">
      <c r="B1393" s="30" t="str">
        <f t="shared" si="57"/>
        <v/>
      </c>
    </row>
    <row r="1394" spans="2:2" x14ac:dyDescent="0.3">
      <c r="B1394" s="30" t="str">
        <f t="shared" si="57"/>
        <v/>
      </c>
    </row>
    <row r="1395" spans="2:2" x14ac:dyDescent="0.3">
      <c r="B1395" s="30" t="str">
        <f t="shared" si="57"/>
        <v/>
      </c>
    </row>
    <row r="1396" spans="2:2" x14ac:dyDescent="0.3">
      <c r="B1396" s="30" t="str">
        <f t="shared" si="57"/>
        <v/>
      </c>
    </row>
    <row r="1397" spans="2:2" x14ac:dyDescent="0.3">
      <c r="B1397" s="30" t="str">
        <f t="shared" si="57"/>
        <v/>
      </c>
    </row>
    <row r="1398" spans="2:2" x14ac:dyDescent="0.3">
      <c r="B1398" s="30" t="str">
        <f t="shared" si="57"/>
        <v/>
      </c>
    </row>
    <row r="1399" spans="2:2" x14ac:dyDescent="0.3">
      <c r="B1399" s="30" t="str">
        <f t="shared" si="57"/>
        <v/>
      </c>
    </row>
    <row r="1400" spans="2:2" x14ac:dyDescent="0.3">
      <c r="B1400" s="30" t="str">
        <f t="shared" si="57"/>
        <v/>
      </c>
    </row>
    <row r="1401" spans="2:2" x14ac:dyDescent="0.3">
      <c r="B1401" s="30" t="str">
        <f t="shared" si="57"/>
        <v/>
      </c>
    </row>
    <row r="1402" spans="2:2" x14ac:dyDescent="0.3">
      <c r="B1402" s="30" t="str">
        <f t="shared" si="57"/>
        <v/>
      </c>
    </row>
    <row r="1403" spans="2:2" x14ac:dyDescent="0.3">
      <c r="B1403" s="30" t="str">
        <f t="shared" si="57"/>
        <v/>
      </c>
    </row>
    <row r="1404" spans="2:2" x14ac:dyDescent="0.3">
      <c r="B1404" s="30" t="str">
        <f t="shared" si="57"/>
        <v/>
      </c>
    </row>
    <row r="1405" spans="2:2" x14ac:dyDescent="0.3">
      <c r="B1405" s="30" t="str">
        <f t="shared" si="57"/>
        <v/>
      </c>
    </row>
    <row r="1406" spans="2:2" x14ac:dyDescent="0.3">
      <c r="B1406" s="30" t="str">
        <f t="shared" si="57"/>
        <v/>
      </c>
    </row>
    <row r="1407" spans="2:2" x14ac:dyDescent="0.3">
      <c r="B1407" s="30" t="str">
        <f t="shared" si="57"/>
        <v/>
      </c>
    </row>
    <row r="1408" spans="2:2" x14ac:dyDescent="0.3">
      <c r="B1408" s="30" t="str">
        <f t="shared" si="57"/>
        <v/>
      </c>
    </row>
    <row r="1409" spans="2:2" x14ac:dyDescent="0.3">
      <c r="B1409" s="30" t="str">
        <f t="shared" si="57"/>
        <v/>
      </c>
    </row>
    <row r="1410" spans="2:2" x14ac:dyDescent="0.3">
      <c r="B1410" s="30" t="str">
        <f t="shared" si="57"/>
        <v/>
      </c>
    </row>
    <row r="1411" spans="2:2" x14ac:dyDescent="0.3">
      <c r="B1411" s="30" t="str">
        <f t="shared" si="57"/>
        <v/>
      </c>
    </row>
    <row r="1412" spans="2:2" x14ac:dyDescent="0.3">
      <c r="B1412" s="30" t="str">
        <f t="shared" si="57"/>
        <v/>
      </c>
    </row>
    <row r="1413" spans="2:2" x14ac:dyDescent="0.3">
      <c r="B1413" s="30" t="str">
        <f t="shared" si="57"/>
        <v/>
      </c>
    </row>
    <row r="1414" spans="2:2" x14ac:dyDescent="0.3">
      <c r="B1414" s="30" t="str">
        <f t="shared" si="57"/>
        <v/>
      </c>
    </row>
    <row r="1415" spans="2:2" x14ac:dyDescent="0.3">
      <c r="B1415" s="30" t="str">
        <f t="shared" si="57"/>
        <v/>
      </c>
    </row>
    <row r="1416" spans="2:2" x14ac:dyDescent="0.3">
      <c r="B1416" s="30" t="str">
        <f t="shared" si="57"/>
        <v/>
      </c>
    </row>
    <row r="1417" spans="2:2" x14ac:dyDescent="0.3">
      <c r="B1417" s="30" t="str">
        <f t="shared" si="57"/>
        <v/>
      </c>
    </row>
    <row r="1418" spans="2:2" x14ac:dyDescent="0.3">
      <c r="B1418" s="30" t="str">
        <f t="shared" si="57"/>
        <v/>
      </c>
    </row>
    <row r="1419" spans="2:2" x14ac:dyDescent="0.3">
      <c r="B1419" s="30" t="str">
        <f t="shared" si="57"/>
        <v/>
      </c>
    </row>
    <row r="1420" spans="2:2" x14ac:dyDescent="0.3">
      <c r="B1420" s="30" t="str">
        <f t="shared" si="57"/>
        <v/>
      </c>
    </row>
    <row r="1421" spans="2:2" x14ac:dyDescent="0.3">
      <c r="B1421" s="30" t="str">
        <f t="shared" si="57"/>
        <v/>
      </c>
    </row>
    <row r="1422" spans="2:2" x14ac:dyDescent="0.3">
      <c r="B1422" s="30" t="str">
        <f t="shared" si="57"/>
        <v/>
      </c>
    </row>
    <row r="1423" spans="2:2" x14ac:dyDescent="0.3">
      <c r="B1423" s="30" t="str">
        <f t="shared" si="57"/>
        <v/>
      </c>
    </row>
    <row r="1424" spans="2:2" x14ac:dyDescent="0.3">
      <c r="B1424" s="30" t="str">
        <f t="shared" si="57"/>
        <v/>
      </c>
    </row>
    <row r="1425" spans="2:2" x14ac:dyDescent="0.3">
      <c r="B1425" s="30" t="str">
        <f t="shared" si="57"/>
        <v/>
      </c>
    </row>
    <row r="1426" spans="2:2" x14ac:dyDescent="0.3">
      <c r="B1426" s="30" t="str">
        <f t="shared" si="57"/>
        <v/>
      </c>
    </row>
    <row r="1427" spans="2:2" x14ac:dyDescent="0.3">
      <c r="B1427" s="30" t="str">
        <f t="shared" si="57"/>
        <v/>
      </c>
    </row>
    <row r="1428" spans="2:2" x14ac:dyDescent="0.3">
      <c r="B1428" s="30" t="str">
        <f t="shared" si="57"/>
        <v/>
      </c>
    </row>
    <row r="1429" spans="2:2" x14ac:dyDescent="0.3">
      <c r="B1429" s="30" t="str">
        <f t="shared" si="57"/>
        <v/>
      </c>
    </row>
    <row r="1430" spans="2:2" x14ac:dyDescent="0.3">
      <c r="B1430" s="30" t="str">
        <f t="shared" si="57"/>
        <v/>
      </c>
    </row>
    <row r="1431" spans="2:2" x14ac:dyDescent="0.3">
      <c r="B1431" s="30" t="str">
        <f t="shared" si="57"/>
        <v/>
      </c>
    </row>
    <row r="1432" spans="2:2" x14ac:dyDescent="0.3">
      <c r="B1432" s="30" t="str">
        <f t="shared" si="57"/>
        <v/>
      </c>
    </row>
    <row r="1433" spans="2:2" x14ac:dyDescent="0.3">
      <c r="B1433" s="30" t="str">
        <f t="shared" si="57"/>
        <v/>
      </c>
    </row>
    <row r="1434" spans="2:2" x14ac:dyDescent="0.3">
      <c r="B1434" s="30" t="str">
        <f t="shared" si="57"/>
        <v/>
      </c>
    </row>
    <row r="1435" spans="2:2" x14ac:dyDescent="0.3">
      <c r="B1435" s="30" t="str">
        <f t="shared" si="57"/>
        <v/>
      </c>
    </row>
    <row r="1436" spans="2:2" x14ac:dyDescent="0.3">
      <c r="B1436" s="30" t="str">
        <f t="shared" si="57"/>
        <v/>
      </c>
    </row>
    <row r="1437" spans="2:2" x14ac:dyDescent="0.3">
      <c r="B1437" s="30" t="str">
        <f t="shared" si="57"/>
        <v/>
      </c>
    </row>
    <row r="1438" spans="2:2" x14ac:dyDescent="0.3">
      <c r="B1438" s="30" t="str">
        <f t="shared" si="57"/>
        <v/>
      </c>
    </row>
    <row r="1439" spans="2:2" x14ac:dyDescent="0.3">
      <c r="B1439" s="30" t="str">
        <f t="shared" si="57"/>
        <v/>
      </c>
    </row>
    <row r="1440" spans="2:2" x14ac:dyDescent="0.3">
      <c r="B1440" s="30" t="str">
        <f t="shared" si="57"/>
        <v/>
      </c>
    </row>
    <row r="1441" spans="2:2" x14ac:dyDescent="0.3">
      <c r="B1441" s="30" t="str">
        <f t="shared" si="57"/>
        <v/>
      </c>
    </row>
    <row r="1442" spans="2:2" x14ac:dyDescent="0.3">
      <c r="B1442" s="30" t="str">
        <f t="shared" si="57"/>
        <v/>
      </c>
    </row>
    <row r="1443" spans="2:2" x14ac:dyDescent="0.3">
      <c r="B1443" s="30" t="str">
        <f t="shared" si="57"/>
        <v/>
      </c>
    </row>
    <row r="1444" spans="2:2" x14ac:dyDescent="0.3">
      <c r="B1444" s="30" t="str">
        <f t="shared" si="57"/>
        <v/>
      </c>
    </row>
    <row r="1445" spans="2:2" x14ac:dyDescent="0.3">
      <c r="B1445" s="30" t="str">
        <f t="shared" si="57"/>
        <v/>
      </c>
    </row>
    <row r="1446" spans="2:2" x14ac:dyDescent="0.3">
      <c r="B1446" s="30" t="str">
        <f t="shared" si="57"/>
        <v/>
      </c>
    </row>
    <row r="1447" spans="2:2" x14ac:dyDescent="0.3">
      <c r="B1447" s="30" t="str">
        <f t="shared" si="57"/>
        <v/>
      </c>
    </row>
    <row r="1448" spans="2:2" x14ac:dyDescent="0.3">
      <c r="B1448" s="30" t="str">
        <f t="shared" ref="B1448:B1511" si="58">IF($A1448="Daily", "n/a", "")</f>
        <v/>
      </c>
    </row>
    <row r="1449" spans="2:2" x14ac:dyDescent="0.3">
      <c r="B1449" s="30" t="str">
        <f t="shared" si="58"/>
        <v/>
      </c>
    </row>
    <row r="1450" spans="2:2" x14ac:dyDescent="0.3">
      <c r="B1450" s="30" t="str">
        <f t="shared" si="58"/>
        <v/>
      </c>
    </row>
    <row r="1451" spans="2:2" x14ac:dyDescent="0.3">
      <c r="B1451" s="30" t="str">
        <f t="shared" si="58"/>
        <v/>
      </c>
    </row>
    <row r="1452" spans="2:2" x14ac:dyDescent="0.3">
      <c r="B1452" s="30" t="str">
        <f t="shared" si="58"/>
        <v/>
      </c>
    </row>
    <row r="1453" spans="2:2" x14ac:dyDescent="0.3">
      <c r="B1453" s="30" t="str">
        <f t="shared" si="58"/>
        <v/>
      </c>
    </row>
    <row r="1454" spans="2:2" x14ac:dyDescent="0.3">
      <c r="B1454" s="30" t="str">
        <f t="shared" si="58"/>
        <v/>
      </c>
    </row>
    <row r="1455" spans="2:2" x14ac:dyDescent="0.3">
      <c r="B1455" s="30" t="str">
        <f t="shared" si="58"/>
        <v/>
      </c>
    </row>
    <row r="1456" spans="2:2" x14ac:dyDescent="0.3">
      <c r="B1456" s="30" t="str">
        <f t="shared" si="58"/>
        <v/>
      </c>
    </row>
    <row r="1457" spans="2:2" x14ac:dyDescent="0.3">
      <c r="B1457" s="30" t="str">
        <f t="shared" si="58"/>
        <v/>
      </c>
    </row>
    <row r="1458" spans="2:2" x14ac:dyDescent="0.3">
      <c r="B1458" s="30" t="str">
        <f t="shared" si="58"/>
        <v/>
      </c>
    </row>
    <row r="1459" spans="2:2" x14ac:dyDescent="0.3">
      <c r="B1459" s="30" t="str">
        <f t="shared" si="58"/>
        <v/>
      </c>
    </row>
    <row r="1460" spans="2:2" x14ac:dyDescent="0.3">
      <c r="B1460" s="30" t="str">
        <f t="shared" si="58"/>
        <v/>
      </c>
    </row>
    <row r="1461" spans="2:2" x14ac:dyDescent="0.3">
      <c r="B1461" s="30" t="str">
        <f t="shared" si="58"/>
        <v/>
      </c>
    </row>
    <row r="1462" spans="2:2" x14ac:dyDescent="0.3">
      <c r="B1462" s="30" t="str">
        <f t="shared" si="58"/>
        <v/>
      </c>
    </row>
    <row r="1463" spans="2:2" x14ac:dyDescent="0.3">
      <c r="B1463" s="30" t="str">
        <f t="shared" si="58"/>
        <v/>
      </c>
    </row>
    <row r="1464" spans="2:2" x14ac:dyDescent="0.3">
      <c r="B1464" s="30" t="str">
        <f t="shared" si="58"/>
        <v/>
      </c>
    </row>
    <row r="1465" spans="2:2" x14ac:dyDescent="0.3">
      <c r="B1465" s="30" t="str">
        <f t="shared" si="58"/>
        <v/>
      </c>
    </row>
    <row r="1466" spans="2:2" x14ac:dyDescent="0.3">
      <c r="B1466" s="30" t="str">
        <f t="shared" si="58"/>
        <v/>
      </c>
    </row>
    <row r="1467" spans="2:2" x14ac:dyDescent="0.3">
      <c r="B1467" s="30" t="str">
        <f t="shared" si="58"/>
        <v/>
      </c>
    </row>
    <row r="1468" spans="2:2" x14ac:dyDescent="0.3">
      <c r="B1468" s="30" t="str">
        <f t="shared" si="58"/>
        <v/>
      </c>
    </row>
    <row r="1469" spans="2:2" x14ac:dyDescent="0.3">
      <c r="B1469" s="30" t="str">
        <f t="shared" si="58"/>
        <v/>
      </c>
    </row>
    <row r="1470" spans="2:2" x14ac:dyDescent="0.3">
      <c r="B1470" s="30" t="str">
        <f t="shared" si="58"/>
        <v/>
      </c>
    </row>
    <row r="1471" spans="2:2" x14ac:dyDescent="0.3">
      <c r="B1471" s="30" t="str">
        <f t="shared" si="58"/>
        <v/>
      </c>
    </row>
    <row r="1472" spans="2:2" x14ac:dyDescent="0.3">
      <c r="B1472" s="30" t="str">
        <f t="shared" si="58"/>
        <v/>
      </c>
    </row>
    <row r="1473" spans="2:2" x14ac:dyDescent="0.3">
      <c r="B1473" s="30" t="str">
        <f t="shared" si="58"/>
        <v/>
      </c>
    </row>
    <row r="1474" spans="2:2" x14ac:dyDescent="0.3">
      <c r="B1474" s="30" t="str">
        <f t="shared" si="58"/>
        <v/>
      </c>
    </row>
    <row r="1475" spans="2:2" x14ac:dyDescent="0.3">
      <c r="B1475" s="30" t="str">
        <f t="shared" si="58"/>
        <v/>
      </c>
    </row>
    <row r="1476" spans="2:2" x14ac:dyDescent="0.3">
      <c r="B1476" s="30" t="str">
        <f t="shared" si="58"/>
        <v/>
      </c>
    </row>
    <row r="1477" spans="2:2" x14ac:dyDescent="0.3">
      <c r="B1477" s="30" t="str">
        <f t="shared" si="58"/>
        <v/>
      </c>
    </row>
    <row r="1478" spans="2:2" x14ac:dyDescent="0.3">
      <c r="B1478" s="30" t="str">
        <f t="shared" si="58"/>
        <v/>
      </c>
    </row>
    <row r="1479" spans="2:2" x14ac:dyDescent="0.3">
      <c r="B1479" s="30" t="str">
        <f t="shared" si="58"/>
        <v/>
      </c>
    </row>
    <row r="1480" spans="2:2" x14ac:dyDescent="0.3">
      <c r="B1480" s="30" t="str">
        <f t="shared" si="58"/>
        <v/>
      </c>
    </row>
    <row r="1481" spans="2:2" x14ac:dyDescent="0.3">
      <c r="B1481" s="30" t="str">
        <f t="shared" si="58"/>
        <v/>
      </c>
    </row>
    <row r="1482" spans="2:2" x14ac:dyDescent="0.3">
      <c r="B1482" s="30" t="str">
        <f t="shared" si="58"/>
        <v/>
      </c>
    </row>
    <row r="1483" spans="2:2" x14ac:dyDescent="0.3">
      <c r="B1483" s="30" t="str">
        <f t="shared" si="58"/>
        <v/>
      </c>
    </row>
    <row r="1484" spans="2:2" x14ac:dyDescent="0.3">
      <c r="B1484" s="30" t="str">
        <f t="shared" si="58"/>
        <v/>
      </c>
    </row>
    <row r="1485" spans="2:2" x14ac:dyDescent="0.3">
      <c r="B1485" s="30" t="str">
        <f t="shared" si="58"/>
        <v/>
      </c>
    </row>
    <row r="1486" spans="2:2" x14ac:dyDescent="0.3">
      <c r="B1486" s="30" t="str">
        <f t="shared" si="58"/>
        <v/>
      </c>
    </row>
    <row r="1487" spans="2:2" x14ac:dyDescent="0.3">
      <c r="B1487" s="30" t="str">
        <f t="shared" si="58"/>
        <v/>
      </c>
    </row>
    <row r="1488" spans="2:2" x14ac:dyDescent="0.3">
      <c r="B1488" s="30" t="str">
        <f t="shared" si="58"/>
        <v/>
      </c>
    </row>
    <row r="1489" spans="2:2" x14ac:dyDescent="0.3">
      <c r="B1489" s="30" t="str">
        <f t="shared" si="58"/>
        <v/>
      </c>
    </row>
    <row r="1490" spans="2:2" x14ac:dyDescent="0.3">
      <c r="B1490" s="30" t="str">
        <f t="shared" si="58"/>
        <v/>
      </c>
    </row>
    <row r="1491" spans="2:2" x14ac:dyDescent="0.3">
      <c r="B1491" s="30" t="str">
        <f t="shared" si="58"/>
        <v/>
      </c>
    </row>
    <row r="1492" spans="2:2" x14ac:dyDescent="0.3">
      <c r="B1492" s="30" t="str">
        <f t="shared" si="58"/>
        <v/>
      </c>
    </row>
    <row r="1493" spans="2:2" x14ac:dyDescent="0.3">
      <c r="B1493" s="30" t="str">
        <f t="shared" si="58"/>
        <v/>
      </c>
    </row>
    <row r="1494" spans="2:2" x14ac:dyDescent="0.3">
      <c r="B1494" s="30" t="str">
        <f t="shared" si="58"/>
        <v/>
      </c>
    </row>
    <row r="1495" spans="2:2" x14ac:dyDescent="0.3">
      <c r="B1495" s="30" t="str">
        <f t="shared" si="58"/>
        <v/>
      </c>
    </row>
    <row r="1496" spans="2:2" x14ac:dyDescent="0.3">
      <c r="B1496" s="30" t="str">
        <f t="shared" si="58"/>
        <v/>
      </c>
    </row>
    <row r="1497" spans="2:2" x14ac:dyDescent="0.3">
      <c r="B1497" s="30" t="str">
        <f t="shared" si="58"/>
        <v/>
      </c>
    </row>
    <row r="1498" spans="2:2" x14ac:dyDescent="0.3">
      <c r="B1498" s="30" t="str">
        <f t="shared" si="58"/>
        <v/>
      </c>
    </row>
    <row r="1499" spans="2:2" x14ac:dyDescent="0.3">
      <c r="B1499" s="30" t="str">
        <f t="shared" si="58"/>
        <v/>
      </c>
    </row>
    <row r="1500" spans="2:2" x14ac:dyDescent="0.3">
      <c r="B1500" s="30" t="str">
        <f t="shared" si="58"/>
        <v/>
      </c>
    </row>
    <row r="1501" spans="2:2" x14ac:dyDescent="0.3">
      <c r="B1501" s="30" t="str">
        <f t="shared" si="58"/>
        <v/>
      </c>
    </row>
    <row r="1502" spans="2:2" x14ac:dyDescent="0.3">
      <c r="B1502" s="30" t="str">
        <f t="shared" si="58"/>
        <v/>
      </c>
    </row>
    <row r="1503" spans="2:2" x14ac:dyDescent="0.3">
      <c r="B1503" s="30" t="str">
        <f t="shared" si="58"/>
        <v/>
      </c>
    </row>
    <row r="1504" spans="2:2" x14ac:dyDescent="0.3">
      <c r="B1504" s="30" t="str">
        <f t="shared" si="58"/>
        <v/>
      </c>
    </row>
    <row r="1505" spans="2:2" x14ac:dyDescent="0.3">
      <c r="B1505" s="30" t="str">
        <f t="shared" si="58"/>
        <v/>
      </c>
    </row>
    <row r="1506" spans="2:2" x14ac:dyDescent="0.3">
      <c r="B1506" s="30" t="str">
        <f t="shared" si="58"/>
        <v/>
      </c>
    </row>
    <row r="1507" spans="2:2" x14ac:dyDescent="0.3">
      <c r="B1507" s="30" t="str">
        <f t="shared" si="58"/>
        <v/>
      </c>
    </row>
    <row r="1508" spans="2:2" x14ac:dyDescent="0.3">
      <c r="B1508" s="30" t="str">
        <f t="shared" si="58"/>
        <v/>
      </c>
    </row>
    <row r="1509" spans="2:2" x14ac:dyDescent="0.3">
      <c r="B1509" s="30" t="str">
        <f t="shared" si="58"/>
        <v/>
      </c>
    </row>
    <row r="1510" spans="2:2" x14ac:dyDescent="0.3">
      <c r="B1510" s="30" t="str">
        <f t="shared" si="58"/>
        <v/>
      </c>
    </row>
    <row r="1511" spans="2:2" x14ac:dyDescent="0.3">
      <c r="B1511" s="30" t="str">
        <f t="shared" si="58"/>
        <v/>
      </c>
    </row>
    <row r="1512" spans="2:2" x14ac:dyDescent="0.3">
      <c r="B1512" s="30" t="str">
        <f t="shared" ref="B1512:B1575" si="59">IF($A1512="Daily", "n/a", "")</f>
        <v/>
      </c>
    </row>
    <row r="1513" spans="2:2" x14ac:dyDescent="0.3">
      <c r="B1513" s="30" t="str">
        <f t="shared" si="59"/>
        <v/>
      </c>
    </row>
    <row r="1514" spans="2:2" x14ac:dyDescent="0.3">
      <c r="B1514" s="30" t="str">
        <f t="shared" si="59"/>
        <v/>
      </c>
    </row>
    <row r="1515" spans="2:2" x14ac:dyDescent="0.3">
      <c r="B1515" s="30" t="str">
        <f t="shared" si="59"/>
        <v/>
      </c>
    </row>
    <row r="1516" spans="2:2" x14ac:dyDescent="0.3">
      <c r="B1516" s="30" t="str">
        <f t="shared" si="59"/>
        <v/>
      </c>
    </row>
    <row r="1517" spans="2:2" x14ac:dyDescent="0.3">
      <c r="B1517" s="30" t="str">
        <f t="shared" si="59"/>
        <v/>
      </c>
    </row>
    <row r="1518" spans="2:2" x14ac:dyDescent="0.3">
      <c r="B1518" s="30" t="str">
        <f t="shared" si="59"/>
        <v/>
      </c>
    </row>
    <row r="1519" spans="2:2" x14ac:dyDescent="0.3">
      <c r="B1519" s="30" t="str">
        <f t="shared" si="59"/>
        <v/>
      </c>
    </row>
    <row r="1520" spans="2:2" x14ac:dyDescent="0.3">
      <c r="B1520" s="30" t="str">
        <f t="shared" si="59"/>
        <v/>
      </c>
    </row>
    <row r="1521" spans="2:2" x14ac:dyDescent="0.3">
      <c r="B1521" s="30" t="str">
        <f t="shared" si="59"/>
        <v/>
      </c>
    </row>
    <row r="1522" spans="2:2" x14ac:dyDescent="0.3">
      <c r="B1522" s="30" t="str">
        <f t="shared" si="59"/>
        <v/>
      </c>
    </row>
    <row r="1523" spans="2:2" x14ac:dyDescent="0.3">
      <c r="B1523" s="30" t="str">
        <f t="shared" si="59"/>
        <v/>
      </c>
    </row>
    <row r="1524" spans="2:2" x14ac:dyDescent="0.3">
      <c r="B1524" s="30" t="str">
        <f t="shared" si="59"/>
        <v/>
      </c>
    </row>
    <row r="1525" spans="2:2" x14ac:dyDescent="0.3">
      <c r="B1525" s="30" t="str">
        <f t="shared" si="59"/>
        <v/>
      </c>
    </row>
    <row r="1526" spans="2:2" x14ac:dyDescent="0.3">
      <c r="B1526" s="30" t="str">
        <f t="shared" si="59"/>
        <v/>
      </c>
    </row>
    <row r="1527" spans="2:2" x14ac:dyDescent="0.3">
      <c r="B1527" s="30" t="str">
        <f t="shared" si="59"/>
        <v/>
      </c>
    </row>
    <row r="1528" spans="2:2" x14ac:dyDescent="0.3">
      <c r="B1528" s="30" t="str">
        <f t="shared" si="59"/>
        <v/>
      </c>
    </row>
    <row r="1529" spans="2:2" x14ac:dyDescent="0.3">
      <c r="B1529" s="30" t="str">
        <f t="shared" si="59"/>
        <v/>
      </c>
    </row>
    <row r="1530" spans="2:2" x14ac:dyDescent="0.3">
      <c r="B1530" s="30" t="str">
        <f t="shared" si="59"/>
        <v/>
      </c>
    </row>
    <row r="1531" spans="2:2" x14ac:dyDescent="0.3">
      <c r="B1531" s="30" t="str">
        <f t="shared" si="59"/>
        <v/>
      </c>
    </row>
    <row r="1532" spans="2:2" x14ac:dyDescent="0.3">
      <c r="B1532" s="30" t="str">
        <f t="shared" si="59"/>
        <v/>
      </c>
    </row>
    <row r="1533" spans="2:2" x14ac:dyDescent="0.3">
      <c r="B1533" s="30" t="str">
        <f t="shared" si="59"/>
        <v/>
      </c>
    </row>
    <row r="1534" spans="2:2" x14ac:dyDescent="0.3">
      <c r="B1534" s="30" t="str">
        <f t="shared" si="59"/>
        <v/>
      </c>
    </row>
    <row r="1535" spans="2:2" x14ac:dyDescent="0.3">
      <c r="B1535" s="30" t="str">
        <f t="shared" si="59"/>
        <v/>
      </c>
    </row>
    <row r="1536" spans="2:2" x14ac:dyDescent="0.3">
      <c r="B1536" s="30" t="str">
        <f t="shared" si="59"/>
        <v/>
      </c>
    </row>
    <row r="1537" spans="2:2" x14ac:dyDescent="0.3">
      <c r="B1537" s="30" t="str">
        <f t="shared" si="59"/>
        <v/>
      </c>
    </row>
    <row r="1538" spans="2:2" x14ac:dyDescent="0.3">
      <c r="B1538" s="30" t="str">
        <f t="shared" si="59"/>
        <v/>
      </c>
    </row>
    <row r="1539" spans="2:2" x14ac:dyDescent="0.3">
      <c r="B1539" s="30" t="str">
        <f t="shared" si="59"/>
        <v/>
      </c>
    </row>
    <row r="1540" spans="2:2" x14ac:dyDescent="0.3">
      <c r="B1540" s="30" t="str">
        <f t="shared" si="59"/>
        <v/>
      </c>
    </row>
    <row r="1541" spans="2:2" x14ac:dyDescent="0.3">
      <c r="B1541" s="30" t="str">
        <f t="shared" si="59"/>
        <v/>
      </c>
    </row>
    <row r="1542" spans="2:2" x14ac:dyDescent="0.3">
      <c r="B1542" s="30" t="str">
        <f t="shared" si="59"/>
        <v/>
      </c>
    </row>
    <row r="1543" spans="2:2" x14ac:dyDescent="0.3">
      <c r="B1543" s="30" t="str">
        <f t="shared" si="59"/>
        <v/>
      </c>
    </row>
    <row r="1544" spans="2:2" x14ac:dyDescent="0.3">
      <c r="B1544" s="30" t="str">
        <f t="shared" si="59"/>
        <v/>
      </c>
    </row>
    <row r="1545" spans="2:2" x14ac:dyDescent="0.3">
      <c r="B1545" s="30" t="str">
        <f t="shared" si="59"/>
        <v/>
      </c>
    </row>
    <row r="1546" spans="2:2" x14ac:dyDescent="0.3">
      <c r="B1546" s="30" t="str">
        <f t="shared" si="59"/>
        <v/>
      </c>
    </row>
    <row r="1547" spans="2:2" x14ac:dyDescent="0.3">
      <c r="B1547" s="30" t="str">
        <f t="shared" si="59"/>
        <v/>
      </c>
    </row>
    <row r="1548" spans="2:2" x14ac:dyDescent="0.3">
      <c r="B1548" s="30" t="str">
        <f t="shared" si="59"/>
        <v/>
      </c>
    </row>
    <row r="1549" spans="2:2" x14ac:dyDescent="0.3">
      <c r="B1549" s="30" t="str">
        <f t="shared" si="59"/>
        <v/>
      </c>
    </row>
    <row r="1550" spans="2:2" x14ac:dyDescent="0.3">
      <c r="B1550" s="30" t="str">
        <f t="shared" si="59"/>
        <v/>
      </c>
    </row>
    <row r="1551" spans="2:2" x14ac:dyDescent="0.3">
      <c r="B1551" s="30" t="str">
        <f t="shared" si="59"/>
        <v/>
      </c>
    </row>
    <row r="1552" spans="2:2" x14ac:dyDescent="0.3">
      <c r="B1552" s="30" t="str">
        <f t="shared" si="59"/>
        <v/>
      </c>
    </row>
    <row r="1553" spans="2:2" x14ac:dyDescent="0.3">
      <c r="B1553" s="30" t="str">
        <f t="shared" si="59"/>
        <v/>
      </c>
    </row>
    <row r="1554" spans="2:2" x14ac:dyDescent="0.3">
      <c r="B1554" s="30" t="str">
        <f t="shared" si="59"/>
        <v/>
      </c>
    </row>
    <row r="1555" spans="2:2" x14ac:dyDescent="0.3">
      <c r="B1555" s="30" t="str">
        <f t="shared" si="59"/>
        <v/>
      </c>
    </row>
    <row r="1556" spans="2:2" x14ac:dyDescent="0.3">
      <c r="B1556" s="30" t="str">
        <f t="shared" si="59"/>
        <v/>
      </c>
    </row>
    <row r="1557" spans="2:2" x14ac:dyDescent="0.3">
      <c r="B1557" s="30" t="str">
        <f t="shared" si="59"/>
        <v/>
      </c>
    </row>
    <row r="1558" spans="2:2" x14ac:dyDescent="0.3">
      <c r="B1558" s="30" t="str">
        <f t="shared" si="59"/>
        <v/>
      </c>
    </row>
    <row r="1559" spans="2:2" x14ac:dyDescent="0.3">
      <c r="B1559" s="30" t="str">
        <f t="shared" si="59"/>
        <v/>
      </c>
    </row>
    <row r="1560" spans="2:2" x14ac:dyDescent="0.3">
      <c r="B1560" s="30" t="str">
        <f t="shared" si="59"/>
        <v/>
      </c>
    </row>
    <row r="1561" spans="2:2" x14ac:dyDescent="0.3">
      <c r="B1561" s="30" t="str">
        <f t="shared" si="59"/>
        <v/>
      </c>
    </row>
    <row r="1562" spans="2:2" x14ac:dyDescent="0.3">
      <c r="B1562" s="30" t="str">
        <f t="shared" si="59"/>
        <v/>
      </c>
    </row>
    <row r="1563" spans="2:2" x14ac:dyDescent="0.3">
      <c r="B1563" s="30" t="str">
        <f t="shared" si="59"/>
        <v/>
      </c>
    </row>
    <row r="1564" spans="2:2" x14ac:dyDescent="0.3">
      <c r="B1564" s="30" t="str">
        <f t="shared" si="59"/>
        <v/>
      </c>
    </row>
    <row r="1565" spans="2:2" x14ac:dyDescent="0.3">
      <c r="B1565" s="30" t="str">
        <f t="shared" si="59"/>
        <v/>
      </c>
    </row>
    <row r="1566" spans="2:2" x14ac:dyDescent="0.3">
      <c r="B1566" s="30" t="str">
        <f t="shared" si="59"/>
        <v/>
      </c>
    </row>
    <row r="1567" spans="2:2" x14ac:dyDescent="0.3">
      <c r="B1567" s="30" t="str">
        <f t="shared" si="59"/>
        <v/>
      </c>
    </row>
    <row r="1568" spans="2:2" x14ac:dyDescent="0.3">
      <c r="B1568" s="30" t="str">
        <f t="shared" si="59"/>
        <v/>
      </c>
    </row>
    <row r="1569" spans="2:2" x14ac:dyDescent="0.3">
      <c r="B1569" s="30" t="str">
        <f t="shared" si="59"/>
        <v/>
      </c>
    </row>
    <row r="1570" spans="2:2" x14ac:dyDescent="0.3">
      <c r="B1570" s="30" t="str">
        <f t="shared" si="59"/>
        <v/>
      </c>
    </row>
    <row r="1571" spans="2:2" x14ac:dyDescent="0.3">
      <c r="B1571" s="30" t="str">
        <f t="shared" si="59"/>
        <v/>
      </c>
    </row>
    <row r="1572" spans="2:2" x14ac:dyDescent="0.3">
      <c r="B1572" s="30" t="str">
        <f t="shared" si="59"/>
        <v/>
      </c>
    </row>
    <row r="1573" spans="2:2" x14ac:dyDescent="0.3">
      <c r="B1573" s="30" t="str">
        <f t="shared" si="59"/>
        <v/>
      </c>
    </row>
    <row r="1574" spans="2:2" x14ac:dyDescent="0.3">
      <c r="B1574" s="30" t="str">
        <f t="shared" si="59"/>
        <v/>
      </c>
    </row>
    <row r="1575" spans="2:2" x14ac:dyDescent="0.3">
      <c r="B1575" s="30" t="str">
        <f t="shared" si="59"/>
        <v/>
      </c>
    </row>
    <row r="1576" spans="2:2" x14ac:dyDescent="0.3">
      <c r="B1576" s="30" t="str">
        <f t="shared" ref="B1576:B1639" si="60">IF($A1576="Daily", "n/a", "")</f>
        <v/>
      </c>
    </row>
    <row r="1577" spans="2:2" x14ac:dyDescent="0.3">
      <c r="B1577" s="30" t="str">
        <f t="shared" si="60"/>
        <v/>
      </c>
    </row>
    <row r="1578" spans="2:2" x14ac:dyDescent="0.3">
      <c r="B1578" s="30" t="str">
        <f t="shared" si="60"/>
        <v/>
      </c>
    </row>
    <row r="1579" spans="2:2" x14ac:dyDescent="0.3">
      <c r="B1579" s="30" t="str">
        <f t="shared" si="60"/>
        <v/>
      </c>
    </row>
    <row r="1580" spans="2:2" x14ac:dyDescent="0.3">
      <c r="B1580" s="30" t="str">
        <f t="shared" si="60"/>
        <v/>
      </c>
    </row>
    <row r="1581" spans="2:2" x14ac:dyDescent="0.3">
      <c r="B1581" s="30" t="str">
        <f t="shared" si="60"/>
        <v/>
      </c>
    </row>
    <row r="1582" spans="2:2" x14ac:dyDescent="0.3">
      <c r="B1582" s="30" t="str">
        <f t="shared" si="60"/>
        <v/>
      </c>
    </row>
    <row r="1583" spans="2:2" x14ac:dyDescent="0.3">
      <c r="B1583" s="30" t="str">
        <f t="shared" si="60"/>
        <v/>
      </c>
    </row>
    <row r="1584" spans="2:2" x14ac:dyDescent="0.3">
      <c r="B1584" s="30" t="str">
        <f t="shared" si="60"/>
        <v/>
      </c>
    </row>
    <row r="1585" spans="2:2" x14ac:dyDescent="0.3">
      <c r="B1585" s="30" t="str">
        <f t="shared" si="60"/>
        <v/>
      </c>
    </row>
    <row r="1586" spans="2:2" x14ac:dyDescent="0.3">
      <c r="B1586" s="30" t="str">
        <f t="shared" si="60"/>
        <v/>
      </c>
    </row>
    <row r="1587" spans="2:2" x14ac:dyDescent="0.3">
      <c r="B1587" s="30" t="str">
        <f t="shared" si="60"/>
        <v/>
      </c>
    </row>
    <row r="1588" spans="2:2" x14ac:dyDescent="0.3">
      <c r="B1588" s="30" t="str">
        <f t="shared" si="60"/>
        <v/>
      </c>
    </row>
    <row r="1589" spans="2:2" x14ac:dyDescent="0.3">
      <c r="B1589" s="30" t="str">
        <f t="shared" si="60"/>
        <v/>
      </c>
    </row>
    <row r="1590" spans="2:2" x14ac:dyDescent="0.3">
      <c r="B1590" s="30" t="str">
        <f t="shared" si="60"/>
        <v/>
      </c>
    </row>
    <row r="1591" spans="2:2" x14ac:dyDescent="0.3">
      <c r="B1591" s="30" t="str">
        <f t="shared" si="60"/>
        <v/>
      </c>
    </row>
    <row r="1592" spans="2:2" x14ac:dyDescent="0.3">
      <c r="B1592" s="30" t="str">
        <f t="shared" si="60"/>
        <v/>
      </c>
    </row>
    <row r="1593" spans="2:2" x14ac:dyDescent="0.3">
      <c r="B1593" s="30" t="str">
        <f t="shared" si="60"/>
        <v/>
      </c>
    </row>
    <row r="1594" spans="2:2" x14ac:dyDescent="0.3">
      <c r="B1594" s="30" t="str">
        <f t="shared" si="60"/>
        <v/>
      </c>
    </row>
    <row r="1595" spans="2:2" x14ac:dyDescent="0.3">
      <c r="B1595" s="30" t="str">
        <f t="shared" si="60"/>
        <v/>
      </c>
    </row>
    <row r="1596" spans="2:2" x14ac:dyDescent="0.3">
      <c r="B1596" s="30" t="str">
        <f t="shared" si="60"/>
        <v/>
      </c>
    </row>
    <row r="1597" spans="2:2" x14ac:dyDescent="0.3">
      <c r="B1597" s="30" t="str">
        <f t="shared" si="60"/>
        <v/>
      </c>
    </row>
    <row r="1598" spans="2:2" x14ac:dyDescent="0.3">
      <c r="B1598" s="30" t="str">
        <f t="shared" si="60"/>
        <v/>
      </c>
    </row>
    <row r="1599" spans="2:2" x14ac:dyDescent="0.3">
      <c r="B1599" s="30" t="str">
        <f t="shared" si="60"/>
        <v/>
      </c>
    </row>
    <row r="1600" spans="2:2" x14ac:dyDescent="0.3">
      <c r="B1600" s="30" t="str">
        <f t="shared" si="60"/>
        <v/>
      </c>
    </row>
    <row r="1601" spans="2:2" x14ac:dyDescent="0.3">
      <c r="B1601" s="30" t="str">
        <f t="shared" si="60"/>
        <v/>
      </c>
    </row>
    <row r="1602" spans="2:2" x14ac:dyDescent="0.3">
      <c r="B1602" s="30" t="str">
        <f t="shared" si="60"/>
        <v/>
      </c>
    </row>
    <row r="1603" spans="2:2" x14ac:dyDescent="0.3">
      <c r="B1603" s="30" t="str">
        <f t="shared" si="60"/>
        <v/>
      </c>
    </row>
    <row r="1604" spans="2:2" x14ac:dyDescent="0.3">
      <c r="B1604" s="30" t="str">
        <f t="shared" si="60"/>
        <v/>
      </c>
    </row>
    <row r="1605" spans="2:2" x14ac:dyDescent="0.3">
      <c r="B1605" s="30" t="str">
        <f t="shared" si="60"/>
        <v/>
      </c>
    </row>
    <row r="1606" spans="2:2" x14ac:dyDescent="0.3">
      <c r="B1606" s="30" t="str">
        <f t="shared" si="60"/>
        <v/>
      </c>
    </row>
    <row r="1607" spans="2:2" x14ac:dyDescent="0.3">
      <c r="B1607" s="30" t="str">
        <f t="shared" si="60"/>
        <v/>
      </c>
    </row>
    <row r="1608" spans="2:2" x14ac:dyDescent="0.3">
      <c r="B1608" s="30" t="str">
        <f t="shared" si="60"/>
        <v/>
      </c>
    </row>
    <row r="1609" spans="2:2" x14ac:dyDescent="0.3">
      <c r="B1609" s="30" t="str">
        <f t="shared" si="60"/>
        <v/>
      </c>
    </row>
    <row r="1610" spans="2:2" x14ac:dyDescent="0.3">
      <c r="B1610" s="30" t="str">
        <f t="shared" si="60"/>
        <v/>
      </c>
    </row>
    <row r="1611" spans="2:2" x14ac:dyDescent="0.3">
      <c r="B1611" s="30" t="str">
        <f t="shared" si="60"/>
        <v/>
      </c>
    </row>
    <row r="1612" spans="2:2" x14ac:dyDescent="0.3">
      <c r="B1612" s="30" t="str">
        <f t="shared" si="60"/>
        <v/>
      </c>
    </row>
    <row r="1613" spans="2:2" x14ac:dyDescent="0.3">
      <c r="B1613" s="30" t="str">
        <f t="shared" si="60"/>
        <v/>
      </c>
    </row>
    <row r="1614" spans="2:2" x14ac:dyDescent="0.3">
      <c r="B1614" s="30" t="str">
        <f t="shared" si="60"/>
        <v/>
      </c>
    </row>
    <row r="1615" spans="2:2" x14ac:dyDescent="0.3">
      <c r="B1615" s="30" t="str">
        <f t="shared" si="60"/>
        <v/>
      </c>
    </row>
    <row r="1616" spans="2:2" x14ac:dyDescent="0.3">
      <c r="B1616" s="30" t="str">
        <f t="shared" si="60"/>
        <v/>
      </c>
    </row>
    <row r="1617" spans="2:2" x14ac:dyDescent="0.3">
      <c r="B1617" s="30" t="str">
        <f t="shared" si="60"/>
        <v/>
      </c>
    </row>
    <row r="1618" spans="2:2" x14ac:dyDescent="0.3">
      <c r="B1618" s="30" t="str">
        <f t="shared" si="60"/>
        <v/>
      </c>
    </row>
    <row r="1619" spans="2:2" x14ac:dyDescent="0.3">
      <c r="B1619" s="30" t="str">
        <f t="shared" si="60"/>
        <v/>
      </c>
    </row>
    <row r="1620" spans="2:2" x14ac:dyDescent="0.3">
      <c r="B1620" s="30" t="str">
        <f t="shared" si="60"/>
        <v/>
      </c>
    </row>
    <row r="1621" spans="2:2" x14ac:dyDescent="0.3">
      <c r="B1621" s="30" t="str">
        <f t="shared" si="60"/>
        <v/>
      </c>
    </row>
    <row r="1622" spans="2:2" x14ac:dyDescent="0.3">
      <c r="B1622" s="30" t="str">
        <f t="shared" si="60"/>
        <v/>
      </c>
    </row>
    <row r="1623" spans="2:2" x14ac:dyDescent="0.3">
      <c r="B1623" s="30" t="str">
        <f t="shared" si="60"/>
        <v/>
      </c>
    </row>
    <row r="1624" spans="2:2" x14ac:dyDescent="0.3">
      <c r="B1624" s="30" t="str">
        <f t="shared" si="60"/>
        <v/>
      </c>
    </row>
    <row r="1625" spans="2:2" x14ac:dyDescent="0.3">
      <c r="B1625" s="30" t="str">
        <f t="shared" si="60"/>
        <v/>
      </c>
    </row>
    <row r="1626" spans="2:2" x14ac:dyDescent="0.3">
      <c r="B1626" s="30" t="str">
        <f t="shared" si="60"/>
        <v/>
      </c>
    </row>
    <row r="1627" spans="2:2" x14ac:dyDescent="0.3">
      <c r="B1627" s="30" t="str">
        <f t="shared" si="60"/>
        <v/>
      </c>
    </row>
    <row r="1628" spans="2:2" x14ac:dyDescent="0.3">
      <c r="B1628" s="30" t="str">
        <f t="shared" si="60"/>
        <v/>
      </c>
    </row>
    <row r="1629" spans="2:2" x14ac:dyDescent="0.3">
      <c r="B1629" s="30" t="str">
        <f t="shared" si="60"/>
        <v/>
      </c>
    </row>
    <row r="1630" spans="2:2" x14ac:dyDescent="0.3">
      <c r="B1630" s="30" t="str">
        <f t="shared" si="60"/>
        <v/>
      </c>
    </row>
    <row r="1631" spans="2:2" x14ac:dyDescent="0.3">
      <c r="B1631" s="30" t="str">
        <f t="shared" si="60"/>
        <v/>
      </c>
    </row>
    <row r="1632" spans="2:2" x14ac:dyDescent="0.3">
      <c r="B1632" s="30" t="str">
        <f t="shared" si="60"/>
        <v/>
      </c>
    </row>
    <row r="1633" spans="2:2" x14ac:dyDescent="0.3">
      <c r="B1633" s="30" t="str">
        <f t="shared" si="60"/>
        <v/>
      </c>
    </row>
    <row r="1634" spans="2:2" x14ac:dyDescent="0.3">
      <c r="B1634" s="30" t="str">
        <f t="shared" si="60"/>
        <v/>
      </c>
    </row>
    <row r="1635" spans="2:2" x14ac:dyDescent="0.3">
      <c r="B1635" s="30" t="str">
        <f t="shared" si="60"/>
        <v/>
      </c>
    </row>
    <row r="1636" spans="2:2" x14ac:dyDescent="0.3">
      <c r="B1636" s="30" t="str">
        <f t="shared" si="60"/>
        <v/>
      </c>
    </row>
    <row r="1637" spans="2:2" x14ac:dyDescent="0.3">
      <c r="B1637" s="30" t="str">
        <f t="shared" si="60"/>
        <v/>
      </c>
    </row>
    <row r="1638" spans="2:2" x14ac:dyDescent="0.3">
      <c r="B1638" s="30" t="str">
        <f t="shared" si="60"/>
        <v/>
      </c>
    </row>
    <row r="1639" spans="2:2" x14ac:dyDescent="0.3">
      <c r="B1639" s="30" t="str">
        <f t="shared" si="60"/>
        <v/>
      </c>
    </row>
    <row r="1640" spans="2:2" x14ac:dyDescent="0.3">
      <c r="B1640" s="30" t="str">
        <f t="shared" ref="B1640:B1703" si="61">IF($A1640="Daily", "n/a", "")</f>
        <v/>
      </c>
    </row>
    <row r="1641" spans="2:2" x14ac:dyDescent="0.3">
      <c r="B1641" s="30" t="str">
        <f t="shared" si="61"/>
        <v/>
      </c>
    </row>
    <row r="1642" spans="2:2" x14ac:dyDescent="0.3">
      <c r="B1642" s="30" t="str">
        <f t="shared" si="61"/>
        <v/>
      </c>
    </row>
    <row r="1643" spans="2:2" x14ac:dyDescent="0.3">
      <c r="B1643" s="30" t="str">
        <f t="shared" si="61"/>
        <v/>
      </c>
    </row>
    <row r="1644" spans="2:2" x14ac:dyDescent="0.3">
      <c r="B1644" s="30" t="str">
        <f t="shared" si="61"/>
        <v/>
      </c>
    </row>
    <row r="1645" spans="2:2" x14ac:dyDescent="0.3">
      <c r="B1645" s="30" t="str">
        <f t="shared" si="61"/>
        <v/>
      </c>
    </row>
    <row r="1646" spans="2:2" x14ac:dyDescent="0.3">
      <c r="B1646" s="30" t="str">
        <f t="shared" si="61"/>
        <v/>
      </c>
    </row>
    <row r="1647" spans="2:2" x14ac:dyDescent="0.3">
      <c r="B1647" s="30" t="str">
        <f t="shared" si="61"/>
        <v/>
      </c>
    </row>
    <row r="1648" spans="2:2" x14ac:dyDescent="0.3">
      <c r="B1648" s="30" t="str">
        <f t="shared" si="61"/>
        <v/>
      </c>
    </row>
    <row r="1649" spans="2:2" x14ac:dyDescent="0.3">
      <c r="B1649" s="30" t="str">
        <f t="shared" si="61"/>
        <v/>
      </c>
    </row>
    <row r="1650" spans="2:2" x14ac:dyDescent="0.3">
      <c r="B1650" s="30" t="str">
        <f t="shared" si="61"/>
        <v/>
      </c>
    </row>
    <row r="1651" spans="2:2" x14ac:dyDescent="0.3">
      <c r="B1651" s="30" t="str">
        <f t="shared" si="61"/>
        <v/>
      </c>
    </row>
    <row r="1652" spans="2:2" x14ac:dyDescent="0.3">
      <c r="B1652" s="30" t="str">
        <f t="shared" si="61"/>
        <v/>
      </c>
    </row>
    <row r="1653" spans="2:2" x14ac:dyDescent="0.3">
      <c r="B1653" s="30" t="str">
        <f t="shared" si="61"/>
        <v/>
      </c>
    </row>
    <row r="1654" spans="2:2" x14ac:dyDescent="0.3">
      <c r="B1654" s="30" t="str">
        <f t="shared" si="61"/>
        <v/>
      </c>
    </row>
    <row r="1655" spans="2:2" x14ac:dyDescent="0.3">
      <c r="B1655" s="30" t="str">
        <f t="shared" si="61"/>
        <v/>
      </c>
    </row>
    <row r="1656" spans="2:2" x14ac:dyDescent="0.3">
      <c r="B1656" s="30" t="str">
        <f t="shared" si="61"/>
        <v/>
      </c>
    </row>
    <row r="1657" spans="2:2" x14ac:dyDescent="0.3">
      <c r="B1657" s="30" t="str">
        <f t="shared" si="61"/>
        <v/>
      </c>
    </row>
    <row r="1658" spans="2:2" x14ac:dyDescent="0.3">
      <c r="B1658" s="30" t="str">
        <f t="shared" si="61"/>
        <v/>
      </c>
    </row>
    <row r="1659" spans="2:2" x14ac:dyDescent="0.3">
      <c r="B1659" s="30" t="str">
        <f t="shared" si="61"/>
        <v/>
      </c>
    </row>
    <row r="1660" spans="2:2" x14ac:dyDescent="0.3">
      <c r="B1660" s="30" t="str">
        <f t="shared" si="61"/>
        <v/>
      </c>
    </row>
    <row r="1661" spans="2:2" x14ac:dyDescent="0.3">
      <c r="B1661" s="30" t="str">
        <f t="shared" si="61"/>
        <v/>
      </c>
    </row>
    <row r="1662" spans="2:2" x14ac:dyDescent="0.3">
      <c r="B1662" s="30" t="str">
        <f t="shared" si="61"/>
        <v/>
      </c>
    </row>
    <row r="1663" spans="2:2" x14ac:dyDescent="0.3">
      <c r="B1663" s="30" t="str">
        <f t="shared" si="61"/>
        <v/>
      </c>
    </row>
    <row r="1664" spans="2:2" x14ac:dyDescent="0.3">
      <c r="B1664" s="30" t="str">
        <f t="shared" si="61"/>
        <v/>
      </c>
    </row>
    <row r="1665" spans="2:2" x14ac:dyDescent="0.3">
      <c r="B1665" s="30" t="str">
        <f t="shared" si="61"/>
        <v/>
      </c>
    </row>
    <row r="1666" spans="2:2" x14ac:dyDescent="0.3">
      <c r="B1666" s="30" t="str">
        <f t="shared" si="61"/>
        <v/>
      </c>
    </row>
    <row r="1667" spans="2:2" x14ac:dyDescent="0.3">
      <c r="B1667" s="30" t="str">
        <f t="shared" si="61"/>
        <v/>
      </c>
    </row>
    <row r="1668" spans="2:2" x14ac:dyDescent="0.3">
      <c r="B1668" s="30" t="str">
        <f t="shared" si="61"/>
        <v/>
      </c>
    </row>
    <row r="1669" spans="2:2" x14ac:dyDescent="0.3">
      <c r="B1669" s="30" t="str">
        <f t="shared" si="61"/>
        <v/>
      </c>
    </row>
    <row r="1670" spans="2:2" x14ac:dyDescent="0.3">
      <c r="B1670" s="30" t="str">
        <f t="shared" si="61"/>
        <v/>
      </c>
    </row>
    <row r="1671" spans="2:2" x14ac:dyDescent="0.3">
      <c r="B1671" s="30" t="str">
        <f t="shared" si="61"/>
        <v/>
      </c>
    </row>
    <row r="1672" spans="2:2" x14ac:dyDescent="0.3">
      <c r="B1672" s="30" t="str">
        <f t="shared" si="61"/>
        <v/>
      </c>
    </row>
    <row r="1673" spans="2:2" x14ac:dyDescent="0.3">
      <c r="B1673" s="30" t="str">
        <f t="shared" si="61"/>
        <v/>
      </c>
    </row>
    <row r="1674" spans="2:2" x14ac:dyDescent="0.3">
      <c r="B1674" s="30" t="str">
        <f t="shared" si="61"/>
        <v/>
      </c>
    </row>
    <row r="1675" spans="2:2" x14ac:dyDescent="0.3">
      <c r="B1675" s="30" t="str">
        <f t="shared" si="61"/>
        <v/>
      </c>
    </row>
    <row r="1676" spans="2:2" x14ac:dyDescent="0.3">
      <c r="B1676" s="30" t="str">
        <f t="shared" si="61"/>
        <v/>
      </c>
    </row>
    <row r="1677" spans="2:2" x14ac:dyDescent="0.3">
      <c r="B1677" s="30" t="str">
        <f t="shared" si="61"/>
        <v/>
      </c>
    </row>
    <row r="1678" spans="2:2" x14ac:dyDescent="0.3">
      <c r="B1678" s="30" t="str">
        <f t="shared" si="61"/>
        <v/>
      </c>
    </row>
    <row r="1679" spans="2:2" x14ac:dyDescent="0.3">
      <c r="B1679" s="30" t="str">
        <f t="shared" si="61"/>
        <v/>
      </c>
    </row>
    <row r="1680" spans="2:2" x14ac:dyDescent="0.3">
      <c r="B1680" s="30" t="str">
        <f t="shared" si="61"/>
        <v/>
      </c>
    </row>
    <row r="1681" spans="2:2" x14ac:dyDescent="0.3">
      <c r="B1681" s="30" t="str">
        <f t="shared" si="61"/>
        <v/>
      </c>
    </row>
    <row r="1682" spans="2:2" x14ac:dyDescent="0.3">
      <c r="B1682" s="30" t="str">
        <f t="shared" si="61"/>
        <v/>
      </c>
    </row>
    <row r="1683" spans="2:2" x14ac:dyDescent="0.3">
      <c r="B1683" s="30" t="str">
        <f t="shared" si="61"/>
        <v/>
      </c>
    </row>
    <row r="1684" spans="2:2" x14ac:dyDescent="0.3">
      <c r="B1684" s="30" t="str">
        <f t="shared" si="61"/>
        <v/>
      </c>
    </row>
    <row r="1685" spans="2:2" x14ac:dyDescent="0.3">
      <c r="B1685" s="30" t="str">
        <f t="shared" si="61"/>
        <v/>
      </c>
    </row>
    <row r="1686" spans="2:2" x14ac:dyDescent="0.3">
      <c r="B1686" s="30" t="str">
        <f t="shared" si="61"/>
        <v/>
      </c>
    </row>
    <row r="1687" spans="2:2" x14ac:dyDescent="0.3">
      <c r="B1687" s="30" t="str">
        <f t="shared" si="61"/>
        <v/>
      </c>
    </row>
    <row r="1688" spans="2:2" x14ac:dyDescent="0.3">
      <c r="B1688" s="30" t="str">
        <f t="shared" si="61"/>
        <v/>
      </c>
    </row>
    <row r="1689" spans="2:2" x14ac:dyDescent="0.3">
      <c r="B1689" s="30" t="str">
        <f t="shared" si="61"/>
        <v/>
      </c>
    </row>
    <row r="1690" spans="2:2" x14ac:dyDescent="0.3">
      <c r="B1690" s="30" t="str">
        <f t="shared" si="61"/>
        <v/>
      </c>
    </row>
    <row r="1691" spans="2:2" x14ac:dyDescent="0.3">
      <c r="B1691" s="30" t="str">
        <f t="shared" si="61"/>
        <v/>
      </c>
    </row>
    <row r="1692" spans="2:2" x14ac:dyDescent="0.3">
      <c r="B1692" s="30" t="str">
        <f t="shared" si="61"/>
        <v/>
      </c>
    </row>
    <row r="1693" spans="2:2" x14ac:dyDescent="0.3">
      <c r="B1693" s="30" t="str">
        <f t="shared" si="61"/>
        <v/>
      </c>
    </row>
    <row r="1694" spans="2:2" x14ac:dyDescent="0.3">
      <c r="B1694" s="30" t="str">
        <f t="shared" si="61"/>
        <v/>
      </c>
    </row>
    <row r="1695" spans="2:2" x14ac:dyDescent="0.3">
      <c r="B1695" s="30" t="str">
        <f t="shared" si="61"/>
        <v/>
      </c>
    </row>
    <row r="1696" spans="2:2" x14ac:dyDescent="0.3">
      <c r="B1696" s="30" t="str">
        <f t="shared" si="61"/>
        <v/>
      </c>
    </row>
    <row r="1697" spans="2:2" x14ac:dyDescent="0.3">
      <c r="B1697" s="30" t="str">
        <f t="shared" si="61"/>
        <v/>
      </c>
    </row>
    <row r="1698" spans="2:2" x14ac:dyDescent="0.3">
      <c r="B1698" s="30" t="str">
        <f t="shared" si="61"/>
        <v/>
      </c>
    </row>
    <row r="1699" spans="2:2" x14ac:dyDescent="0.3">
      <c r="B1699" s="30" t="str">
        <f t="shared" si="61"/>
        <v/>
      </c>
    </row>
    <row r="1700" spans="2:2" x14ac:dyDescent="0.3">
      <c r="B1700" s="30" t="str">
        <f t="shared" si="61"/>
        <v/>
      </c>
    </row>
    <row r="1701" spans="2:2" x14ac:dyDescent="0.3">
      <c r="B1701" s="30" t="str">
        <f t="shared" si="61"/>
        <v/>
      </c>
    </row>
    <row r="1702" spans="2:2" x14ac:dyDescent="0.3">
      <c r="B1702" s="30" t="str">
        <f t="shared" si="61"/>
        <v/>
      </c>
    </row>
    <row r="1703" spans="2:2" x14ac:dyDescent="0.3">
      <c r="B1703" s="30" t="str">
        <f t="shared" si="61"/>
        <v/>
      </c>
    </row>
    <row r="1704" spans="2:2" x14ac:dyDescent="0.3">
      <c r="B1704" s="30" t="str">
        <f t="shared" ref="B1704:B1767" si="62">IF($A1704="Daily", "n/a", "")</f>
        <v/>
      </c>
    </row>
    <row r="1705" spans="2:2" x14ac:dyDescent="0.3">
      <c r="B1705" s="30" t="str">
        <f t="shared" si="62"/>
        <v/>
      </c>
    </row>
    <row r="1706" spans="2:2" x14ac:dyDescent="0.3">
      <c r="B1706" s="30" t="str">
        <f t="shared" si="62"/>
        <v/>
      </c>
    </row>
    <row r="1707" spans="2:2" x14ac:dyDescent="0.3">
      <c r="B1707" s="30" t="str">
        <f t="shared" si="62"/>
        <v/>
      </c>
    </row>
    <row r="1708" spans="2:2" x14ac:dyDescent="0.3">
      <c r="B1708" s="30" t="str">
        <f t="shared" si="62"/>
        <v/>
      </c>
    </row>
    <row r="1709" spans="2:2" x14ac:dyDescent="0.3">
      <c r="B1709" s="30" t="str">
        <f t="shared" si="62"/>
        <v/>
      </c>
    </row>
    <row r="1710" spans="2:2" x14ac:dyDescent="0.3">
      <c r="B1710" s="30" t="str">
        <f t="shared" si="62"/>
        <v/>
      </c>
    </row>
    <row r="1711" spans="2:2" x14ac:dyDescent="0.3">
      <c r="B1711" s="30" t="str">
        <f t="shared" si="62"/>
        <v/>
      </c>
    </row>
    <row r="1712" spans="2:2" x14ac:dyDescent="0.3">
      <c r="B1712" s="30" t="str">
        <f t="shared" si="62"/>
        <v/>
      </c>
    </row>
    <row r="1713" spans="2:2" x14ac:dyDescent="0.3">
      <c r="B1713" s="30" t="str">
        <f t="shared" si="62"/>
        <v/>
      </c>
    </row>
    <row r="1714" spans="2:2" x14ac:dyDescent="0.3">
      <c r="B1714" s="30" t="str">
        <f t="shared" si="62"/>
        <v/>
      </c>
    </row>
    <row r="1715" spans="2:2" x14ac:dyDescent="0.3">
      <c r="B1715" s="30" t="str">
        <f t="shared" si="62"/>
        <v/>
      </c>
    </row>
    <row r="1716" spans="2:2" x14ac:dyDescent="0.3">
      <c r="B1716" s="30" t="str">
        <f t="shared" si="62"/>
        <v/>
      </c>
    </row>
    <row r="1717" spans="2:2" x14ac:dyDescent="0.3">
      <c r="B1717" s="30" t="str">
        <f t="shared" si="62"/>
        <v/>
      </c>
    </row>
    <row r="1718" spans="2:2" x14ac:dyDescent="0.3">
      <c r="B1718" s="30" t="str">
        <f t="shared" si="62"/>
        <v/>
      </c>
    </row>
    <row r="1719" spans="2:2" x14ac:dyDescent="0.3">
      <c r="B1719" s="30" t="str">
        <f t="shared" si="62"/>
        <v/>
      </c>
    </row>
    <row r="1720" spans="2:2" x14ac:dyDescent="0.3">
      <c r="B1720" s="30" t="str">
        <f t="shared" si="62"/>
        <v/>
      </c>
    </row>
    <row r="1721" spans="2:2" x14ac:dyDescent="0.3">
      <c r="B1721" s="30" t="str">
        <f t="shared" si="62"/>
        <v/>
      </c>
    </row>
    <row r="1722" spans="2:2" x14ac:dyDescent="0.3">
      <c r="B1722" s="30" t="str">
        <f t="shared" si="62"/>
        <v/>
      </c>
    </row>
    <row r="1723" spans="2:2" x14ac:dyDescent="0.3">
      <c r="B1723" s="30" t="str">
        <f t="shared" si="62"/>
        <v/>
      </c>
    </row>
    <row r="1724" spans="2:2" x14ac:dyDescent="0.3">
      <c r="B1724" s="30" t="str">
        <f t="shared" si="62"/>
        <v/>
      </c>
    </row>
    <row r="1725" spans="2:2" x14ac:dyDescent="0.3">
      <c r="B1725" s="30" t="str">
        <f t="shared" si="62"/>
        <v/>
      </c>
    </row>
    <row r="1726" spans="2:2" x14ac:dyDescent="0.3">
      <c r="B1726" s="30" t="str">
        <f t="shared" si="62"/>
        <v/>
      </c>
    </row>
    <row r="1727" spans="2:2" x14ac:dyDescent="0.3">
      <c r="B1727" s="30" t="str">
        <f t="shared" si="62"/>
        <v/>
      </c>
    </row>
    <row r="1728" spans="2:2" x14ac:dyDescent="0.3">
      <c r="B1728" s="30" t="str">
        <f t="shared" si="62"/>
        <v/>
      </c>
    </row>
    <row r="1729" spans="2:2" x14ac:dyDescent="0.3">
      <c r="B1729" s="30" t="str">
        <f t="shared" si="62"/>
        <v/>
      </c>
    </row>
    <row r="1730" spans="2:2" x14ac:dyDescent="0.3">
      <c r="B1730" s="30" t="str">
        <f t="shared" si="62"/>
        <v/>
      </c>
    </row>
    <row r="1731" spans="2:2" x14ac:dyDescent="0.3">
      <c r="B1731" s="30" t="str">
        <f t="shared" si="62"/>
        <v/>
      </c>
    </row>
    <row r="1732" spans="2:2" x14ac:dyDescent="0.3">
      <c r="B1732" s="30" t="str">
        <f t="shared" si="62"/>
        <v/>
      </c>
    </row>
    <row r="1733" spans="2:2" x14ac:dyDescent="0.3">
      <c r="B1733" s="30" t="str">
        <f t="shared" si="62"/>
        <v/>
      </c>
    </row>
    <row r="1734" spans="2:2" x14ac:dyDescent="0.3">
      <c r="B1734" s="30" t="str">
        <f t="shared" si="62"/>
        <v/>
      </c>
    </row>
    <row r="1735" spans="2:2" x14ac:dyDescent="0.3">
      <c r="B1735" s="30" t="str">
        <f t="shared" si="62"/>
        <v/>
      </c>
    </row>
    <row r="1736" spans="2:2" x14ac:dyDescent="0.3">
      <c r="B1736" s="30" t="str">
        <f t="shared" si="62"/>
        <v/>
      </c>
    </row>
    <row r="1737" spans="2:2" x14ac:dyDescent="0.3">
      <c r="B1737" s="30" t="str">
        <f t="shared" si="62"/>
        <v/>
      </c>
    </row>
    <row r="1738" spans="2:2" x14ac:dyDescent="0.3">
      <c r="B1738" s="30" t="str">
        <f t="shared" si="62"/>
        <v/>
      </c>
    </row>
    <row r="1739" spans="2:2" x14ac:dyDescent="0.3">
      <c r="B1739" s="30" t="str">
        <f t="shared" si="62"/>
        <v/>
      </c>
    </row>
    <row r="1740" spans="2:2" x14ac:dyDescent="0.3">
      <c r="B1740" s="30" t="str">
        <f t="shared" si="62"/>
        <v/>
      </c>
    </row>
    <row r="1741" spans="2:2" x14ac:dyDescent="0.3">
      <c r="B1741" s="30" t="str">
        <f t="shared" si="62"/>
        <v/>
      </c>
    </row>
    <row r="1742" spans="2:2" x14ac:dyDescent="0.3">
      <c r="B1742" s="30" t="str">
        <f t="shared" si="62"/>
        <v/>
      </c>
    </row>
    <row r="1743" spans="2:2" x14ac:dyDescent="0.3">
      <c r="B1743" s="30" t="str">
        <f t="shared" si="62"/>
        <v/>
      </c>
    </row>
    <row r="1744" spans="2:2" x14ac:dyDescent="0.3">
      <c r="B1744" s="30" t="str">
        <f t="shared" si="62"/>
        <v/>
      </c>
    </row>
    <row r="1745" spans="2:2" x14ac:dyDescent="0.3">
      <c r="B1745" s="30" t="str">
        <f t="shared" si="62"/>
        <v/>
      </c>
    </row>
    <row r="1746" spans="2:2" x14ac:dyDescent="0.3">
      <c r="B1746" s="30" t="str">
        <f t="shared" si="62"/>
        <v/>
      </c>
    </row>
    <row r="1747" spans="2:2" x14ac:dyDescent="0.3">
      <c r="B1747" s="30" t="str">
        <f t="shared" si="62"/>
        <v/>
      </c>
    </row>
    <row r="1748" spans="2:2" x14ac:dyDescent="0.3">
      <c r="B1748" s="30" t="str">
        <f t="shared" si="62"/>
        <v/>
      </c>
    </row>
    <row r="1749" spans="2:2" x14ac:dyDescent="0.3">
      <c r="B1749" s="30" t="str">
        <f t="shared" si="62"/>
        <v/>
      </c>
    </row>
    <row r="1750" spans="2:2" x14ac:dyDescent="0.3">
      <c r="B1750" s="30" t="str">
        <f t="shared" si="62"/>
        <v/>
      </c>
    </row>
    <row r="1751" spans="2:2" x14ac:dyDescent="0.3">
      <c r="B1751" s="30" t="str">
        <f t="shared" si="62"/>
        <v/>
      </c>
    </row>
    <row r="1752" spans="2:2" x14ac:dyDescent="0.3">
      <c r="B1752" s="30" t="str">
        <f t="shared" si="62"/>
        <v/>
      </c>
    </row>
    <row r="1753" spans="2:2" x14ac:dyDescent="0.3">
      <c r="B1753" s="30" t="str">
        <f t="shared" si="62"/>
        <v/>
      </c>
    </row>
    <row r="1754" spans="2:2" x14ac:dyDescent="0.3">
      <c r="B1754" s="30" t="str">
        <f t="shared" si="62"/>
        <v/>
      </c>
    </row>
    <row r="1755" spans="2:2" x14ac:dyDescent="0.3">
      <c r="B1755" s="30" t="str">
        <f t="shared" si="62"/>
        <v/>
      </c>
    </row>
    <row r="1756" spans="2:2" x14ac:dyDescent="0.3">
      <c r="B1756" s="30" t="str">
        <f t="shared" si="62"/>
        <v/>
      </c>
    </row>
    <row r="1757" spans="2:2" x14ac:dyDescent="0.3">
      <c r="B1757" s="30" t="str">
        <f t="shared" si="62"/>
        <v/>
      </c>
    </row>
    <row r="1758" spans="2:2" x14ac:dyDescent="0.3">
      <c r="B1758" s="30" t="str">
        <f t="shared" si="62"/>
        <v/>
      </c>
    </row>
    <row r="1759" spans="2:2" x14ac:dyDescent="0.3">
      <c r="B1759" s="30" t="str">
        <f t="shared" si="62"/>
        <v/>
      </c>
    </row>
    <row r="1760" spans="2:2" x14ac:dyDescent="0.3">
      <c r="B1760" s="30" t="str">
        <f t="shared" si="62"/>
        <v/>
      </c>
    </row>
    <row r="1761" spans="2:2" x14ac:dyDescent="0.3">
      <c r="B1761" s="30" t="str">
        <f t="shared" si="62"/>
        <v/>
      </c>
    </row>
    <row r="1762" spans="2:2" x14ac:dyDescent="0.3">
      <c r="B1762" s="30" t="str">
        <f t="shared" si="62"/>
        <v/>
      </c>
    </row>
    <row r="1763" spans="2:2" x14ac:dyDescent="0.3">
      <c r="B1763" s="30" t="str">
        <f t="shared" si="62"/>
        <v/>
      </c>
    </row>
    <row r="1764" spans="2:2" x14ac:dyDescent="0.3">
      <c r="B1764" s="30" t="str">
        <f t="shared" si="62"/>
        <v/>
      </c>
    </row>
    <row r="1765" spans="2:2" x14ac:dyDescent="0.3">
      <c r="B1765" s="30" t="str">
        <f t="shared" si="62"/>
        <v/>
      </c>
    </row>
    <row r="1766" spans="2:2" x14ac:dyDescent="0.3">
      <c r="B1766" s="30" t="str">
        <f t="shared" si="62"/>
        <v/>
      </c>
    </row>
    <row r="1767" spans="2:2" x14ac:dyDescent="0.3">
      <c r="B1767" s="30" t="str">
        <f t="shared" si="62"/>
        <v/>
      </c>
    </row>
    <row r="1768" spans="2:2" x14ac:dyDescent="0.3">
      <c r="B1768" s="30" t="str">
        <f t="shared" ref="B1768:B1831" si="63">IF($A1768="Daily", "n/a", "")</f>
        <v/>
      </c>
    </row>
    <row r="1769" spans="2:2" x14ac:dyDescent="0.3">
      <c r="B1769" s="30" t="str">
        <f t="shared" si="63"/>
        <v/>
      </c>
    </row>
    <row r="1770" spans="2:2" x14ac:dyDescent="0.3">
      <c r="B1770" s="30" t="str">
        <f t="shared" si="63"/>
        <v/>
      </c>
    </row>
    <row r="1771" spans="2:2" x14ac:dyDescent="0.3">
      <c r="B1771" s="30" t="str">
        <f t="shared" si="63"/>
        <v/>
      </c>
    </row>
    <row r="1772" spans="2:2" x14ac:dyDescent="0.3">
      <c r="B1772" s="30" t="str">
        <f t="shared" si="63"/>
        <v/>
      </c>
    </row>
    <row r="1773" spans="2:2" x14ac:dyDescent="0.3">
      <c r="B1773" s="30" t="str">
        <f t="shared" si="63"/>
        <v/>
      </c>
    </row>
    <row r="1774" spans="2:2" x14ac:dyDescent="0.3">
      <c r="B1774" s="30" t="str">
        <f t="shared" si="63"/>
        <v/>
      </c>
    </row>
    <row r="1775" spans="2:2" x14ac:dyDescent="0.3">
      <c r="B1775" s="30" t="str">
        <f t="shared" si="63"/>
        <v/>
      </c>
    </row>
    <row r="1776" spans="2:2" x14ac:dyDescent="0.3">
      <c r="B1776" s="30" t="str">
        <f t="shared" si="63"/>
        <v/>
      </c>
    </row>
    <row r="1777" spans="2:2" x14ac:dyDescent="0.3">
      <c r="B1777" s="30" t="str">
        <f t="shared" si="63"/>
        <v/>
      </c>
    </row>
    <row r="1778" spans="2:2" x14ac:dyDescent="0.3">
      <c r="B1778" s="30" t="str">
        <f t="shared" si="63"/>
        <v/>
      </c>
    </row>
    <row r="1779" spans="2:2" x14ac:dyDescent="0.3">
      <c r="B1779" s="30" t="str">
        <f t="shared" si="63"/>
        <v/>
      </c>
    </row>
    <row r="1780" spans="2:2" x14ac:dyDescent="0.3">
      <c r="B1780" s="30" t="str">
        <f t="shared" si="63"/>
        <v/>
      </c>
    </row>
    <row r="1781" spans="2:2" x14ac:dyDescent="0.3">
      <c r="B1781" s="30" t="str">
        <f t="shared" si="63"/>
        <v/>
      </c>
    </row>
    <row r="1782" spans="2:2" x14ac:dyDescent="0.3">
      <c r="B1782" s="30" t="str">
        <f t="shared" si="63"/>
        <v/>
      </c>
    </row>
    <row r="1783" spans="2:2" x14ac:dyDescent="0.3">
      <c r="B1783" s="30" t="str">
        <f t="shared" si="63"/>
        <v/>
      </c>
    </row>
    <row r="1784" spans="2:2" x14ac:dyDescent="0.3">
      <c r="B1784" s="30" t="str">
        <f t="shared" si="63"/>
        <v/>
      </c>
    </row>
    <row r="1785" spans="2:2" x14ac:dyDescent="0.3">
      <c r="B1785" s="30" t="str">
        <f t="shared" si="63"/>
        <v/>
      </c>
    </row>
    <row r="1786" spans="2:2" x14ac:dyDescent="0.3">
      <c r="B1786" s="30" t="str">
        <f t="shared" si="63"/>
        <v/>
      </c>
    </row>
    <row r="1787" spans="2:2" x14ac:dyDescent="0.3">
      <c r="B1787" s="30" t="str">
        <f t="shared" si="63"/>
        <v/>
      </c>
    </row>
    <row r="1788" spans="2:2" x14ac:dyDescent="0.3">
      <c r="B1788" s="30" t="str">
        <f t="shared" si="63"/>
        <v/>
      </c>
    </row>
    <row r="1789" spans="2:2" x14ac:dyDescent="0.3">
      <c r="B1789" s="30" t="str">
        <f t="shared" si="63"/>
        <v/>
      </c>
    </row>
    <row r="1790" spans="2:2" x14ac:dyDescent="0.3">
      <c r="B1790" s="30" t="str">
        <f t="shared" si="63"/>
        <v/>
      </c>
    </row>
    <row r="1791" spans="2:2" x14ac:dyDescent="0.3">
      <c r="B1791" s="30" t="str">
        <f t="shared" si="63"/>
        <v/>
      </c>
    </row>
    <row r="1792" spans="2:2" x14ac:dyDescent="0.3">
      <c r="B1792" s="30" t="str">
        <f t="shared" si="63"/>
        <v/>
      </c>
    </row>
    <row r="1793" spans="2:2" x14ac:dyDescent="0.3">
      <c r="B1793" s="30" t="str">
        <f t="shared" si="63"/>
        <v/>
      </c>
    </row>
    <row r="1794" spans="2:2" x14ac:dyDescent="0.3">
      <c r="B1794" s="30" t="str">
        <f t="shared" si="63"/>
        <v/>
      </c>
    </row>
    <row r="1795" spans="2:2" x14ac:dyDescent="0.3">
      <c r="B1795" s="30" t="str">
        <f t="shared" si="63"/>
        <v/>
      </c>
    </row>
    <row r="1796" spans="2:2" x14ac:dyDescent="0.3">
      <c r="B1796" s="30" t="str">
        <f t="shared" si="63"/>
        <v/>
      </c>
    </row>
    <row r="1797" spans="2:2" x14ac:dyDescent="0.3">
      <c r="B1797" s="30" t="str">
        <f t="shared" si="63"/>
        <v/>
      </c>
    </row>
    <row r="1798" spans="2:2" x14ac:dyDescent="0.3">
      <c r="B1798" s="30" t="str">
        <f t="shared" si="63"/>
        <v/>
      </c>
    </row>
    <row r="1799" spans="2:2" x14ac:dyDescent="0.3">
      <c r="B1799" s="30" t="str">
        <f t="shared" si="63"/>
        <v/>
      </c>
    </row>
    <row r="1800" spans="2:2" x14ac:dyDescent="0.3">
      <c r="B1800" s="30" t="str">
        <f t="shared" si="63"/>
        <v/>
      </c>
    </row>
    <row r="1801" spans="2:2" x14ac:dyDescent="0.3">
      <c r="B1801" s="30" t="str">
        <f t="shared" si="63"/>
        <v/>
      </c>
    </row>
    <row r="1802" spans="2:2" x14ac:dyDescent="0.3">
      <c r="B1802" s="30" t="str">
        <f t="shared" si="63"/>
        <v/>
      </c>
    </row>
    <row r="1803" spans="2:2" x14ac:dyDescent="0.3">
      <c r="B1803" s="30" t="str">
        <f t="shared" si="63"/>
        <v/>
      </c>
    </row>
    <row r="1804" spans="2:2" x14ac:dyDescent="0.3">
      <c r="B1804" s="30" t="str">
        <f t="shared" si="63"/>
        <v/>
      </c>
    </row>
    <row r="1805" spans="2:2" x14ac:dyDescent="0.3">
      <c r="B1805" s="30" t="str">
        <f t="shared" si="63"/>
        <v/>
      </c>
    </row>
    <row r="1806" spans="2:2" x14ac:dyDescent="0.3">
      <c r="B1806" s="30" t="str">
        <f t="shared" si="63"/>
        <v/>
      </c>
    </row>
    <row r="1807" spans="2:2" x14ac:dyDescent="0.3">
      <c r="B1807" s="30" t="str">
        <f t="shared" si="63"/>
        <v/>
      </c>
    </row>
    <row r="1808" spans="2:2" x14ac:dyDescent="0.3">
      <c r="B1808" s="30" t="str">
        <f t="shared" si="63"/>
        <v/>
      </c>
    </row>
    <row r="1809" spans="2:2" x14ac:dyDescent="0.3">
      <c r="B1809" s="30" t="str">
        <f t="shared" si="63"/>
        <v/>
      </c>
    </row>
    <row r="1810" spans="2:2" x14ac:dyDescent="0.3">
      <c r="B1810" s="30" t="str">
        <f t="shared" si="63"/>
        <v/>
      </c>
    </row>
    <row r="1811" spans="2:2" x14ac:dyDescent="0.3">
      <c r="B1811" s="30" t="str">
        <f t="shared" si="63"/>
        <v/>
      </c>
    </row>
    <row r="1812" spans="2:2" x14ac:dyDescent="0.3">
      <c r="B1812" s="30" t="str">
        <f t="shared" si="63"/>
        <v/>
      </c>
    </row>
    <row r="1813" spans="2:2" x14ac:dyDescent="0.3">
      <c r="B1813" s="30" t="str">
        <f t="shared" si="63"/>
        <v/>
      </c>
    </row>
    <row r="1814" spans="2:2" x14ac:dyDescent="0.3">
      <c r="B1814" s="30" t="str">
        <f t="shared" si="63"/>
        <v/>
      </c>
    </row>
    <row r="1815" spans="2:2" x14ac:dyDescent="0.3">
      <c r="B1815" s="30" t="str">
        <f t="shared" si="63"/>
        <v/>
      </c>
    </row>
    <row r="1816" spans="2:2" x14ac:dyDescent="0.3">
      <c r="B1816" s="30" t="str">
        <f t="shared" si="63"/>
        <v/>
      </c>
    </row>
    <row r="1817" spans="2:2" x14ac:dyDescent="0.3">
      <c r="B1817" s="30" t="str">
        <f t="shared" si="63"/>
        <v/>
      </c>
    </row>
    <row r="1818" spans="2:2" x14ac:dyDescent="0.3">
      <c r="B1818" s="30" t="str">
        <f t="shared" si="63"/>
        <v/>
      </c>
    </row>
    <row r="1819" spans="2:2" x14ac:dyDescent="0.3">
      <c r="B1819" s="30" t="str">
        <f t="shared" si="63"/>
        <v/>
      </c>
    </row>
    <row r="1820" spans="2:2" x14ac:dyDescent="0.3">
      <c r="B1820" s="30" t="str">
        <f t="shared" si="63"/>
        <v/>
      </c>
    </row>
    <row r="1821" spans="2:2" x14ac:dyDescent="0.3">
      <c r="B1821" s="30" t="str">
        <f t="shared" si="63"/>
        <v/>
      </c>
    </row>
    <row r="1822" spans="2:2" x14ac:dyDescent="0.3">
      <c r="B1822" s="30" t="str">
        <f t="shared" si="63"/>
        <v/>
      </c>
    </row>
    <row r="1823" spans="2:2" x14ac:dyDescent="0.3">
      <c r="B1823" s="30" t="str">
        <f t="shared" si="63"/>
        <v/>
      </c>
    </row>
    <row r="1824" spans="2:2" x14ac:dyDescent="0.3">
      <c r="B1824" s="30" t="str">
        <f t="shared" si="63"/>
        <v/>
      </c>
    </row>
    <row r="1825" spans="2:2" x14ac:dyDescent="0.3">
      <c r="B1825" s="30" t="str">
        <f t="shared" si="63"/>
        <v/>
      </c>
    </row>
    <row r="1826" spans="2:2" x14ac:dyDescent="0.3">
      <c r="B1826" s="30" t="str">
        <f t="shared" si="63"/>
        <v/>
      </c>
    </row>
    <row r="1827" spans="2:2" x14ac:dyDescent="0.3">
      <c r="B1827" s="30" t="str">
        <f t="shared" si="63"/>
        <v/>
      </c>
    </row>
    <row r="1828" spans="2:2" x14ac:dyDescent="0.3">
      <c r="B1828" s="30" t="str">
        <f t="shared" si="63"/>
        <v/>
      </c>
    </row>
    <row r="1829" spans="2:2" x14ac:dyDescent="0.3">
      <c r="B1829" s="30" t="str">
        <f t="shared" si="63"/>
        <v/>
      </c>
    </row>
    <row r="1830" spans="2:2" x14ac:dyDescent="0.3">
      <c r="B1830" s="30" t="str">
        <f t="shared" si="63"/>
        <v/>
      </c>
    </row>
    <row r="1831" spans="2:2" x14ac:dyDescent="0.3">
      <c r="B1831" s="30" t="str">
        <f t="shared" si="63"/>
        <v/>
      </c>
    </row>
    <row r="1832" spans="2:2" x14ac:dyDescent="0.3">
      <c r="B1832" s="30" t="str">
        <f t="shared" ref="B1832:B1895" si="64">IF($A1832="Daily", "n/a", "")</f>
        <v/>
      </c>
    </row>
    <row r="1833" spans="2:2" x14ac:dyDescent="0.3">
      <c r="B1833" s="30" t="str">
        <f t="shared" si="64"/>
        <v/>
      </c>
    </row>
    <row r="1834" spans="2:2" x14ac:dyDescent="0.3">
      <c r="B1834" s="30" t="str">
        <f t="shared" si="64"/>
        <v/>
      </c>
    </row>
    <row r="1835" spans="2:2" x14ac:dyDescent="0.3">
      <c r="B1835" s="30" t="str">
        <f t="shared" si="64"/>
        <v/>
      </c>
    </row>
    <row r="1836" spans="2:2" x14ac:dyDescent="0.3">
      <c r="B1836" s="30" t="str">
        <f t="shared" si="64"/>
        <v/>
      </c>
    </row>
    <row r="1837" spans="2:2" x14ac:dyDescent="0.3">
      <c r="B1837" s="30" t="str">
        <f t="shared" si="64"/>
        <v/>
      </c>
    </row>
    <row r="1838" spans="2:2" x14ac:dyDescent="0.3">
      <c r="B1838" s="30" t="str">
        <f t="shared" si="64"/>
        <v/>
      </c>
    </row>
    <row r="1839" spans="2:2" x14ac:dyDescent="0.3">
      <c r="B1839" s="30" t="str">
        <f t="shared" si="64"/>
        <v/>
      </c>
    </row>
    <row r="1840" spans="2:2" x14ac:dyDescent="0.3">
      <c r="B1840" s="30" t="str">
        <f t="shared" si="64"/>
        <v/>
      </c>
    </row>
    <row r="1841" spans="2:2" x14ac:dyDescent="0.3">
      <c r="B1841" s="30" t="str">
        <f t="shared" si="64"/>
        <v/>
      </c>
    </row>
    <row r="1842" spans="2:2" x14ac:dyDescent="0.3">
      <c r="B1842" s="30" t="str">
        <f t="shared" si="64"/>
        <v/>
      </c>
    </row>
    <row r="1843" spans="2:2" x14ac:dyDescent="0.3">
      <c r="B1843" s="30" t="str">
        <f t="shared" si="64"/>
        <v/>
      </c>
    </row>
    <row r="1844" spans="2:2" x14ac:dyDescent="0.3">
      <c r="B1844" s="30" t="str">
        <f t="shared" si="64"/>
        <v/>
      </c>
    </row>
    <row r="1845" spans="2:2" x14ac:dyDescent="0.3">
      <c r="B1845" s="30" t="str">
        <f t="shared" si="64"/>
        <v/>
      </c>
    </row>
    <row r="1846" spans="2:2" x14ac:dyDescent="0.3">
      <c r="B1846" s="30" t="str">
        <f t="shared" si="64"/>
        <v/>
      </c>
    </row>
    <row r="1847" spans="2:2" x14ac:dyDescent="0.3">
      <c r="B1847" s="30" t="str">
        <f t="shared" si="64"/>
        <v/>
      </c>
    </row>
    <row r="1848" spans="2:2" x14ac:dyDescent="0.3">
      <c r="B1848" s="30" t="str">
        <f t="shared" si="64"/>
        <v/>
      </c>
    </row>
    <row r="1849" spans="2:2" x14ac:dyDescent="0.3">
      <c r="B1849" s="30" t="str">
        <f t="shared" si="64"/>
        <v/>
      </c>
    </row>
    <row r="1850" spans="2:2" x14ac:dyDescent="0.3">
      <c r="B1850" s="30" t="str">
        <f t="shared" si="64"/>
        <v/>
      </c>
    </row>
    <row r="1851" spans="2:2" x14ac:dyDescent="0.3">
      <c r="B1851" s="30" t="str">
        <f t="shared" si="64"/>
        <v/>
      </c>
    </row>
    <row r="1852" spans="2:2" x14ac:dyDescent="0.3">
      <c r="B1852" s="30" t="str">
        <f t="shared" si="64"/>
        <v/>
      </c>
    </row>
    <row r="1853" spans="2:2" x14ac:dyDescent="0.3">
      <c r="B1853" s="30" t="str">
        <f t="shared" si="64"/>
        <v/>
      </c>
    </row>
    <row r="1854" spans="2:2" x14ac:dyDescent="0.3">
      <c r="B1854" s="30" t="str">
        <f t="shared" si="64"/>
        <v/>
      </c>
    </row>
    <row r="1855" spans="2:2" x14ac:dyDescent="0.3">
      <c r="B1855" s="30" t="str">
        <f t="shared" si="64"/>
        <v/>
      </c>
    </row>
    <row r="1856" spans="2:2" x14ac:dyDescent="0.3">
      <c r="B1856" s="30" t="str">
        <f t="shared" si="64"/>
        <v/>
      </c>
    </row>
    <row r="1857" spans="2:2" x14ac:dyDescent="0.3">
      <c r="B1857" s="30" t="str">
        <f t="shared" si="64"/>
        <v/>
      </c>
    </row>
    <row r="1858" spans="2:2" x14ac:dyDescent="0.3">
      <c r="B1858" s="30" t="str">
        <f t="shared" si="64"/>
        <v/>
      </c>
    </row>
    <row r="1859" spans="2:2" x14ac:dyDescent="0.3">
      <c r="B1859" s="30" t="str">
        <f t="shared" si="64"/>
        <v/>
      </c>
    </row>
    <row r="1860" spans="2:2" x14ac:dyDescent="0.3">
      <c r="B1860" s="30" t="str">
        <f t="shared" si="64"/>
        <v/>
      </c>
    </row>
    <row r="1861" spans="2:2" x14ac:dyDescent="0.3">
      <c r="B1861" s="30" t="str">
        <f t="shared" si="64"/>
        <v/>
      </c>
    </row>
    <row r="1862" spans="2:2" x14ac:dyDescent="0.3">
      <c r="B1862" s="30" t="str">
        <f t="shared" si="64"/>
        <v/>
      </c>
    </row>
    <row r="1863" spans="2:2" x14ac:dyDescent="0.3">
      <c r="B1863" s="30" t="str">
        <f t="shared" si="64"/>
        <v/>
      </c>
    </row>
    <row r="1864" spans="2:2" x14ac:dyDescent="0.3">
      <c r="B1864" s="30" t="str">
        <f t="shared" si="64"/>
        <v/>
      </c>
    </row>
    <row r="1865" spans="2:2" x14ac:dyDescent="0.3">
      <c r="B1865" s="30" t="str">
        <f t="shared" si="64"/>
        <v/>
      </c>
    </row>
    <row r="1866" spans="2:2" x14ac:dyDescent="0.3">
      <c r="B1866" s="30" t="str">
        <f t="shared" si="64"/>
        <v/>
      </c>
    </row>
    <row r="1867" spans="2:2" x14ac:dyDescent="0.3">
      <c r="B1867" s="30" t="str">
        <f t="shared" si="64"/>
        <v/>
      </c>
    </row>
    <row r="1868" spans="2:2" x14ac:dyDescent="0.3">
      <c r="B1868" s="30" t="str">
        <f t="shared" si="64"/>
        <v/>
      </c>
    </row>
    <row r="1869" spans="2:2" x14ac:dyDescent="0.3">
      <c r="B1869" s="30" t="str">
        <f t="shared" si="64"/>
        <v/>
      </c>
    </row>
    <row r="1870" spans="2:2" x14ac:dyDescent="0.3">
      <c r="B1870" s="30" t="str">
        <f t="shared" si="64"/>
        <v/>
      </c>
    </row>
    <row r="1871" spans="2:2" x14ac:dyDescent="0.3">
      <c r="B1871" s="30" t="str">
        <f t="shared" si="64"/>
        <v/>
      </c>
    </row>
    <row r="1872" spans="2:2" x14ac:dyDescent="0.3">
      <c r="B1872" s="30" t="str">
        <f t="shared" si="64"/>
        <v/>
      </c>
    </row>
    <row r="1873" spans="2:2" x14ac:dyDescent="0.3">
      <c r="B1873" s="30" t="str">
        <f t="shared" si="64"/>
        <v/>
      </c>
    </row>
    <row r="1874" spans="2:2" x14ac:dyDescent="0.3">
      <c r="B1874" s="30" t="str">
        <f t="shared" si="64"/>
        <v/>
      </c>
    </row>
    <row r="1875" spans="2:2" x14ac:dyDescent="0.3">
      <c r="B1875" s="30" t="str">
        <f t="shared" si="64"/>
        <v/>
      </c>
    </row>
    <row r="1876" spans="2:2" x14ac:dyDescent="0.3">
      <c r="B1876" s="30" t="str">
        <f t="shared" si="64"/>
        <v/>
      </c>
    </row>
    <row r="1877" spans="2:2" x14ac:dyDescent="0.3">
      <c r="B1877" s="30" t="str">
        <f t="shared" si="64"/>
        <v/>
      </c>
    </row>
    <row r="1878" spans="2:2" x14ac:dyDescent="0.3">
      <c r="B1878" s="30" t="str">
        <f t="shared" si="64"/>
        <v/>
      </c>
    </row>
    <row r="1879" spans="2:2" x14ac:dyDescent="0.3">
      <c r="B1879" s="30" t="str">
        <f t="shared" si="64"/>
        <v/>
      </c>
    </row>
    <row r="1880" spans="2:2" x14ac:dyDescent="0.3">
      <c r="B1880" s="30" t="str">
        <f t="shared" si="64"/>
        <v/>
      </c>
    </row>
    <row r="1881" spans="2:2" x14ac:dyDescent="0.3">
      <c r="B1881" s="30" t="str">
        <f t="shared" si="64"/>
        <v/>
      </c>
    </row>
    <row r="1882" spans="2:2" x14ac:dyDescent="0.3">
      <c r="B1882" s="30" t="str">
        <f t="shared" si="64"/>
        <v/>
      </c>
    </row>
    <row r="1883" spans="2:2" x14ac:dyDescent="0.3">
      <c r="B1883" s="30" t="str">
        <f t="shared" si="64"/>
        <v/>
      </c>
    </row>
    <row r="1884" spans="2:2" x14ac:dyDescent="0.3">
      <c r="B1884" s="30" t="str">
        <f t="shared" si="64"/>
        <v/>
      </c>
    </row>
    <row r="1885" spans="2:2" x14ac:dyDescent="0.3">
      <c r="B1885" s="30" t="str">
        <f t="shared" si="64"/>
        <v/>
      </c>
    </row>
    <row r="1886" spans="2:2" x14ac:dyDescent="0.3">
      <c r="B1886" s="30" t="str">
        <f t="shared" si="64"/>
        <v/>
      </c>
    </row>
    <row r="1887" spans="2:2" x14ac:dyDescent="0.3">
      <c r="B1887" s="30" t="str">
        <f t="shared" si="64"/>
        <v/>
      </c>
    </row>
    <row r="1888" spans="2:2" x14ac:dyDescent="0.3">
      <c r="B1888" s="30" t="str">
        <f t="shared" si="64"/>
        <v/>
      </c>
    </row>
    <row r="1889" spans="2:2" x14ac:dyDescent="0.3">
      <c r="B1889" s="30" t="str">
        <f t="shared" si="64"/>
        <v/>
      </c>
    </row>
    <row r="1890" spans="2:2" x14ac:dyDescent="0.3">
      <c r="B1890" s="30" t="str">
        <f t="shared" si="64"/>
        <v/>
      </c>
    </row>
    <row r="1891" spans="2:2" x14ac:dyDescent="0.3">
      <c r="B1891" s="30" t="str">
        <f t="shared" si="64"/>
        <v/>
      </c>
    </row>
    <row r="1892" spans="2:2" x14ac:dyDescent="0.3">
      <c r="B1892" s="30" t="str">
        <f t="shared" si="64"/>
        <v/>
      </c>
    </row>
    <row r="1893" spans="2:2" x14ac:dyDescent="0.3">
      <c r="B1893" s="30" t="str">
        <f t="shared" si="64"/>
        <v/>
      </c>
    </row>
    <row r="1894" spans="2:2" x14ac:dyDescent="0.3">
      <c r="B1894" s="30" t="str">
        <f t="shared" si="64"/>
        <v/>
      </c>
    </row>
    <row r="1895" spans="2:2" x14ac:dyDescent="0.3">
      <c r="B1895" s="30" t="str">
        <f t="shared" si="64"/>
        <v/>
      </c>
    </row>
    <row r="1896" spans="2:2" x14ac:dyDescent="0.3">
      <c r="B1896" s="30" t="str">
        <f t="shared" ref="B1896:B1959" si="65">IF($A1896="Daily", "n/a", "")</f>
        <v/>
      </c>
    </row>
    <row r="1897" spans="2:2" x14ac:dyDescent="0.3">
      <c r="B1897" s="30" t="str">
        <f t="shared" si="65"/>
        <v/>
      </c>
    </row>
    <row r="1898" spans="2:2" x14ac:dyDescent="0.3">
      <c r="B1898" s="30" t="str">
        <f t="shared" si="65"/>
        <v/>
      </c>
    </row>
    <row r="1899" spans="2:2" x14ac:dyDescent="0.3">
      <c r="B1899" s="30" t="str">
        <f t="shared" si="65"/>
        <v/>
      </c>
    </row>
    <row r="1900" spans="2:2" x14ac:dyDescent="0.3">
      <c r="B1900" s="30" t="str">
        <f t="shared" si="65"/>
        <v/>
      </c>
    </row>
    <row r="1901" spans="2:2" x14ac:dyDescent="0.3">
      <c r="B1901" s="30" t="str">
        <f t="shared" si="65"/>
        <v/>
      </c>
    </row>
    <row r="1902" spans="2:2" x14ac:dyDescent="0.3">
      <c r="B1902" s="30" t="str">
        <f t="shared" si="65"/>
        <v/>
      </c>
    </row>
    <row r="1903" spans="2:2" x14ac:dyDescent="0.3">
      <c r="B1903" s="30" t="str">
        <f t="shared" si="65"/>
        <v/>
      </c>
    </row>
    <row r="1904" spans="2:2" x14ac:dyDescent="0.3">
      <c r="B1904" s="30" t="str">
        <f t="shared" si="65"/>
        <v/>
      </c>
    </row>
    <row r="1905" spans="2:2" x14ac:dyDescent="0.3">
      <c r="B1905" s="30" t="str">
        <f t="shared" si="65"/>
        <v/>
      </c>
    </row>
    <row r="1906" spans="2:2" x14ac:dyDescent="0.3">
      <c r="B1906" s="30" t="str">
        <f t="shared" si="65"/>
        <v/>
      </c>
    </row>
    <row r="1907" spans="2:2" x14ac:dyDescent="0.3">
      <c r="B1907" s="30" t="str">
        <f t="shared" si="65"/>
        <v/>
      </c>
    </row>
    <row r="1908" spans="2:2" x14ac:dyDescent="0.3">
      <c r="B1908" s="30" t="str">
        <f t="shared" si="65"/>
        <v/>
      </c>
    </row>
    <row r="1909" spans="2:2" x14ac:dyDescent="0.3">
      <c r="B1909" s="30" t="str">
        <f t="shared" si="65"/>
        <v/>
      </c>
    </row>
    <row r="1910" spans="2:2" x14ac:dyDescent="0.3">
      <c r="B1910" s="30" t="str">
        <f t="shared" si="65"/>
        <v/>
      </c>
    </row>
    <row r="1911" spans="2:2" x14ac:dyDescent="0.3">
      <c r="B1911" s="30" t="str">
        <f t="shared" si="65"/>
        <v/>
      </c>
    </row>
    <row r="1912" spans="2:2" x14ac:dyDescent="0.3">
      <c r="B1912" s="30" t="str">
        <f t="shared" si="65"/>
        <v/>
      </c>
    </row>
    <row r="1913" spans="2:2" x14ac:dyDescent="0.3">
      <c r="B1913" s="30" t="str">
        <f t="shared" si="65"/>
        <v/>
      </c>
    </row>
    <row r="1914" spans="2:2" x14ac:dyDescent="0.3">
      <c r="B1914" s="30" t="str">
        <f t="shared" si="65"/>
        <v/>
      </c>
    </row>
    <row r="1915" spans="2:2" x14ac:dyDescent="0.3">
      <c r="B1915" s="30" t="str">
        <f t="shared" si="65"/>
        <v/>
      </c>
    </row>
    <row r="1916" spans="2:2" x14ac:dyDescent="0.3">
      <c r="B1916" s="30" t="str">
        <f t="shared" si="65"/>
        <v/>
      </c>
    </row>
    <row r="1917" spans="2:2" x14ac:dyDescent="0.3">
      <c r="B1917" s="30" t="str">
        <f t="shared" si="65"/>
        <v/>
      </c>
    </row>
    <row r="1918" spans="2:2" x14ac:dyDescent="0.3">
      <c r="B1918" s="30" t="str">
        <f t="shared" si="65"/>
        <v/>
      </c>
    </row>
    <row r="1919" spans="2:2" x14ac:dyDescent="0.3">
      <c r="B1919" s="30" t="str">
        <f t="shared" si="65"/>
        <v/>
      </c>
    </row>
    <row r="1920" spans="2:2" x14ac:dyDescent="0.3">
      <c r="B1920" s="30" t="str">
        <f t="shared" si="65"/>
        <v/>
      </c>
    </row>
    <row r="1921" spans="2:2" x14ac:dyDescent="0.3">
      <c r="B1921" s="30" t="str">
        <f t="shared" si="65"/>
        <v/>
      </c>
    </row>
    <row r="1922" spans="2:2" x14ac:dyDescent="0.3">
      <c r="B1922" s="30" t="str">
        <f t="shared" si="65"/>
        <v/>
      </c>
    </row>
    <row r="1923" spans="2:2" x14ac:dyDescent="0.3">
      <c r="B1923" s="30" t="str">
        <f t="shared" si="65"/>
        <v/>
      </c>
    </row>
    <row r="1924" spans="2:2" x14ac:dyDescent="0.3">
      <c r="B1924" s="30" t="str">
        <f t="shared" si="65"/>
        <v/>
      </c>
    </row>
    <row r="1925" spans="2:2" x14ac:dyDescent="0.3">
      <c r="B1925" s="30" t="str">
        <f t="shared" si="65"/>
        <v/>
      </c>
    </row>
    <row r="1926" spans="2:2" x14ac:dyDescent="0.3">
      <c r="B1926" s="30" t="str">
        <f t="shared" si="65"/>
        <v/>
      </c>
    </row>
    <row r="1927" spans="2:2" x14ac:dyDescent="0.3">
      <c r="B1927" s="30" t="str">
        <f t="shared" si="65"/>
        <v/>
      </c>
    </row>
    <row r="1928" spans="2:2" x14ac:dyDescent="0.3">
      <c r="B1928" s="30" t="str">
        <f t="shared" si="65"/>
        <v/>
      </c>
    </row>
    <row r="1929" spans="2:2" x14ac:dyDescent="0.3">
      <c r="B1929" s="30" t="str">
        <f t="shared" si="65"/>
        <v/>
      </c>
    </row>
    <row r="1930" spans="2:2" x14ac:dyDescent="0.3">
      <c r="B1930" s="30" t="str">
        <f t="shared" si="65"/>
        <v/>
      </c>
    </row>
    <row r="1931" spans="2:2" x14ac:dyDescent="0.3">
      <c r="B1931" s="30" t="str">
        <f t="shared" si="65"/>
        <v/>
      </c>
    </row>
    <row r="1932" spans="2:2" x14ac:dyDescent="0.3">
      <c r="B1932" s="30" t="str">
        <f t="shared" si="65"/>
        <v/>
      </c>
    </row>
    <row r="1933" spans="2:2" x14ac:dyDescent="0.3">
      <c r="B1933" s="30" t="str">
        <f t="shared" si="65"/>
        <v/>
      </c>
    </row>
    <row r="1934" spans="2:2" x14ac:dyDescent="0.3">
      <c r="B1934" s="30" t="str">
        <f t="shared" si="65"/>
        <v/>
      </c>
    </row>
    <row r="1935" spans="2:2" x14ac:dyDescent="0.3">
      <c r="B1935" s="30" t="str">
        <f t="shared" si="65"/>
        <v/>
      </c>
    </row>
    <row r="1936" spans="2:2" x14ac:dyDescent="0.3">
      <c r="B1936" s="30" t="str">
        <f t="shared" si="65"/>
        <v/>
      </c>
    </row>
    <row r="1937" spans="2:2" x14ac:dyDescent="0.3">
      <c r="B1937" s="30" t="str">
        <f t="shared" si="65"/>
        <v/>
      </c>
    </row>
    <row r="1938" spans="2:2" x14ac:dyDescent="0.3">
      <c r="B1938" s="30" t="str">
        <f t="shared" si="65"/>
        <v/>
      </c>
    </row>
    <row r="1939" spans="2:2" x14ac:dyDescent="0.3">
      <c r="B1939" s="30" t="str">
        <f t="shared" si="65"/>
        <v/>
      </c>
    </row>
    <row r="1940" spans="2:2" x14ac:dyDescent="0.3">
      <c r="B1940" s="30" t="str">
        <f t="shared" si="65"/>
        <v/>
      </c>
    </row>
    <row r="1941" spans="2:2" x14ac:dyDescent="0.3">
      <c r="B1941" s="30" t="str">
        <f t="shared" si="65"/>
        <v/>
      </c>
    </row>
    <row r="1942" spans="2:2" x14ac:dyDescent="0.3">
      <c r="B1942" s="30" t="str">
        <f t="shared" si="65"/>
        <v/>
      </c>
    </row>
    <row r="1943" spans="2:2" x14ac:dyDescent="0.3">
      <c r="B1943" s="30" t="str">
        <f t="shared" si="65"/>
        <v/>
      </c>
    </row>
    <row r="1944" spans="2:2" x14ac:dyDescent="0.3">
      <c r="B1944" s="30" t="str">
        <f t="shared" si="65"/>
        <v/>
      </c>
    </row>
    <row r="1945" spans="2:2" x14ac:dyDescent="0.3">
      <c r="B1945" s="30" t="str">
        <f t="shared" si="65"/>
        <v/>
      </c>
    </row>
    <row r="1946" spans="2:2" x14ac:dyDescent="0.3">
      <c r="B1946" s="30" t="str">
        <f t="shared" si="65"/>
        <v/>
      </c>
    </row>
    <row r="1947" spans="2:2" x14ac:dyDescent="0.3">
      <c r="B1947" s="30" t="str">
        <f t="shared" si="65"/>
        <v/>
      </c>
    </row>
    <row r="1948" spans="2:2" x14ac:dyDescent="0.3">
      <c r="B1948" s="30" t="str">
        <f t="shared" si="65"/>
        <v/>
      </c>
    </row>
    <row r="1949" spans="2:2" x14ac:dyDescent="0.3">
      <c r="B1949" s="30" t="str">
        <f t="shared" si="65"/>
        <v/>
      </c>
    </row>
    <row r="1950" spans="2:2" x14ac:dyDescent="0.3">
      <c r="B1950" s="30" t="str">
        <f t="shared" si="65"/>
        <v/>
      </c>
    </row>
    <row r="1951" spans="2:2" x14ac:dyDescent="0.3">
      <c r="B1951" s="30" t="str">
        <f t="shared" si="65"/>
        <v/>
      </c>
    </row>
    <row r="1952" spans="2:2" x14ac:dyDescent="0.3">
      <c r="B1952" s="30" t="str">
        <f t="shared" si="65"/>
        <v/>
      </c>
    </row>
    <row r="1953" spans="2:2" x14ac:dyDescent="0.3">
      <c r="B1953" s="30" t="str">
        <f t="shared" si="65"/>
        <v/>
      </c>
    </row>
    <row r="1954" spans="2:2" x14ac:dyDescent="0.3">
      <c r="B1954" s="30" t="str">
        <f t="shared" si="65"/>
        <v/>
      </c>
    </row>
    <row r="1955" spans="2:2" x14ac:dyDescent="0.3">
      <c r="B1955" s="30" t="str">
        <f t="shared" si="65"/>
        <v/>
      </c>
    </row>
    <row r="1956" spans="2:2" x14ac:dyDescent="0.3">
      <c r="B1956" s="30" t="str">
        <f t="shared" si="65"/>
        <v/>
      </c>
    </row>
    <row r="1957" spans="2:2" x14ac:dyDescent="0.3">
      <c r="B1957" s="30" t="str">
        <f t="shared" si="65"/>
        <v/>
      </c>
    </row>
    <row r="1958" spans="2:2" x14ac:dyDescent="0.3">
      <c r="B1958" s="30" t="str">
        <f t="shared" si="65"/>
        <v/>
      </c>
    </row>
    <row r="1959" spans="2:2" x14ac:dyDescent="0.3">
      <c r="B1959" s="30" t="str">
        <f t="shared" si="65"/>
        <v/>
      </c>
    </row>
    <row r="1960" spans="2:2" x14ac:dyDescent="0.3">
      <c r="B1960" s="30" t="str">
        <f t="shared" ref="B1960:B2023" si="66">IF($A1960="Daily", "n/a", "")</f>
        <v/>
      </c>
    </row>
    <row r="1961" spans="2:2" x14ac:dyDescent="0.3">
      <c r="B1961" s="30" t="str">
        <f t="shared" si="66"/>
        <v/>
      </c>
    </row>
    <row r="1962" spans="2:2" x14ac:dyDescent="0.3">
      <c r="B1962" s="30" t="str">
        <f t="shared" si="66"/>
        <v/>
      </c>
    </row>
    <row r="1963" spans="2:2" x14ac:dyDescent="0.3">
      <c r="B1963" s="30" t="str">
        <f t="shared" si="66"/>
        <v/>
      </c>
    </row>
    <row r="1964" spans="2:2" x14ac:dyDescent="0.3">
      <c r="B1964" s="30" t="str">
        <f t="shared" si="66"/>
        <v/>
      </c>
    </row>
    <row r="1965" spans="2:2" x14ac:dyDescent="0.3">
      <c r="B1965" s="30" t="str">
        <f t="shared" si="66"/>
        <v/>
      </c>
    </row>
    <row r="1966" spans="2:2" x14ac:dyDescent="0.3">
      <c r="B1966" s="30" t="str">
        <f t="shared" si="66"/>
        <v/>
      </c>
    </row>
    <row r="1967" spans="2:2" x14ac:dyDescent="0.3">
      <c r="B1967" s="30" t="str">
        <f t="shared" si="66"/>
        <v/>
      </c>
    </row>
    <row r="1968" spans="2:2" x14ac:dyDescent="0.3">
      <c r="B1968" s="30" t="str">
        <f t="shared" si="66"/>
        <v/>
      </c>
    </row>
    <row r="1969" spans="2:2" x14ac:dyDescent="0.3">
      <c r="B1969" s="30" t="str">
        <f t="shared" si="66"/>
        <v/>
      </c>
    </row>
    <row r="1970" spans="2:2" x14ac:dyDescent="0.3">
      <c r="B1970" s="30" t="str">
        <f t="shared" si="66"/>
        <v/>
      </c>
    </row>
    <row r="1971" spans="2:2" x14ac:dyDescent="0.3">
      <c r="B1971" s="30" t="str">
        <f t="shared" si="66"/>
        <v/>
      </c>
    </row>
    <row r="1972" spans="2:2" x14ac:dyDescent="0.3">
      <c r="B1972" s="30" t="str">
        <f t="shared" si="66"/>
        <v/>
      </c>
    </row>
    <row r="1973" spans="2:2" x14ac:dyDescent="0.3">
      <c r="B1973" s="30" t="str">
        <f t="shared" si="66"/>
        <v/>
      </c>
    </row>
    <row r="1974" spans="2:2" x14ac:dyDescent="0.3">
      <c r="B1974" s="30" t="str">
        <f t="shared" si="66"/>
        <v/>
      </c>
    </row>
    <row r="1975" spans="2:2" x14ac:dyDescent="0.3">
      <c r="B1975" s="30" t="str">
        <f t="shared" si="66"/>
        <v/>
      </c>
    </row>
    <row r="1976" spans="2:2" x14ac:dyDescent="0.3">
      <c r="B1976" s="30" t="str">
        <f t="shared" si="66"/>
        <v/>
      </c>
    </row>
    <row r="1977" spans="2:2" x14ac:dyDescent="0.3">
      <c r="B1977" s="30" t="str">
        <f t="shared" si="66"/>
        <v/>
      </c>
    </row>
    <row r="1978" spans="2:2" x14ac:dyDescent="0.3">
      <c r="B1978" s="30" t="str">
        <f t="shared" si="66"/>
        <v/>
      </c>
    </row>
    <row r="1979" spans="2:2" x14ac:dyDescent="0.3">
      <c r="B1979" s="30" t="str">
        <f t="shared" si="66"/>
        <v/>
      </c>
    </row>
    <row r="1980" spans="2:2" x14ac:dyDescent="0.3">
      <c r="B1980" s="30" t="str">
        <f t="shared" si="66"/>
        <v/>
      </c>
    </row>
    <row r="1981" spans="2:2" x14ac:dyDescent="0.3">
      <c r="B1981" s="30" t="str">
        <f t="shared" si="66"/>
        <v/>
      </c>
    </row>
    <row r="1982" spans="2:2" x14ac:dyDescent="0.3">
      <c r="B1982" s="30" t="str">
        <f t="shared" si="66"/>
        <v/>
      </c>
    </row>
    <row r="1983" spans="2:2" x14ac:dyDescent="0.3">
      <c r="B1983" s="30" t="str">
        <f t="shared" si="66"/>
        <v/>
      </c>
    </row>
    <row r="1984" spans="2:2" x14ac:dyDescent="0.3">
      <c r="B1984" s="30" t="str">
        <f t="shared" si="66"/>
        <v/>
      </c>
    </row>
    <row r="1985" spans="2:2" x14ac:dyDescent="0.3">
      <c r="B1985" s="30" t="str">
        <f t="shared" si="66"/>
        <v/>
      </c>
    </row>
    <row r="1986" spans="2:2" x14ac:dyDescent="0.3">
      <c r="B1986" s="30" t="str">
        <f t="shared" si="66"/>
        <v/>
      </c>
    </row>
    <row r="1987" spans="2:2" x14ac:dyDescent="0.3">
      <c r="B1987" s="30" t="str">
        <f t="shared" si="66"/>
        <v/>
      </c>
    </row>
    <row r="1988" spans="2:2" x14ac:dyDescent="0.3">
      <c r="B1988" s="30" t="str">
        <f t="shared" si="66"/>
        <v/>
      </c>
    </row>
    <row r="1989" spans="2:2" x14ac:dyDescent="0.3">
      <c r="B1989" s="30" t="str">
        <f t="shared" si="66"/>
        <v/>
      </c>
    </row>
    <row r="1990" spans="2:2" x14ac:dyDescent="0.3">
      <c r="B1990" s="30" t="str">
        <f t="shared" si="66"/>
        <v/>
      </c>
    </row>
    <row r="1991" spans="2:2" x14ac:dyDescent="0.3">
      <c r="B1991" s="30" t="str">
        <f t="shared" si="66"/>
        <v/>
      </c>
    </row>
    <row r="1992" spans="2:2" x14ac:dyDescent="0.3">
      <c r="B1992" s="30" t="str">
        <f t="shared" si="66"/>
        <v/>
      </c>
    </row>
    <row r="1993" spans="2:2" x14ac:dyDescent="0.3">
      <c r="B1993" s="30" t="str">
        <f t="shared" si="66"/>
        <v/>
      </c>
    </row>
    <row r="1994" spans="2:2" x14ac:dyDescent="0.3">
      <c r="B1994" s="30" t="str">
        <f t="shared" si="66"/>
        <v/>
      </c>
    </row>
    <row r="1995" spans="2:2" x14ac:dyDescent="0.3">
      <c r="B1995" s="30" t="str">
        <f t="shared" si="66"/>
        <v/>
      </c>
    </row>
    <row r="1996" spans="2:2" x14ac:dyDescent="0.3">
      <c r="B1996" s="30" t="str">
        <f t="shared" si="66"/>
        <v/>
      </c>
    </row>
    <row r="1997" spans="2:2" x14ac:dyDescent="0.3">
      <c r="B1997" s="30" t="str">
        <f t="shared" si="66"/>
        <v/>
      </c>
    </row>
    <row r="1998" spans="2:2" x14ac:dyDescent="0.3">
      <c r="B1998" s="30" t="str">
        <f t="shared" si="66"/>
        <v/>
      </c>
    </row>
    <row r="1999" spans="2:2" x14ac:dyDescent="0.3">
      <c r="B1999" s="30" t="str">
        <f t="shared" si="66"/>
        <v/>
      </c>
    </row>
    <row r="2000" spans="2:2" x14ac:dyDescent="0.3">
      <c r="B2000" s="30" t="str">
        <f t="shared" si="66"/>
        <v/>
      </c>
    </row>
    <row r="2001" spans="2:2" x14ac:dyDescent="0.3">
      <c r="B2001" s="30" t="str">
        <f t="shared" si="66"/>
        <v/>
      </c>
    </row>
    <row r="2002" spans="2:2" x14ac:dyDescent="0.3">
      <c r="B2002" s="30" t="str">
        <f t="shared" si="66"/>
        <v/>
      </c>
    </row>
    <row r="2003" spans="2:2" x14ac:dyDescent="0.3">
      <c r="B2003" s="30" t="str">
        <f t="shared" si="66"/>
        <v/>
      </c>
    </row>
    <row r="2004" spans="2:2" x14ac:dyDescent="0.3">
      <c r="B2004" s="30" t="str">
        <f t="shared" si="66"/>
        <v/>
      </c>
    </row>
    <row r="2005" spans="2:2" x14ac:dyDescent="0.3">
      <c r="B2005" s="30" t="str">
        <f t="shared" si="66"/>
        <v/>
      </c>
    </row>
    <row r="2006" spans="2:2" x14ac:dyDescent="0.3">
      <c r="B2006" s="30" t="str">
        <f t="shared" si="66"/>
        <v/>
      </c>
    </row>
    <row r="2007" spans="2:2" x14ac:dyDescent="0.3">
      <c r="B2007" s="30" t="str">
        <f t="shared" si="66"/>
        <v/>
      </c>
    </row>
    <row r="2008" spans="2:2" x14ac:dyDescent="0.3">
      <c r="B2008" s="30" t="str">
        <f t="shared" si="66"/>
        <v/>
      </c>
    </row>
    <row r="2009" spans="2:2" x14ac:dyDescent="0.3">
      <c r="B2009" s="30" t="str">
        <f t="shared" si="66"/>
        <v/>
      </c>
    </row>
    <row r="2010" spans="2:2" x14ac:dyDescent="0.3">
      <c r="B2010" s="30" t="str">
        <f t="shared" si="66"/>
        <v/>
      </c>
    </row>
    <row r="2011" spans="2:2" x14ac:dyDescent="0.3">
      <c r="B2011" s="30" t="str">
        <f t="shared" si="66"/>
        <v/>
      </c>
    </row>
    <row r="2012" spans="2:2" x14ac:dyDescent="0.3">
      <c r="B2012" s="30" t="str">
        <f t="shared" si="66"/>
        <v/>
      </c>
    </row>
    <row r="2013" spans="2:2" x14ac:dyDescent="0.3">
      <c r="B2013" s="30" t="str">
        <f t="shared" si="66"/>
        <v/>
      </c>
    </row>
    <row r="2014" spans="2:2" x14ac:dyDescent="0.3">
      <c r="B2014" s="30" t="str">
        <f t="shared" si="66"/>
        <v/>
      </c>
    </row>
    <row r="2015" spans="2:2" x14ac:dyDescent="0.3">
      <c r="B2015" s="30" t="str">
        <f t="shared" si="66"/>
        <v/>
      </c>
    </row>
    <row r="2016" spans="2:2" x14ac:dyDescent="0.3">
      <c r="B2016" s="30" t="str">
        <f t="shared" si="66"/>
        <v/>
      </c>
    </row>
    <row r="2017" spans="2:2" x14ac:dyDescent="0.3">
      <c r="B2017" s="30" t="str">
        <f t="shared" si="66"/>
        <v/>
      </c>
    </row>
    <row r="2018" spans="2:2" x14ac:dyDescent="0.3">
      <c r="B2018" s="30" t="str">
        <f t="shared" si="66"/>
        <v/>
      </c>
    </row>
    <row r="2019" spans="2:2" x14ac:dyDescent="0.3">
      <c r="B2019" s="30" t="str">
        <f t="shared" si="66"/>
        <v/>
      </c>
    </row>
    <row r="2020" spans="2:2" x14ac:dyDescent="0.3">
      <c r="B2020" s="30" t="str">
        <f t="shared" si="66"/>
        <v/>
      </c>
    </row>
    <row r="2021" spans="2:2" x14ac:dyDescent="0.3">
      <c r="B2021" s="30" t="str">
        <f t="shared" si="66"/>
        <v/>
      </c>
    </row>
    <row r="2022" spans="2:2" x14ac:dyDescent="0.3">
      <c r="B2022" s="30" t="str">
        <f t="shared" si="66"/>
        <v/>
      </c>
    </row>
    <row r="2023" spans="2:2" x14ac:dyDescent="0.3">
      <c r="B2023" s="30" t="str">
        <f t="shared" si="66"/>
        <v/>
      </c>
    </row>
    <row r="2024" spans="2:2" x14ac:dyDescent="0.3">
      <c r="B2024" s="30" t="str">
        <f t="shared" ref="B2024:B2087" si="67">IF($A2024="Daily", "n/a", "")</f>
        <v/>
      </c>
    </row>
    <row r="2025" spans="2:2" x14ac:dyDescent="0.3">
      <c r="B2025" s="30" t="str">
        <f t="shared" si="67"/>
        <v/>
      </c>
    </row>
    <row r="2026" spans="2:2" x14ac:dyDescent="0.3">
      <c r="B2026" s="30" t="str">
        <f t="shared" si="67"/>
        <v/>
      </c>
    </row>
    <row r="2027" spans="2:2" x14ac:dyDescent="0.3">
      <c r="B2027" s="30" t="str">
        <f t="shared" si="67"/>
        <v/>
      </c>
    </row>
    <row r="2028" spans="2:2" x14ac:dyDescent="0.3">
      <c r="B2028" s="30" t="str">
        <f t="shared" si="67"/>
        <v/>
      </c>
    </row>
    <row r="2029" spans="2:2" x14ac:dyDescent="0.3">
      <c r="B2029" s="30" t="str">
        <f t="shared" si="67"/>
        <v/>
      </c>
    </row>
    <row r="2030" spans="2:2" x14ac:dyDescent="0.3">
      <c r="B2030" s="30" t="str">
        <f t="shared" si="67"/>
        <v/>
      </c>
    </row>
    <row r="2031" spans="2:2" x14ac:dyDescent="0.3">
      <c r="B2031" s="30" t="str">
        <f t="shared" si="67"/>
        <v/>
      </c>
    </row>
    <row r="2032" spans="2:2" x14ac:dyDescent="0.3">
      <c r="B2032" s="30" t="str">
        <f t="shared" si="67"/>
        <v/>
      </c>
    </row>
    <row r="2033" spans="2:2" x14ac:dyDescent="0.3">
      <c r="B2033" s="30" t="str">
        <f t="shared" si="67"/>
        <v/>
      </c>
    </row>
    <row r="2034" spans="2:2" x14ac:dyDescent="0.3">
      <c r="B2034" s="30" t="str">
        <f t="shared" si="67"/>
        <v/>
      </c>
    </row>
    <row r="2035" spans="2:2" x14ac:dyDescent="0.3">
      <c r="B2035" s="30" t="str">
        <f t="shared" si="67"/>
        <v/>
      </c>
    </row>
    <row r="2036" spans="2:2" x14ac:dyDescent="0.3">
      <c r="B2036" s="30" t="str">
        <f t="shared" si="67"/>
        <v/>
      </c>
    </row>
    <row r="2037" spans="2:2" x14ac:dyDescent="0.3">
      <c r="B2037" s="30" t="str">
        <f t="shared" si="67"/>
        <v/>
      </c>
    </row>
    <row r="2038" spans="2:2" x14ac:dyDescent="0.3">
      <c r="B2038" s="30" t="str">
        <f t="shared" si="67"/>
        <v/>
      </c>
    </row>
    <row r="2039" spans="2:2" x14ac:dyDescent="0.3">
      <c r="B2039" s="30" t="str">
        <f t="shared" si="67"/>
        <v/>
      </c>
    </row>
    <row r="2040" spans="2:2" x14ac:dyDescent="0.3">
      <c r="B2040" s="30" t="str">
        <f t="shared" si="67"/>
        <v/>
      </c>
    </row>
    <row r="2041" spans="2:2" x14ac:dyDescent="0.3">
      <c r="B2041" s="30" t="str">
        <f t="shared" si="67"/>
        <v/>
      </c>
    </row>
    <row r="2042" spans="2:2" x14ac:dyDescent="0.3">
      <c r="B2042" s="30" t="str">
        <f t="shared" si="67"/>
        <v/>
      </c>
    </row>
    <row r="2043" spans="2:2" x14ac:dyDescent="0.3">
      <c r="B2043" s="30" t="str">
        <f t="shared" si="67"/>
        <v/>
      </c>
    </row>
    <row r="2044" spans="2:2" x14ac:dyDescent="0.3">
      <c r="B2044" s="30" t="str">
        <f t="shared" si="67"/>
        <v/>
      </c>
    </row>
    <row r="2045" spans="2:2" x14ac:dyDescent="0.3">
      <c r="B2045" s="30" t="str">
        <f t="shared" si="67"/>
        <v/>
      </c>
    </row>
    <row r="2046" spans="2:2" x14ac:dyDescent="0.3">
      <c r="B2046" s="30" t="str">
        <f t="shared" si="67"/>
        <v/>
      </c>
    </row>
    <row r="2047" spans="2:2" x14ac:dyDescent="0.3">
      <c r="B2047" s="30" t="str">
        <f t="shared" si="67"/>
        <v/>
      </c>
    </row>
    <row r="2048" spans="2:2" x14ac:dyDescent="0.3">
      <c r="B2048" s="30" t="str">
        <f t="shared" si="67"/>
        <v/>
      </c>
    </row>
    <row r="2049" spans="2:2" x14ac:dyDescent="0.3">
      <c r="B2049" s="30" t="str">
        <f t="shared" si="67"/>
        <v/>
      </c>
    </row>
    <row r="2050" spans="2:2" x14ac:dyDescent="0.3">
      <c r="B2050" s="30" t="str">
        <f t="shared" si="67"/>
        <v/>
      </c>
    </row>
    <row r="2051" spans="2:2" x14ac:dyDescent="0.3">
      <c r="B2051" s="30" t="str">
        <f t="shared" si="67"/>
        <v/>
      </c>
    </row>
    <row r="2052" spans="2:2" x14ac:dyDescent="0.3">
      <c r="B2052" s="30" t="str">
        <f t="shared" si="67"/>
        <v/>
      </c>
    </row>
    <row r="2053" spans="2:2" x14ac:dyDescent="0.3">
      <c r="B2053" s="30" t="str">
        <f t="shared" si="67"/>
        <v/>
      </c>
    </row>
    <row r="2054" spans="2:2" x14ac:dyDescent="0.3">
      <c r="B2054" s="30" t="str">
        <f t="shared" si="67"/>
        <v/>
      </c>
    </row>
    <row r="2055" spans="2:2" x14ac:dyDescent="0.3">
      <c r="B2055" s="30" t="str">
        <f t="shared" si="67"/>
        <v/>
      </c>
    </row>
    <row r="2056" spans="2:2" x14ac:dyDescent="0.3">
      <c r="B2056" s="30" t="str">
        <f t="shared" si="67"/>
        <v/>
      </c>
    </row>
    <row r="2057" spans="2:2" x14ac:dyDescent="0.3">
      <c r="B2057" s="30" t="str">
        <f t="shared" si="67"/>
        <v/>
      </c>
    </row>
    <row r="2058" spans="2:2" x14ac:dyDescent="0.3">
      <c r="B2058" s="30" t="str">
        <f t="shared" si="67"/>
        <v/>
      </c>
    </row>
    <row r="2059" spans="2:2" x14ac:dyDescent="0.3">
      <c r="B2059" s="30" t="str">
        <f t="shared" si="67"/>
        <v/>
      </c>
    </row>
    <row r="2060" spans="2:2" x14ac:dyDescent="0.3">
      <c r="B2060" s="30" t="str">
        <f t="shared" si="67"/>
        <v/>
      </c>
    </row>
    <row r="2061" spans="2:2" x14ac:dyDescent="0.3">
      <c r="B2061" s="30" t="str">
        <f t="shared" si="67"/>
        <v/>
      </c>
    </row>
    <row r="2062" spans="2:2" x14ac:dyDescent="0.3">
      <c r="B2062" s="30" t="str">
        <f t="shared" si="67"/>
        <v/>
      </c>
    </row>
    <row r="2063" spans="2:2" x14ac:dyDescent="0.3">
      <c r="B2063" s="30" t="str">
        <f t="shared" si="67"/>
        <v/>
      </c>
    </row>
    <row r="2064" spans="2:2" x14ac:dyDescent="0.3">
      <c r="B2064" s="30" t="str">
        <f t="shared" si="67"/>
        <v/>
      </c>
    </row>
    <row r="2065" spans="2:2" x14ac:dyDescent="0.3">
      <c r="B2065" s="30" t="str">
        <f t="shared" si="67"/>
        <v/>
      </c>
    </row>
    <row r="2066" spans="2:2" x14ac:dyDescent="0.3">
      <c r="B2066" s="30" t="str">
        <f t="shared" si="67"/>
        <v/>
      </c>
    </row>
    <row r="2067" spans="2:2" x14ac:dyDescent="0.3">
      <c r="B2067" s="30" t="str">
        <f t="shared" si="67"/>
        <v/>
      </c>
    </row>
    <row r="2068" spans="2:2" x14ac:dyDescent="0.3">
      <c r="B2068" s="30" t="str">
        <f t="shared" si="67"/>
        <v/>
      </c>
    </row>
    <row r="2069" spans="2:2" x14ac:dyDescent="0.3">
      <c r="B2069" s="30" t="str">
        <f t="shared" si="67"/>
        <v/>
      </c>
    </row>
    <row r="2070" spans="2:2" x14ac:dyDescent="0.3">
      <c r="B2070" s="30" t="str">
        <f t="shared" si="67"/>
        <v/>
      </c>
    </row>
    <row r="2071" spans="2:2" x14ac:dyDescent="0.3">
      <c r="B2071" s="30" t="str">
        <f t="shared" si="67"/>
        <v/>
      </c>
    </row>
    <row r="2072" spans="2:2" x14ac:dyDescent="0.3">
      <c r="B2072" s="30" t="str">
        <f t="shared" si="67"/>
        <v/>
      </c>
    </row>
    <row r="2073" spans="2:2" x14ac:dyDescent="0.3">
      <c r="B2073" s="30" t="str">
        <f t="shared" si="67"/>
        <v/>
      </c>
    </row>
    <row r="2074" spans="2:2" x14ac:dyDescent="0.3">
      <c r="B2074" s="30" t="str">
        <f t="shared" si="67"/>
        <v/>
      </c>
    </row>
    <row r="2075" spans="2:2" x14ac:dyDescent="0.3">
      <c r="B2075" s="30" t="str">
        <f t="shared" si="67"/>
        <v/>
      </c>
    </row>
    <row r="2076" spans="2:2" x14ac:dyDescent="0.3">
      <c r="B2076" s="30" t="str">
        <f t="shared" si="67"/>
        <v/>
      </c>
    </row>
    <row r="2077" spans="2:2" x14ac:dyDescent="0.3">
      <c r="B2077" s="30" t="str">
        <f t="shared" si="67"/>
        <v/>
      </c>
    </row>
    <row r="2078" spans="2:2" x14ac:dyDescent="0.3">
      <c r="B2078" s="30" t="str">
        <f t="shared" si="67"/>
        <v/>
      </c>
    </row>
    <row r="2079" spans="2:2" x14ac:dyDescent="0.3">
      <c r="B2079" s="30" t="str">
        <f t="shared" si="67"/>
        <v/>
      </c>
    </row>
    <row r="2080" spans="2:2" x14ac:dyDescent="0.3">
      <c r="B2080" s="30" t="str">
        <f t="shared" si="67"/>
        <v/>
      </c>
    </row>
    <row r="2081" spans="2:2" x14ac:dyDescent="0.3">
      <c r="B2081" s="30" t="str">
        <f t="shared" si="67"/>
        <v/>
      </c>
    </row>
    <row r="2082" spans="2:2" x14ac:dyDescent="0.3">
      <c r="B2082" s="30" t="str">
        <f t="shared" si="67"/>
        <v/>
      </c>
    </row>
    <row r="2083" spans="2:2" x14ac:dyDescent="0.3">
      <c r="B2083" s="30" t="str">
        <f t="shared" si="67"/>
        <v/>
      </c>
    </row>
    <row r="2084" spans="2:2" x14ac:dyDescent="0.3">
      <c r="B2084" s="30" t="str">
        <f t="shared" si="67"/>
        <v/>
      </c>
    </row>
    <row r="2085" spans="2:2" x14ac:dyDescent="0.3">
      <c r="B2085" s="30" t="str">
        <f t="shared" si="67"/>
        <v/>
      </c>
    </row>
    <row r="2086" spans="2:2" x14ac:dyDescent="0.3">
      <c r="B2086" s="30" t="str">
        <f t="shared" si="67"/>
        <v/>
      </c>
    </row>
    <row r="2087" spans="2:2" x14ac:dyDescent="0.3">
      <c r="B2087" s="30" t="str">
        <f t="shared" si="67"/>
        <v/>
      </c>
    </row>
    <row r="2088" spans="2:2" x14ac:dyDescent="0.3">
      <c r="B2088" s="30" t="str">
        <f t="shared" ref="B2088:B2151" si="68">IF($A2088="Daily", "n/a", "")</f>
        <v/>
      </c>
    </row>
    <row r="2089" spans="2:2" x14ac:dyDescent="0.3">
      <c r="B2089" s="30" t="str">
        <f t="shared" si="68"/>
        <v/>
      </c>
    </row>
    <row r="2090" spans="2:2" x14ac:dyDescent="0.3">
      <c r="B2090" s="30" t="str">
        <f t="shared" si="68"/>
        <v/>
      </c>
    </row>
    <row r="2091" spans="2:2" x14ac:dyDescent="0.3">
      <c r="B2091" s="30" t="str">
        <f t="shared" si="68"/>
        <v/>
      </c>
    </row>
    <row r="2092" spans="2:2" x14ac:dyDescent="0.3">
      <c r="B2092" s="30" t="str">
        <f t="shared" si="68"/>
        <v/>
      </c>
    </row>
    <row r="2093" spans="2:2" x14ac:dyDescent="0.3">
      <c r="B2093" s="30" t="str">
        <f t="shared" si="68"/>
        <v/>
      </c>
    </row>
    <row r="2094" spans="2:2" x14ac:dyDescent="0.3">
      <c r="B2094" s="30" t="str">
        <f t="shared" si="68"/>
        <v/>
      </c>
    </row>
    <row r="2095" spans="2:2" x14ac:dyDescent="0.3">
      <c r="B2095" s="30" t="str">
        <f t="shared" si="68"/>
        <v/>
      </c>
    </row>
    <row r="2096" spans="2:2" x14ac:dyDescent="0.3">
      <c r="B2096" s="30" t="str">
        <f t="shared" si="68"/>
        <v/>
      </c>
    </row>
    <row r="2097" spans="2:2" x14ac:dyDescent="0.3">
      <c r="B2097" s="30" t="str">
        <f t="shared" si="68"/>
        <v/>
      </c>
    </row>
    <row r="2098" spans="2:2" x14ac:dyDescent="0.3">
      <c r="B2098" s="30" t="str">
        <f t="shared" si="68"/>
        <v/>
      </c>
    </row>
    <row r="2099" spans="2:2" x14ac:dyDescent="0.3">
      <c r="B2099" s="30" t="str">
        <f t="shared" si="68"/>
        <v/>
      </c>
    </row>
    <row r="2100" spans="2:2" x14ac:dyDescent="0.3">
      <c r="B2100" s="30" t="str">
        <f t="shared" si="68"/>
        <v/>
      </c>
    </row>
    <row r="2101" spans="2:2" x14ac:dyDescent="0.3">
      <c r="B2101" s="30" t="str">
        <f t="shared" si="68"/>
        <v/>
      </c>
    </row>
    <row r="2102" spans="2:2" x14ac:dyDescent="0.3">
      <c r="B2102" s="30" t="str">
        <f t="shared" si="68"/>
        <v/>
      </c>
    </row>
    <row r="2103" spans="2:2" x14ac:dyDescent="0.3">
      <c r="B2103" s="30" t="str">
        <f t="shared" si="68"/>
        <v/>
      </c>
    </row>
    <row r="2104" spans="2:2" x14ac:dyDescent="0.3">
      <c r="B2104" s="30" t="str">
        <f t="shared" si="68"/>
        <v/>
      </c>
    </row>
    <row r="2105" spans="2:2" x14ac:dyDescent="0.3">
      <c r="B2105" s="30" t="str">
        <f t="shared" si="68"/>
        <v/>
      </c>
    </row>
    <row r="2106" spans="2:2" x14ac:dyDescent="0.3">
      <c r="B2106" s="30" t="str">
        <f t="shared" si="68"/>
        <v/>
      </c>
    </row>
    <row r="2107" spans="2:2" x14ac:dyDescent="0.3">
      <c r="B2107" s="30" t="str">
        <f t="shared" si="68"/>
        <v/>
      </c>
    </row>
    <row r="2108" spans="2:2" x14ac:dyDescent="0.3">
      <c r="B2108" s="30" t="str">
        <f t="shared" si="68"/>
        <v/>
      </c>
    </row>
    <row r="2109" spans="2:2" x14ac:dyDescent="0.3">
      <c r="B2109" s="30" t="str">
        <f t="shared" si="68"/>
        <v/>
      </c>
    </row>
    <row r="2110" spans="2:2" x14ac:dyDescent="0.3">
      <c r="B2110" s="30" t="str">
        <f t="shared" si="68"/>
        <v/>
      </c>
    </row>
    <row r="2111" spans="2:2" x14ac:dyDescent="0.3">
      <c r="B2111" s="30" t="str">
        <f t="shared" si="68"/>
        <v/>
      </c>
    </row>
    <row r="2112" spans="2:2" x14ac:dyDescent="0.3">
      <c r="B2112" s="30" t="str">
        <f t="shared" si="68"/>
        <v/>
      </c>
    </row>
    <row r="2113" spans="2:2" x14ac:dyDescent="0.3">
      <c r="B2113" s="30" t="str">
        <f t="shared" si="68"/>
        <v/>
      </c>
    </row>
    <row r="2114" spans="2:2" x14ac:dyDescent="0.3">
      <c r="B2114" s="30" t="str">
        <f t="shared" si="68"/>
        <v/>
      </c>
    </row>
    <row r="2115" spans="2:2" x14ac:dyDescent="0.3">
      <c r="B2115" s="30" t="str">
        <f t="shared" si="68"/>
        <v/>
      </c>
    </row>
    <row r="2116" spans="2:2" x14ac:dyDescent="0.3">
      <c r="B2116" s="30" t="str">
        <f t="shared" si="68"/>
        <v/>
      </c>
    </row>
    <row r="2117" spans="2:2" x14ac:dyDescent="0.3">
      <c r="B2117" s="30" t="str">
        <f t="shared" si="68"/>
        <v/>
      </c>
    </row>
    <row r="2118" spans="2:2" x14ac:dyDescent="0.3">
      <c r="B2118" s="30" t="str">
        <f t="shared" si="68"/>
        <v/>
      </c>
    </row>
    <row r="2119" spans="2:2" x14ac:dyDescent="0.3">
      <c r="B2119" s="30" t="str">
        <f t="shared" si="68"/>
        <v/>
      </c>
    </row>
    <row r="2120" spans="2:2" x14ac:dyDescent="0.3">
      <c r="B2120" s="30" t="str">
        <f t="shared" si="68"/>
        <v/>
      </c>
    </row>
    <row r="2121" spans="2:2" x14ac:dyDescent="0.3">
      <c r="B2121" s="30" t="str">
        <f t="shared" si="68"/>
        <v/>
      </c>
    </row>
    <row r="2122" spans="2:2" x14ac:dyDescent="0.3">
      <c r="B2122" s="30" t="str">
        <f t="shared" si="68"/>
        <v/>
      </c>
    </row>
    <row r="2123" spans="2:2" x14ac:dyDescent="0.3">
      <c r="B2123" s="30" t="str">
        <f t="shared" si="68"/>
        <v/>
      </c>
    </row>
    <row r="2124" spans="2:2" x14ac:dyDescent="0.3">
      <c r="B2124" s="30" t="str">
        <f t="shared" si="68"/>
        <v/>
      </c>
    </row>
    <row r="2125" spans="2:2" x14ac:dyDescent="0.3">
      <c r="B2125" s="30" t="str">
        <f t="shared" si="68"/>
        <v/>
      </c>
    </row>
    <row r="2126" spans="2:2" x14ac:dyDescent="0.3">
      <c r="B2126" s="30" t="str">
        <f t="shared" si="68"/>
        <v/>
      </c>
    </row>
    <row r="2127" spans="2:2" x14ac:dyDescent="0.3">
      <c r="B2127" s="30" t="str">
        <f t="shared" si="68"/>
        <v/>
      </c>
    </row>
    <row r="2128" spans="2:2" x14ac:dyDescent="0.3">
      <c r="B2128" s="30" t="str">
        <f t="shared" si="68"/>
        <v/>
      </c>
    </row>
    <row r="2129" spans="2:2" x14ac:dyDescent="0.3">
      <c r="B2129" s="30" t="str">
        <f t="shared" si="68"/>
        <v/>
      </c>
    </row>
    <row r="2130" spans="2:2" x14ac:dyDescent="0.3">
      <c r="B2130" s="30" t="str">
        <f t="shared" si="68"/>
        <v/>
      </c>
    </row>
    <row r="2131" spans="2:2" x14ac:dyDescent="0.3">
      <c r="B2131" s="30" t="str">
        <f t="shared" si="68"/>
        <v/>
      </c>
    </row>
    <row r="2132" spans="2:2" x14ac:dyDescent="0.3">
      <c r="B2132" s="30" t="str">
        <f t="shared" si="68"/>
        <v/>
      </c>
    </row>
    <row r="2133" spans="2:2" x14ac:dyDescent="0.3">
      <c r="B2133" s="30" t="str">
        <f t="shared" si="68"/>
        <v/>
      </c>
    </row>
    <row r="2134" spans="2:2" x14ac:dyDescent="0.3">
      <c r="B2134" s="30" t="str">
        <f t="shared" si="68"/>
        <v/>
      </c>
    </row>
    <row r="2135" spans="2:2" x14ac:dyDescent="0.3">
      <c r="B2135" s="30" t="str">
        <f t="shared" si="68"/>
        <v/>
      </c>
    </row>
    <row r="2136" spans="2:2" x14ac:dyDescent="0.3">
      <c r="B2136" s="30" t="str">
        <f t="shared" si="68"/>
        <v/>
      </c>
    </row>
    <row r="2137" spans="2:2" x14ac:dyDescent="0.3">
      <c r="B2137" s="30" t="str">
        <f t="shared" si="68"/>
        <v/>
      </c>
    </row>
    <row r="2138" spans="2:2" x14ac:dyDescent="0.3">
      <c r="B2138" s="30" t="str">
        <f t="shared" si="68"/>
        <v/>
      </c>
    </row>
    <row r="2139" spans="2:2" x14ac:dyDescent="0.3">
      <c r="B2139" s="30" t="str">
        <f t="shared" si="68"/>
        <v/>
      </c>
    </row>
    <row r="2140" spans="2:2" x14ac:dyDescent="0.3">
      <c r="B2140" s="30" t="str">
        <f t="shared" si="68"/>
        <v/>
      </c>
    </row>
    <row r="2141" spans="2:2" x14ac:dyDescent="0.3">
      <c r="B2141" s="30" t="str">
        <f t="shared" si="68"/>
        <v/>
      </c>
    </row>
    <row r="2142" spans="2:2" x14ac:dyDescent="0.3">
      <c r="B2142" s="30" t="str">
        <f t="shared" si="68"/>
        <v/>
      </c>
    </row>
    <row r="2143" spans="2:2" x14ac:dyDescent="0.3">
      <c r="B2143" s="30" t="str">
        <f t="shared" si="68"/>
        <v/>
      </c>
    </row>
    <row r="2144" spans="2:2" x14ac:dyDescent="0.3">
      <c r="B2144" s="30" t="str">
        <f t="shared" si="68"/>
        <v/>
      </c>
    </row>
    <row r="2145" spans="2:2" x14ac:dyDescent="0.3">
      <c r="B2145" s="30" t="str">
        <f t="shared" si="68"/>
        <v/>
      </c>
    </row>
    <row r="2146" spans="2:2" x14ac:dyDescent="0.3">
      <c r="B2146" s="30" t="str">
        <f t="shared" si="68"/>
        <v/>
      </c>
    </row>
    <row r="2147" spans="2:2" x14ac:dyDescent="0.3">
      <c r="B2147" s="30" t="str">
        <f t="shared" si="68"/>
        <v/>
      </c>
    </row>
    <row r="2148" spans="2:2" x14ac:dyDescent="0.3">
      <c r="B2148" s="30" t="str">
        <f t="shared" si="68"/>
        <v/>
      </c>
    </row>
    <row r="2149" spans="2:2" x14ac:dyDescent="0.3">
      <c r="B2149" s="30" t="str">
        <f t="shared" si="68"/>
        <v/>
      </c>
    </row>
    <row r="2150" spans="2:2" x14ac:dyDescent="0.3">
      <c r="B2150" s="30" t="str">
        <f t="shared" si="68"/>
        <v/>
      </c>
    </row>
    <row r="2151" spans="2:2" x14ac:dyDescent="0.3">
      <c r="B2151" s="30" t="str">
        <f t="shared" si="68"/>
        <v/>
      </c>
    </row>
    <row r="2152" spans="2:2" x14ac:dyDescent="0.3">
      <c r="B2152" s="30" t="str">
        <f t="shared" ref="B2152:B2215" si="69">IF($A2152="Daily", "n/a", "")</f>
        <v/>
      </c>
    </row>
    <row r="2153" spans="2:2" x14ac:dyDescent="0.3">
      <c r="B2153" s="30" t="str">
        <f t="shared" si="69"/>
        <v/>
      </c>
    </row>
    <row r="2154" spans="2:2" x14ac:dyDescent="0.3">
      <c r="B2154" s="30" t="str">
        <f t="shared" si="69"/>
        <v/>
      </c>
    </row>
    <row r="2155" spans="2:2" x14ac:dyDescent="0.3">
      <c r="B2155" s="30" t="str">
        <f t="shared" si="69"/>
        <v/>
      </c>
    </row>
    <row r="2156" spans="2:2" x14ac:dyDescent="0.3">
      <c r="B2156" s="30" t="str">
        <f t="shared" si="69"/>
        <v/>
      </c>
    </row>
    <row r="2157" spans="2:2" x14ac:dyDescent="0.3">
      <c r="B2157" s="30" t="str">
        <f t="shared" si="69"/>
        <v/>
      </c>
    </row>
    <row r="2158" spans="2:2" x14ac:dyDescent="0.3">
      <c r="B2158" s="30" t="str">
        <f t="shared" si="69"/>
        <v/>
      </c>
    </row>
    <row r="2159" spans="2:2" x14ac:dyDescent="0.3">
      <c r="B2159" s="30" t="str">
        <f t="shared" si="69"/>
        <v/>
      </c>
    </row>
    <row r="2160" spans="2:2" x14ac:dyDescent="0.3">
      <c r="B2160" s="30" t="str">
        <f t="shared" si="69"/>
        <v/>
      </c>
    </row>
    <row r="2161" spans="2:2" x14ac:dyDescent="0.3">
      <c r="B2161" s="30" t="str">
        <f t="shared" si="69"/>
        <v/>
      </c>
    </row>
    <row r="2162" spans="2:2" x14ac:dyDescent="0.3">
      <c r="B2162" s="30" t="str">
        <f t="shared" si="69"/>
        <v/>
      </c>
    </row>
    <row r="2163" spans="2:2" x14ac:dyDescent="0.3">
      <c r="B2163" s="30" t="str">
        <f t="shared" si="69"/>
        <v/>
      </c>
    </row>
    <row r="2164" spans="2:2" x14ac:dyDescent="0.3">
      <c r="B2164" s="30" t="str">
        <f t="shared" si="69"/>
        <v/>
      </c>
    </row>
    <row r="2165" spans="2:2" x14ac:dyDescent="0.3">
      <c r="B2165" s="30" t="str">
        <f t="shared" si="69"/>
        <v/>
      </c>
    </row>
    <row r="2166" spans="2:2" x14ac:dyDescent="0.3">
      <c r="B2166" s="30" t="str">
        <f t="shared" si="69"/>
        <v/>
      </c>
    </row>
    <row r="2167" spans="2:2" x14ac:dyDescent="0.3">
      <c r="B2167" s="30" t="str">
        <f t="shared" si="69"/>
        <v/>
      </c>
    </row>
    <row r="2168" spans="2:2" x14ac:dyDescent="0.3">
      <c r="B2168" s="30" t="str">
        <f t="shared" si="69"/>
        <v/>
      </c>
    </row>
    <row r="2169" spans="2:2" x14ac:dyDescent="0.3">
      <c r="B2169" s="30" t="str">
        <f t="shared" si="69"/>
        <v/>
      </c>
    </row>
    <row r="2170" spans="2:2" x14ac:dyDescent="0.3">
      <c r="B2170" s="30" t="str">
        <f t="shared" si="69"/>
        <v/>
      </c>
    </row>
    <row r="2171" spans="2:2" x14ac:dyDescent="0.3">
      <c r="B2171" s="30" t="str">
        <f t="shared" si="69"/>
        <v/>
      </c>
    </row>
    <row r="2172" spans="2:2" x14ac:dyDescent="0.3">
      <c r="B2172" s="30" t="str">
        <f t="shared" si="69"/>
        <v/>
      </c>
    </row>
    <row r="2173" spans="2:2" x14ac:dyDescent="0.3">
      <c r="B2173" s="30" t="str">
        <f t="shared" si="69"/>
        <v/>
      </c>
    </row>
    <row r="2174" spans="2:2" x14ac:dyDescent="0.3">
      <c r="B2174" s="30" t="str">
        <f t="shared" si="69"/>
        <v/>
      </c>
    </row>
    <row r="2175" spans="2:2" x14ac:dyDescent="0.3">
      <c r="B2175" s="30" t="str">
        <f t="shared" si="69"/>
        <v/>
      </c>
    </row>
    <row r="2176" spans="2:2" x14ac:dyDescent="0.3">
      <c r="B2176" s="30" t="str">
        <f t="shared" si="69"/>
        <v/>
      </c>
    </row>
    <row r="2177" spans="2:2" x14ac:dyDescent="0.3">
      <c r="B2177" s="30" t="str">
        <f t="shared" si="69"/>
        <v/>
      </c>
    </row>
    <row r="2178" spans="2:2" x14ac:dyDescent="0.3">
      <c r="B2178" s="30" t="str">
        <f t="shared" si="69"/>
        <v/>
      </c>
    </row>
    <row r="2179" spans="2:2" x14ac:dyDescent="0.3">
      <c r="B2179" s="30" t="str">
        <f t="shared" si="69"/>
        <v/>
      </c>
    </row>
    <row r="2180" spans="2:2" x14ac:dyDescent="0.3">
      <c r="B2180" s="30" t="str">
        <f t="shared" si="69"/>
        <v/>
      </c>
    </row>
    <row r="2181" spans="2:2" x14ac:dyDescent="0.3">
      <c r="B2181" s="30" t="str">
        <f t="shared" si="69"/>
        <v/>
      </c>
    </row>
    <row r="2182" spans="2:2" x14ac:dyDescent="0.3">
      <c r="B2182" s="30" t="str">
        <f t="shared" si="69"/>
        <v/>
      </c>
    </row>
    <row r="2183" spans="2:2" x14ac:dyDescent="0.3">
      <c r="B2183" s="30" t="str">
        <f t="shared" si="69"/>
        <v/>
      </c>
    </row>
    <row r="2184" spans="2:2" x14ac:dyDescent="0.3">
      <c r="B2184" s="30" t="str">
        <f t="shared" si="69"/>
        <v/>
      </c>
    </row>
    <row r="2185" spans="2:2" x14ac:dyDescent="0.3">
      <c r="B2185" s="30" t="str">
        <f t="shared" si="69"/>
        <v/>
      </c>
    </row>
    <row r="2186" spans="2:2" x14ac:dyDescent="0.3">
      <c r="B2186" s="30" t="str">
        <f t="shared" si="69"/>
        <v/>
      </c>
    </row>
    <row r="2187" spans="2:2" x14ac:dyDescent="0.3">
      <c r="B2187" s="30" t="str">
        <f t="shared" si="69"/>
        <v/>
      </c>
    </row>
    <row r="2188" spans="2:2" x14ac:dyDescent="0.3">
      <c r="B2188" s="30" t="str">
        <f t="shared" si="69"/>
        <v/>
      </c>
    </row>
    <row r="2189" spans="2:2" x14ac:dyDescent="0.3">
      <c r="B2189" s="30" t="str">
        <f t="shared" si="69"/>
        <v/>
      </c>
    </row>
    <row r="2190" spans="2:2" x14ac:dyDescent="0.3">
      <c r="B2190" s="30" t="str">
        <f t="shared" si="69"/>
        <v/>
      </c>
    </row>
    <row r="2191" spans="2:2" x14ac:dyDescent="0.3">
      <c r="B2191" s="30" t="str">
        <f t="shared" si="69"/>
        <v/>
      </c>
    </row>
    <row r="2192" spans="2:2" x14ac:dyDescent="0.3">
      <c r="B2192" s="30" t="str">
        <f t="shared" si="69"/>
        <v/>
      </c>
    </row>
    <row r="2193" spans="2:2" x14ac:dyDescent="0.3">
      <c r="B2193" s="30" t="str">
        <f t="shared" si="69"/>
        <v/>
      </c>
    </row>
    <row r="2194" spans="2:2" x14ac:dyDescent="0.3">
      <c r="B2194" s="30" t="str">
        <f t="shared" si="69"/>
        <v/>
      </c>
    </row>
    <row r="2195" spans="2:2" x14ac:dyDescent="0.3">
      <c r="B2195" s="30" t="str">
        <f t="shared" si="69"/>
        <v/>
      </c>
    </row>
    <row r="2196" spans="2:2" x14ac:dyDescent="0.3">
      <c r="B2196" s="30" t="str">
        <f t="shared" si="69"/>
        <v/>
      </c>
    </row>
    <row r="2197" spans="2:2" x14ac:dyDescent="0.3">
      <c r="B2197" s="30" t="str">
        <f t="shared" si="69"/>
        <v/>
      </c>
    </row>
    <row r="2198" spans="2:2" x14ac:dyDescent="0.3">
      <c r="B2198" s="30" t="str">
        <f t="shared" si="69"/>
        <v/>
      </c>
    </row>
    <row r="2199" spans="2:2" x14ac:dyDescent="0.3">
      <c r="B2199" s="30" t="str">
        <f t="shared" si="69"/>
        <v/>
      </c>
    </row>
    <row r="2200" spans="2:2" x14ac:dyDescent="0.3">
      <c r="B2200" s="30" t="str">
        <f t="shared" si="69"/>
        <v/>
      </c>
    </row>
    <row r="2201" spans="2:2" x14ac:dyDescent="0.3">
      <c r="B2201" s="30" t="str">
        <f t="shared" si="69"/>
        <v/>
      </c>
    </row>
    <row r="2202" spans="2:2" x14ac:dyDescent="0.3">
      <c r="B2202" s="30" t="str">
        <f t="shared" si="69"/>
        <v/>
      </c>
    </row>
    <row r="2203" spans="2:2" x14ac:dyDescent="0.3">
      <c r="B2203" s="30" t="str">
        <f t="shared" si="69"/>
        <v/>
      </c>
    </row>
    <row r="2204" spans="2:2" x14ac:dyDescent="0.3">
      <c r="B2204" s="30" t="str">
        <f t="shared" si="69"/>
        <v/>
      </c>
    </row>
    <row r="2205" spans="2:2" x14ac:dyDescent="0.3">
      <c r="B2205" s="30" t="str">
        <f t="shared" si="69"/>
        <v/>
      </c>
    </row>
    <row r="2206" spans="2:2" x14ac:dyDescent="0.3">
      <c r="B2206" s="30" t="str">
        <f t="shared" si="69"/>
        <v/>
      </c>
    </row>
    <row r="2207" spans="2:2" x14ac:dyDescent="0.3">
      <c r="B2207" s="30" t="str">
        <f t="shared" si="69"/>
        <v/>
      </c>
    </row>
    <row r="2208" spans="2:2" x14ac:dyDescent="0.3">
      <c r="B2208" s="30" t="str">
        <f t="shared" si="69"/>
        <v/>
      </c>
    </row>
    <row r="2209" spans="2:2" x14ac:dyDescent="0.3">
      <c r="B2209" s="30" t="str">
        <f t="shared" si="69"/>
        <v/>
      </c>
    </row>
    <row r="2210" spans="2:2" x14ac:dyDescent="0.3">
      <c r="B2210" s="30" t="str">
        <f t="shared" si="69"/>
        <v/>
      </c>
    </row>
    <row r="2211" spans="2:2" x14ac:dyDescent="0.3">
      <c r="B2211" s="30" t="str">
        <f t="shared" si="69"/>
        <v/>
      </c>
    </row>
    <row r="2212" spans="2:2" x14ac:dyDescent="0.3">
      <c r="B2212" s="30" t="str">
        <f t="shared" si="69"/>
        <v/>
      </c>
    </row>
    <row r="2213" spans="2:2" x14ac:dyDescent="0.3">
      <c r="B2213" s="30" t="str">
        <f t="shared" si="69"/>
        <v/>
      </c>
    </row>
    <row r="2214" spans="2:2" x14ac:dyDescent="0.3">
      <c r="B2214" s="30" t="str">
        <f t="shared" si="69"/>
        <v/>
      </c>
    </row>
    <row r="2215" spans="2:2" x14ac:dyDescent="0.3">
      <c r="B2215" s="30" t="str">
        <f t="shared" si="69"/>
        <v/>
      </c>
    </row>
    <row r="2216" spans="2:2" x14ac:dyDescent="0.3">
      <c r="B2216" s="30" t="str">
        <f t="shared" ref="B2216:B2279" si="70">IF($A2216="Daily", "n/a", "")</f>
        <v/>
      </c>
    </row>
    <row r="2217" spans="2:2" x14ac:dyDescent="0.3">
      <c r="B2217" s="30" t="str">
        <f t="shared" si="70"/>
        <v/>
      </c>
    </row>
    <row r="2218" spans="2:2" x14ac:dyDescent="0.3">
      <c r="B2218" s="30" t="str">
        <f t="shared" si="70"/>
        <v/>
      </c>
    </row>
    <row r="2219" spans="2:2" x14ac:dyDescent="0.3">
      <c r="B2219" s="30" t="str">
        <f t="shared" si="70"/>
        <v/>
      </c>
    </row>
    <row r="2220" spans="2:2" x14ac:dyDescent="0.3">
      <c r="B2220" s="30" t="str">
        <f t="shared" si="70"/>
        <v/>
      </c>
    </row>
    <row r="2221" spans="2:2" x14ac:dyDescent="0.3">
      <c r="B2221" s="30" t="str">
        <f t="shared" si="70"/>
        <v/>
      </c>
    </row>
    <row r="2222" spans="2:2" x14ac:dyDescent="0.3">
      <c r="B2222" s="30" t="str">
        <f t="shared" si="70"/>
        <v/>
      </c>
    </row>
    <row r="2223" spans="2:2" x14ac:dyDescent="0.3">
      <c r="B2223" s="30" t="str">
        <f t="shared" si="70"/>
        <v/>
      </c>
    </row>
    <row r="2224" spans="2:2" x14ac:dyDescent="0.3">
      <c r="B2224" s="30" t="str">
        <f t="shared" si="70"/>
        <v/>
      </c>
    </row>
    <row r="2225" spans="2:2" x14ac:dyDescent="0.3">
      <c r="B2225" s="30" t="str">
        <f t="shared" si="70"/>
        <v/>
      </c>
    </row>
    <row r="2226" spans="2:2" x14ac:dyDescent="0.3">
      <c r="B2226" s="30" t="str">
        <f t="shared" si="70"/>
        <v/>
      </c>
    </row>
    <row r="2227" spans="2:2" x14ac:dyDescent="0.3">
      <c r="B2227" s="30" t="str">
        <f t="shared" si="70"/>
        <v/>
      </c>
    </row>
    <row r="2228" spans="2:2" x14ac:dyDescent="0.3">
      <c r="B2228" s="30" t="str">
        <f t="shared" si="70"/>
        <v/>
      </c>
    </row>
    <row r="2229" spans="2:2" x14ac:dyDescent="0.3">
      <c r="B2229" s="30" t="str">
        <f t="shared" si="70"/>
        <v/>
      </c>
    </row>
    <row r="2230" spans="2:2" x14ac:dyDescent="0.3">
      <c r="B2230" s="30" t="str">
        <f t="shared" si="70"/>
        <v/>
      </c>
    </row>
    <row r="2231" spans="2:2" x14ac:dyDescent="0.3">
      <c r="B2231" s="30" t="str">
        <f t="shared" si="70"/>
        <v/>
      </c>
    </row>
    <row r="2232" spans="2:2" x14ac:dyDescent="0.3">
      <c r="B2232" s="30" t="str">
        <f t="shared" si="70"/>
        <v/>
      </c>
    </row>
    <row r="2233" spans="2:2" x14ac:dyDescent="0.3">
      <c r="B2233" s="30" t="str">
        <f t="shared" si="70"/>
        <v/>
      </c>
    </row>
    <row r="2234" spans="2:2" x14ac:dyDescent="0.3">
      <c r="B2234" s="30" t="str">
        <f t="shared" si="70"/>
        <v/>
      </c>
    </row>
    <row r="2235" spans="2:2" x14ac:dyDescent="0.3">
      <c r="B2235" s="30" t="str">
        <f t="shared" si="70"/>
        <v/>
      </c>
    </row>
    <row r="2236" spans="2:2" x14ac:dyDescent="0.3">
      <c r="B2236" s="30" t="str">
        <f t="shared" si="70"/>
        <v/>
      </c>
    </row>
    <row r="2237" spans="2:2" x14ac:dyDescent="0.3">
      <c r="B2237" s="30" t="str">
        <f t="shared" si="70"/>
        <v/>
      </c>
    </row>
    <row r="2238" spans="2:2" x14ac:dyDescent="0.3">
      <c r="B2238" s="30" t="str">
        <f t="shared" si="70"/>
        <v/>
      </c>
    </row>
    <row r="2239" spans="2:2" x14ac:dyDescent="0.3">
      <c r="B2239" s="30" t="str">
        <f t="shared" si="70"/>
        <v/>
      </c>
    </row>
    <row r="2240" spans="2:2" x14ac:dyDescent="0.3">
      <c r="B2240" s="30" t="str">
        <f t="shared" si="70"/>
        <v/>
      </c>
    </row>
    <row r="2241" spans="2:2" x14ac:dyDescent="0.3">
      <c r="B2241" s="30" t="str">
        <f t="shared" si="70"/>
        <v/>
      </c>
    </row>
    <row r="2242" spans="2:2" x14ac:dyDescent="0.3">
      <c r="B2242" s="30" t="str">
        <f t="shared" si="70"/>
        <v/>
      </c>
    </row>
    <row r="2243" spans="2:2" x14ac:dyDescent="0.3">
      <c r="B2243" s="30" t="str">
        <f t="shared" si="70"/>
        <v/>
      </c>
    </row>
    <row r="2244" spans="2:2" x14ac:dyDescent="0.3">
      <c r="B2244" s="30" t="str">
        <f t="shared" si="70"/>
        <v/>
      </c>
    </row>
    <row r="2245" spans="2:2" x14ac:dyDescent="0.3">
      <c r="B2245" s="30" t="str">
        <f t="shared" si="70"/>
        <v/>
      </c>
    </row>
    <row r="2246" spans="2:2" x14ac:dyDescent="0.3">
      <c r="B2246" s="30" t="str">
        <f t="shared" si="70"/>
        <v/>
      </c>
    </row>
    <row r="2247" spans="2:2" x14ac:dyDescent="0.3">
      <c r="B2247" s="30" t="str">
        <f t="shared" si="70"/>
        <v/>
      </c>
    </row>
    <row r="2248" spans="2:2" x14ac:dyDescent="0.3">
      <c r="B2248" s="30" t="str">
        <f t="shared" si="70"/>
        <v/>
      </c>
    </row>
    <row r="2249" spans="2:2" x14ac:dyDescent="0.3">
      <c r="B2249" s="30" t="str">
        <f t="shared" si="70"/>
        <v/>
      </c>
    </row>
    <row r="2250" spans="2:2" x14ac:dyDescent="0.3">
      <c r="B2250" s="30" t="str">
        <f t="shared" si="70"/>
        <v/>
      </c>
    </row>
    <row r="2251" spans="2:2" x14ac:dyDescent="0.3">
      <c r="B2251" s="30" t="str">
        <f t="shared" si="70"/>
        <v/>
      </c>
    </row>
    <row r="2252" spans="2:2" x14ac:dyDescent="0.3">
      <c r="B2252" s="30" t="str">
        <f t="shared" si="70"/>
        <v/>
      </c>
    </row>
    <row r="2253" spans="2:2" x14ac:dyDescent="0.3">
      <c r="B2253" s="30" t="str">
        <f t="shared" si="70"/>
        <v/>
      </c>
    </row>
    <row r="2254" spans="2:2" x14ac:dyDescent="0.3">
      <c r="B2254" s="30" t="str">
        <f t="shared" si="70"/>
        <v/>
      </c>
    </row>
    <row r="2255" spans="2:2" x14ac:dyDescent="0.3">
      <c r="B2255" s="30" t="str">
        <f t="shared" si="70"/>
        <v/>
      </c>
    </row>
    <row r="2256" spans="2:2" x14ac:dyDescent="0.3">
      <c r="B2256" s="30" t="str">
        <f t="shared" si="70"/>
        <v/>
      </c>
    </row>
    <row r="2257" spans="2:2" x14ac:dyDescent="0.3">
      <c r="B2257" s="30" t="str">
        <f t="shared" si="70"/>
        <v/>
      </c>
    </row>
    <row r="2258" spans="2:2" x14ac:dyDescent="0.3">
      <c r="B2258" s="30" t="str">
        <f t="shared" si="70"/>
        <v/>
      </c>
    </row>
    <row r="2259" spans="2:2" x14ac:dyDescent="0.3">
      <c r="B2259" s="30" t="str">
        <f t="shared" si="70"/>
        <v/>
      </c>
    </row>
    <row r="2260" spans="2:2" x14ac:dyDescent="0.3">
      <c r="B2260" s="30" t="str">
        <f t="shared" si="70"/>
        <v/>
      </c>
    </row>
    <row r="2261" spans="2:2" x14ac:dyDescent="0.3">
      <c r="B2261" s="30" t="str">
        <f t="shared" si="70"/>
        <v/>
      </c>
    </row>
    <row r="2262" spans="2:2" x14ac:dyDescent="0.3">
      <c r="B2262" s="30" t="str">
        <f t="shared" si="70"/>
        <v/>
      </c>
    </row>
    <row r="2263" spans="2:2" x14ac:dyDescent="0.3">
      <c r="B2263" s="30" t="str">
        <f t="shared" si="70"/>
        <v/>
      </c>
    </row>
    <row r="2264" spans="2:2" x14ac:dyDescent="0.3">
      <c r="B2264" s="30" t="str">
        <f t="shared" si="70"/>
        <v/>
      </c>
    </row>
    <row r="2265" spans="2:2" x14ac:dyDescent="0.3">
      <c r="B2265" s="30" t="str">
        <f t="shared" si="70"/>
        <v/>
      </c>
    </row>
    <row r="2266" spans="2:2" x14ac:dyDescent="0.3">
      <c r="B2266" s="30" t="str">
        <f t="shared" si="70"/>
        <v/>
      </c>
    </row>
    <row r="2267" spans="2:2" x14ac:dyDescent="0.3">
      <c r="B2267" s="30" t="str">
        <f t="shared" si="70"/>
        <v/>
      </c>
    </row>
    <row r="2268" spans="2:2" x14ac:dyDescent="0.3">
      <c r="B2268" s="30" t="str">
        <f t="shared" si="70"/>
        <v/>
      </c>
    </row>
    <row r="2269" spans="2:2" x14ac:dyDescent="0.3">
      <c r="B2269" s="30" t="str">
        <f t="shared" si="70"/>
        <v/>
      </c>
    </row>
    <row r="2270" spans="2:2" x14ac:dyDescent="0.3">
      <c r="B2270" s="30" t="str">
        <f t="shared" si="70"/>
        <v/>
      </c>
    </row>
    <row r="2271" spans="2:2" x14ac:dyDescent="0.3">
      <c r="B2271" s="30" t="str">
        <f t="shared" si="70"/>
        <v/>
      </c>
    </row>
    <row r="2272" spans="2:2" x14ac:dyDescent="0.3">
      <c r="B2272" s="30" t="str">
        <f t="shared" si="70"/>
        <v/>
      </c>
    </row>
    <row r="2273" spans="2:2" x14ac:dyDescent="0.3">
      <c r="B2273" s="30" t="str">
        <f t="shared" si="70"/>
        <v/>
      </c>
    </row>
    <row r="2274" spans="2:2" x14ac:dyDescent="0.3">
      <c r="B2274" s="30" t="str">
        <f t="shared" si="70"/>
        <v/>
      </c>
    </row>
    <row r="2275" spans="2:2" x14ac:dyDescent="0.3">
      <c r="B2275" s="30" t="str">
        <f t="shared" si="70"/>
        <v/>
      </c>
    </row>
    <row r="2276" spans="2:2" x14ac:dyDescent="0.3">
      <c r="B2276" s="30" t="str">
        <f t="shared" si="70"/>
        <v/>
      </c>
    </row>
    <row r="2277" spans="2:2" x14ac:dyDescent="0.3">
      <c r="B2277" s="30" t="str">
        <f t="shared" si="70"/>
        <v/>
      </c>
    </row>
    <row r="2278" spans="2:2" x14ac:dyDescent="0.3">
      <c r="B2278" s="30" t="str">
        <f t="shared" si="70"/>
        <v/>
      </c>
    </row>
    <row r="2279" spans="2:2" x14ac:dyDescent="0.3">
      <c r="B2279" s="30" t="str">
        <f t="shared" si="70"/>
        <v/>
      </c>
    </row>
    <row r="2280" spans="2:2" x14ac:dyDescent="0.3">
      <c r="B2280" s="30" t="str">
        <f t="shared" ref="B2280:B2343" si="71">IF($A2280="Daily", "n/a", "")</f>
        <v/>
      </c>
    </row>
    <row r="2281" spans="2:2" x14ac:dyDescent="0.3">
      <c r="B2281" s="30" t="str">
        <f t="shared" si="71"/>
        <v/>
      </c>
    </row>
    <row r="2282" spans="2:2" x14ac:dyDescent="0.3">
      <c r="B2282" s="30" t="str">
        <f t="shared" si="71"/>
        <v/>
      </c>
    </row>
    <row r="2283" spans="2:2" x14ac:dyDescent="0.3">
      <c r="B2283" s="30" t="str">
        <f t="shared" si="71"/>
        <v/>
      </c>
    </row>
    <row r="2284" spans="2:2" x14ac:dyDescent="0.3">
      <c r="B2284" s="30" t="str">
        <f t="shared" si="71"/>
        <v/>
      </c>
    </row>
    <row r="2285" spans="2:2" x14ac:dyDescent="0.3">
      <c r="B2285" s="30" t="str">
        <f t="shared" si="71"/>
        <v/>
      </c>
    </row>
    <row r="2286" spans="2:2" x14ac:dyDescent="0.3">
      <c r="B2286" s="30" t="str">
        <f t="shared" si="71"/>
        <v/>
      </c>
    </row>
    <row r="2287" spans="2:2" x14ac:dyDescent="0.3">
      <c r="B2287" s="30" t="str">
        <f t="shared" si="71"/>
        <v/>
      </c>
    </row>
    <row r="2288" spans="2:2" x14ac:dyDescent="0.3">
      <c r="B2288" s="30" t="str">
        <f t="shared" si="71"/>
        <v/>
      </c>
    </row>
    <row r="2289" spans="2:2" x14ac:dyDescent="0.3">
      <c r="B2289" s="30" t="str">
        <f t="shared" si="71"/>
        <v/>
      </c>
    </row>
    <row r="2290" spans="2:2" x14ac:dyDescent="0.3">
      <c r="B2290" s="30" t="str">
        <f t="shared" si="71"/>
        <v/>
      </c>
    </row>
    <row r="2291" spans="2:2" x14ac:dyDescent="0.3">
      <c r="B2291" s="30" t="str">
        <f t="shared" si="71"/>
        <v/>
      </c>
    </row>
    <row r="2292" spans="2:2" x14ac:dyDescent="0.3">
      <c r="B2292" s="30" t="str">
        <f t="shared" si="71"/>
        <v/>
      </c>
    </row>
    <row r="2293" spans="2:2" x14ac:dyDescent="0.3">
      <c r="B2293" s="30" t="str">
        <f t="shared" si="71"/>
        <v/>
      </c>
    </row>
    <row r="2294" spans="2:2" x14ac:dyDescent="0.3">
      <c r="B2294" s="30" t="str">
        <f t="shared" si="71"/>
        <v/>
      </c>
    </row>
    <row r="2295" spans="2:2" x14ac:dyDescent="0.3">
      <c r="B2295" s="30" t="str">
        <f t="shared" si="71"/>
        <v/>
      </c>
    </row>
    <row r="2296" spans="2:2" x14ac:dyDescent="0.3">
      <c r="B2296" s="30" t="str">
        <f t="shared" si="71"/>
        <v/>
      </c>
    </row>
    <row r="2297" spans="2:2" x14ac:dyDescent="0.3">
      <c r="B2297" s="30" t="str">
        <f t="shared" si="71"/>
        <v/>
      </c>
    </row>
    <row r="2298" spans="2:2" x14ac:dyDescent="0.3">
      <c r="B2298" s="30" t="str">
        <f t="shared" si="71"/>
        <v/>
      </c>
    </row>
    <row r="2299" spans="2:2" x14ac:dyDescent="0.3">
      <c r="B2299" s="30" t="str">
        <f t="shared" si="71"/>
        <v/>
      </c>
    </row>
    <row r="2300" spans="2:2" x14ac:dyDescent="0.3">
      <c r="B2300" s="30" t="str">
        <f t="shared" si="71"/>
        <v/>
      </c>
    </row>
    <row r="2301" spans="2:2" x14ac:dyDescent="0.3">
      <c r="B2301" s="30" t="str">
        <f t="shared" si="71"/>
        <v/>
      </c>
    </row>
    <row r="2302" spans="2:2" x14ac:dyDescent="0.3">
      <c r="B2302" s="30" t="str">
        <f t="shared" si="71"/>
        <v/>
      </c>
    </row>
    <row r="2303" spans="2:2" x14ac:dyDescent="0.3">
      <c r="B2303" s="30" t="str">
        <f t="shared" si="71"/>
        <v/>
      </c>
    </row>
    <row r="2304" spans="2:2" x14ac:dyDescent="0.3">
      <c r="B2304" s="30" t="str">
        <f t="shared" si="71"/>
        <v/>
      </c>
    </row>
    <row r="2305" spans="2:2" x14ac:dyDescent="0.3">
      <c r="B2305" s="30" t="str">
        <f t="shared" si="71"/>
        <v/>
      </c>
    </row>
    <row r="2306" spans="2:2" x14ac:dyDescent="0.3">
      <c r="B2306" s="30" t="str">
        <f t="shared" si="71"/>
        <v/>
      </c>
    </row>
    <row r="2307" spans="2:2" x14ac:dyDescent="0.3">
      <c r="B2307" s="30" t="str">
        <f t="shared" si="71"/>
        <v/>
      </c>
    </row>
    <row r="2308" spans="2:2" x14ac:dyDescent="0.3">
      <c r="B2308" s="30" t="str">
        <f t="shared" si="71"/>
        <v/>
      </c>
    </row>
    <row r="2309" spans="2:2" x14ac:dyDescent="0.3">
      <c r="B2309" s="30" t="str">
        <f t="shared" si="71"/>
        <v/>
      </c>
    </row>
    <row r="2310" spans="2:2" x14ac:dyDescent="0.3">
      <c r="B2310" s="30" t="str">
        <f t="shared" si="71"/>
        <v/>
      </c>
    </row>
    <row r="2311" spans="2:2" x14ac:dyDescent="0.3">
      <c r="B2311" s="30" t="str">
        <f t="shared" si="71"/>
        <v/>
      </c>
    </row>
    <row r="2312" spans="2:2" x14ac:dyDescent="0.3">
      <c r="B2312" s="30" t="str">
        <f t="shared" si="71"/>
        <v/>
      </c>
    </row>
    <row r="2313" spans="2:2" x14ac:dyDescent="0.3">
      <c r="B2313" s="30" t="str">
        <f t="shared" si="71"/>
        <v/>
      </c>
    </row>
    <row r="2314" spans="2:2" x14ac:dyDescent="0.3">
      <c r="B2314" s="30" t="str">
        <f t="shared" si="71"/>
        <v/>
      </c>
    </row>
    <row r="2315" spans="2:2" x14ac:dyDescent="0.3">
      <c r="B2315" s="30" t="str">
        <f t="shared" si="71"/>
        <v/>
      </c>
    </row>
    <row r="2316" spans="2:2" x14ac:dyDescent="0.3">
      <c r="B2316" s="30" t="str">
        <f t="shared" si="71"/>
        <v/>
      </c>
    </row>
    <row r="2317" spans="2:2" x14ac:dyDescent="0.3">
      <c r="B2317" s="30" t="str">
        <f t="shared" si="71"/>
        <v/>
      </c>
    </row>
    <row r="2318" spans="2:2" x14ac:dyDescent="0.3">
      <c r="B2318" s="30" t="str">
        <f t="shared" si="71"/>
        <v/>
      </c>
    </row>
    <row r="2319" spans="2:2" x14ac:dyDescent="0.3">
      <c r="B2319" s="30" t="str">
        <f t="shared" si="71"/>
        <v/>
      </c>
    </row>
    <row r="2320" spans="2:2" x14ac:dyDescent="0.3">
      <c r="B2320" s="30" t="str">
        <f t="shared" si="71"/>
        <v/>
      </c>
    </row>
    <row r="2321" spans="2:2" x14ac:dyDescent="0.3">
      <c r="B2321" s="30" t="str">
        <f t="shared" si="71"/>
        <v/>
      </c>
    </row>
    <row r="2322" spans="2:2" x14ac:dyDescent="0.3">
      <c r="B2322" s="30" t="str">
        <f t="shared" si="71"/>
        <v/>
      </c>
    </row>
    <row r="2323" spans="2:2" x14ac:dyDescent="0.3">
      <c r="B2323" s="30" t="str">
        <f t="shared" si="71"/>
        <v/>
      </c>
    </row>
    <row r="2324" spans="2:2" x14ac:dyDescent="0.3">
      <c r="B2324" s="30" t="str">
        <f t="shared" si="71"/>
        <v/>
      </c>
    </row>
    <row r="2325" spans="2:2" x14ac:dyDescent="0.3">
      <c r="B2325" s="30" t="str">
        <f t="shared" si="71"/>
        <v/>
      </c>
    </row>
    <row r="2326" spans="2:2" x14ac:dyDescent="0.3">
      <c r="B2326" s="30" t="str">
        <f t="shared" si="71"/>
        <v/>
      </c>
    </row>
    <row r="2327" spans="2:2" x14ac:dyDescent="0.3">
      <c r="B2327" s="30" t="str">
        <f t="shared" si="71"/>
        <v/>
      </c>
    </row>
    <row r="2328" spans="2:2" x14ac:dyDescent="0.3">
      <c r="B2328" s="30" t="str">
        <f t="shared" si="71"/>
        <v/>
      </c>
    </row>
    <row r="2329" spans="2:2" x14ac:dyDescent="0.3">
      <c r="B2329" s="30" t="str">
        <f t="shared" si="71"/>
        <v/>
      </c>
    </row>
    <row r="2330" spans="2:2" x14ac:dyDescent="0.3">
      <c r="B2330" s="30" t="str">
        <f t="shared" si="71"/>
        <v/>
      </c>
    </row>
    <row r="2331" spans="2:2" x14ac:dyDescent="0.3">
      <c r="B2331" s="30" t="str">
        <f t="shared" si="71"/>
        <v/>
      </c>
    </row>
    <row r="2332" spans="2:2" x14ac:dyDescent="0.3">
      <c r="B2332" s="30" t="str">
        <f t="shared" si="71"/>
        <v/>
      </c>
    </row>
    <row r="2333" spans="2:2" x14ac:dyDescent="0.3">
      <c r="B2333" s="30" t="str">
        <f t="shared" si="71"/>
        <v/>
      </c>
    </row>
    <row r="2334" spans="2:2" x14ac:dyDescent="0.3">
      <c r="B2334" s="30" t="str">
        <f t="shared" si="71"/>
        <v/>
      </c>
    </row>
    <row r="2335" spans="2:2" x14ac:dyDescent="0.3">
      <c r="B2335" s="30" t="str">
        <f t="shared" si="71"/>
        <v/>
      </c>
    </row>
    <row r="2336" spans="2:2" x14ac:dyDescent="0.3">
      <c r="B2336" s="30" t="str">
        <f t="shared" si="71"/>
        <v/>
      </c>
    </row>
    <row r="2337" spans="2:2" x14ac:dyDescent="0.3">
      <c r="B2337" s="30" t="str">
        <f t="shared" si="71"/>
        <v/>
      </c>
    </row>
    <row r="2338" spans="2:2" x14ac:dyDescent="0.3">
      <c r="B2338" s="30" t="str">
        <f t="shared" si="71"/>
        <v/>
      </c>
    </row>
    <row r="2339" spans="2:2" x14ac:dyDescent="0.3">
      <c r="B2339" s="30" t="str">
        <f t="shared" si="71"/>
        <v/>
      </c>
    </row>
    <row r="2340" spans="2:2" x14ac:dyDescent="0.3">
      <c r="B2340" s="30" t="str">
        <f t="shared" si="71"/>
        <v/>
      </c>
    </row>
    <row r="2341" spans="2:2" x14ac:dyDescent="0.3">
      <c r="B2341" s="30" t="str">
        <f t="shared" si="71"/>
        <v/>
      </c>
    </row>
    <row r="2342" spans="2:2" x14ac:dyDescent="0.3">
      <c r="B2342" s="30" t="str">
        <f t="shared" si="71"/>
        <v/>
      </c>
    </row>
    <row r="2343" spans="2:2" x14ac:dyDescent="0.3">
      <c r="B2343" s="30" t="str">
        <f t="shared" si="71"/>
        <v/>
      </c>
    </row>
    <row r="2344" spans="2:2" x14ac:dyDescent="0.3">
      <c r="B2344" s="30" t="str">
        <f t="shared" ref="B2344:B2407" si="72">IF($A2344="Daily", "n/a", "")</f>
        <v/>
      </c>
    </row>
    <row r="2345" spans="2:2" x14ac:dyDescent="0.3">
      <c r="B2345" s="30" t="str">
        <f t="shared" si="72"/>
        <v/>
      </c>
    </row>
    <row r="2346" spans="2:2" x14ac:dyDescent="0.3">
      <c r="B2346" s="30" t="str">
        <f t="shared" si="72"/>
        <v/>
      </c>
    </row>
    <row r="2347" spans="2:2" x14ac:dyDescent="0.3">
      <c r="B2347" s="30" t="str">
        <f t="shared" si="72"/>
        <v/>
      </c>
    </row>
    <row r="2348" spans="2:2" x14ac:dyDescent="0.3">
      <c r="B2348" s="30" t="str">
        <f t="shared" si="72"/>
        <v/>
      </c>
    </row>
    <row r="2349" spans="2:2" x14ac:dyDescent="0.3">
      <c r="B2349" s="30" t="str">
        <f t="shared" si="72"/>
        <v/>
      </c>
    </row>
    <row r="2350" spans="2:2" x14ac:dyDescent="0.3">
      <c r="B2350" s="30" t="str">
        <f t="shared" si="72"/>
        <v/>
      </c>
    </row>
    <row r="2351" spans="2:2" x14ac:dyDescent="0.3">
      <c r="B2351" s="30" t="str">
        <f t="shared" si="72"/>
        <v/>
      </c>
    </row>
    <row r="2352" spans="2:2" x14ac:dyDescent="0.3">
      <c r="B2352" s="30" t="str">
        <f t="shared" si="72"/>
        <v/>
      </c>
    </row>
    <row r="2353" spans="2:2" x14ac:dyDescent="0.3">
      <c r="B2353" s="30" t="str">
        <f t="shared" si="72"/>
        <v/>
      </c>
    </row>
    <row r="2354" spans="2:2" x14ac:dyDescent="0.3">
      <c r="B2354" s="30" t="str">
        <f t="shared" si="72"/>
        <v/>
      </c>
    </row>
    <row r="2355" spans="2:2" x14ac:dyDescent="0.3">
      <c r="B2355" s="30" t="str">
        <f t="shared" si="72"/>
        <v/>
      </c>
    </row>
    <row r="2356" spans="2:2" x14ac:dyDescent="0.3">
      <c r="B2356" s="30" t="str">
        <f t="shared" si="72"/>
        <v/>
      </c>
    </row>
    <row r="2357" spans="2:2" x14ac:dyDescent="0.3">
      <c r="B2357" s="30" t="str">
        <f t="shared" si="72"/>
        <v/>
      </c>
    </row>
    <row r="2358" spans="2:2" x14ac:dyDescent="0.3">
      <c r="B2358" s="30" t="str">
        <f t="shared" si="72"/>
        <v/>
      </c>
    </row>
    <row r="2359" spans="2:2" x14ac:dyDescent="0.3">
      <c r="B2359" s="30" t="str">
        <f t="shared" si="72"/>
        <v/>
      </c>
    </row>
    <row r="2360" spans="2:2" x14ac:dyDescent="0.3">
      <c r="B2360" s="30" t="str">
        <f t="shared" si="72"/>
        <v/>
      </c>
    </row>
    <row r="2361" spans="2:2" x14ac:dyDescent="0.3">
      <c r="B2361" s="30" t="str">
        <f t="shared" si="72"/>
        <v/>
      </c>
    </row>
    <row r="2362" spans="2:2" x14ac:dyDescent="0.3">
      <c r="B2362" s="30" t="str">
        <f t="shared" si="72"/>
        <v/>
      </c>
    </row>
    <row r="2363" spans="2:2" x14ac:dyDescent="0.3">
      <c r="B2363" s="30" t="str">
        <f t="shared" si="72"/>
        <v/>
      </c>
    </row>
    <row r="2364" spans="2:2" x14ac:dyDescent="0.3">
      <c r="B2364" s="30" t="str">
        <f t="shared" si="72"/>
        <v/>
      </c>
    </row>
    <row r="2365" spans="2:2" x14ac:dyDescent="0.3">
      <c r="B2365" s="30" t="str">
        <f t="shared" si="72"/>
        <v/>
      </c>
    </row>
    <row r="2366" spans="2:2" x14ac:dyDescent="0.3">
      <c r="B2366" s="30" t="str">
        <f t="shared" si="72"/>
        <v/>
      </c>
    </row>
    <row r="2367" spans="2:2" x14ac:dyDescent="0.3">
      <c r="B2367" s="30" t="str">
        <f t="shared" si="72"/>
        <v/>
      </c>
    </row>
    <row r="2368" spans="2:2" x14ac:dyDescent="0.3">
      <c r="B2368" s="30" t="str">
        <f t="shared" si="72"/>
        <v/>
      </c>
    </row>
    <row r="2369" spans="2:2" x14ac:dyDescent="0.3">
      <c r="B2369" s="30" t="str">
        <f t="shared" si="72"/>
        <v/>
      </c>
    </row>
    <row r="2370" spans="2:2" x14ac:dyDescent="0.3">
      <c r="B2370" s="30" t="str">
        <f t="shared" si="72"/>
        <v/>
      </c>
    </row>
    <row r="2371" spans="2:2" x14ac:dyDescent="0.3">
      <c r="B2371" s="30" t="str">
        <f t="shared" si="72"/>
        <v/>
      </c>
    </row>
    <row r="2372" spans="2:2" x14ac:dyDescent="0.3">
      <c r="B2372" s="30" t="str">
        <f t="shared" si="72"/>
        <v/>
      </c>
    </row>
    <row r="2373" spans="2:2" x14ac:dyDescent="0.3">
      <c r="B2373" s="30" t="str">
        <f t="shared" si="72"/>
        <v/>
      </c>
    </row>
    <row r="2374" spans="2:2" x14ac:dyDescent="0.3">
      <c r="B2374" s="30" t="str">
        <f t="shared" si="72"/>
        <v/>
      </c>
    </row>
    <row r="2375" spans="2:2" x14ac:dyDescent="0.3">
      <c r="B2375" s="30" t="str">
        <f t="shared" si="72"/>
        <v/>
      </c>
    </row>
    <row r="2376" spans="2:2" x14ac:dyDescent="0.3">
      <c r="B2376" s="30" t="str">
        <f t="shared" si="72"/>
        <v/>
      </c>
    </row>
    <row r="2377" spans="2:2" x14ac:dyDescent="0.3">
      <c r="B2377" s="30" t="str">
        <f t="shared" si="72"/>
        <v/>
      </c>
    </row>
    <row r="2378" spans="2:2" x14ac:dyDescent="0.3">
      <c r="B2378" s="30" t="str">
        <f t="shared" si="72"/>
        <v/>
      </c>
    </row>
    <row r="2379" spans="2:2" x14ac:dyDescent="0.3">
      <c r="B2379" s="30" t="str">
        <f t="shared" si="72"/>
        <v/>
      </c>
    </row>
    <row r="2380" spans="2:2" x14ac:dyDescent="0.3">
      <c r="B2380" s="30" t="str">
        <f t="shared" si="72"/>
        <v/>
      </c>
    </row>
    <row r="2381" spans="2:2" x14ac:dyDescent="0.3">
      <c r="B2381" s="30" t="str">
        <f t="shared" si="72"/>
        <v/>
      </c>
    </row>
    <row r="2382" spans="2:2" x14ac:dyDescent="0.3">
      <c r="B2382" s="30" t="str">
        <f t="shared" si="72"/>
        <v/>
      </c>
    </row>
    <row r="2383" spans="2:2" x14ac:dyDescent="0.3">
      <c r="B2383" s="30" t="str">
        <f t="shared" si="72"/>
        <v/>
      </c>
    </row>
    <row r="2384" spans="2:2" x14ac:dyDescent="0.3">
      <c r="B2384" s="30" t="str">
        <f t="shared" si="72"/>
        <v/>
      </c>
    </row>
    <row r="2385" spans="2:2" x14ac:dyDescent="0.3">
      <c r="B2385" s="30" t="str">
        <f t="shared" si="72"/>
        <v/>
      </c>
    </row>
    <row r="2386" spans="2:2" x14ac:dyDescent="0.3">
      <c r="B2386" s="30" t="str">
        <f t="shared" si="72"/>
        <v/>
      </c>
    </row>
    <row r="2387" spans="2:2" x14ac:dyDescent="0.3">
      <c r="B2387" s="30" t="str">
        <f t="shared" si="72"/>
        <v/>
      </c>
    </row>
    <row r="2388" spans="2:2" x14ac:dyDescent="0.3">
      <c r="B2388" s="30" t="str">
        <f t="shared" si="72"/>
        <v/>
      </c>
    </row>
    <row r="2389" spans="2:2" x14ac:dyDescent="0.3">
      <c r="B2389" s="30" t="str">
        <f t="shared" si="72"/>
        <v/>
      </c>
    </row>
    <row r="2390" spans="2:2" x14ac:dyDescent="0.3">
      <c r="B2390" s="30" t="str">
        <f t="shared" si="72"/>
        <v/>
      </c>
    </row>
    <row r="2391" spans="2:2" x14ac:dyDescent="0.3">
      <c r="B2391" s="30" t="str">
        <f t="shared" si="72"/>
        <v/>
      </c>
    </row>
    <row r="2392" spans="2:2" x14ac:dyDescent="0.3">
      <c r="B2392" s="30" t="str">
        <f t="shared" si="72"/>
        <v/>
      </c>
    </row>
    <row r="2393" spans="2:2" x14ac:dyDescent="0.3">
      <c r="B2393" s="30" t="str">
        <f t="shared" si="72"/>
        <v/>
      </c>
    </row>
    <row r="2394" spans="2:2" x14ac:dyDescent="0.3">
      <c r="B2394" s="30" t="str">
        <f t="shared" si="72"/>
        <v/>
      </c>
    </row>
    <row r="2395" spans="2:2" x14ac:dyDescent="0.3">
      <c r="B2395" s="30" t="str">
        <f t="shared" si="72"/>
        <v/>
      </c>
    </row>
    <row r="2396" spans="2:2" x14ac:dyDescent="0.3">
      <c r="B2396" s="30" t="str">
        <f t="shared" si="72"/>
        <v/>
      </c>
    </row>
    <row r="2397" spans="2:2" x14ac:dyDescent="0.3">
      <c r="B2397" s="30" t="str">
        <f t="shared" si="72"/>
        <v/>
      </c>
    </row>
    <row r="2398" spans="2:2" x14ac:dyDescent="0.3">
      <c r="B2398" s="30" t="str">
        <f t="shared" si="72"/>
        <v/>
      </c>
    </row>
    <row r="2399" spans="2:2" x14ac:dyDescent="0.3">
      <c r="B2399" s="30" t="str">
        <f t="shared" si="72"/>
        <v/>
      </c>
    </row>
    <row r="2400" spans="2:2" x14ac:dyDescent="0.3">
      <c r="B2400" s="30" t="str">
        <f t="shared" si="72"/>
        <v/>
      </c>
    </row>
    <row r="2401" spans="2:2" x14ac:dyDescent="0.3">
      <c r="B2401" s="30" t="str">
        <f t="shared" si="72"/>
        <v/>
      </c>
    </row>
    <row r="2402" spans="2:2" x14ac:dyDescent="0.3">
      <c r="B2402" s="30" t="str">
        <f t="shared" si="72"/>
        <v/>
      </c>
    </row>
    <row r="2403" spans="2:2" x14ac:dyDescent="0.3">
      <c r="B2403" s="30" t="str">
        <f t="shared" si="72"/>
        <v/>
      </c>
    </row>
    <row r="2404" spans="2:2" x14ac:dyDescent="0.3">
      <c r="B2404" s="30" t="str">
        <f t="shared" si="72"/>
        <v/>
      </c>
    </row>
    <row r="2405" spans="2:2" x14ac:dyDescent="0.3">
      <c r="B2405" s="30" t="str">
        <f t="shared" si="72"/>
        <v/>
      </c>
    </row>
    <row r="2406" spans="2:2" x14ac:dyDescent="0.3">
      <c r="B2406" s="30" t="str">
        <f t="shared" si="72"/>
        <v/>
      </c>
    </row>
    <row r="2407" spans="2:2" x14ac:dyDescent="0.3">
      <c r="B2407" s="30" t="str">
        <f t="shared" si="72"/>
        <v/>
      </c>
    </row>
    <row r="2408" spans="2:2" x14ac:dyDescent="0.3">
      <c r="B2408" s="30" t="str">
        <f t="shared" ref="B2408:B2471" si="73">IF($A2408="Daily", "n/a", "")</f>
        <v/>
      </c>
    </row>
    <row r="2409" spans="2:2" x14ac:dyDescent="0.3">
      <c r="B2409" s="30" t="str">
        <f t="shared" si="73"/>
        <v/>
      </c>
    </row>
    <row r="2410" spans="2:2" x14ac:dyDescent="0.3">
      <c r="B2410" s="30" t="str">
        <f t="shared" si="73"/>
        <v/>
      </c>
    </row>
    <row r="2411" spans="2:2" x14ac:dyDescent="0.3">
      <c r="B2411" s="30" t="str">
        <f t="shared" si="73"/>
        <v/>
      </c>
    </row>
    <row r="2412" spans="2:2" x14ac:dyDescent="0.3">
      <c r="B2412" s="30" t="str">
        <f t="shared" si="73"/>
        <v/>
      </c>
    </row>
    <row r="2413" spans="2:2" x14ac:dyDescent="0.3">
      <c r="B2413" s="30" t="str">
        <f t="shared" si="73"/>
        <v/>
      </c>
    </row>
    <row r="2414" spans="2:2" x14ac:dyDescent="0.3">
      <c r="B2414" s="30" t="str">
        <f t="shared" si="73"/>
        <v/>
      </c>
    </row>
    <row r="2415" spans="2:2" x14ac:dyDescent="0.3">
      <c r="B2415" s="30" t="str">
        <f t="shared" si="73"/>
        <v/>
      </c>
    </row>
    <row r="2416" spans="2:2" x14ac:dyDescent="0.3">
      <c r="B2416" s="30" t="str">
        <f t="shared" si="73"/>
        <v/>
      </c>
    </row>
    <row r="2417" spans="2:2" x14ac:dyDescent="0.3">
      <c r="B2417" s="30" t="str">
        <f t="shared" si="73"/>
        <v/>
      </c>
    </row>
    <row r="2418" spans="2:2" x14ac:dyDescent="0.3">
      <c r="B2418" s="30" t="str">
        <f t="shared" si="73"/>
        <v/>
      </c>
    </row>
    <row r="2419" spans="2:2" x14ac:dyDescent="0.3">
      <c r="B2419" s="30" t="str">
        <f t="shared" si="73"/>
        <v/>
      </c>
    </row>
    <row r="2420" spans="2:2" x14ac:dyDescent="0.3">
      <c r="B2420" s="30" t="str">
        <f t="shared" si="73"/>
        <v/>
      </c>
    </row>
    <row r="2421" spans="2:2" x14ac:dyDescent="0.3">
      <c r="B2421" s="30" t="str">
        <f t="shared" si="73"/>
        <v/>
      </c>
    </row>
    <row r="2422" spans="2:2" x14ac:dyDescent="0.3">
      <c r="B2422" s="30" t="str">
        <f t="shared" si="73"/>
        <v/>
      </c>
    </row>
    <row r="2423" spans="2:2" x14ac:dyDescent="0.3">
      <c r="B2423" s="30" t="str">
        <f t="shared" si="73"/>
        <v/>
      </c>
    </row>
    <row r="2424" spans="2:2" x14ac:dyDescent="0.3">
      <c r="B2424" s="30" t="str">
        <f t="shared" si="73"/>
        <v/>
      </c>
    </row>
    <row r="2425" spans="2:2" x14ac:dyDescent="0.3">
      <c r="B2425" s="30" t="str">
        <f t="shared" si="73"/>
        <v/>
      </c>
    </row>
    <row r="2426" spans="2:2" x14ac:dyDescent="0.3">
      <c r="B2426" s="30" t="str">
        <f t="shared" si="73"/>
        <v/>
      </c>
    </row>
    <row r="2427" spans="2:2" x14ac:dyDescent="0.3">
      <c r="B2427" s="30" t="str">
        <f t="shared" si="73"/>
        <v/>
      </c>
    </row>
    <row r="2428" spans="2:2" x14ac:dyDescent="0.3">
      <c r="B2428" s="30" t="str">
        <f t="shared" si="73"/>
        <v/>
      </c>
    </row>
    <row r="2429" spans="2:2" x14ac:dyDescent="0.3">
      <c r="B2429" s="30" t="str">
        <f t="shared" si="73"/>
        <v/>
      </c>
    </row>
    <row r="2430" spans="2:2" x14ac:dyDescent="0.3">
      <c r="B2430" s="30" t="str">
        <f t="shared" si="73"/>
        <v/>
      </c>
    </row>
    <row r="2431" spans="2:2" x14ac:dyDescent="0.3">
      <c r="B2431" s="30" t="str">
        <f t="shared" si="73"/>
        <v/>
      </c>
    </row>
    <row r="2432" spans="2:2" x14ac:dyDescent="0.3">
      <c r="B2432" s="30" t="str">
        <f t="shared" si="73"/>
        <v/>
      </c>
    </row>
    <row r="2433" spans="2:2" x14ac:dyDescent="0.3">
      <c r="B2433" s="30" t="str">
        <f t="shared" si="73"/>
        <v/>
      </c>
    </row>
    <row r="2434" spans="2:2" x14ac:dyDescent="0.3">
      <c r="B2434" s="30" t="str">
        <f t="shared" si="73"/>
        <v/>
      </c>
    </row>
    <row r="2435" spans="2:2" x14ac:dyDescent="0.3">
      <c r="B2435" s="30" t="str">
        <f t="shared" si="73"/>
        <v/>
      </c>
    </row>
    <row r="2436" spans="2:2" x14ac:dyDescent="0.3">
      <c r="B2436" s="30" t="str">
        <f t="shared" si="73"/>
        <v/>
      </c>
    </row>
    <row r="2437" spans="2:2" x14ac:dyDescent="0.3">
      <c r="B2437" s="30" t="str">
        <f t="shared" si="73"/>
        <v/>
      </c>
    </row>
    <row r="2438" spans="2:2" x14ac:dyDescent="0.3">
      <c r="B2438" s="30" t="str">
        <f t="shared" si="73"/>
        <v/>
      </c>
    </row>
    <row r="2439" spans="2:2" x14ac:dyDescent="0.3">
      <c r="B2439" s="30" t="str">
        <f t="shared" si="73"/>
        <v/>
      </c>
    </row>
    <row r="2440" spans="2:2" x14ac:dyDescent="0.3">
      <c r="B2440" s="30" t="str">
        <f t="shared" si="73"/>
        <v/>
      </c>
    </row>
    <row r="2441" spans="2:2" x14ac:dyDescent="0.3">
      <c r="B2441" s="30" t="str">
        <f t="shared" si="73"/>
        <v/>
      </c>
    </row>
    <row r="2442" spans="2:2" x14ac:dyDescent="0.3">
      <c r="B2442" s="30" t="str">
        <f t="shared" si="73"/>
        <v/>
      </c>
    </row>
    <row r="2443" spans="2:2" x14ac:dyDescent="0.3">
      <c r="B2443" s="30" t="str">
        <f t="shared" si="73"/>
        <v/>
      </c>
    </row>
    <row r="2444" spans="2:2" x14ac:dyDescent="0.3">
      <c r="B2444" s="30" t="str">
        <f t="shared" si="73"/>
        <v/>
      </c>
    </row>
    <row r="2445" spans="2:2" x14ac:dyDescent="0.3">
      <c r="B2445" s="30" t="str">
        <f t="shared" si="73"/>
        <v/>
      </c>
    </row>
    <row r="2446" spans="2:2" x14ac:dyDescent="0.3">
      <c r="B2446" s="30" t="str">
        <f t="shared" si="73"/>
        <v/>
      </c>
    </row>
    <row r="2447" spans="2:2" x14ac:dyDescent="0.3">
      <c r="B2447" s="30" t="str">
        <f t="shared" si="73"/>
        <v/>
      </c>
    </row>
    <row r="2448" spans="2:2" x14ac:dyDescent="0.3">
      <c r="B2448" s="30" t="str">
        <f t="shared" si="73"/>
        <v/>
      </c>
    </row>
    <row r="2449" spans="2:2" x14ac:dyDescent="0.3">
      <c r="B2449" s="30" t="str">
        <f t="shared" si="73"/>
        <v/>
      </c>
    </row>
    <row r="2450" spans="2:2" x14ac:dyDescent="0.3">
      <c r="B2450" s="30" t="str">
        <f t="shared" si="73"/>
        <v/>
      </c>
    </row>
    <row r="2451" spans="2:2" x14ac:dyDescent="0.3">
      <c r="B2451" s="30" t="str">
        <f t="shared" si="73"/>
        <v/>
      </c>
    </row>
    <row r="2452" spans="2:2" x14ac:dyDescent="0.3">
      <c r="B2452" s="30" t="str">
        <f t="shared" si="73"/>
        <v/>
      </c>
    </row>
    <row r="2453" spans="2:2" x14ac:dyDescent="0.3">
      <c r="B2453" s="30" t="str">
        <f t="shared" si="73"/>
        <v/>
      </c>
    </row>
    <row r="2454" spans="2:2" x14ac:dyDescent="0.3">
      <c r="B2454" s="30" t="str">
        <f t="shared" si="73"/>
        <v/>
      </c>
    </row>
    <row r="2455" spans="2:2" x14ac:dyDescent="0.3">
      <c r="B2455" s="30" t="str">
        <f t="shared" si="73"/>
        <v/>
      </c>
    </row>
    <row r="2456" spans="2:2" x14ac:dyDescent="0.3">
      <c r="B2456" s="30" t="str">
        <f t="shared" si="73"/>
        <v/>
      </c>
    </row>
    <row r="2457" spans="2:2" x14ac:dyDescent="0.3">
      <c r="B2457" s="30" t="str">
        <f t="shared" si="73"/>
        <v/>
      </c>
    </row>
    <row r="2458" spans="2:2" x14ac:dyDescent="0.3">
      <c r="B2458" s="30" t="str">
        <f t="shared" si="73"/>
        <v/>
      </c>
    </row>
    <row r="2459" spans="2:2" x14ac:dyDescent="0.3">
      <c r="B2459" s="30" t="str">
        <f t="shared" si="73"/>
        <v/>
      </c>
    </row>
    <row r="2460" spans="2:2" x14ac:dyDescent="0.3">
      <c r="B2460" s="30" t="str">
        <f t="shared" si="73"/>
        <v/>
      </c>
    </row>
    <row r="2461" spans="2:2" x14ac:dyDescent="0.3">
      <c r="B2461" s="30" t="str">
        <f t="shared" si="73"/>
        <v/>
      </c>
    </row>
    <row r="2462" spans="2:2" x14ac:dyDescent="0.3">
      <c r="B2462" s="30" t="str">
        <f t="shared" si="73"/>
        <v/>
      </c>
    </row>
    <row r="2463" spans="2:2" x14ac:dyDescent="0.3">
      <c r="B2463" s="30" t="str">
        <f t="shared" si="73"/>
        <v/>
      </c>
    </row>
    <row r="2464" spans="2:2" x14ac:dyDescent="0.3">
      <c r="B2464" s="30" t="str">
        <f t="shared" si="73"/>
        <v/>
      </c>
    </row>
    <row r="2465" spans="2:2" x14ac:dyDescent="0.3">
      <c r="B2465" s="30" t="str">
        <f t="shared" si="73"/>
        <v/>
      </c>
    </row>
    <row r="2466" spans="2:2" x14ac:dyDescent="0.3">
      <c r="B2466" s="30" t="str">
        <f t="shared" si="73"/>
        <v/>
      </c>
    </row>
    <row r="2467" spans="2:2" x14ac:dyDescent="0.3">
      <c r="B2467" s="30" t="str">
        <f t="shared" si="73"/>
        <v/>
      </c>
    </row>
    <row r="2468" spans="2:2" x14ac:dyDescent="0.3">
      <c r="B2468" s="30" t="str">
        <f t="shared" si="73"/>
        <v/>
      </c>
    </row>
    <row r="2469" spans="2:2" x14ac:dyDescent="0.3">
      <c r="B2469" s="30" t="str">
        <f t="shared" si="73"/>
        <v/>
      </c>
    </row>
    <row r="2470" spans="2:2" x14ac:dyDescent="0.3">
      <c r="B2470" s="30" t="str">
        <f t="shared" si="73"/>
        <v/>
      </c>
    </row>
    <row r="2471" spans="2:2" x14ac:dyDescent="0.3">
      <c r="B2471" s="30" t="str">
        <f t="shared" si="73"/>
        <v/>
      </c>
    </row>
    <row r="2472" spans="2:2" x14ac:dyDescent="0.3">
      <c r="B2472" s="30" t="str">
        <f t="shared" ref="B2472:B2535" si="74">IF($A2472="Daily", "n/a", "")</f>
        <v/>
      </c>
    </row>
    <row r="2473" spans="2:2" x14ac:dyDescent="0.3">
      <c r="B2473" s="30" t="str">
        <f t="shared" si="74"/>
        <v/>
      </c>
    </row>
    <row r="2474" spans="2:2" x14ac:dyDescent="0.3">
      <c r="B2474" s="30" t="str">
        <f t="shared" si="74"/>
        <v/>
      </c>
    </row>
    <row r="2475" spans="2:2" x14ac:dyDescent="0.3">
      <c r="B2475" s="30" t="str">
        <f t="shared" si="74"/>
        <v/>
      </c>
    </row>
    <row r="2476" spans="2:2" x14ac:dyDescent="0.3">
      <c r="B2476" s="30" t="str">
        <f t="shared" si="74"/>
        <v/>
      </c>
    </row>
    <row r="2477" spans="2:2" x14ac:dyDescent="0.3">
      <c r="B2477" s="30" t="str">
        <f t="shared" si="74"/>
        <v/>
      </c>
    </row>
    <row r="2478" spans="2:2" x14ac:dyDescent="0.3">
      <c r="B2478" s="30" t="str">
        <f t="shared" si="74"/>
        <v/>
      </c>
    </row>
    <row r="2479" spans="2:2" x14ac:dyDescent="0.3">
      <c r="B2479" s="30" t="str">
        <f t="shared" si="74"/>
        <v/>
      </c>
    </row>
    <row r="2480" spans="2:2" x14ac:dyDescent="0.3">
      <c r="B2480" s="30" t="str">
        <f t="shared" si="74"/>
        <v/>
      </c>
    </row>
    <row r="2481" spans="2:2" x14ac:dyDescent="0.3">
      <c r="B2481" s="30" t="str">
        <f t="shared" si="74"/>
        <v/>
      </c>
    </row>
    <row r="2482" spans="2:2" x14ac:dyDescent="0.3">
      <c r="B2482" s="30" t="str">
        <f t="shared" si="74"/>
        <v/>
      </c>
    </row>
    <row r="2483" spans="2:2" x14ac:dyDescent="0.3">
      <c r="B2483" s="30" t="str">
        <f t="shared" si="74"/>
        <v/>
      </c>
    </row>
    <row r="2484" spans="2:2" x14ac:dyDescent="0.3">
      <c r="B2484" s="30" t="str">
        <f t="shared" si="74"/>
        <v/>
      </c>
    </row>
    <row r="2485" spans="2:2" x14ac:dyDescent="0.3">
      <c r="B2485" s="30" t="str">
        <f t="shared" si="74"/>
        <v/>
      </c>
    </row>
    <row r="2486" spans="2:2" x14ac:dyDescent="0.3">
      <c r="B2486" s="30" t="str">
        <f t="shared" si="74"/>
        <v/>
      </c>
    </row>
    <row r="2487" spans="2:2" x14ac:dyDescent="0.3">
      <c r="B2487" s="30" t="str">
        <f t="shared" si="74"/>
        <v/>
      </c>
    </row>
    <row r="2488" spans="2:2" x14ac:dyDescent="0.3">
      <c r="B2488" s="30" t="str">
        <f t="shared" si="74"/>
        <v/>
      </c>
    </row>
    <row r="2489" spans="2:2" x14ac:dyDescent="0.3">
      <c r="B2489" s="30" t="str">
        <f t="shared" si="74"/>
        <v/>
      </c>
    </row>
    <row r="2490" spans="2:2" x14ac:dyDescent="0.3">
      <c r="B2490" s="30" t="str">
        <f t="shared" si="74"/>
        <v/>
      </c>
    </row>
    <row r="2491" spans="2:2" x14ac:dyDescent="0.3">
      <c r="B2491" s="30" t="str">
        <f t="shared" si="74"/>
        <v/>
      </c>
    </row>
    <row r="2492" spans="2:2" x14ac:dyDescent="0.3">
      <c r="B2492" s="30" t="str">
        <f t="shared" si="74"/>
        <v/>
      </c>
    </row>
    <row r="2493" spans="2:2" x14ac:dyDescent="0.3">
      <c r="B2493" s="30" t="str">
        <f t="shared" si="74"/>
        <v/>
      </c>
    </row>
    <row r="2494" spans="2:2" x14ac:dyDescent="0.3">
      <c r="B2494" s="30" t="str">
        <f t="shared" si="74"/>
        <v/>
      </c>
    </row>
    <row r="2495" spans="2:2" x14ac:dyDescent="0.3">
      <c r="B2495" s="30" t="str">
        <f t="shared" si="74"/>
        <v/>
      </c>
    </row>
    <row r="2496" spans="2:2" x14ac:dyDescent="0.3">
      <c r="B2496" s="30" t="str">
        <f t="shared" si="74"/>
        <v/>
      </c>
    </row>
    <row r="2497" spans="2:2" x14ac:dyDescent="0.3">
      <c r="B2497" s="30" t="str">
        <f t="shared" si="74"/>
        <v/>
      </c>
    </row>
    <row r="2498" spans="2:2" x14ac:dyDescent="0.3">
      <c r="B2498" s="30" t="str">
        <f t="shared" si="74"/>
        <v/>
      </c>
    </row>
    <row r="2499" spans="2:2" x14ac:dyDescent="0.3">
      <c r="B2499" s="30" t="str">
        <f t="shared" si="74"/>
        <v/>
      </c>
    </row>
    <row r="2500" spans="2:2" x14ac:dyDescent="0.3">
      <c r="B2500" s="30" t="str">
        <f t="shared" si="74"/>
        <v/>
      </c>
    </row>
    <row r="2501" spans="2:2" x14ac:dyDescent="0.3">
      <c r="B2501" s="30" t="str">
        <f t="shared" si="74"/>
        <v/>
      </c>
    </row>
    <row r="2502" spans="2:2" x14ac:dyDescent="0.3">
      <c r="B2502" s="30" t="str">
        <f t="shared" si="74"/>
        <v/>
      </c>
    </row>
    <row r="2503" spans="2:2" x14ac:dyDescent="0.3">
      <c r="B2503" s="30" t="str">
        <f t="shared" si="74"/>
        <v/>
      </c>
    </row>
    <row r="2504" spans="2:2" x14ac:dyDescent="0.3">
      <c r="B2504" s="30" t="str">
        <f t="shared" si="74"/>
        <v/>
      </c>
    </row>
    <row r="2505" spans="2:2" x14ac:dyDescent="0.3">
      <c r="B2505" s="30" t="str">
        <f t="shared" si="74"/>
        <v/>
      </c>
    </row>
    <row r="2506" spans="2:2" x14ac:dyDescent="0.3">
      <c r="B2506" s="30" t="str">
        <f t="shared" si="74"/>
        <v/>
      </c>
    </row>
    <row r="2507" spans="2:2" x14ac:dyDescent="0.3">
      <c r="B2507" s="30" t="str">
        <f t="shared" si="74"/>
        <v/>
      </c>
    </row>
    <row r="2508" spans="2:2" x14ac:dyDescent="0.3">
      <c r="B2508" s="30" t="str">
        <f t="shared" si="74"/>
        <v/>
      </c>
    </row>
    <row r="2509" spans="2:2" x14ac:dyDescent="0.3">
      <c r="B2509" s="30" t="str">
        <f t="shared" si="74"/>
        <v/>
      </c>
    </row>
    <row r="2510" spans="2:2" x14ac:dyDescent="0.3">
      <c r="B2510" s="30" t="str">
        <f t="shared" si="74"/>
        <v/>
      </c>
    </row>
    <row r="2511" spans="2:2" x14ac:dyDescent="0.3">
      <c r="B2511" s="30" t="str">
        <f t="shared" si="74"/>
        <v/>
      </c>
    </row>
    <row r="2512" spans="2:2" x14ac:dyDescent="0.3">
      <c r="B2512" s="30" t="str">
        <f t="shared" si="74"/>
        <v/>
      </c>
    </row>
    <row r="2513" spans="2:2" x14ac:dyDescent="0.3">
      <c r="B2513" s="30" t="str">
        <f t="shared" si="74"/>
        <v/>
      </c>
    </row>
    <row r="2514" spans="2:2" x14ac:dyDescent="0.3">
      <c r="B2514" s="30" t="str">
        <f t="shared" si="74"/>
        <v/>
      </c>
    </row>
    <row r="2515" spans="2:2" x14ac:dyDescent="0.3">
      <c r="B2515" s="30" t="str">
        <f t="shared" si="74"/>
        <v/>
      </c>
    </row>
    <row r="2516" spans="2:2" x14ac:dyDescent="0.3">
      <c r="B2516" s="30" t="str">
        <f t="shared" si="74"/>
        <v/>
      </c>
    </row>
    <row r="2517" spans="2:2" x14ac:dyDescent="0.3">
      <c r="B2517" s="30" t="str">
        <f t="shared" si="74"/>
        <v/>
      </c>
    </row>
    <row r="2518" spans="2:2" x14ac:dyDescent="0.3">
      <c r="B2518" s="30" t="str">
        <f t="shared" si="74"/>
        <v/>
      </c>
    </row>
    <row r="2519" spans="2:2" x14ac:dyDescent="0.3">
      <c r="B2519" s="30" t="str">
        <f t="shared" si="74"/>
        <v/>
      </c>
    </row>
    <row r="2520" spans="2:2" x14ac:dyDescent="0.3">
      <c r="B2520" s="30" t="str">
        <f t="shared" si="74"/>
        <v/>
      </c>
    </row>
    <row r="2521" spans="2:2" x14ac:dyDescent="0.3">
      <c r="B2521" s="30" t="str">
        <f t="shared" si="74"/>
        <v/>
      </c>
    </row>
    <row r="2522" spans="2:2" x14ac:dyDescent="0.3">
      <c r="B2522" s="30" t="str">
        <f t="shared" si="74"/>
        <v/>
      </c>
    </row>
    <row r="2523" spans="2:2" x14ac:dyDescent="0.3">
      <c r="B2523" s="30" t="str">
        <f t="shared" si="74"/>
        <v/>
      </c>
    </row>
    <row r="2524" spans="2:2" x14ac:dyDescent="0.3">
      <c r="B2524" s="30" t="str">
        <f t="shared" si="74"/>
        <v/>
      </c>
    </row>
    <row r="2525" spans="2:2" x14ac:dyDescent="0.3">
      <c r="B2525" s="30" t="str">
        <f t="shared" si="74"/>
        <v/>
      </c>
    </row>
    <row r="2526" spans="2:2" x14ac:dyDescent="0.3">
      <c r="B2526" s="30" t="str">
        <f t="shared" si="74"/>
        <v/>
      </c>
    </row>
    <row r="2527" spans="2:2" x14ac:dyDescent="0.3">
      <c r="B2527" s="30" t="str">
        <f t="shared" si="74"/>
        <v/>
      </c>
    </row>
    <row r="2528" spans="2:2" x14ac:dyDescent="0.3">
      <c r="B2528" s="30" t="str">
        <f t="shared" si="74"/>
        <v/>
      </c>
    </row>
    <row r="2529" spans="2:2" x14ac:dyDescent="0.3">
      <c r="B2529" s="30" t="str">
        <f t="shared" si="74"/>
        <v/>
      </c>
    </row>
    <row r="2530" spans="2:2" x14ac:dyDescent="0.3">
      <c r="B2530" s="30" t="str">
        <f t="shared" si="74"/>
        <v/>
      </c>
    </row>
    <row r="2531" spans="2:2" x14ac:dyDescent="0.3">
      <c r="B2531" s="30" t="str">
        <f t="shared" si="74"/>
        <v/>
      </c>
    </row>
    <row r="2532" spans="2:2" x14ac:dyDescent="0.3">
      <c r="B2532" s="30" t="str">
        <f t="shared" si="74"/>
        <v/>
      </c>
    </row>
    <row r="2533" spans="2:2" x14ac:dyDescent="0.3">
      <c r="B2533" s="30" t="str">
        <f t="shared" si="74"/>
        <v/>
      </c>
    </row>
    <row r="2534" spans="2:2" x14ac:dyDescent="0.3">
      <c r="B2534" s="30" t="str">
        <f t="shared" si="74"/>
        <v/>
      </c>
    </row>
    <row r="2535" spans="2:2" x14ac:dyDescent="0.3">
      <c r="B2535" s="30" t="str">
        <f t="shared" si="74"/>
        <v/>
      </c>
    </row>
    <row r="2536" spans="2:2" x14ac:dyDescent="0.3">
      <c r="B2536" s="30" t="str">
        <f t="shared" ref="B2536:B2599" si="75">IF($A2536="Daily", "n/a", "")</f>
        <v/>
      </c>
    </row>
    <row r="2537" spans="2:2" x14ac:dyDescent="0.3">
      <c r="B2537" s="30" t="str">
        <f t="shared" si="75"/>
        <v/>
      </c>
    </row>
    <row r="2538" spans="2:2" x14ac:dyDescent="0.3">
      <c r="B2538" s="30" t="str">
        <f t="shared" si="75"/>
        <v/>
      </c>
    </row>
    <row r="2539" spans="2:2" x14ac:dyDescent="0.3">
      <c r="B2539" s="30" t="str">
        <f t="shared" si="75"/>
        <v/>
      </c>
    </row>
    <row r="2540" spans="2:2" x14ac:dyDescent="0.3">
      <c r="B2540" s="30" t="str">
        <f t="shared" si="75"/>
        <v/>
      </c>
    </row>
    <row r="2541" spans="2:2" x14ac:dyDescent="0.3">
      <c r="B2541" s="30" t="str">
        <f t="shared" si="75"/>
        <v/>
      </c>
    </row>
    <row r="2542" spans="2:2" x14ac:dyDescent="0.3">
      <c r="B2542" s="30" t="str">
        <f t="shared" si="75"/>
        <v/>
      </c>
    </row>
    <row r="2543" spans="2:2" x14ac:dyDescent="0.3">
      <c r="B2543" s="30" t="str">
        <f t="shared" si="75"/>
        <v/>
      </c>
    </row>
    <row r="2544" spans="2:2" x14ac:dyDescent="0.3">
      <c r="B2544" s="30" t="str">
        <f t="shared" si="75"/>
        <v/>
      </c>
    </row>
    <row r="2545" spans="2:2" x14ac:dyDescent="0.3">
      <c r="B2545" s="30" t="str">
        <f t="shared" si="75"/>
        <v/>
      </c>
    </row>
    <row r="2546" spans="2:2" x14ac:dyDescent="0.3">
      <c r="B2546" s="30" t="str">
        <f t="shared" si="75"/>
        <v/>
      </c>
    </row>
    <row r="2547" spans="2:2" x14ac:dyDescent="0.3">
      <c r="B2547" s="30" t="str">
        <f t="shared" si="75"/>
        <v/>
      </c>
    </row>
    <row r="2548" spans="2:2" x14ac:dyDescent="0.3">
      <c r="B2548" s="30" t="str">
        <f t="shared" si="75"/>
        <v/>
      </c>
    </row>
    <row r="2549" spans="2:2" x14ac:dyDescent="0.3">
      <c r="B2549" s="30" t="str">
        <f t="shared" si="75"/>
        <v/>
      </c>
    </row>
    <row r="2550" spans="2:2" x14ac:dyDescent="0.3">
      <c r="B2550" s="30" t="str">
        <f t="shared" si="75"/>
        <v/>
      </c>
    </row>
    <row r="2551" spans="2:2" x14ac:dyDescent="0.3">
      <c r="B2551" s="30" t="str">
        <f t="shared" si="75"/>
        <v/>
      </c>
    </row>
    <row r="2552" spans="2:2" x14ac:dyDescent="0.3">
      <c r="B2552" s="30" t="str">
        <f t="shared" si="75"/>
        <v/>
      </c>
    </row>
    <row r="2553" spans="2:2" x14ac:dyDescent="0.3">
      <c r="B2553" s="30" t="str">
        <f t="shared" si="75"/>
        <v/>
      </c>
    </row>
    <row r="2554" spans="2:2" x14ac:dyDescent="0.3">
      <c r="B2554" s="30" t="str">
        <f t="shared" si="75"/>
        <v/>
      </c>
    </row>
    <row r="2555" spans="2:2" x14ac:dyDescent="0.3">
      <c r="B2555" s="30" t="str">
        <f t="shared" si="75"/>
        <v/>
      </c>
    </row>
    <row r="2556" spans="2:2" x14ac:dyDescent="0.3">
      <c r="B2556" s="30" t="str">
        <f t="shared" si="75"/>
        <v/>
      </c>
    </row>
    <row r="2557" spans="2:2" x14ac:dyDescent="0.3">
      <c r="B2557" s="30" t="str">
        <f t="shared" si="75"/>
        <v/>
      </c>
    </row>
    <row r="2558" spans="2:2" x14ac:dyDescent="0.3">
      <c r="B2558" s="30" t="str">
        <f t="shared" si="75"/>
        <v/>
      </c>
    </row>
    <row r="2559" spans="2:2" x14ac:dyDescent="0.3">
      <c r="B2559" s="30" t="str">
        <f t="shared" si="75"/>
        <v/>
      </c>
    </row>
    <row r="2560" spans="2:2" x14ac:dyDescent="0.3">
      <c r="B2560" s="30" t="str">
        <f t="shared" si="75"/>
        <v/>
      </c>
    </row>
    <row r="2561" spans="2:2" x14ac:dyDescent="0.3">
      <c r="B2561" s="30" t="str">
        <f t="shared" si="75"/>
        <v/>
      </c>
    </row>
    <row r="2562" spans="2:2" x14ac:dyDescent="0.3">
      <c r="B2562" s="30" t="str">
        <f t="shared" si="75"/>
        <v/>
      </c>
    </row>
    <row r="2563" spans="2:2" x14ac:dyDescent="0.3">
      <c r="B2563" s="30" t="str">
        <f t="shared" si="75"/>
        <v/>
      </c>
    </row>
    <row r="2564" spans="2:2" x14ac:dyDescent="0.3">
      <c r="B2564" s="30" t="str">
        <f t="shared" si="75"/>
        <v/>
      </c>
    </row>
    <row r="2565" spans="2:2" x14ac:dyDescent="0.3">
      <c r="B2565" s="30" t="str">
        <f t="shared" si="75"/>
        <v/>
      </c>
    </row>
    <row r="2566" spans="2:2" x14ac:dyDescent="0.3">
      <c r="B2566" s="30" t="str">
        <f t="shared" si="75"/>
        <v/>
      </c>
    </row>
    <row r="2567" spans="2:2" x14ac:dyDescent="0.3">
      <c r="B2567" s="30" t="str">
        <f t="shared" si="75"/>
        <v/>
      </c>
    </row>
    <row r="2568" spans="2:2" x14ac:dyDescent="0.3">
      <c r="B2568" s="30" t="str">
        <f t="shared" si="75"/>
        <v/>
      </c>
    </row>
    <row r="2569" spans="2:2" x14ac:dyDescent="0.3">
      <c r="B2569" s="30" t="str">
        <f t="shared" si="75"/>
        <v/>
      </c>
    </row>
    <row r="2570" spans="2:2" x14ac:dyDescent="0.3">
      <c r="B2570" s="30" t="str">
        <f t="shared" si="75"/>
        <v/>
      </c>
    </row>
    <row r="2571" spans="2:2" x14ac:dyDescent="0.3">
      <c r="B2571" s="30" t="str">
        <f t="shared" si="75"/>
        <v/>
      </c>
    </row>
    <row r="2572" spans="2:2" x14ac:dyDescent="0.3">
      <c r="B2572" s="30" t="str">
        <f t="shared" si="75"/>
        <v/>
      </c>
    </row>
    <row r="2573" spans="2:2" x14ac:dyDescent="0.3">
      <c r="B2573" s="30" t="str">
        <f t="shared" si="75"/>
        <v/>
      </c>
    </row>
    <row r="2574" spans="2:2" x14ac:dyDescent="0.3">
      <c r="B2574" s="30" t="str">
        <f t="shared" si="75"/>
        <v/>
      </c>
    </row>
    <row r="2575" spans="2:2" x14ac:dyDescent="0.3">
      <c r="B2575" s="30" t="str">
        <f t="shared" si="75"/>
        <v/>
      </c>
    </row>
    <row r="2576" spans="2:2" x14ac:dyDescent="0.3">
      <c r="B2576" s="30" t="str">
        <f t="shared" si="75"/>
        <v/>
      </c>
    </row>
    <row r="2577" spans="2:2" x14ac:dyDescent="0.3">
      <c r="B2577" s="30" t="str">
        <f t="shared" si="75"/>
        <v/>
      </c>
    </row>
    <row r="2578" spans="2:2" x14ac:dyDescent="0.3">
      <c r="B2578" s="30" t="str">
        <f t="shared" si="75"/>
        <v/>
      </c>
    </row>
    <row r="2579" spans="2:2" x14ac:dyDescent="0.3">
      <c r="B2579" s="30" t="str">
        <f t="shared" si="75"/>
        <v/>
      </c>
    </row>
    <row r="2580" spans="2:2" x14ac:dyDescent="0.3">
      <c r="B2580" s="30" t="str">
        <f t="shared" si="75"/>
        <v/>
      </c>
    </row>
    <row r="2581" spans="2:2" x14ac:dyDescent="0.3">
      <c r="B2581" s="30" t="str">
        <f t="shared" si="75"/>
        <v/>
      </c>
    </row>
    <row r="2582" spans="2:2" x14ac:dyDescent="0.3">
      <c r="B2582" s="30" t="str">
        <f t="shared" si="75"/>
        <v/>
      </c>
    </row>
    <row r="2583" spans="2:2" x14ac:dyDescent="0.3">
      <c r="B2583" s="30" t="str">
        <f t="shared" si="75"/>
        <v/>
      </c>
    </row>
    <row r="2584" spans="2:2" x14ac:dyDescent="0.3">
      <c r="B2584" s="30" t="str">
        <f t="shared" si="75"/>
        <v/>
      </c>
    </row>
    <row r="2585" spans="2:2" x14ac:dyDescent="0.3">
      <c r="B2585" s="30" t="str">
        <f t="shared" si="75"/>
        <v/>
      </c>
    </row>
    <row r="2586" spans="2:2" x14ac:dyDescent="0.3">
      <c r="B2586" s="30" t="str">
        <f t="shared" si="75"/>
        <v/>
      </c>
    </row>
    <row r="2587" spans="2:2" x14ac:dyDescent="0.3">
      <c r="B2587" s="30" t="str">
        <f t="shared" si="75"/>
        <v/>
      </c>
    </row>
    <row r="2588" spans="2:2" x14ac:dyDescent="0.3">
      <c r="B2588" s="30" t="str">
        <f t="shared" si="75"/>
        <v/>
      </c>
    </row>
    <row r="2589" spans="2:2" x14ac:dyDescent="0.3">
      <c r="B2589" s="30" t="str">
        <f t="shared" si="75"/>
        <v/>
      </c>
    </row>
    <row r="2590" spans="2:2" x14ac:dyDescent="0.3">
      <c r="B2590" s="30" t="str">
        <f t="shared" si="75"/>
        <v/>
      </c>
    </row>
    <row r="2591" spans="2:2" x14ac:dyDescent="0.3">
      <c r="B2591" s="30" t="str">
        <f t="shared" si="75"/>
        <v/>
      </c>
    </row>
    <row r="2592" spans="2:2" x14ac:dyDescent="0.3">
      <c r="B2592" s="30" t="str">
        <f t="shared" si="75"/>
        <v/>
      </c>
    </row>
    <row r="2593" spans="2:2" x14ac:dyDescent="0.3">
      <c r="B2593" s="30" t="str">
        <f t="shared" si="75"/>
        <v/>
      </c>
    </row>
    <row r="2594" spans="2:2" x14ac:dyDescent="0.3">
      <c r="B2594" s="30" t="str">
        <f t="shared" si="75"/>
        <v/>
      </c>
    </row>
    <row r="2595" spans="2:2" x14ac:dyDescent="0.3">
      <c r="B2595" s="30" t="str">
        <f t="shared" si="75"/>
        <v/>
      </c>
    </row>
    <row r="2596" spans="2:2" x14ac:dyDescent="0.3">
      <c r="B2596" s="30" t="str">
        <f t="shared" si="75"/>
        <v/>
      </c>
    </row>
    <row r="2597" spans="2:2" x14ac:dyDescent="0.3">
      <c r="B2597" s="30" t="str">
        <f t="shared" si="75"/>
        <v/>
      </c>
    </row>
    <row r="2598" spans="2:2" x14ac:dyDescent="0.3">
      <c r="B2598" s="30" t="str">
        <f t="shared" si="75"/>
        <v/>
      </c>
    </row>
    <row r="2599" spans="2:2" x14ac:dyDescent="0.3">
      <c r="B2599" s="30" t="str">
        <f t="shared" si="75"/>
        <v/>
      </c>
    </row>
    <row r="2600" spans="2:2" x14ac:dyDescent="0.3">
      <c r="B2600" s="30" t="str">
        <f t="shared" ref="B2600:B2663" si="76">IF($A2600="Daily", "n/a", "")</f>
        <v/>
      </c>
    </row>
    <row r="2601" spans="2:2" x14ac:dyDescent="0.3">
      <c r="B2601" s="30" t="str">
        <f t="shared" si="76"/>
        <v/>
      </c>
    </row>
    <row r="2602" spans="2:2" x14ac:dyDescent="0.3">
      <c r="B2602" s="30" t="str">
        <f t="shared" si="76"/>
        <v/>
      </c>
    </row>
    <row r="2603" spans="2:2" x14ac:dyDescent="0.3">
      <c r="B2603" s="30" t="str">
        <f t="shared" si="76"/>
        <v/>
      </c>
    </row>
    <row r="2604" spans="2:2" x14ac:dyDescent="0.3">
      <c r="B2604" s="30" t="str">
        <f t="shared" si="76"/>
        <v/>
      </c>
    </row>
    <row r="2605" spans="2:2" x14ac:dyDescent="0.3">
      <c r="B2605" s="30" t="str">
        <f t="shared" si="76"/>
        <v/>
      </c>
    </row>
    <row r="2606" spans="2:2" x14ac:dyDescent="0.3">
      <c r="B2606" s="30" t="str">
        <f t="shared" si="76"/>
        <v/>
      </c>
    </row>
    <row r="2607" spans="2:2" x14ac:dyDescent="0.3">
      <c r="B2607" s="30" t="str">
        <f t="shared" si="76"/>
        <v/>
      </c>
    </row>
    <row r="2608" spans="2:2" x14ac:dyDescent="0.3">
      <c r="B2608" s="30" t="str">
        <f t="shared" si="76"/>
        <v/>
      </c>
    </row>
    <row r="2609" spans="2:2" x14ac:dyDescent="0.3">
      <c r="B2609" s="30" t="str">
        <f t="shared" si="76"/>
        <v/>
      </c>
    </row>
    <row r="2610" spans="2:2" x14ac:dyDescent="0.3">
      <c r="B2610" s="30" t="str">
        <f t="shared" si="76"/>
        <v/>
      </c>
    </row>
    <row r="2611" spans="2:2" x14ac:dyDescent="0.3">
      <c r="B2611" s="30" t="str">
        <f t="shared" si="76"/>
        <v/>
      </c>
    </row>
    <row r="2612" spans="2:2" x14ac:dyDescent="0.3">
      <c r="B2612" s="30" t="str">
        <f t="shared" si="76"/>
        <v/>
      </c>
    </row>
    <row r="2613" spans="2:2" x14ac:dyDescent="0.3">
      <c r="B2613" s="30" t="str">
        <f t="shared" si="76"/>
        <v/>
      </c>
    </row>
    <row r="2614" spans="2:2" x14ac:dyDescent="0.3">
      <c r="B2614" s="30" t="str">
        <f t="shared" si="76"/>
        <v/>
      </c>
    </row>
    <row r="2615" spans="2:2" x14ac:dyDescent="0.3">
      <c r="B2615" s="30" t="str">
        <f t="shared" si="76"/>
        <v/>
      </c>
    </row>
    <row r="2616" spans="2:2" x14ac:dyDescent="0.3">
      <c r="B2616" s="30" t="str">
        <f t="shared" si="76"/>
        <v/>
      </c>
    </row>
    <row r="2617" spans="2:2" x14ac:dyDescent="0.3">
      <c r="B2617" s="30" t="str">
        <f t="shared" si="76"/>
        <v/>
      </c>
    </row>
    <row r="2618" spans="2:2" x14ac:dyDescent="0.3">
      <c r="B2618" s="30" t="str">
        <f t="shared" si="76"/>
        <v/>
      </c>
    </row>
    <row r="2619" spans="2:2" x14ac:dyDescent="0.3">
      <c r="B2619" s="30" t="str">
        <f t="shared" si="76"/>
        <v/>
      </c>
    </row>
    <row r="2620" spans="2:2" x14ac:dyDescent="0.3">
      <c r="B2620" s="30" t="str">
        <f t="shared" si="76"/>
        <v/>
      </c>
    </row>
    <row r="2621" spans="2:2" x14ac:dyDescent="0.3">
      <c r="B2621" s="30" t="str">
        <f t="shared" si="76"/>
        <v/>
      </c>
    </row>
    <row r="2622" spans="2:2" x14ac:dyDescent="0.3">
      <c r="B2622" s="30" t="str">
        <f t="shared" si="76"/>
        <v/>
      </c>
    </row>
    <row r="2623" spans="2:2" x14ac:dyDescent="0.3">
      <c r="B2623" s="30" t="str">
        <f t="shared" si="76"/>
        <v/>
      </c>
    </row>
    <row r="2624" spans="2:2" x14ac:dyDescent="0.3">
      <c r="B2624" s="30" t="str">
        <f t="shared" si="76"/>
        <v/>
      </c>
    </row>
    <row r="2625" spans="2:2" x14ac:dyDescent="0.3">
      <c r="B2625" s="30" t="str">
        <f t="shared" si="76"/>
        <v/>
      </c>
    </row>
    <row r="2626" spans="2:2" x14ac:dyDescent="0.3">
      <c r="B2626" s="30" t="str">
        <f t="shared" si="76"/>
        <v/>
      </c>
    </row>
    <row r="2627" spans="2:2" x14ac:dyDescent="0.3">
      <c r="B2627" s="30" t="str">
        <f t="shared" si="76"/>
        <v/>
      </c>
    </row>
    <row r="2628" spans="2:2" x14ac:dyDescent="0.3">
      <c r="B2628" s="30" t="str">
        <f t="shared" si="76"/>
        <v/>
      </c>
    </row>
    <row r="2629" spans="2:2" x14ac:dyDescent="0.3">
      <c r="B2629" s="30" t="str">
        <f t="shared" si="76"/>
        <v/>
      </c>
    </row>
    <row r="2630" spans="2:2" x14ac:dyDescent="0.3">
      <c r="B2630" s="30" t="str">
        <f t="shared" si="76"/>
        <v/>
      </c>
    </row>
    <row r="2631" spans="2:2" x14ac:dyDescent="0.3">
      <c r="B2631" s="30" t="str">
        <f t="shared" si="76"/>
        <v/>
      </c>
    </row>
    <row r="2632" spans="2:2" x14ac:dyDescent="0.3">
      <c r="B2632" s="30" t="str">
        <f t="shared" si="76"/>
        <v/>
      </c>
    </row>
    <row r="2633" spans="2:2" x14ac:dyDescent="0.3">
      <c r="B2633" s="30" t="str">
        <f t="shared" si="76"/>
        <v/>
      </c>
    </row>
    <row r="2634" spans="2:2" x14ac:dyDescent="0.3">
      <c r="B2634" s="30" t="str">
        <f t="shared" si="76"/>
        <v/>
      </c>
    </row>
    <row r="2635" spans="2:2" x14ac:dyDescent="0.3">
      <c r="B2635" s="30" t="str">
        <f t="shared" si="76"/>
        <v/>
      </c>
    </row>
    <row r="2636" spans="2:2" x14ac:dyDescent="0.3">
      <c r="B2636" s="30" t="str">
        <f t="shared" si="76"/>
        <v/>
      </c>
    </row>
    <row r="2637" spans="2:2" x14ac:dyDescent="0.3">
      <c r="B2637" s="30" t="str">
        <f t="shared" si="76"/>
        <v/>
      </c>
    </row>
    <row r="2638" spans="2:2" x14ac:dyDescent="0.3">
      <c r="B2638" s="30" t="str">
        <f t="shared" si="76"/>
        <v/>
      </c>
    </row>
    <row r="2639" spans="2:2" x14ac:dyDescent="0.3">
      <c r="B2639" s="30" t="str">
        <f t="shared" si="76"/>
        <v/>
      </c>
    </row>
    <row r="2640" spans="2:2" x14ac:dyDescent="0.3">
      <c r="B2640" s="30" t="str">
        <f t="shared" si="76"/>
        <v/>
      </c>
    </row>
    <row r="2641" spans="2:2" x14ac:dyDescent="0.3">
      <c r="B2641" s="30" t="str">
        <f t="shared" si="76"/>
        <v/>
      </c>
    </row>
    <row r="2642" spans="2:2" x14ac:dyDescent="0.3">
      <c r="B2642" s="30" t="str">
        <f t="shared" si="76"/>
        <v/>
      </c>
    </row>
    <row r="2643" spans="2:2" x14ac:dyDescent="0.3">
      <c r="B2643" s="30" t="str">
        <f t="shared" si="76"/>
        <v/>
      </c>
    </row>
    <row r="2644" spans="2:2" x14ac:dyDescent="0.3">
      <c r="B2644" s="30" t="str">
        <f t="shared" si="76"/>
        <v/>
      </c>
    </row>
    <row r="2645" spans="2:2" x14ac:dyDescent="0.3">
      <c r="B2645" s="30" t="str">
        <f t="shared" si="76"/>
        <v/>
      </c>
    </row>
    <row r="2646" spans="2:2" x14ac:dyDescent="0.3">
      <c r="B2646" s="30" t="str">
        <f t="shared" si="76"/>
        <v/>
      </c>
    </row>
    <row r="2647" spans="2:2" x14ac:dyDescent="0.3">
      <c r="B2647" s="30" t="str">
        <f t="shared" si="76"/>
        <v/>
      </c>
    </row>
    <row r="2648" spans="2:2" x14ac:dyDescent="0.3">
      <c r="B2648" s="30" t="str">
        <f t="shared" si="76"/>
        <v/>
      </c>
    </row>
    <row r="2649" spans="2:2" x14ac:dyDescent="0.3">
      <c r="B2649" s="30" t="str">
        <f t="shared" si="76"/>
        <v/>
      </c>
    </row>
    <row r="2650" spans="2:2" x14ac:dyDescent="0.3">
      <c r="B2650" s="30" t="str">
        <f t="shared" si="76"/>
        <v/>
      </c>
    </row>
    <row r="2651" spans="2:2" x14ac:dyDescent="0.3">
      <c r="B2651" s="30" t="str">
        <f t="shared" si="76"/>
        <v/>
      </c>
    </row>
    <row r="2652" spans="2:2" x14ac:dyDescent="0.3">
      <c r="B2652" s="30" t="str">
        <f t="shared" si="76"/>
        <v/>
      </c>
    </row>
    <row r="2653" spans="2:2" x14ac:dyDescent="0.3">
      <c r="B2653" s="30" t="str">
        <f t="shared" si="76"/>
        <v/>
      </c>
    </row>
    <row r="2654" spans="2:2" x14ac:dyDescent="0.3">
      <c r="B2654" s="30" t="str">
        <f t="shared" si="76"/>
        <v/>
      </c>
    </row>
    <row r="2655" spans="2:2" x14ac:dyDescent="0.3">
      <c r="B2655" s="30" t="str">
        <f t="shared" si="76"/>
        <v/>
      </c>
    </row>
    <row r="2656" spans="2:2" x14ac:dyDescent="0.3">
      <c r="B2656" s="30" t="str">
        <f t="shared" si="76"/>
        <v/>
      </c>
    </row>
    <row r="2657" spans="2:2" x14ac:dyDescent="0.3">
      <c r="B2657" s="30" t="str">
        <f t="shared" si="76"/>
        <v/>
      </c>
    </row>
    <row r="2658" spans="2:2" x14ac:dyDescent="0.3">
      <c r="B2658" s="30" t="str">
        <f t="shared" si="76"/>
        <v/>
      </c>
    </row>
    <row r="2659" spans="2:2" x14ac:dyDescent="0.3">
      <c r="B2659" s="30" t="str">
        <f t="shared" si="76"/>
        <v/>
      </c>
    </row>
    <row r="2660" spans="2:2" x14ac:dyDescent="0.3">
      <c r="B2660" s="30" t="str">
        <f t="shared" si="76"/>
        <v/>
      </c>
    </row>
    <row r="2661" spans="2:2" x14ac:dyDescent="0.3">
      <c r="B2661" s="30" t="str">
        <f t="shared" si="76"/>
        <v/>
      </c>
    </row>
    <row r="2662" spans="2:2" x14ac:dyDescent="0.3">
      <c r="B2662" s="30" t="str">
        <f t="shared" si="76"/>
        <v/>
      </c>
    </row>
    <row r="2663" spans="2:2" x14ac:dyDescent="0.3">
      <c r="B2663" s="30" t="str">
        <f t="shared" si="76"/>
        <v/>
      </c>
    </row>
    <row r="2664" spans="2:2" x14ac:dyDescent="0.3">
      <c r="B2664" s="30" t="str">
        <f t="shared" ref="B2664:B2727" si="77">IF($A2664="Daily", "n/a", "")</f>
        <v/>
      </c>
    </row>
    <row r="2665" spans="2:2" x14ac:dyDescent="0.3">
      <c r="B2665" s="30" t="str">
        <f t="shared" si="77"/>
        <v/>
      </c>
    </row>
    <row r="2666" spans="2:2" x14ac:dyDescent="0.3">
      <c r="B2666" s="30" t="str">
        <f t="shared" si="77"/>
        <v/>
      </c>
    </row>
    <row r="2667" spans="2:2" x14ac:dyDescent="0.3">
      <c r="B2667" s="30" t="str">
        <f t="shared" si="77"/>
        <v/>
      </c>
    </row>
    <row r="2668" spans="2:2" x14ac:dyDescent="0.3">
      <c r="B2668" s="30" t="str">
        <f t="shared" si="77"/>
        <v/>
      </c>
    </row>
    <row r="2669" spans="2:2" x14ac:dyDescent="0.3">
      <c r="B2669" s="30" t="str">
        <f t="shared" si="77"/>
        <v/>
      </c>
    </row>
    <row r="2670" spans="2:2" x14ac:dyDescent="0.3">
      <c r="B2670" s="30" t="str">
        <f t="shared" si="77"/>
        <v/>
      </c>
    </row>
    <row r="2671" spans="2:2" x14ac:dyDescent="0.3">
      <c r="B2671" s="30" t="str">
        <f t="shared" si="77"/>
        <v/>
      </c>
    </row>
    <row r="2672" spans="2:2" x14ac:dyDescent="0.3">
      <c r="B2672" s="30" t="str">
        <f t="shared" si="77"/>
        <v/>
      </c>
    </row>
    <row r="2673" spans="2:2" x14ac:dyDescent="0.3">
      <c r="B2673" s="30" t="str">
        <f t="shared" si="77"/>
        <v/>
      </c>
    </row>
    <row r="2674" spans="2:2" x14ac:dyDescent="0.3">
      <c r="B2674" s="30" t="str">
        <f t="shared" si="77"/>
        <v/>
      </c>
    </row>
    <row r="2675" spans="2:2" x14ac:dyDescent="0.3">
      <c r="B2675" s="30" t="str">
        <f t="shared" si="77"/>
        <v/>
      </c>
    </row>
    <row r="2676" spans="2:2" x14ac:dyDescent="0.3">
      <c r="B2676" s="30" t="str">
        <f t="shared" si="77"/>
        <v/>
      </c>
    </row>
    <row r="2677" spans="2:2" x14ac:dyDescent="0.3">
      <c r="B2677" s="30" t="str">
        <f t="shared" si="77"/>
        <v/>
      </c>
    </row>
    <row r="2678" spans="2:2" x14ac:dyDescent="0.3">
      <c r="B2678" s="30" t="str">
        <f t="shared" si="77"/>
        <v/>
      </c>
    </row>
    <row r="2679" spans="2:2" x14ac:dyDescent="0.3">
      <c r="B2679" s="30" t="str">
        <f t="shared" si="77"/>
        <v/>
      </c>
    </row>
    <row r="2680" spans="2:2" x14ac:dyDescent="0.3">
      <c r="B2680" s="30" t="str">
        <f t="shared" si="77"/>
        <v/>
      </c>
    </row>
    <row r="2681" spans="2:2" x14ac:dyDescent="0.3">
      <c r="B2681" s="30" t="str">
        <f t="shared" si="77"/>
        <v/>
      </c>
    </row>
    <row r="2682" spans="2:2" x14ac:dyDescent="0.3">
      <c r="B2682" s="30" t="str">
        <f t="shared" si="77"/>
        <v/>
      </c>
    </row>
    <row r="2683" spans="2:2" x14ac:dyDescent="0.3">
      <c r="B2683" s="30" t="str">
        <f t="shared" si="77"/>
        <v/>
      </c>
    </row>
    <row r="2684" spans="2:2" x14ac:dyDescent="0.3">
      <c r="B2684" s="30" t="str">
        <f t="shared" si="77"/>
        <v/>
      </c>
    </row>
    <row r="2685" spans="2:2" x14ac:dyDescent="0.3">
      <c r="B2685" s="30" t="str">
        <f t="shared" si="77"/>
        <v/>
      </c>
    </row>
    <row r="2686" spans="2:2" x14ac:dyDescent="0.3">
      <c r="B2686" s="30" t="str">
        <f t="shared" si="77"/>
        <v/>
      </c>
    </row>
    <row r="2687" spans="2:2" x14ac:dyDescent="0.3">
      <c r="B2687" s="30" t="str">
        <f t="shared" si="77"/>
        <v/>
      </c>
    </row>
    <row r="2688" spans="2:2" x14ac:dyDescent="0.3">
      <c r="B2688" s="30" t="str">
        <f t="shared" si="77"/>
        <v/>
      </c>
    </row>
    <row r="2689" spans="2:2" x14ac:dyDescent="0.3">
      <c r="B2689" s="30" t="str">
        <f t="shared" si="77"/>
        <v/>
      </c>
    </row>
    <row r="2690" spans="2:2" x14ac:dyDescent="0.3">
      <c r="B2690" s="30" t="str">
        <f t="shared" si="77"/>
        <v/>
      </c>
    </row>
    <row r="2691" spans="2:2" x14ac:dyDescent="0.3">
      <c r="B2691" s="30" t="str">
        <f t="shared" si="77"/>
        <v/>
      </c>
    </row>
    <row r="2692" spans="2:2" x14ac:dyDescent="0.3">
      <c r="B2692" s="30" t="str">
        <f t="shared" si="77"/>
        <v/>
      </c>
    </row>
    <row r="2693" spans="2:2" x14ac:dyDescent="0.3">
      <c r="B2693" s="30" t="str">
        <f t="shared" si="77"/>
        <v/>
      </c>
    </row>
    <row r="2694" spans="2:2" x14ac:dyDescent="0.3">
      <c r="B2694" s="30" t="str">
        <f t="shared" si="77"/>
        <v/>
      </c>
    </row>
    <row r="2695" spans="2:2" x14ac:dyDescent="0.3">
      <c r="B2695" s="30" t="str">
        <f t="shared" si="77"/>
        <v/>
      </c>
    </row>
    <row r="2696" spans="2:2" x14ac:dyDescent="0.3">
      <c r="B2696" s="30" t="str">
        <f t="shared" si="77"/>
        <v/>
      </c>
    </row>
    <row r="2697" spans="2:2" x14ac:dyDescent="0.3">
      <c r="B2697" s="30" t="str">
        <f t="shared" si="77"/>
        <v/>
      </c>
    </row>
    <row r="2698" spans="2:2" x14ac:dyDescent="0.3">
      <c r="B2698" s="30" t="str">
        <f t="shared" si="77"/>
        <v/>
      </c>
    </row>
    <row r="2699" spans="2:2" x14ac:dyDescent="0.3">
      <c r="B2699" s="30" t="str">
        <f t="shared" si="77"/>
        <v/>
      </c>
    </row>
    <row r="2700" spans="2:2" x14ac:dyDescent="0.3">
      <c r="B2700" s="30" t="str">
        <f t="shared" si="77"/>
        <v/>
      </c>
    </row>
    <row r="2701" spans="2:2" x14ac:dyDescent="0.3">
      <c r="B2701" s="30" t="str">
        <f t="shared" si="77"/>
        <v/>
      </c>
    </row>
    <row r="2702" spans="2:2" x14ac:dyDescent="0.3">
      <c r="B2702" s="30" t="str">
        <f t="shared" si="77"/>
        <v/>
      </c>
    </row>
    <row r="2703" spans="2:2" x14ac:dyDescent="0.3">
      <c r="B2703" s="30" t="str">
        <f t="shared" si="77"/>
        <v/>
      </c>
    </row>
    <row r="2704" spans="2:2" x14ac:dyDescent="0.3">
      <c r="B2704" s="30" t="str">
        <f t="shared" si="77"/>
        <v/>
      </c>
    </row>
    <row r="2705" spans="2:2" x14ac:dyDescent="0.3">
      <c r="B2705" s="30" t="str">
        <f t="shared" si="77"/>
        <v/>
      </c>
    </row>
    <row r="2706" spans="2:2" x14ac:dyDescent="0.3">
      <c r="B2706" s="30" t="str">
        <f t="shared" si="77"/>
        <v/>
      </c>
    </row>
    <row r="2707" spans="2:2" x14ac:dyDescent="0.3">
      <c r="B2707" s="30" t="str">
        <f t="shared" si="77"/>
        <v/>
      </c>
    </row>
    <row r="2708" spans="2:2" x14ac:dyDescent="0.3">
      <c r="B2708" s="30" t="str">
        <f t="shared" si="77"/>
        <v/>
      </c>
    </row>
    <row r="2709" spans="2:2" x14ac:dyDescent="0.3">
      <c r="B2709" s="30" t="str">
        <f t="shared" si="77"/>
        <v/>
      </c>
    </row>
    <row r="2710" spans="2:2" x14ac:dyDescent="0.3">
      <c r="B2710" s="30" t="str">
        <f t="shared" si="77"/>
        <v/>
      </c>
    </row>
    <row r="2711" spans="2:2" x14ac:dyDescent="0.3">
      <c r="B2711" s="30" t="str">
        <f t="shared" si="77"/>
        <v/>
      </c>
    </row>
    <row r="2712" spans="2:2" x14ac:dyDescent="0.3">
      <c r="B2712" s="30" t="str">
        <f t="shared" si="77"/>
        <v/>
      </c>
    </row>
    <row r="2713" spans="2:2" x14ac:dyDescent="0.3">
      <c r="B2713" s="30" t="str">
        <f t="shared" si="77"/>
        <v/>
      </c>
    </row>
    <row r="2714" spans="2:2" x14ac:dyDescent="0.3">
      <c r="B2714" s="30" t="str">
        <f t="shared" si="77"/>
        <v/>
      </c>
    </row>
    <row r="2715" spans="2:2" x14ac:dyDescent="0.3">
      <c r="B2715" s="30" t="str">
        <f t="shared" si="77"/>
        <v/>
      </c>
    </row>
    <row r="2716" spans="2:2" x14ac:dyDescent="0.3">
      <c r="B2716" s="30" t="str">
        <f t="shared" si="77"/>
        <v/>
      </c>
    </row>
    <row r="2717" spans="2:2" x14ac:dyDescent="0.3">
      <c r="B2717" s="30" t="str">
        <f t="shared" si="77"/>
        <v/>
      </c>
    </row>
    <row r="2718" spans="2:2" x14ac:dyDescent="0.3">
      <c r="B2718" s="30" t="str">
        <f t="shared" si="77"/>
        <v/>
      </c>
    </row>
    <row r="2719" spans="2:2" x14ac:dyDescent="0.3">
      <c r="B2719" s="30" t="str">
        <f t="shared" si="77"/>
        <v/>
      </c>
    </row>
    <row r="2720" spans="2:2" x14ac:dyDescent="0.3">
      <c r="B2720" s="30" t="str">
        <f t="shared" si="77"/>
        <v/>
      </c>
    </row>
    <row r="2721" spans="2:2" x14ac:dyDescent="0.3">
      <c r="B2721" s="30" t="str">
        <f t="shared" si="77"/>
        <v/>
      </c>
    </row>
    <row r="2722" spans="2:2" x14ac:dyDescent="0.3">
      <c r="B2722" s="30" t="str">
        <f t="shared" si="77"/>
        <v/>
      </c>
    </row>
    <row r="2723" spans="2:2" x14ac:dyDescent="0.3">
      <c r="B2723" s="30" t="str">
        <f t="shared" si="77"/>
        <v/>
      </c>
    </row>
    <row r="2724" spans="2:2" x14ac:dyDescent="0.3">
      <c r="B2724" s="30" t="str">
        <f t="shared" si="77"/>
        <v/>
      </c>
    </row>
    <row r="2725" spans="2:2" x14ac:dyDescent="0.3">
      <c r="B2725" s="30" t="str">
        <f t="shared" si="77"/>
        <v/>
      </c>
    </row>
    <row r="2726" spans="2:2" x14ac:dyDescent="0.3">
      <c r="B2726" s="30" t="str">
        <f t="shared" si="77"/>
        <v/>
      </c>
    </row>
    <row r="2727" spans="2:2" x14ac:dyDescent="0.3">
      <c r="B2727" s="30" t="str">
        <f t="shared" si="77"/>
        <v/>
      </c>
    </row>
    <row r="2728" spans="2:2" x14ac:dyDescent="0.3">
      <c r="B2728" s="30" t="str">
        <f t="shared" ref="B2728:B2791" si="78">IF($A2728="Daily", "n/a", "")</f>
        <v/>
      </c>
    </row>
    <row r="2729" spans="2:2" x14ac:dyDescent="0.3">
      <c r="B2729" s="30" t="str">
        <f t="shared" si="78"/>
        <v/>
      </c>
    </row>
    <row r="2730" spans="2:2" x14ac:dyDescent="0.3">
      <c r="B2730" s="30" t="str">
        <f t="shared" si="78"/>
        <v/>
      </c>
    </row>
    <row r="2731" spans="2:2" x14ac:dyDescent="0.3">
      <c r="B2731" s="30" t="str">
        <f t="shared" si="78"/>
        <v/>
      </c>
    </row>
    <row r="2732" spans="2:2" x14ac:dyDescent="0.3">
      <c r="B2732" s="30" t="str">
        <f t="shared" si="78"/>
        <v/>
      </c>
    </row>
    <row r="2733" spans="2:2" x14ac:dyDescent="0.3">
      <c r="B2733" s="30" t="str">
        <f t="shared" si="78"/>
        <v/>
      </c>
    </row>
    <row r="2734" spans="2:2" x14ac:dyDescent="0.3">
      <c r="B2734" s="30" t="str">
        <f t="shared" si="78"/>
        <v/>
      </c>
    </row>
    <row r="2735" spans="2:2" x14ac:dyDescent="0.3">
      <c r="B2735" s="30" t="str">
        <f t="shared" si="78"/>
        <v/>
      </c>
    </row>
    <row r="2736" spans="2:2" x14ac:dyDescent="0.3">
      <c r="B2736" s="30" t="str">
        <f t="shared" si="78"/>
        <v/>
      </c>
    </row>
    <row r="2737" spans="2:2" x14ac:dyDescent="0.3">
      <c r="B2737" s="30" t="str">
        <f t="shared" si="78"/>
        <v/>
      </c>
    </row>
    <row r="2738" spans="2:2" x14ac:dyDescent="0.3">
      <c r="B2738" s="30" t="str">
        <f t="shared" si="78"/>
        <v/>
      </c>
    </row>
    <row r="2739" spans="2:2" x14ac:dyDescent="0.3">
      <c r="B2739" s="30" t="str">
        <f t="shared" si="78"/>
        <v/>
      </c>
    </row>
    <row r="2740" spans="2:2" x14ac:dyDescent="0.3">
      <c r="B2740" s="30" t="str">
        <f t="shared" si="78"/>
        <v/>
      </c>
    </row>
    <row r="2741" spans="2:2" x14ac:dyDescent="0.3">
      <c r="B2741" s="30" t="str">
        <f t="shared" si="78"/>
        <v/>
      </c>
    </row>
    <row r="2742" spans="2:2" x14ac:dyDescent="0.3">
      <c r="B2742" s="30" t="str">
        <f t="shared" si="78"/>
        <v/>
      </c>
    </row>
    <row r="2743" spans="2:2" x14ac:dyDescent="0.3">
      <c r="B2743" s="30" t="str">
        <f t="shared" si="78"/>
        <v/>
      </c>
    </row>
    <row r="2744" spans="2:2" x14ac:dyDescent="0.3">
      <c r="B2744" s="30" t="str">
        <f t="shared" si="78"/>
        <v/>
      </c>
    </row>
    <row r="2745" spans="2:2" x14ac:dyDescent="0.3">
      <c r="B2745" s="30" t="str">
        <f t="shared" si="78"/>
        <v/>
      </c>
    </row>
    <row r="2746" spans="2:2" x14ac:dyDescent="0.3">
      <c r="B2746" s="30" t="str">
        <f t="shared" si="78"/>
        <v/>
      </c>
    </row>
    <row r="2747" spans="2:2" x14ac:dyDescent="0.3">
      <c r="B2747" s="30" t="str">
        <f t="shared" si="78"/>
        <v/>
      </c>
    </row>
    <row r="2748" spans="2:2" x14ac:dyDescent="0.3">
      <c r="B2748" s="30" t="str">
        <f t="shared" si="78"/>
        <v/>
      </c>
    </row>
    <row r="2749" spans="2:2" x14ac:dyDescent="0.3">
      <c r="B2749" s="30" t="str">
        <f t="shared" si="78"/>
        <v/>
      </c>
    </row>
    <row r="2750" spans="2:2" x14ac:dyDescent="0.3">
      <c r="B2750" s="30" t="str">
        <f t="shared" si="78"/>
        <v/>
      </c>
    </row>
    <row r="2751" spans="2:2" x14ac:dyDescent="0.3">
      <c r="B2751" s="30" t="str">
        <f t="shared" si="78"/>
        <v/>
      </c>
    </row>
    <row r="2752" spans="2:2" x14ac:dyDescent="0.3">
      <c r="B2752" s="30" t="str">
        <f t="shared" si="78"/>
        <v/>
      </c>
    </row>
    <row r="2753" spans="2:2" x14ac:dyDescent="0.3">
      <c r="B2753" s="30" t="str">
        <f t="shared" si="78"/>
        <v/>
      </c>
    </row>
    <row r="2754" spans="2:2" x14ac:dyDescent="0.3">
      <c r="B2754" s="30" t="str">
        <f t="shared" si="78"/>
        <v/>
      </c>
    </row>
    <row r="2755" spans="2:2" x14ac:dyDescent="0.3">
      <c r="B2755" s="30" t="str">
        <f t="shared" si="78"/>
        <v/>
      </c>
    </row>
    <row r="2756" spans="2:2" x14ac:dyDescent="0.3">
      <c r="B2756" s="30" t="str">
        <f t="shared" si="78"/>
        <v/>
      </c>
    </row>
    <row r="2757" spans="2:2" x14ac:dyDescent="0.3">
      <c r="B2757" s="30" t="str">
        <f t="shared" si="78"/>
        <v/>
      </c>
    </row>
    <row r="2758" spans="2:2" x14ac:dyDescent="0.3">
      <c r="B2758" s="30" t="str">
        <f t="shared" si="78"/>
        <v/>
      </c>
    </row>
    <row r="2759" spans="2:2" x14ac:dyDescent="0.3">
      <c r="B2759" s="30" t="str">
        <f t="shared" si="78"/>
        <v/>
      </c>
    </row>
    <row r="2760" spans="2:2" x14ac:dyDescent="0.3">
      <c r="B2760" s="30" t="str">
        <f t="shared" si="78"/>
        <v/>
      </c>
    </row>
    <row r="2761" spans="2:2" x14ac:dyDescent="0.3">
      <c r="B2761" s="30" t="str">
        <f t="shared" si="78"/>
        <v/>
      </c>
    </row>
    <row r="2762" spans="2:2" x14ac:dyDescent="0.3">
      <c r="B2762" s="30" t="str">
        <f t="shared" si="78"/>
        <v/>
      </c>
    </row>
    <row r="2763" spans="2:2" x14ac:dyDescent="0.3">
      <c r="B2763" s="30" t="str">
        <f t="shared" si="78"/>
        <v/>
      </c>
    </row>
    <row r="2764" spans="2:2" x14ac:dyDescent="0.3">
      <c r="B2764" s="30" t="str">
        <f t="shared" si="78"/>
        <v/>
      </c>
    </row>
    <row r="2765" spans="2:2" x14ac:dyDescent="0.3">
      <c r="B2765" s="30" t="str">
        <f t="shared" si="78"/>
        <v/>
      </c>
    </row>
    <row r="2766" spans="2:2" x14ac:dyDescent="0.3">
      <c r="B2766" s="30" t="str">
        <f t="shared" si="78"/>
        <v/>
      </c>
    </row>
    <row r="2767" spans="2:2" x14ac:dyDescent="0.3">
      <c r="B2767" s="30" t="str">
        <f t="shared" si="78"/>
        <v/>
      </c>
    </row>
    <row r="2768" spans="2:2" x14ac:dyDescent="0.3">
      <c r="B2768" s="30" t="str">
        <f t="shared" si="78"/>
        <v/>
      </c>
    </row>
    <row r="2769" spans="2:2" x14ac:dyDescent="0.3">
      <c r="B2769" s="30" t="str">
        <f t="shared" si="78"/>
        <v/>
      </c>
    </row>
    <row r="2770" spans="2:2" x14ac:dyDescent="0.3">
      <c r="B2770" s="30" t="str">
        <f t="shared" si="78"/>
        <v/>
      </c>
    </row>
    <row r="2771" spans="2:2" x14ac:dyDescent="0.3">
      <c r="B2771" s="30" t="str">
        <f t="shared" si="78"/>
        <v/>
      </c>
    </row>
    <row r="2772" spans="2:2" x14ac:dyDescent="0.3">
      <c r="B2772" s="30" t="str">
        <f t="shared" si="78"/>
        <v/>
      </c>
    </row>
    <row r="2773" spans="2:2" x14ac:dyDescent="0.3">
      <c r="B2773" s="30" t="str">
        <f t="shared" si="78"/>
        <v/>
      </c>
    </row>
    <row r="2774" spans="2:2" x14ac:dyDescent="0.3">
      <c r="B2774" s="30" t="str">
        <f t="shared" si="78"/>
        <v/>
      </c>
    </row>
    <row r="2775" spans="2:2" x14ac:dyDescent="0.3">
      <c r="B2775" s="30" t="str">
        <f t="shared" si="78"/>
        <v/>
      </c>
    </row>
    <row r="2776" spans="2:2" x14ac:dyDescent="0.3">
      <c r="B2776" s="30" t="str">
        <f t="shared" si="78"/>
        <v/>
      </c>
    </row>
    <row r="2777" spans="2:2" x14ac:dyDescent="0.3">
      <c r="B2777" s="30" t="str">
        <f t="shared" si="78"/>
        <v/>
      </c>
    </row>
    <row r="2778" spans="2:2" x14ac:dyDescent="0.3">
      <c r="B2778" s="30" t="str">
        <f t="shared" si="78"/>
        <v/>
      </c>
    </row>
    <row r="2779" spans="2:2" x14ac:dyDescent="0.3">
      <c r="B2779" s="30" t="str">
        <f t="shared" si="78"/>
        <v/>
      </c>
    </row>
    <row r="2780" spans="2:2" x14ac:dyDescent="0.3">
      <c r="B2780" s="30" t="str">
        <f t="shared" si="78"/>
        <v/>
      </c>
    </row>
    <row r="2781" spans="2:2" x14ac:dyDescent="0.3">
      <c r="B2781" s="30" t="str">
        <f t="shared" si="78"/>
        <v/>
      </c>
    </row>
    <row r="2782" spans="2:2" x14ac:dyDescent="0.3">
      <c r="B2782" s="30" t="str">
        <f t="shared" si="78"/>
        <v/>
      </c>
    </row>
    <row r="2783" spans="2:2" x14ac:dyDescent="0.3">
      <c r="B2783" s="30" t="str">
        <f t="shared" si="78"/>
        <v/>
      </c>
    </row>
    <row r="2784" spans="2:2" x14ac:dyDescent="0.3">
      <c r="B2784" s="30" t="str">
        <f t="shared" si="78"/>
        <v/>
      </c>
    </row>
    <row r="2785" spans="2:2" x14ac:dyDescent="0.3">
      <c r="B2785" s="30" t="str">
        <f t="shared" si="78"/>
        <v/>
      </c>
    </row>
    <row r="2786" spans="2:2" x14ac:dyDescent="0.3">
      <c r="B2786" s="30" t="str">
        <f t="shared" si="78"/>
        <v/>
      </c>
    </row>
    <row r="2787" spans="2:2" x14ac:dyDescent="0.3">
      <c r="B2787" s="30" t="str">
        <f t="shared" si="78"/>
        <v/>
      </c>
    </row>
    <row r="2788" spans="2:2" x14ac:dyDescent="0.3">
      <c r="B2788" s="30" t="str">
        <f t="shared" si="78"/>
        <v/>
      </c>
    </row>
    <row r="2789" spans="2:2" x14ac:dyDescent="0.3">
      <c r="B2789" s="30" t="str">
        <f t="shared" si="78"/>
        <v/>
      </c>
    </row>
    <row r="2790" spans="2:2" x14ac:dyDescent="0.3">
      <c r="B2790" s="30" t="str">
        <f t="shared" si="78"/>
        <v/>
      </c>
    </row>
    <row r="2791" spans="2:2" x14ac:dyDescent="0.3">
      <c r="B2791" s="30" t="str">
        <f t="shared" si="78"/>
        <v/>
      </c>
    </row>
    <row r="2792" spans="2:2" x14ac:dyDescent="0.3">
      <c r="B2792" s="30" t="str">
        <f t="shared" ref="B2792:B2855" si="79">IF($A2792="Daily", "n/a", "")</f>
        <v/>
      </c>
    </row>
    <row r="2793" spans="2:2" x14ac:dyDescent="0.3">
      <c r="B2793" s="30" t="str">
        <f t="shared" si="79"/>
        <v/>
      </c>
    </row>
    <row r="2794" spans="2:2" x14ac:dyDescent="0.3">
      <c r="B2794" s="30" t="str">
        <f t="shared" si="79"/>
        <v/>
      </c>
    </row>
    <row r="2795" spans="2:2" x14ac:dyDescent="0.3">
      <c r="B2795" s="30" t="str">
        <f t="shared" si="79"/>
        <v/>
      </c>
    </row>
    <row r="2796" spans="2:2" x14ac:dyDescent="0.3">
      <c r="B2796" s="30" t="str">
        <f t="shared" si="79"/>
        <v/>
      </c>
    </row>
    <row r="2797" spans="2:2" x14ac:dyDescent="0.3">
      <c r="B2797" s="30" t="str">
        <f t="shared" si="79"/>
        <v/>
      </c>
    </row>
    <row r="2798" spans="2:2" x14ac:dyDescent="0.3">
      <c r="B2798" s="30" t="str">
        <f t="shared" si="79"/>
        <v/>
      </c>
    </row>
    <row r="2799" spans="2:2" x14ac:dyDescent="0.3">
      <c r="B2799" s="30" t="str">
        <f t="shared" si="79"/>
        <v/>
      </c>
    </row>
    <row r="2800" spans="2:2" x14ac:dyDescent="0.3">
      <c r="B2800" s="30" t="str">
        <f t="shared" si="79"/>
        <v/>
      </c>
    </row>
    <row r="2801" spans="2:2" x14ac:dyDescent="0.3">
      <c r="B2801" s="30" t="str">
        <f t="shared" si="79"/>
        <v/>
      </c>
    </row>
    <row r="2802" spans="2:2" x14ac:dyDescent="0.3">
      <c r="B2802" s="30" t="str">
        <f t="shared" si="79"/>
        <v/>
      </c>
    </row>
    <row r="2803" spans="2:2" x14ac:dyDescent="0.3">
      <c r="B2803" s="30" t="str">
        <f t="shared" si="79"/>
        <v/>
      </c>
    </row>
    <row r="2804" spans="2:2" x14ac:dyDescent="0.3">
      <c r="B2804" s="30" t="str">
        <f t="shared" si="79"/>
        <v/>
      </c>
    </row>
    <row r="2805" spans="2:2" x14ac:dyDescent="0.3">
      <c r="B2805" s="30" t="str">
        <f t="shared" si="79"/>
        <v/>
      </c>
    </row>
    <row r="2806" spans="2:2" x14ac:dyDescent="0.3">
      <c r="B2806" s="30" t="str">
        <f t="shared" si="79"/>
        <v/>
      </c>
    </row>
    <row r="2807" spans="2:2" x14ac:dyDescent="0.3">
      <c r="B2807" s="30" t="str">
        <f t="shared" si="79"/>
        <v/>
      </c>
    </row>
    <row r="2808" spans="2:2" x14ac:dyDescent="0.3">
      <c r="B2808" s="30" t="str">
        <f t="shared" si="79"/>
        <v/>
      </c>
    </row>
    <row r="2809" spans="2:2" x14ac:dyDescent="0.3">
      <c r="B2809" s="30" t="str">
        <f t="shared" si="79"/>
        <v/>
      </c>
    </row>
    <row r="2810" spans="2:2" x14ac:dyDescent="0.3">
      <c r="B2810" s="30" t="str">
        <f t="shared" si="79"/>
        <v/>
      </c>
    </row>
    <row r="2811" spans="2:2" x14ac:dyDescent="0.3">
      <c r="B2811" s="30" t="str">
        <f t="shared" si="79"/>
        <v/>
      </c>
    </row>
    <row r="2812" spans="2:2" x14ac:dyDescent="0.3">
      <c r="B2812" s="30" t="str">
        <f t="shared" si="79"/>
        <v/>
      </c>
    </row>
    <row r="2813" spans="2:2" x14ac:dyDescent="0.3">
      <c r="B2813" s="30" t="str">
        <f t="shared" si="79"/>
        <v/>
      </c>
    </row>
    <row r="2814" spans="2:2" x14ac:dyDescent="0.3">
      <c r="B2814" s="30" t="str">
        <f t="shared" si="79"/>
        <v/>
      </c>
    </row>
    <row r="2815" spans="2:2" x14ac:dyDescent="0.3">
      <c r="B2815" s="30" t="str">
        <f t="shared" si="79"/>
        <v/>
      </c>
    </row>
    <row r="2816" spans="2:2" x14ac:dyDescent="0.3">
      <c r="B2816" s="30" t="str">
        <f t="shared" si="79"/>
        <v/>
      </c>
    </row>
    <row r="2817" spans="2:2" x14ac:dyDescent="0.3">
      <c r="B2817" s="30" t="str">
        <f t="shared" si="79"/>
        <v/>
      </c>
    </row>
    <row r="2818" spans="2:2" x14ac:dyDescent="0.3">
      <c r="B2818" s="30" t="str">
        <f t="shared" si="79"/>
        <v/>
      </c>
    </row>
    <row r="2819" spans="2:2" x14ac:dyDescent="0.3">
      <c r="B2819" s="30" t="str">
        <f t="shared" si="79"/>
        <v/>
      </c>
    </row>
    <row r="2820" spans="2:2" x14ac:dyDescent="0.3">
      <c r="B2820" s="30" t="str">
        <f t="shared" si="79"/>
        <v/>
      </c>
    </row>
    <row r="2821" spans="2:2" x14ac:dyDescent="0.3">
      <c r="B2821" s="30" t="str">
        <f t="shared" si="79"/>
        <v/>
      </c>
    </row>
    <row r="2822" spans="2:2" x14ac:dyDescent="0.3">
      <c r="B2822" s="30" t="str">
        <f t="shared" si="79"/>
        <v/>
      </c>
    </row>
    <row r="2823" spans="2:2" x14ac:dyDescent="0.3">
      <c r="B2823" s="30" t="str">
        <f t="shared" si="79"/>
        <v/>
      </c>
    </row>
    <row r="2824" spans="2:2" x14ac:dyDescent="0.3">
      <c r="B2824" s="30" t="str">
        <f t="shared" si="79"/>
        <v/>
      </c>
    </row>
    <row r="2825" spans="2:2" x14ac:dyDescent="0.3">
      <c r="B2825" s="30" t="str">
        <f t="shared" si="79"/>
        <v/>
      </c>
    </row>
    <row r="2826" spans="2:2" x14ac:dyDescent="0.3">
      <c r="B2826" s="30" t="str">
        <f t="shared" si="79"/>
        <v/>
      </c>
    </row>
    <row r="2827" spans="2:2" x14ac:dyDescent="0.3">
      <c r="B2827" s="30" t="str">
        <f t="shared" si="79"/>
        <v/>
      </c>
    </row>
    <row r="2828" spans="2:2" x14ac:dyDescent="0.3">
      <c r="B2828" s="30" t="str">
        <f t="shared" si="79"/>
        <v/>
      </c>
    </row>
    <row r="2829" spans="2:2" x14ac:dyDescent="0.3">
      <c r="B2829" s="30" t="str">
        <f t="shared" si="79"/>
        <v/>
      </c>
    </row>
    <row r="2830" spans="2:2" x14ac:dyDescent="0.3">
      <c r="B2830" s="30" t="str">
        <f t="shared" si="79"/>
        <v/>
      </c>
    </row>
    <row r="2831" spans="2:2" x14ac:dyDescent="0.3">
      <c r="B2831" s="30" t="str">
        <f t="shared" si="79"/>
        <v/>
      </c>
    </row>
    <row r="2832" spans="2:2" x14ac:dyDescent="0.3">
      <c r="B2832" s="30" t="str">
        <f t="shared" si="79"/>
        <v/>
      </c>
    </row>
    <row r="2833" spans="2:2" x14ac:dyDescent="0.3">
      <c r="B2833" s="30" t="str">
        <f t="shared" si="79"/>
        <v/>
      </c>
    </row>
    <row r="2834" spans="2:2" x14ac:dyDescent="0.3">
      <c r="B2834" s="30" t="str">
        <f t="shared" si="79"/>
        <v/>
      </c>
    </row>
    <row r="2835" spans="2:2" x14ac:dyDescent="0.3">
      <c r="B2835" s="30" t="str">
        <f t="shared" si="79"/>
        <v/>
      </c>
    </row>
    <row r="2836" spans="2:2" x14ac:dyDescent="0.3">
      <c r="B2836" s="30" t="str">
        <f t="shared" si="79"/>
        <v/>
      </c>
    </row>
    <row r="2837" spans="2:2" x14ac:dyDescent="0.3">
      <c r="B2837" s="30" t="str">
        <f t="shared" si="79"/>
        <v/>
      </c>
    </row>
    <row r="2838" spans="2:2" x14ac:dyDescent="0.3">
      <c r="B2838" s="30" t="str">
        <f t="shared" si="79"/>
        <v/>
      </c>
    </row>
    <row r="2839" spans="2:2" x14ac:dyDescent="0.3">
      <c r="B2839" s="30" t="str">
        <f t="shared" si="79"/>
        <v/>
      </c>
    </row>
    <row r="2840" spans="2:2" x14ac:dyDescent="0.3">
      <c r="B2840" s="30" t="str">
        <f t="shared" si="79"/>
        <v/>
      </c>
    </row>
    <row r="2841" spans="2:2" x14ac:dyDescent="0.3">
      <c r="B2841" s="30" t="str">
        <f t="shared" si="79"/>
        <v/>
      </c>
    </row>
    <row r="2842" spans="2:2" x14ac:dyDescent="0.3">
      <c r="B2842" s="30" t="str">
        <f t="shared" si="79"/>
        <v/>
      </c>
    </row>
    <row r="2843" spans="2:2" x14ac:dyDescent="0.3">
      <c r="B2843" s="30" t="str">
        <f t="shared" si="79"/>
        <v/>
      </c>
    </row>
    <row r="2844" spans="2:2" x14ac:dyDescent="0.3">
      <c r="B2844" s="30" t="str">
        <f t="shared" si="79"/>
        <v/>
      </c>
    </row>
    <row r="2845" spans="2:2" x14ac:dyDescent="0.3">
      <c r="B2845" s="30" t="str">
        <f t="shared" si="79"/>
        <v/>
      </c>
    </row>
    <row r="2846" spans="2:2" x14ac:dyDescent="0.3">
      <c r="B2846" s="30" t="str">
        <f t="shared" si="79"/>
        <v/>
      </c>
    </row>
    <row r="2847" spans="2:2" x14ac:dyDescent="0.3">
      <c r="B2847" s="30" t="str">
        <f t="shared" si="79"/>
        <v/>
      </c>
    </row>
    <row r="2848" spans="2:2" x14ac:dyDescent="0.3">
      <c r="B2848" s="30" t="str">
        <f t="shared" si="79"/>
        <v/>
      </c>
    </row>
    <row r="2849" spans="2:2" x14ac:dyDescent="0.3">
      <c r="B2849" s="30" t="str">
        <f t="shared" si="79"/>
        <v/>
      </c>
    </row>
    <row r="2850" spans="2:2" x14ac:dyDescent="0.3">
      <c r="B2850" s="30" t="str">
        <f t="shared" si="79"/>
        <v/>
      </c>
    </row>
    <row r="2851" spans="2:2" x14ac:dyDescent="0.3">
      <c r="B2851" s="30" t="str">
        <f t="shared" si="79"/>
        <v/>
      </c>
    </row>
    <row r="2852" spans="2:2" x14ac:dyDescent="0.3">
      <c r="B2852" s="30" t="str">
        <f t="shared" si="79"/>
        <v/>
      </c>
    </row>
    <row r="2853" spans="2:2" x14ac:dyDescent="0.3">
      <c r="B2853" s="30" t="str">
        <f t="shared" si="79"/>
        <v/>
      </c>
    </row>
    <row r="2854" spans="2:2" x14ac:dyDescent="0.3">
      <c r="B2854" s="30" t="str">
        <f t="shared" si="79"/>
        <v/>
      </c>
    </row>
    <row r="2855" spans="2:2" x14ac:dyDescent="0.3">
      <c r="B2855" s="30" t="str">
        <f t="shared" si="79"/>
        <v/>
      </c>
    </row>
    <row r="2856" spans="2:2" x14ac:dyDescent="0.3">
      <c r="B2856" s="30" t="str">
        <f t="shared" ref="B2856:B2919" si="80">IF($A2856="Daily", "n/a", "")</f>
        <v/>
      </c>
    </row>
    <row r="2857" spans="2:2" x14ac:dyDescent="0.3">
      <c r="B2857" s="30" t="str">
        <f t="shared" si="80"/>
        <v/>
      </c>
    </row>
    <row r="2858" spans="2:2" x14ac:dyDescent="0.3">
      <c r="B2858" s="30" t="str">
        <f t="shared" si="80"/>
        <v/>
      </c>
    </row>
    <row r="2859" spans="2:2" x14ac:dyDescent="0.3">
      <c r="B2859" s="30" t="str">
        <f t="shared" si="80"/>
        <v/>
      </c>
    </row>
    <row r="2860" spans="2:2" x14ac:dyDescent="0.3">
      <c r="B2860" s="30" t="str">
        <f t="shared" si="80"/>
        <v/>
      </c>
    </row>
    <row r="2861" spans="2:2" x14ac:dyDescent="0.3">
      <c r="B2861" s="30" t="str">
        <f t="shared" si="80"/>
        <v/>
      </c>
    </row>
    <row r="2862" spans="2:2" x14ac:dyDescent="0.3">
      <c r="B2862" s="30" t="str">
        <f t="shared" si="80"/>
        <v/>
      </c>
    </row>
    <row r="2863" spans="2:2" x14ac:dyDescent="0.3">
      <c r="B2863" s="30" t="str">
        <f t="shared" si="80"/>
        <v/>
      </c>
    </row>
    <row r="2864" spans="2:2" x14ac:dyDescent="0.3">
      <c r="B2864" s="30" t="str">
        <f t="shared" si="80"/>
        <v/>
      </c>
    </row>
    <row r="2865" spans="2:2" x14ac:dyDescent="0.3">
      <c r="B2865" s="30" t="str">
        <f t="shared" si="80"/>
        <v/>
      </c>
    </row>
    <row r="2866" spans="2:2" x14ac:dyDescent="0.3">
      <c r="B2866" s="30" t="str">
        <f t="shared" si="80"/>
        <v/>
      </c>
    </row>
    <row r="2867" spans="2:2" x14ac:dyDescent="0.3">
      <c r="B2867" s="30" t="str">
        <f t="shared" si="80"/>
        <v/>
      </c>
    </row>
    <row r="2868" spans="2:2" x14ac:dyDescent="0.3">
      <c r="B2868" s="30" t="str">
        <f t="shared" si="80"/>
        <v/>
      </c>
    </row>
    <row r="2869" spans="2:2" x14ac:dyDescent="0.3">
      <c r="B2869" s="30" t="str">
        <f t="shared" si="80"/>
        <v/>
      </c>
    </row>
    <row r="2870" spans="2:2" x14ac:dyDescent="0.3">
      <c r="B2870" s="30" t="str">
        <f t="shared" si="80"/>
        <v/>
      </c>
    </row>
    <row r="2871" spans="2:2" x14ac:dyDescent="0.3">
      <c r="B2871" s="30" t="str">
        <f t="shared" si="80"/>
        <v/>
      </c>
    </row>
    <row r="2872" spans="2:2" x14ac:dyDescent="0.3">
      <c r="B2872" s="30" t="str">
        <f t="shared" si="80"/>
        <v/>
      </c>
    </row>
    <row r="2873" spans="2:2" x14ac:dyDescent="0.3">
      <c r="B2873" s="30" t="str">
        <f t="shared" si="80"/>
        <v/>
      </c>
    </row>
    <row r="2874" spans="2:2" x14ac:dyDescent="0.3">
      <c r="B2874" s="30" t="str">
        <f t="shared" si="80"/>
        <v/>
      </c>
    </row>
    <row r="2875" spans="2:2" x14ac:dyDescent="0.3">
      <c r="B2875" s="30" t="str">
        <f t="shared" si="80"/>
        <v/>
      </c>
    </row>
    <row r="2876" spans="2:2" x14ac:dyDescent="0.3">
      <c r="B2876" s="30" t="str">
        <f t="shared" si="80"/>
        <v/>
      </c>
    </row>
    <row r="2877" spans="2:2" x14ac:dyDescent="0.3">
      <c r="B2877" s="30" t="str">
        <f t="shared" si="80"/>
        <v/>
      </c>
    </row>
    <row r="2878" spans="2:2" x14ac:dyDescent="0.3">
      <c r="B2878" s="30" t="str">
        <f t="shared" si="80"/>
        <v/>
      </c>
    </row>
    <row r="2879" spans="2:2" x14ac:dyDescent="0.3">
      <c r="B2879" s="30" t="str">
        <f t="shared" si="80"/>
        <v/>
      </c>
    </row>
    <row r="2880" spans="2:2" x14ac:dyDescent="0.3">
      <c r="B2880" s="30" t="str">
        <f t="shared" si="80"/>
        <v/>
      </c>
    </row>
    <row r="2881" spans="2:2" x14ac:dyDescent="0.3">
      <c r="B2881" s="30" t="str">
        <f t="shared" si="80"/>
        <v/>
      </c>
    </row>
    <row r="2882" spans="2:2" x14ac:dyDescent="0.3">
      <c r="B2882" s="30" t="str">
        <f t="shared" si="80"/>
        <v/>
      </c>
    </row>
    <row r="2883" spans="2:2" x14ac:dyDescent="0.3">
      <c r="B2883" s="30" t="str">
        <f t="shared" si="80"/>
        <v/>
      </c>
    </row>
    <row r="2884" spans="2:2" x14ac:dyDescent="0.3">
      <c r="B2884" s="30" t="str">
        <f t="shared" si="80"/>
        <v/>
      </c>
    </row>
    <row r="2885" spans="2:2" x14ac:dyDescent="0.3">
      <c r="B2885" s="30" t="str">
        <f t="shared" si="80"/>
        <v/>
      </c>
    </row>
    <row r="2886" spans="2:2" x14ac:dyDescent="0.3">
      <c r="B2886" s="30" t="str">
        <f t="shared" si="80"/>
        <v/>
      </c>
    </row>
    <row r="2887" spans="2:2" x14ac:dyDescent="0.3">
      <c r="B2887" s="30" t="str">
        <f t="shared" si="80"/>
        <v/>
      </c>
    </row>
    <row r="2888" spans="2:2" x14ac:dyDescent="0.3">
      <c r="B2888" s="30" t="str">
        <f t="shared" si="80"/>
        <v/>
      </c>
    </row>
    <row r="2889" spans="2:2" x14ac:dyDescent="0.3">
      <c r="B2889" s="30" t="str">
        <f t="shared" si="80"/>
        <v/>
      </c>
    </row>
    <row r="2890" spans="2:2" x14ac:dyDescent="0.3">
      <c r="B2890" s="30" t="str">
        <f t="shared" si="80"/>
        <v/>
      </c>
    </row>
    <row r="2891" spans="2:2" x14ac:dyDescent="0.3">
      <c r="B2891" s="30" t="str">
        <f t="shared" si="80"/>
        <v/>
      </c>
    </row>
    <row r="2892" spans="2:2" x14ac:dyDescent="0.3">
      <c r="B2892" s="30" t="str">
        <f t="shared" si="80"/>
        <v/>
      </c>
    </row>
    <row r="2893" spans="2:2" x14ac:dyDescent="0.3">
      <c r="B2893" s="30" t="str">
        <f t="shared" si="80"/>
        <v/>
      </c>
    </row>
    <row r="2894" spans="2:2" x14ac:dyDescent="0.3">
      <c r="B2894" s="30" t="str">
        <f t="shared" si="80"/>
        <v/>
      </c>
    </row>
    <row r="2895" spans="2:2" x14ac:dyDescent="0.3">
      <c r="B2895" s="30" t="str">
        <f t="shared" si="80"/>
        <v/>
      </c>
    </row>
    <row r="2896" spans="2:2" x14ac:dyDescent="0.3">
      <c r="B2896" s="30" t="str">
        <f t="shared" si="80"/>
        <v/>
      </c>
    </row>
    <row r="2897" spans="2:2" x14ac:dyDescent="0.3">
      <c r="B2897" s="30" t="str">
        <f t="shared" si="80"/>
        <v/>
      </c>
    </row>
    <row r="2898" spans="2:2" x14ac:dyDescent="0.3">
      <c r="B2898" s="30" t="str">
        <f t="shared" si="80"/>
        <v/>
      </c>
    </row>
    <row r="2899" spans="2:2" x14ac:dyDescent="0.3">
      <c r="B2899" s="30" t="str">
        <f t="shared" si="80"/>
        <v/>
      </c>
    </row>
    <row r="2900" spans="2:2" x14ac:dyDescent="0.3">
      <c r="B2900" s="30" t="str">
        <f t="shared" si="80"/>
        <v/>
      </c>
    </row>
    <row r="2901" spans="2:2" x14ac:dyDescent="0.3">
      <c r="B2901" s="30" t="str">
        <f t="shared" si="80"/>
        <v/>
      </c>
    </row>
    <row r="2902" spans="2:2" x14ac:dyDescent="0.3">
      <c r="B2902" s="30" t="str">
        <f t="shared" si="80"/>
        <v/>
      </c>
    </row>
    <row r="2903" spans="2:2" x14ac:dyDescent="0.3">
      <c r="B2903" s="30" t="str">
        <f t="shared" si="80"/>
        <v/>
      </c>
    </row>
    <row r="2904" spans="2:2" x14ac:dyDescent="0.3">
      <c r="B2904" s="30" t="str">
        <f t="shared" si="80"/>
        <v/>
      </c>
    </row>
    <row r="2905" spans="2:2" x14ac:dyDescent="0.3">
      <c r="B2905" s="30" t="str">
        <f t="shared" si="80"/>
        <v/>
      </c>
    </row>
    <row r="2906" spans="2:2" x14ac:dyDescent="0.3">
      <c r="B2906" s="30" t="str">
        <f t="shared" si="80"/>
        <v/>
      </c>
    </row>
    <row r="2907" spans="2:2" x14ac:dyDescent="0.3">
      <c r="B2907" s="30" t="str">
        <f t="shared" si="80"/>
        <v/>
      </c>
    </row>
    <row r="2908" spans="2:2" x14ac:dyDescent="0.3">
      <c r="B2908" s="30" t="str">
        <f t="shared" si="80"/>
        <v/>
      </c>
    </row>
    <row r="2909" spans="2:2" x14ac:dyDescent="0.3">
      <c r="B2909" s="30" t="str">
        <f t="shared" si="80"/>
        <v/>
      </c>
    </row>
    <row r="2910" spans="2:2" x14ac:dyDescent="0.3">
      <c r="B2910" s="30" t="str">
        <f t="shared" si="80"/>
        <v/>
      </c>
    </row>
    <row r="2911" spans="2:2" x14ac:dyDescent="0.3">
      <c r="B2911" s="30" t="str">
        <f t="shared" si="80"/>
        <v/>
      </c>
    </row>
    <row r="2912" spans="2:2" x14ac:dyDescent="0.3">
      <c r="B2912" s="30" t="str">
        <f t="shared" si="80"/>
        <v/>
      </c>
    </row>
    <row r="2913" spans="2:2" x14ac:dyDescent="0.3">
      <c r="B2913" s="30" t="str">
        <f t="shared" si="80"/>
        <v/>
      </c>
    </row>
    <row r="2914" spans="2:2" x14ac:dyDescent="0.3">
      <c r="B2914" s="30" t="str">
        <f t="shared" si="80"/>
        <v/>
      </c>
    </row>
    <row r="2915" spans="2:2" x14ac:dyDescent="0.3">
      <c r="B2915" s="30" t="str">
        <f t="shared" si="80"/>
        <v/>
      </c>
    </row>
    <row r="2916" spans="2:2" x14ac:dyDescent="0.3">
      <c r="B2916" s="30" t="str">
        <f t="shared" si="80"/>
        <v/>
      </c>
    </row>
    <row r="2917" spans="2:2" x14ac:dyDescent="0.3">
      <c r="B2917" s="30" t="str">
        <f t="shared" si="80"/>
        <v/>
      </c>
    </row>
    <row r="2918" spans="2:2" x14ac:dyDescent="0.3">
      <c r="B2918" s="30" t="str">
        <f t="shared" si="80"/>
        <v/>
      </c>
    </row>
    <row r="2919" spans="2:2" x14ac:dyDescent="0.3">
      <c r="B2919" s="30" t="str">
        <f t="shared" si="80"/>
        <v/>
      </c>
    </row>
    <row r="2920" spans="2:2" x14ac:dyDescent="0.3">
      <c r="B2920" s="30" t="str">
        <f t="shared" ref="B2920:B2983" si="81">IF($A2920="Daily", "n/a", "")</f>
        <v/>
      </c>
    </row>
    <row r="2921" spans="2:2" x14ac:dyDescent="0.3">
      <c r="B2921" s="30" t="str">
        <f t="shared" si="81"/>
        <v/>
      </c>
    </row>
    <row r="2922" spans="2:2" x14ac:dyDescent="0.3">
      <c r="B2922" s="30" t="str">
        <f t="shared" si="81"/>
        <v/>
      </c>
    </row>
    <row r="2923" spans="2:2" x14ac:dyDescent="0.3">
      <c r="B2923" s="30" t="str">
        <f t="shared" si="81"/>
        <v/>
      </c>
    </row>
    <row r="2924" spans="2:2" x14ac:dyDescent="0.3">
      <c r="B2924" s="30" t="str">
        <f t="shared" si="81"/>
        <v/>
      </c>
    </row>
    <row r="2925" spans="2:2" x14ac:dyDescent="0.3">
      <c r="B2925" s="30" t="str">
        <f t="shared" si="81"/>
        <v/>
      </c>
    </row>
    <row r="2926" spans="2:2" x14ac:dyDescent="0.3">
      <c r="B2926" s="30" t="str">
        <f t="shared" si="81"/>
        <v/>
      </c>
    </row>
    <row r="2927" spans="2:2" x14ac:dyDescent="0.3">
      <c r="B2927" s="30" t="str">
        <f t="shared" si="81"/>
        <v/>
      </c>
    </row>
    <row r="2928" spans="2:2" x14ac:dyDescent="0.3">
      <c r="B2928" s="30" t="str">
        <f t="shared" si="81"/>
        <v/>
      </c>
    </row>
    <row r="2929" spans="2:2" x14ac:dyDescent="0.3">
      <c r="B2929" s="30" t="str">
        <f t="shared" si="81"/>
        <v/>
      </c>
    </row>
    <row r="2930" spans="2:2" x14ac:dyDescent="0.3">
      <c r="B2930" s="30" t="str">
        <f t="shared" si="81"/>
        <v/>
      </c>
    </row>
    <row r="2931" spans="2:2" x14ac:dyDescent="0.3">
      <c r="B2931" s="30" t="str">
        <f t="shared" si="81"/>
        <v/>
      </c>
    </row>
    <row r="2932" spans="2:2" x14ac:dyDescent="0.3">
      <c r="B2932" s="30" t="str">
        <f t="shared" si="81"/>
        <v/>
      </c>
    </row>
    <row r="2933" spans="2:2" x14ac:dyDescent="0.3">
      <c r="B2933" s="30" t="str">
        <f t="shared" si="81"/>
        <v/>
      </c>
    </row>
    <row r="2934" spans="2:2" x14ac:dyDescent="0.3">
      <c r="B2934" s="30" t="str">
        <f t="shared" si="81"/>
        <v/>
      </c>
    </row>
    <row r="2935" spans="2:2" x14ac:dyDescent="0.3">
      <c r="B2935" s="30" t="str">
        <f t="shared" si="81"/>
        <v/>
      </c>
    </row>
    <row r="2936" spans="2:2" x14ac:dyDescent="0.3">
      <c r="B2936" s="30" t="str">
        <f t="shared" si="81"/>
        <v/>
      </c>
    </row>
    <row r="2937" spans="2:2" x14ac:dyDescent="0.3">
      <c r="B2937" s="30" t="str">
        <f t="shared" si="81"/>
        <v/>
      </c>
    </row>
    <row r="2938" spans="2:2" x14ac:dyDescent="0.3">
      <c r="B2938" s="30" t="str">
        <f t="shared" si="81"/>
        <v/>
      </c>
    </row>
    <row r="2939" spans="2:2" x14ac:dyDescent="0.3">
      <c r="B2939" s="30" t="str">
        <f t="shared" si="81"/>
        <v/>
      </c>
    </row>
    <row r="2940" spans="2:2" x14ac:dyDescent="0.3">
      <c r="B2940" s="30" t="str">
        <f t="shared" si="81"/>
        <v/>
      </c>
    </row>
    <row r="2941" spans="2:2" x14ac:dyDescent="0.3">
      <c r="B2941" s="30" t="str">
        <f t="shared" si="81"/>
        <v/>
      </c>
    </row>
    <row r="2942" spans="2:2" x14ac:dyDescent="0.3">
      <c r="B2942" s="30" t="str">
        <f t="shared" si="81"/>
        <v/>
      </c>
    </row>
    <row r="2943" spans="2:2" x14ac:dyDescent="0.3">
      <c r="B2943" s="30" t="str">
        <f t="shared" si="81"/>
        <v/>
      </c>
    </row>
    <row r="2944" spans="2:2" x14ac:dyDescent="0.3">
      <c r="B2944" s="30" t="str">
        <f t="shared" si="81"/>
        <v/>
      </c>
    </row>
    <row r="2945" spans="2:2" x14ac:dyDescent="0.3">
      <c r="B2945" s="30" t="str">
        <f t="shared" si="81"/>
        <v/>
      </c>
    </row>
    <row r="2946" spans="2:2" x14ac:dyDescent="0.3">
      <c r="B2946" s="30" t="str">
        <f t="shared" si="81"/>
        <v/>
      </c>
    </row>
    <row r="2947" spans="2:2" x14ac:dyDescent="0.3">
      <c r="B2947" s="30" t="str">
        <f t="shared" si="81"/>
        <v/>
      </c>
    </row>
    <row r="2948" spans="2:2" x14ac:dyDescent="0.3">
      <c r="B2948" s="30" t="str">
        <f t="shared" si="81"/>
        <v/>
      </c>
    </row>
    <row r="2949" spans="2:2" x14ac:dyDescent="0.3">
      <c r="B2949" s="30" t="str">
        <f t="shared" si="81"/>
        <v/>
      </c>
    </row>
    <row r="2950" spans="2:2" x14ac:dyDescent="0.3">
      <c r="B2950" s="30" t="str">
        <f t="shared" si="81"/>
        <v/>
      </c>
    </row>
    <row r="2951" spans="2:2" x14ac:dyDescent="0.3">
      <c r="B2951" s="30" t="str">
        <f t="shared" si="81"/>
        <v/>
      </c>
    </row>
    <row r="2952" spans="2:2" x14ac:dyDescent="0.3">
      <c r="B2952" s="30" t="str">
        <f t="shared" si="81"/>
        <v/>
      </c>
    </row>
    <row r="2953" spans="2:2" x14ac:dyDescent="0.3">
      <c r="B2953" s="30" t="str">
        <f t="shared" si="81"/>
        <v/>
      </c>
    </row>
    <row r="2954" spans="2:2" x14ac:dyDescent="0.3">
      <c r="B2954" s="30" t="str">
        <f t="shared" si="81"/>
        <v/>
      </c>
    </row>
    <row r="2955" spans="2:2" x14ac:dyDescent="0.3">
      <c r="B2955" s="30" t="str">
        <f t="shared" si="81"/>
        <v/>
      </c>
    </row>
    <row r="2956" spans="2:2" x14ac:dyDescent="0.3">
      <c r="B2956" s="30" t="str">
        <f t="shared" si="81"/>
        <v/>
      </c>
    </row>
    <row r="2957" spans="2:2" x14ac:dyDescent="0.3">
      <c r="B2957" s="30" t="str">
        <f t="shared" si="81"/>
        <v/>
      </c>
    </row>
    <row r="2958" spans="2:2" x14ac:dyDescent="0.3">
      <c r="B2958" s="30" t="str">
        <f t="shared" si="81"/>
        <v/>
      </c>
    </row>
    <row r="2959" spans="2:2" x14ac:dyDescent="0.3">
      <c r="B2959" s="30" t="str">
        <f t="shared" si="81"/>
        <v/>
      </c>
    </row>
    <row r="2960" spans="2:2" x14ac:dyDescent="0.3">
      <c r="B2960" s="30" t="str">
        <f t="shared" si="81"/>
        <v/>
      </c>
    </row>
    <row r="2961" spans="2:2" x14ac:dyDescent="0.3">
      <c r="B2961" s="30" t="str">
        <f t="shared" si="81"/>
        <v/>
      </c>
    </row>
    <row r="2962" spans="2:2" x14ac:dyDescent="0.3">
      <c r="B2962" s="30" t="str">
        <f t="shared" si="81"/>
        <v/>
      </c>
    </row>
    <row r="2963" spans="2:2" x14ac:dyDescent="0.3">
      <c r="B2963" s="30" t="str">
        <f t="shared" si="81"/>
        <v/>
      </c>
    </row>
    <row r="2964" spans="2:2" x14ac:dyDescent="0.3">
      <c r="B2964" s="30" t="str">
        <f t="shared" si="81"/>
        <v/>
      </c>
    </row>
    <row r="2965" spans="2:2" x14ac:dyDescent="0.3">
      <c r="B2965" s="30" t="str">
        <f t="shared" si="81"/>
        <v/>
      </c>
    </row>
    <row r="2966" spans="2:2" x14ac:dyDescent="0.3">
      <c r="B2966" s="30" t="str">
        <f t="shared" si="81"/>
        <v/>
      </c>
    </row>
    <row r="2967" spans="2:2" x14ac:dyDescent="0.3">
      <c r="B2967" s="30" t="str">
        <f t="shared" si="81"/>
        <v/>
      </c>
    </row>
    <row r="2968" spans="2:2" x14ac:dyDescent="0.3">
      <c r="B2968" s="30" t="str">
        <f t="shared" si="81"/>
        <v/>
      </c>
    </row>
    <row r="2969" spans="2:2" x14ac:dyDescent="0.3">
      <c r="B2969" s="30" t="str">
        <f t="shared" si="81"/>
        <v/>
      </c>
    </row>
    <row r="2970" spans="2:2" x14ac:dyDescent="0.3">
      <c r="B2970" s="30" t="str">
        <f t="shared" si="81"/>
        <v/>
      </c>
    </row>
    <row r="2971" spans="2:2" x14ac:dyDescent="0.3">
      <c r="B2971" s="30" t="str">
        <f t="shared" si="81"/>
        <v/>
      </c>
    </row>
    <row r="2972" spans="2:2" x14ac:dyDescent="0.3">
      <c r="B2972" s="30" t="str">
        <f t="shared" si="81"/>
        <v/>
      </c>
    </row>
    <row r="2973" spans="2:2" x14ac:dyDescent="0.3">
      <c r="B2973" s="30" t="str">
        <f t="shared" si="81"/>
        <v/>
      </c>
    </row>
    <row r="2974" spans="2:2" x14ac:dyDescent="0.3">
      <c r="B2974" s="30" t="str">
        <f t="shared" si="81"/>
        <v/>
      </c>
    </row>
    <row r="2975" spans="2:2" x14ac:dyDescent="0.3">
      <c r="B2975" s="30" t="str">
        <f t="shared" si="81"/>
        <v/>
      </c>
    </row>
    <row r="2976" spans="2:2" x14ac:dyDescent="0.3">
      <c r="B2976" s="30" t="str">
        <f t="shared" si="81"/>
        <v/>
      </c>
    </row>
    <row r="2977" spans="2:2" x14ac:dyDescent="0.3">
      <c r="B2977" s="30" t="str">
        <f t="shared" si="81"/>
        <v/>
      </c>
    </row>
    <row r="2978" spans="2:2" x14ac:dyDescent="0.3">
      <c r="B2978" s="30" t="str">
        <f t="shared" si="81"/>
        <v/>
      </c>
    </row>
    <row r="2979" spans="2:2" x14ac:dyDescent="0.3">
      <c r="B2979" s="30" t="str">
        <f t="shared" si="81"/>
        <v/>
      </c>
    </row>
    <row r="2980" spans="2:2" x14ac:dyDescent="0.3">
      <c r="B2980" s="30" t="str">
        <f t="shared" si="81"/>
        <v/>
      </c>
    </row>
    <row r="2981" spans="2:2" x14ac:dyDescent="0.3">
      <c r="B2981" s="30" t="str">
        <f t="shared" si="81"/>
        <v/>
      </c>
    </row>
    <row r="2982" spans="2:2" x14ac:dyDescent="0.3">
      <c r="B2982" s="30" t="str">
        <f t="shared" si="81"/>
        <v/>
      </c>
    </row>
    <row r="2983" spans="2:2" x14ac:dyDescent="0.3">
      <c r="B2983" s="30" t="str">
        <f t="shared" si="81"/>
        <v/>
      </c>
    </row>
    <row r="2984" spans="2:2" x14ac:dyDescent="0.3">
      <c r="B2984" s="30" t="str">
        <f t="shared" ref="B2984:B3047" si="82">IF($A2984="Daily", "n/a", "")</f>
        <v/>
      </c>
    </row>
    <row r="2985" spans="2:2" x14ac:dyDescent="0.3">
      <c r="B2985" s="30" t="str">
        <f t="shared" si="82"/>
        <v/>
      </c>
    </row>
    <row r="2986" spans="2:2" x14ac:dyDescent="0.3">
      <c r="B2986" s="30" t="str">
        <f t="shared" si="82"/>
        <v/>
      </c>
    </row>
    <row r="2987" spans="2:2" x14ac:dyDescent="0.3">
      <c r="B2987" s="30" t="str">
        <f t="shared" si="82"/>
        <v/>
      </c>
    </row>
    <row r="2988" spans="2:2" x14ac:dyDescent="0.3">
      <c r="B2988" s="30" t="str">
        <f t="shared" si="82"/>
        <v/>
      </c>
    </row>
    <row r="2989" spans="2:2" x14ac:dyDescent="0.3">
      <c r="B2989" s="30" t="str">
        <f t="shared" si="82"/>
        <v/>
      </c>
    </row>
    <row r="2990" spans="2:2" x14ac:dyDescent="0.3">
      <c r="B2990" s="30" t="str">
        <f t="shared" si="82"/>
        <v/>
      </c>
    </row>
    <row r="2991" spans="2:2" x14ac:dyDescent="0.3">
      <c r="B2991" s="30" t="str">
        <f t="shared" si="82"/>
        <v/>
      </c>
    </row>
    <row r="2992" spans="2:2" x14ac:dyDescent="0.3">
      <c r="B2992" s="30" t="str">
        <f t="shared" si="82"/>
        <v/>
      </c>
    </row>
    <row r="2993" spans="2:2" x14ac:dyDescent="0.3">
      <c r="B2993" s="30" t="str">
        <f t="shared" si="82"/>
        <v/>
      </c>
    </row>
    <row r="2994" spans="2:2" x14ac:dyDescent="0.3">
      <c r="B2994" s="30" t="str">
        <f t="shared" si="82"/>
        <v/>
      </c>
    </row>
    <row r="2995" spans="2:2" x14ac:dyDescent="0.3">
      <c r="B2995" s="30" t="str">
        <f t="shared" si="82"/>
        <v/>
      </c>
    </row>
    <row r="2996" spans="2:2" x14ac:dyDescent="0.3">
      <c r="B2996" s="30" t="str">
        <f t="shared" si="82"/>
        <v/>
      </c>
    </row>
    <row r="2997" spans="2:2" x14ac:dyDescent="0.3">
      <c r="B2997" s="30" t="str">
        <f t="shared" si="82"/>
        <v/>
      </c>
    </row>
    <row r="2998" spans="2:2" x14ac:dyDescent="0.3">
      <c r="B2998" s="30" t="str">
        <f t="shared" si="82"/>
        <v/>
      </c>
    </row>
    <row r="2999" spans="2:2" x14ac:dyDescent="0.3">
      <c r="B2999" s="30" t="str">
        <f t="shared" si="82"/>
        <v/>
      </c>
    </row>
    <row r="3000" spans="2:2" x14ac:dyDescent="0.3">
      <c r="B3000" s="30" t="str">
        <f t="shared" si="82"/>
        <v/>
      </c>
    </row>
    <row r="3001" spans="2:2" x14ac:dyDescent="0.3">
      <c r="B3001" s="30" t="str">
        <f t="shared" si="82"/>
        <v/>
      </c>
    </row>
    <row r="3002" spans="2:2" x14ac:dyDescent="0.3">
      <c r="B3002" s="30" t="str">
        <f t="shared" si="82"/>
        <v/>
      </c>
    </row>
    <row r="3003" spans="2:2" x14ac:dyDescent="0.3">
      <c r="B3003" s="30" t="str">
        <f t="shared" si="82"/>
        <v/>
      </c>
    </row>
    <row r="3004" spans="2:2" x14ac:dyDescent="0.3">
      <c r="B3004" s="30" t="str">
        <f t="shared" si="82"/>
        <v/>
      </c>
    </row>
    <row r="3005" spans="2:2" x14ac:dyDescent="0.3">
      <c r="B3005" s="30" t="str">
        <f t="shared" si="82"/>
        <v/>
      </c>
    </row>
    <row r="3006" spans="2:2" x14ac:dyDescent="0.3">
      <c r="B3006" s="30" t="str">
        <f t="shared" si="82"/>
        <v/>
      </c>
    </row>
    <row r="3007" spans="2:2" x14ac:dyDescent="0.3">
      <c r="B3007" s="30" t="str">
        <f t="shared" si="82"/>
        <v/>
      </c>
    </row>
    <row r="3008" spans="2:2" x14ac:dyDescent="0.3">
      <c r="B3008" s="30" t="str">
        <f t="shared" si="82"/>
        <v/>
      </c>
    </row>
    <row r="3009" spans="2:2" x14ac:dyDescent="0.3">
      <c r="B3009" s="30" t="str">
        <f t="shared" si="82"/>
        <v/>
      </c>
    </row>
    <row r="3010" spans="2:2" x14ac:dyDescent="0.3">
      <c r="B3010" s="30" t="str">
        <f t="shared" si="82"/>
        <v/>
      </c>
    </row>
    <row r="3011" spans="2:2" x14ac:dyDescent="0.3">
      <c r="B3011" s="30" t="str">
        <f t="shared" si="82"/>
        <v/>
      </c>
    </row>
    <row r="3012" spans="2:2" x14ac:dyDescent="0.3">
      <c r="B3012" s="30" t="str">
        <f t="shared" si="82"/>
        <v/>
      </c>
    </row>
    <row r="3013" spans="2:2" x14ac:dyDescent="0.3">
      <c r="B3013" s="30" t="str">
        <f t="shared" si="82"/>
        <v/>
      </c>
    </row>
    <row r="3014" spans="2:2" x14ac:dyDescent="0.3">
      <c r="B3014" s="30" t="str">
        <f t="shared" si="82"/>
        <v/>
      </c>
    </row>
    <row r="3015" spans="2:2" x14ac:dyDescent="0.3">
      <c r="B3015" s="30" t="str">
        <f t="shared" si="82"/>
        <v/>
      </c>
    </row>
    <row r="3016" spans="2:2" x14ac:dyDescent="0.3">
      <c r="B3016" s="30" t="str">
        <f t="shared" si="82"/>
        <v/>
      </c>
    </row>
    <row r="3017" spans="2:2" x14ac:dyDescent="0.3">
      <c r="B3017" s="30" t="str">
        <f t="shared" si="82"/>
        <v/>
      </c>
    </row>
    <row r="3018" spans="2:2" x14ac:dyDescent="0.3">
      <c r="B3018" s="30" t="str">
        <f t="shared" si="82"/>
        <v/>
      </c>
    </row>
    <row r="3019" spans="2:2" x14ac:dyDescent="0.3">
      <c r="B3019" s="30" t="str">
        <f t="shared" si="82"/>
        <v/>
      </c>
    </row>
    <row r="3020" spans="2:2" x14ac:dyDescent="0.3">
      <c r="B3020" s="30" t="str">
        <f t="shared" si="82"/>
        <v/>
      </c>
    </row>
    <row r="3021" spans="2:2" x14ac:dyDescent="0.3">
      <c r="B3021" s="30" t="str">
        <f t="shared" si="82"/>
        <v/>
      </c>
    </row>
    <row r="3022" spans="2:2" x14ac:dyDescent="0.3">
      <c r="B3022" s="30" t="str">
        <f t="shared" si="82"/>
        <v/>
      </c>
    </row>
    <row r="3023" spans="2:2" x14ac:dyDescent="0.3">
      <c r="B3023" s="30" t="str">
        <f t="shared" si="82"/>
        <v/>
      </c>
    </row>
    <row r="3024" spans="2:2" x14ac:dyDescent="0.3">
      <c r="B3024" s="30" t="str">
        <f t="shared" si="82"/>
        <v/>
      </c>
    </row>
    <row r="3025" spans="2:2" x14ac:dyDescent="0.3">
      <c r="B3025" s="30" t="str">
        <f t="shared" si="82"/>
        <v/>
      </c>
    </row>
    <row r="3026" spans="2:2" x14ac:dyDescent="0.3">
      <c r="B3026" s="30" t="str">
        <f t="shared" si="82"/>
        <v/>
      </c>
    </row>
    <row r="3027" spans="2:2" x14ac:dyDescent="0.3">
      <c r="B3027" s="30" t="str">
        <f t="shared" si="82"/>
        <v/>
      </c>
    </row>
    <row r="3028" spans="2:2" x14ac:dyDescent="0.3">
      <c r="B3028" s="30" t="str">
        <f t="shared" si="82"/>
        <v/>
      </c>
    </row>
    <row r="3029" spans="2:2" x14ac:dyDescent="0.3">
      <c r="B3029" s="30" t="str">
        <f t="shared" si="82"/>
        <v/>
      </c>
    </row>
    <row r="3030" spans="2:2" x14ac:dyDescent="0.3">
      <c r="B3030" s="30" t="str">
        <f t="shared" si="82"/>
        <v/>
      </c>
    </row>
    <row r="3031" spans="2:2" x14ac:dyDescent="0.3">
      <c r="B3031" s="30" t="str">
        <f t="shared" si="82"/>
        <v/>
      </c>
    </row>
    <row r="3032" spans="2:2" x14ac:dyDescent="0.3">
      <c r="B3032" s="30" t="str">
        <f t="shared" si="82"/>
        <v/>
      </c>
    </row>
    <row r="3033" spans="2:2" x14ac:dyDescent="0.3">
      <c r="B3033" s="30" t="str">
        <f t="shared" si="82"/>
        <v/>
      </c>
    </row>
    <row r="3034" spans="2:2" x14ac:dyDescent="0.3">
      <c r="B3034" s="30" t="str">
        <f t="shared" si="82"/>
        <v/>
      </c>
    </row>
    <row r="3035" spans="2:2" x14ac:dyDescent="0.3">
      <c r="B3035" s="30" t="str">
        <f t="shared" si="82"/>
        <v/>
      </c>
    </row>
    <row r="3036" spans="2:2" x14ac:dyDescent="0.3">
      <c r="B3036" s="30" t="str">
        <f t="shared" si="82"/>
        <v/>
      </c>
    </row>
    <row r="3037" spans="2:2" x14ac:dyDescent="0.3">
      <c r="B3037" s="30" t="str">
        <f t="shared" si="82"/>
        <v/>
      </c>
    </row>
    <row r="3038" spans="2:2" x14ac:dyDescent="0.3">
      <c r="B3038" s="30" t="str">
        <f t="shared" si="82"/>
        <v/>
      </c>
    </row>
    <row r="3039" spans="2:2" x14ac:dyDescent="0.3">
      <c r="B3039" s="30" t="str">
        <f t="shared" si="82"/>
        <v/>
      </c>
    </row>
    <row r="3040" spans="2:2" x14ac:dyDescent="0.3">
      <c r="B3040" s="30" t="str">
        <f t="shared" si="82"/>
        <v/>
      </c>
    </row>
    <row r="3041" spans="2:2" x14ac:dyDescent="0.3">
      <c r="B3041" s="30" t="str">
        <f t="shared" si="82"/>
        <v/>
      </c>
    </row>
    <row r="3042" spans="2:2" x14ac:dyDescent="0.3">
      <c r="B3042" s="30" t="str">
        <f t="shared" si="82"/>
        <v/>
      </c>
    </row>
    <row r="3043" spans="2:2" x14ac:dyDescent="0.3">
      <c r="B3043" s="30" t="str">
        <f t="shared" si="82"/>
        <v/>
      </c>
    </row>
    <row r="3044" spans="2:2" x14ac:dyDescent="0.3">
      <c r="B3044" s="30" t="str">
        <f t="shared" si="82"/>
        <v/>
      </c>
    </row>
    <row r="3045" spans="2:2" x14ac:dyDescent="0.3">
      <c r="B3045" s="30" t="str">
        <f t="shared" si="82"/>
        <v/>
      </c>
    </row>
    <row r="3046" spans="2:2" x14ac:dyDescent="0.3">
      <c r="B3046" s="30" t="str">
        <f t="shared" si="82"/>
        <v/>
      </c>
    </row>
    <row r="3047" spans="2:2" x14ac:dyDescent="0.3">
      <c r="B3047" s="30" t="str">
        <f t="shared" si="82"/>
        <v/>
      </c>
    </row>
    <row r="3048" spans="2:2" x14ac:dyDescent="0.3">
      <c r="B3048" s="30" t="str">
        <f t="shared" ref="B3048:B3116" si="83">IF($A3048="Daily", "n/a", "")</f>
        <v/>
      </c>
    </row>
    <row r="3049" spans="2:2" x14ac:dyDescent="0.3">
      <c r="B3049" s="30" t="str">
        <f t="shared" si="83"/>
        <v/>
      </c>
    </row>
    <row r="3050" spans="2:2" x14ac:dyDescent="0.3">
      <c r="B3050" s="30" t="str">
        <f t="shared" si="83"/>
        <v/>
      </c>
    </row>
    <row r="3051" spans="2:2" x14ac:dyDescent="0.3">
      <c r="B3051" s="30" t="str">
        <f t="shared" si="83"/>
        <v/>
      </c>
    </row>
    <row r="3052" spans="2:2" x14ac:dyDescent="0.3">
      <c r="B3052" s="30" t="str">
        <f t="shared" si="83"/>
        <v/>
      </c>
    </row>
    <row r="3053" spans="2:2" x14ac:dyDescent="0.3">
      <c r="B3053" s="30" t="str">
        <f t="shared" si="83"/>
        <v/>
      </c>
    </row>
    <row r="3054" spans="2:2" x14ac:dyDescent="0.3">
      <c r="B3054" s="30" t="str">
        <f t="shared" si="83"/>
        <v/>
      </c>
    </row>
    <row r="3055" spans="2:2" x14ac:dyDescent="0.3">
      <c r="B3055" s="30" t="str">
        <f t="shared" si="83"/>
        <v/>
      </c>
    </row>
    <row r="3056" spans="2:2" x14ac:dyDescent="0.3">
      <c r="B3056" s="30" t="str">
        <f t="shared" si="83"/>
        <v/>
      </c>
    </row>
    <row r="3057" spans="2:2" x14ac:dyDescent="0.3">
      <c r="B3057" s="30" t="str">
        <f t="shared" si="83"/>
        <v/>
      </c>
    </row>
    <row r="3058" spans="2:2" x14ac:dyDescent="0.3">
      <c r="B3058" s="30" t="str">
        <f t="shared" si="83"/>
        <v/>
      </c>
    </row>
    <row r="3059" spans="2:2" x14ac:dyDescent="0.3">
      <c r="B3059" s="30" t="str">
        <f t="shared" si="83"/>
        <v/>
      </c>
    </row>
    <row r="3060" spans="2:2" x14ac:dyDescent="0.3">
      <c r="B3060" s="30" t="str">
        <f t="shared" si="83"/>
        <v/>
      </c>
    </row>
    <row r="3061" spans="2:2" x14ac:dyDescent="0.3">
      <c r="B3061" s="30" t="str">
        <f t="shared" si="83"/>
        <v/>
      </c>
    </row>
    <row r="3062" spans="2:2" x14ac:dyDescent="0.3">
      <c r="B3062" s="30" t="str">
        <f t="shared" si="83"/>
        <v/>
      </c>
    </row>
    <row r="3063" spans="2:2" x14ac:dyDescent="0.3">
      <c r="B3063" s="30" t="str">
        <f t="shared" si="83"/>
        <v/>
      </c>
    </row>
    <row r="3064" spans="2:2" x14ac:dyDescent="0.3">
      <c r="B3064" s="30" t="str">
        <f t="shared" si="83"/>
        <v/>
      </c>
    </row>
    <row r="3065" spans="2:2" x14ac:dyDescent="0.3">
      <c r="B3065" s="30" t="str">
        <f t="shared" si="83"/>
        <v/>
      </c>
    </row>
    <row r="3066" spans="2:2" x14ac:dyDescent="0.3">
      <c r="B3066" s="30" t="str">
        <f t="shared" si="83"/>
        <v/>
      </c>
    </row>
    <row r="3067" spans="2:2" x14ac:dyDescent="0.3">
      <c r="B3067" s="30" t="str">
        <f t="shared" si="83"/>
        <v/>
      </c>
    </row>
    <row r="3068" spans="2:2" x14ac:dyDescent="0.3">
      <c r="B3068" s="30" t="str">
        <f t="shared" si="83"/>
        <v/>
      </c>
    </row>
    <row r="3069" spans="2:2" x14ac:dyDescent="0.3">
      <c r="B3069" s="30" t="str">
        <f t="shared" si="83"/>
        <v/>
      </c>
    </row>
    <row r="3070" spans="2:2" x14ac:dyDescent="0.3">
      <c r="B3070" s="30" t="str">
        <f t="shared" si="83"/>
        <v/>
      </c>
    </row>
    <row r="3071" spans="2:2" x14ac:dyDescent="0.3">
      <c r="B3071" s="30" t="str">
        <f t="shared" si="83"/>
        <v/>
      </c>
    </row>
    <row r="3072" spans="2:2" x14ac:dyDescent="0.3">
      <c r="B3072" s="30" t="str">
        <f t="shared" si="83"/>
        <v/>
      </c>
    </row>
    <row r="3073" spans="2:2" x14ac:dyDescent="0.3">
      <c r="B3073" s="30" t="str">
        <f t="shared" si="83"/>
        <v/>
      </c>
    </row>
    <row r="3074" spans="2:2" x14ac:dyDescent="0.3">
      <c r="B3074" s="30" t="str">
        <f t="shared" si="83"/>
        <v/>
      </c>
    </row>
    <row r="3075" spans="2:2" x14ac:dyDescent="0.3">
      <c r="B3075" s="30" t="str">
        <f t="shared" si="83"/>
        <v/>
      </c>
    </row>
    <row r="3076" spans="2:2" x14ac:dyDescent="0.3">
      <c r="B3076" s="30" t="str">
        <f t="shared" si="83"/>
        <v/>
      </c>
    </row>
    <row r="3077" spans="2:2" x14ac:dyDescent="0.3">
      <c r="B3077" s="30" t="str">
        <f t="shared" si="83"/>
        <v/>
      </c>
    </row>
    <row r="3078" spans="2:2" x14ac:dyDescent="0.3">
      <c r="B3078" s="30" t="str">
        <f t="shared" si="83"/>
        <v/>
      </c>
    </row>
    <row r="3079" spans="2:2" x14ac:dyDescent="0.3">
      <c r="B3079" s="30" t="str">
        <f t="shared" si="83"/>
        <v/>
      </c>
    </row>
    <row r="3080" spans="2:2" x14ac:dyDescent="0.3">
      <c r="B3080" s="30" t="str">
        <f t="shared" si="83"/>
        <v/>
      </c>
    </row>
    <row r="3081" spans="2:2" x14ac:dyDescent="0.3">
      <c r="B3081" s="30" t="str">
        <f t="shared" si="83"/>
        <v/>
      </c>
    </row>
    <row r="3082" spans="2:2" x14ac:dyDescent="0.3">
      <c r="B3082" s="30" t="str">
        <f t="shared" si="83"/>
        <v/>
      </c>
    </row>
    <row r="3083" spans="2:2" x14ac:dyDescent="0.3">
      <c r="B3083" s="30" t="str">
        <f t="shared" si="83"/>
        <v/>
      </c>
    </row>
    <row r="3084" spans="2:2" x14ac:dyDescent="0.3">
      <c r="B3084" s="30" t="str">
        <f t="shared" si="83"/>
        <v/>
      </c>
    </row>
    <row r="3085" spans="2:2" x14ac:dyDescent="0.3">
      <c r="B3085" s="30" t="str">
        <f t="shared" si="83"/>
        <v/>
      </c>
    </row>
    <row r="3086" spans="2:2" x14ac:dyDescent="0.3">
      <c r="B3086" s="30" t="str">
        <f t="shared" si="83"/>
        <v/>
      </c>
    </row>
    <row r="3087" spans="2:2" x14ac:dyDescent="0.3">
      <c r="B3087" s="30" t="str">
        <f t="shared" si="83"/>
        <v/>
      </c>
    </row>
    <row r="3088" spans="2:2" x14ac:dyDescent="0.3">
      <c r="B3088" s="30" t="str">
        <f t="shared" si="83"/>
        <v/>
      </c>
    </row>
    <row r="3089" spans="2:2" x14ac:dyDescent="0.3">
      <c r="B3089" s="30" t="str">
        <f t="shared" si="83"/>
        <v/>
      </c>
    </row>
    <row r="3090" spans="2:2" x14ac:dyDescent="0.3">
      <c r="B3090" s="30" t="str">
        <f t="shared" si="83"/>
        <v/>
      </c>
    </row>
    <row r="3091" spans="2:2" x14ac:dyDescent="0.3">
      <c r="B3091" s="30" t="str">
        <f t="shared" si="83"/>
        <v/>
      </c>
    </row>
    <row r="3092" spans="2:2" x14ac:dyDescent="0.3">
      <c r="B3092" s="30" t="str">
        <f t="shared" si="83"/>
        <v/>
      </c>
    </row>
    <row r="3093" spans="2:2" x14ac:dyDescent="0.3">
      <c r="B3093" s="30" t="str">
        <f t="shared" si="83"/>
        <v/>
      </c>
    </row>
    <row r="3094" spans="2:2" x14ac:dyDescent="0.3">
      <c r="B3094" s="30" t="str">
        <f t="shared" si="83"/>
        <v/>
      </c>
    </row>
    <row r="3095" spans="2:2" x14ac:dyDescent="0.3">
      <c r="B3095" s="30" t="str">
        <f t="shared" si="83"/>
        <v/>
      </c>
    </row>
    <row r="3096" spans="2:2" x14ac:dyDescent="0.3">
      <c r="B3096" s="30" t="str">
        <f t="shared" si="83"/>
        <v/>
      </c>
    </row>
    <row r="3097" spans="2:2" x14ac:dyDescent="0.3">
      <c r="B3097" s="30" t="str">
        <f t="shared" si="83"/>
        <v/>
      </c>
    </row>
    <row r="3098" spans="2:2" x14ac:dyDescent="0.3">
      <c r="B3098" s="30" t="str">
        <f t="shared" si="83"/>
        <v/>
      </c>
    </row>
    <row r="3099" spans="2:2" x14ac:dyDescent="0.3">
      <c r="B3099" s="30" t="str">
        <f t="shared" si="83"/>
        <v/>
      </c>
    </row>
    <row r="3100" spans="2:2" x14ac:dyDescent="0.3">
      <c r="B3100" s="30" t="str">
        <f t="shared" si="83"/>
        <v/>
      </c>
    </row>
    <row r="3101" spans="2:2" x14ac:dyDescent="0.3">
      <c r="B3101" s="30" t="str">
        <f t="shared" si="83"/>
        <v/>
      </c>
    </row>
    <row r="3102" spans="2:2" x14ac:dyDescent="0.3">
      <c r="B3102" s="30" t="str">
        <f t="shared" si="83"/>
        <v/>
      </c>
    </row>
    <row r="3103" spans="2:2" x14ac:dyDescent="0.3">
      <c r="B3103" s="30" t="str">
        <f t="shared" si="83"/>
        <v/>
      </c>
    </row>
    <row r="3104" spans="2:2" x14ac:dyDescent="0.3">
      <c r="B3104" s="30" t="str">
        <f t="shared" si="83"/>
        <v/>
      </c>
    </row>
    <row r="3105" spans="2:2" x14ac:dyDescent="0.3">
      <c r="B3105" s="30" t="str">
        <f t="shared" si="83"/>
        <v/>
      </c>
    </row>
    <row r="3106" spans="2:2" x14ac:dyDescent="0.3">
      <c r="B3106" s="30" t="str">
        <f t="shared" si="83"/>
        <v/>
      </c>
    </row>
    <row r="3107" spans="2:2" x14ac:dyDescent="0.3">
      <c r="B3107" s="30" t="str">
        <f t="shared" si="83"/>
        <v/>
      </c>
    </row>
    <row r="3108" spans="2:2" x14ac:dyDescent="0.3">
      <c r="B3108" s="30" t="str">
        <f t="shared" si="83"/>
        <v/>
      </c>
    </row>
    <row r="3109" spans="2:2" x14ac:dyDescent="0.3">
      <c r="B3109" s="30" t="str">
        <f t="shared" si="83"/>
        <v/>
      </c>
    </row>
    <row r="3110" spans="2:2" x14ac:dyDescent="0.3">
      <c r="B3110" s="30" t="str">
        <f t="shared" si="83"/>
        <v/>
      </c>
    </row>
    <row r="3111" spans="2:2" x14ac:dyDescent="0.3">
      <c r="B3111" s="30" t="str">
        <f t="shared" si="83"/>
        <v/>
      </c>
    </row>
    <row r="3112" spans="2:2" x14ac:dyDescent="0.3">
      <c r="B3112" s="30" t="str">
        <f t="shared" si="83"/>
        <v/>
      </c>
    </row>
    <row r="3113" spans="2:2" x14ac:dyDescent="0.3">
      <c r="B3113" s="30" t="str">
        <f t="shared" si="83"/>
        <v/>
      </c>
    </row>
    <row r="3114" spans="2:2" x14ac:dyDescent="0.3">
      <c r="B3114" s="30" t="str">
        <f t="shared" si="83"/>
        <v/>
      </c>
    </row>
    <row r="3115" spans="2:2" x14ac:dyDescent="0.3">
      <c r="B3115" s="30" t="str">
        <f t="shared" si="83"/>
        <v/>
      </c>
    </row>
    <row r="3116" spans="2:2" x14ac:dyDescent="0.3">
      <c r="B3116" s="30" t="str">
        <f t="shared" si="83"/>
        <v/>
      </c>
    </row>
  </sheetData>
  <mergeCells count="27">
    <mergeCell ref="M17:N17"/>
    <mergeCell ref="M18:N18"/>
    <mergeCell ref="M19:N19"/>
    <mergeCell ref="O19:R19"/>
    <mergeCell ref="O18:R18"/>
    <mergeCell ref="A1:E1"/>
    <mergeCell ref="M10:N10"/>
    <mergeCell ref="M11:N11"/>
    <mergeCell ref="F1:G1"/>
    <mergeCell ref="H1:I1"/>
    <mergeCell ref="M9:N9"/>
    <mergeCell ref="J1:K1"/>
    <mergeCell ref="M4:O4"/>
    <mergeCell ref="O7:U7"/>
    <mergeCell ref="M6:N6"/>
    <mergeCell ref="M7:N7"/>
    <mergeCell ref="M8:N8"/>
    <mergeCell ref="O14:U15"/>
    <mergeCell ref="M14:N15"/>
    <mergeCell ref="O10:U10"/>
    <mergeCell ref="O9:U9"/>
    <mergeCell ref="O8:U8"/>
    <mergeCell ref="M12:N12"/>
    <mergeCell ref="M13:N13"/>
    <mergeCell ref="O11:U11"/>
    <mergeCell ref="O12:U12"/>
    <mergeCell ref="O13:U13"/>
  </mergeCells>
  <phoneticPr fontId="32" type="noConversion"/>
  <conditionalFormatting sqref="A3:G9961">
    <cfRule type="expression" dxfId="8" priority="5">
      <formula>EXACT($A3, "Daily")</formula>
    </cfRule>
    <cfRule type="expression" dxfId="7" priority="6">
      <formula>EXACT($A3, "Error")</formula>
    </cfRule>
    <cfRule type="expression" dxfId="6" priority="7">
      <formula>EXACT($A3, "Trial")</formula>
    </cfRule>
  </conditionalFormatting>
  <conditionalFormatting sqref="H3:H9962">
    <cfRule type="expression" dxfId="5" priority="3">
      <formula>$F3&gt;$H3</formula>
    </cfRule>
    <cfRule type="expression" dxfId="4" priority="4">
      <formula>$F3&lt;$H3</formula>
    </cfRule>
  </conditionalFormatting>
  <conditionalFormatting sqref="I3:I9962">
    <cfRule type="expression" dxfId="3" priority="1">
      <formula>$G3&gt;$I3</formula>
    </cfRule>
    <cfRule type="expression" dxfId="2" priority="2">
      <formula>$G3&lt;$I3</formula>
    </cfRule>
  </conditionalFormatting>
  <conditionalFormatting sqref="J1:K1048576">
    <cfRule type="cellIs" dxfId="1" priority="8" operator="equal">
      <formula>"No"</formula>
    </cfRule>
    <cfRule type="cellIs" dxfId="0" priority="9" operator="equal">
      <formula>"Yes"</formula>
    </cfRule>
  </conditionalFormatting>
  <pageMargins left="0.75" right="0.75" top="1" bottom="1" header="0.511811023622047" footer="0.511811023622047"/>
  <pageSetup paperSize="9" orientation="portrait" horizontalDpi="300" verticalDpi="30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C93C9DD-A91C-4AA4-A92F-8D95DCC4FB0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WIP</vt:lpstr>
      <vt:lpstr>Data-Lists</vt:lpstr>
      <vt:lpstr>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description/>
  <cp:lastModifiedBy>Daniel Newby</cp:lastModifiedBy>
  <cp:revision>1</cp:revision>
  <dcterms:created xsi:type="dcterms:W3CDTF">2026-07-27T09:50:39Z</dcterms:created>
  <dcterms:modified xsi:type="dcterms:W3CDTF">2026-08-24T14:26:07Z</dcterms:modified>
  <dc:language>en-US</dc:language>
</cp:coreProperties>
</file>