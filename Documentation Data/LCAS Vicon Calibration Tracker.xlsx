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ewwb\Documents\brain\professional\university\LCAS\EPSURIS Internship (Vicon)\Public Files\Documentation Data\"/>
    </mc:Choice>
  </mc:AlternateContent>
  <xr:revisionPtr revIDLastSave="0" documentId="13_ncr:1_{ADF48BB4-B08B-4E8E-9471-B5F88F18BD80}" xr6:coauthVersionLast="47" xr6:coauthVersionMax="47" xr10:uidLastSave="{00000000-0000-0000-0000-000000000000}"/>
  <bookViews>
    <workbookView xWindow="-108" yWindow="-108" windowWidth="23256" windowHeight="13896" firstSheet="3" activeTab="5" xr2:uid="{00000000-000D-0000-FFFF-FFFF00000000}"/>
  </bookViews>
  <sheets>
    <sheet name="Instructions" sheetId="1" state="hidden" r:id="rId1"/>
    <sheet name="Lists" sheetId="2" state="hidden" r:id="rId2"/>
    <sheet name="Camera Labelling" sheetId="7" r:id="rId3"/>
    <sheet name="Log" sheetId="3" r:id="rId4"/>
    <sheet name="Daily Summary" sheetId="4" r:id="rId5"/>
    <sheet name="Camera Error Trend" sheetId="5" r:id="rId6"/>
    <sheet name="Camera Performance Trends" sheetId="6" r:id="rId7"/>
    <sheet name="Error Log" sheetId="8" r:id="rId8"/>
    <sheet name="Error Summary" sheetId="9" r:id="rId9"/>
  </sheets>
  <definedNames>
    <definedName name="_xlnm._FilterDatabase" localSheetId="6" hidden="1">'Camera Performance Trends'!$A$3:$J$60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 i="5" l="1"/>
  <c r="M3" i="5" s="1"/>
  <c r="K3" i="5"/>
  <c r="J3" i="5"/>
  <c r="H3" i="5"/>
  <c r="L3" i="5" s="1"/>
  <c r="H55" i="9"/>
  <c r="H56" i="9"/>
  <c r="H57" i="9"/>
  <c r="H58" i="9"/>
  <c r="H59" i="9"/>
  <c r="H60" i="9"/>
  <c r="H61" i="9"/>
  <c r="H62" i="9"/>
  <c r="H63" i="9"/>
  <c r="J29" i="8"/>
  <c r="I59" i="8"/>
  <c r="H4" i="8"/>
  <c r="J4" i="8" s="1"/>
  <c r="H5" i="8"/>
  <c r="J5" i="8" s="1"/>
  <c r="H6" i="8"/>
  <c r="J6" i="8" s="1"/>
  <c r="H7" i="8"/>
  <c r="J7" i="8" s="1"/>
  <c r="H8" i="8"/>
  <c r="J8" i="8" s="1"/>
  <c r="H9" i="8"/>
  <c r="J9" i="8" s="1"/>
  <c r="H10" i="8"/>
  <c r="J10" i="8" s="1"/>
  <c r="H11" i="8"/>
  <c r="J11" i="8" s="1"/>
  <c r="H12" i="8"/>
  <c r="J12" i="8" s="1"/>
  <c r="H13" i="8"/>
  <c r="J13" i="8" s="1"/>
  <c r="H14" i="8"/>
  <c r="J14" i="8" s="1"/>
  <c r="H15" i="8"/>
  <c r="J15" i="8" s="1"/>
  <c r="H16" i="8"/>
  <c r="J16" i="8" s="1"/>
  <c r="H17" i="8"/>
  <c r="J17" i="8" s="1"/>
  <c r="H18" i="8"/>
  <c r="J18" i="8" s="1"/>
  <c r="H19" i="8"/>
  <c r="J19" i="8" s="1"/>
  <c r="H20" i="8"/>
  <c r="J20" i="8" s="1"/>
  <c r="H21" i="8"/>
  <c r="J21" i="8" s="1"/>
  <c r="H22" i="8"/>
  <c r="J22" i="8" s="1"/>
  <c r="H23" i="8"/>
  <c r="J23" i="8" s="1"/>
  <c r="H24" i="8"/>
  <c r="J24" i="8" s="1"/>
  <c r="H25" i="8"/>
  <c r="J25" i="8" s="1"/>
  <c r="H26" i="8"/>
  <c r="J26" i="8" s="1"/>
  <c r="H27" i="8"/>
  <c r="J27" i="8" s="1"/>
  <c r="H28" i="8"/>
  <c r="J28" i="8" s="1"/>
  <c r="H29" i="8"/>
  <c r="H30" i="8"/>
  <c r="J30" i="8" s="1"/>
  <c r="H31" i="8"/>
  <c r="J31" i="8" s="1"/>
  <c r="H32" i="8"/>
  <c r="J32" i="8" s="1"/>
  <c r="H33" i="8"/>
  <c r="J33" i="8" s="1"/>
  <c r="H34" i="8"/>
  <c r="J34" i="8" s="1"/>
  <c r="H35" i="8"/>
  <c r="J35" i="8" s="1"/>
  <c r="H36" i="8"/>
  <c r="J36" i="8" s="1"/>
  <c r="H37" i="8"/>
  <c r="J37" i="8" s="1"/>
  <c r="H38" i="8"/>
  <c r="J38" i="8" s="1"/>
  <c r="H39" i="8"/>
  <c r="J39" i="8" s="1"/>
  <c r="H40" i="8"/>
  <c r="J40" i="8" s="1"/>
  <c r="H41" i="8"/>
  <c r="J41" i="8" s="1"/>
  <c r="H42" i="8"/>
  <c r="J42" i="8" s="1"/>
  <c r="H43" i="8"/>
  <c r="J43" i="8" s="1"/>
  <c r="H44" i="8"/>
  <c r="J44" i="8" s="1"/>
  <c r="H45" i="8"/>
  <c r="J45" i="8" s="1"/>
  <c r="H46" i="8"/>
  <c r="J46" i="8" s="1"/>
  <c r="H47" i="8"/>
  <c r="J47" i="8" s="1"/>
  <c r="H48" i="8"/>
  <c r="J48" i="8" s="1"/>
  <c r="H49" i="8"/>
  <c r="J49" i="8" s="1"/>
  <c r="H50" i="8"/>
  <c r="J50" i="8" s="1"/>
  <c r="H51" i="8"/>
  <c r="J51" i="8" s="1"/>
  <c r="H52" i="8"/>
  <c r="J52" i="8" s="1"/>
  <c r="H53" i="8"/>
  <c r="J53" i="8" s="1"/>
  <c r="H54" i="8"/>
  <c r="J54" i="8" s="1"/>
  <c r="H55" i="8"/>
  <c r="J55" i="8" s="1"/>
  <c r="H56" i="8"/>
  <c r="J56" i="8" s="1"/>
  <c r="H57" i="8"/>
  <c r="J57" i="8" s="1"/>
  <c r="H58" i="8"/>
  <c r="J58" i="8" s="1"/>
  <c r="H59" i="8"/>
  <c r="J59" i="8" s="1"/>
  <c r="H60" i="8"/>
  <c r="J60" i="8" s="1"/>
  <c r="H61" i="8"/>
  <c r="J61" i="8" s="1"/>
  <c r="H62" i="8"/>
  <c r="J62" i="8" s="1"/>
  <c r="H63" i="8"/>
  <c r="J63" i="8" s="1"/>
  <c r="H64" i="8"/>
  <c r="J64" i="8" s="1"/>
  <c r="H65" i="8"/>
  <c r="J65" i="8" s="1"/>
  <c r="H66" i="8"/>
  <c r="J66" i="8" s="1"/>
  <c r="H67" i="8"/>
  <c r="J67" i="8" s="1"/>
  <c r="H68" i="8"/>
  <c r="J68" i="8" s="1"/>
  <c r="H69" i="8"/>
  <c r="J69" i="8" s="1"/>
  <c r="H70" i="8"/>
  <c r="J70" i="8" s="1"/>
  <c r="H71" i="8"/>
  <c r="J71" i="8" s="1"/>
  <c r="H72" i="8"/>
  <c r="J72" i="8" s="1"/>
  <c r="H73" i="8"/>
  <c r="J73" i="8" s="1"/>
  <c r="H74" i="8"/>
  <c r="J74" i="8" s="1"/>
  <c r="H75" i="8"/>
  <c r="J75" i="8" s="1"/>
  <c r="H76" i="8"/>
  <c r="J76" i="8" s="1"/>
  <c r="H77" i="8"/>
  <c r="J77" i="8" s="1"/>
  <c r="H78" i="8"/>
  <c r="J78" i="8" s="1"/>
  <c r="H79" i="8"/>
  <c r="J79" i="8" s="1"/>
  <c r="H80" i="8"/>
  <c r="J80" i="8" s="1"/>
  <c r="H81" i="8"/>
  <c r="J81" i="8" s="1"/>
  <c r="H82" i="8"/>
  <c r="J82" i="8" s="1"/>
  <c r="H83" i="8"/>
  <c r="J83" i="8" s="1"/>
  <c r="H84" i="8"/>
  <c r="J84" i="8" s="1"/>
  <c r="H85" i="8"/>
  <c r="J85" i="8" s="1"/>
  <c r="H86" i="8"/>
  <c r="J86" i="8" s="1"/>
  <c r="H87" i="8"/>
  <c r="J87" i="8" s="1"/>
  <c r="H88" i="8"/>
  <c r="J88" i="8" s="1"/>
  <c r="H89" i="8"/>
  <c r="J89" i="8" s="1"/>
  <c r="H90" i="8"/>
  <c r="J90" i="8" s="1"/>
  <c r="H91" i="8"/>
  <c r="J91" i="8" s="1"/>
  <c r="H92" i="8"/>
  <c r="J92" i="8" s="1"/>
  <c r="H93" i="8"/>
  <c r="J93" i="8" s="1"/>
  <c r="H94" i="8"/>
  <c r="J94" i="8" s="1"/>
  <c r="H95" i="8"/>
  <c r="J95" i="8" s="1"/>
  <c r="H96" i="8"/>
  <c r="J96" i="8" s="1"/>
  <c r="H97" i="8"/>
  <c r="J97" i="8" s="1"/>
  <c r="H98" i="8"/>
  <c r="J98" i="8" s="1"/>
  <c r="H99" i="8"/>
  <c r="J99" i="8" s="1"/>
  <c r="H100" i="8"/>
  <c r="J100" i="8" s="1"/>
  <c r="H101" i="8"/>
  <c r="J101" i="8" s="1"/>
  <c r="H102" i="8"/>
  <c r="J102" i="8" s="1"/>
  <c r="H103" i="8"/>
  <c r="J103" i="8" s="1"/>
  <c r="H104" i="8"/>
  <c r="J104" i="8" s="1"/>
  <c r="H105" i="8"/>
  <c r="J105" i="8" s="1"/>
  <c r="H106" i="8"/>
  <c r="J106" i="8" s="1"/>
  <c r="H107" i="8"/>
  <c r="J107" i="8" s="1"/>
  <c r="H108" i="8"/>
  <c r="J108" i="8" s="1"/>
  <c r="H109" i="8"/>
  <c r="J109" i="8" s="1"/>
  <c r="H110" i="8"/>
  <c r="J110" i="8" s="1"/>
  <c r="H111" i="8"/>
  <c r="J111" i="8" s="1"/>
  <c r="H112" i="8"/>
  <c r="J112" i="8" s="1"/>
  <c r="H113" i="8"/>
  <c r="J113" i="8" s="1"/>
  <c r="H114" i="8"/>
  <c r="J114" i="8" s="1"/>
  <c r="H115" i="8"/>
  <c r="J115" i="8" s="1"/>
  <c r="H116" i="8"/>
  <c r="J116" i="8" s="1"/>
  <c r="H117" i="8"/>
  <c r="J117" i="8" s="1"/>
  <c r="H118" i="8"/>
  <c r="J118" i="8" s="1"/>
  <c r="H119" i="8"/>
  <c r="J119" i="8" s="1"/>
  <c r="H120" i="8"/>
  <c r="J120" i="8" s="1"/>
  <c r="H121" i="8"/>
  <c r="J121" i="8" s="1"/>
  <c r="H122" i="8"/>
  <c r="J122" i="8" s="1"/>
  <c r="H123" i="8"/>
  <c r="J123" i="8" s="1"/>
  <c r="H124" i="8"/>
  <c r="J124" i="8" s="1"/>
  <c r="H125" i="8"/>
  <c r="J125" i="8" s="1"/>
  <c r="H126" i="8"/>
  <c r="J126" i="8" s="1"/>
  <c r="H127" i="8"/>
  <c r="J127" i="8" s="1"/>
  <c r="H128" i="8"/>
  <c r="J128" i="8" s="1"/>
  <c r="H129" i="8"/>
  <c r="J129" i="8" s="1"/>
  <c r="H130" i="8"/>
  <c r="J130" i="8" s="1"/>
  <c r="H131" i="8"/>
  <c r="J131" i="8" s="1"/>
  <c r="H132" i="8"/>
  <c r="J132" i="8" s="1"/>
  <c r="H133" i="8"/>
  <c r="J133" i="8" s="1"/>
  <c r="H134" i="8"/>
  <c r="J134" i="8" s="1"/>
  <c r="H135" i="8"/>
  <c r="J135" i="8" s="1"/>
  <c r="H136" i="8"/>
  <c r="J136" i="8" s="1"/>
  <c r="H137" i="8"/>
  <c r="J137" i="8" s="1"/>
  <c r="H138" i="8"/>
  <c r="J138" i="8" s="1"/>
  <c r="H139" i="8"/>
  <c r="J139" i="8" s="1"/>
  <c r="H140" i="8"/>
  <c r="J140" i="8" s="1"/>
  <c r="H141" i="8"/>
  <c r="J141" i="8" s="1"/>
  <c r="H142" i="8"/>
  <c r="J142" i="8" s="1"/>
  <c r="H143" i="8"/>
  <c r="J143" i="8" s="1"/>
  <c r="H144" i="8"/>
  <c r="J144" i="8" s="1"/>
  <c r="H145" i="8"/>
  <c r="J145" i="8" s="1"/>
  <c r="H146" i="8"/>
  <c r="J146" i="8" s="1"/>
  <c r="H147" i="8"/>
  <c r="J147" i="8" s="1"/>
  <c r="H148" i="8"/>
  <c r="J148" i="8" s="1"/>
  <c r="H149" i="8"/>
  <c r="J149" i="8" s="1"/>
  <c r="H150" i="8"/>
  <c r="J150" i="8" s="1"/>
  <c r="H151" i="8"/>
  <c r="J151" i="8" s="1"/>
  <c r="H152" i="8"/>
  <c r="J152" i="8" s="1"/>
  <c r="H153" i="8"/>
  <c r="J153" i="8" s="1"/>
  <c r="H154" i="8"/>
  <c r="J154" i="8" s="1"/>
  <c r="H155" i="8"/>
  <c r="J155" i="8" s="1"/>
  <c r="H156" i="8"/>
  <c r="J156" i="8" s="1"/>
  <c r="H157" i="8"/>
  <c r="J157" i="8" s="1"/>
  <c r="H158" i="8"/>
  <c r="J158" i="8" s="1"/>
  <c r="H3" i="8"/>
  <c r="J3" i="8" s="1"/>
  <c r="G3" i="8"/>
  <c r="I3" i="8" s="1"/>
  <c r="G4" i="8"/>
  <c r="I4" i="8" s="1"/>
  <c r="G5" i="8"/>
  <c r="I5" i="8" s="1"/>
  <c r="G6" i="8"/>
  <c r="I6" i="8" s="1"/>
  <c r="G7" i="8"/>
  <c r="I7" i="8" s="1"/>
  <c r="G8" i="8"/>
  <c r="I8" i="8" s="1"/>
  <c r="G9" i="8"/>
  <c r="I9" i="8" s="1"/>
  <c r="G10" i="8"/>
  <c r="I10" i="8" s="1"/>
  <c r="G11" i="8"/>
  <c r="I11" i="8" s="1"/>
  <c r="G12" i="8"/>
  <c r="I12" i="8" s="1"/>
  <c r="G13" i="8"/>
  <c r="I13" i="8" s="1"/>
  <c r="G14" i="8"/>
  <c r="I14" i="8" s="1"/>
  <c r="G15" i="8"/>
  <c r="I15" i="8" s="1"/>
  <c r="G16" i="8"/>
  <c r="I16" i="8" s="1"/>
  <c r="G17" i="8"/>
  <c r="I17" i="8" s="1"/>
  <c r="G18" i="8"/>
  <c r="I18" i="8" s="1"/>
  <c r="G19" i="8"/>
  <c r="I19" i="8" s="1"/>
  <c r="G20" i="8"/>
  <c r="I20" i="8" s="1"/>
  <c r="G21" i="8"/>
  <c r="I21" i="8" s="1"/>
  <c r="G22" i="8"/>
  <c r="I22" i="8" s="1"/>
  <c r="G23" i="8"/>
  <c r="I23" i="8" s="1"/>
  <c r="G24" i="8"/>
  <c r="I24" i="8" s="1"/>
  <c r="G25" i="8"/>
  <c r="I25" i="8" s="1"/>
  <c r="G26" i="8"/>
  <c r="I26" i="8" s="1"/>
  <c r="G27" i="8"/>
  <c r="I27" i="8" s="1"/>
  <c r="G28" i="8"/>
  <c r="I28" i="8" s="1"/>
  <c r="G29" i="8"/>
  <c r="I29" i="8" s="1"/>
  <c r="G30" i="8"/>
  <c r="I30" i="8" s="1"/>
  <c r="G31" i="8"/>
  <c r="I31" i="8" s="1"/>
  <c r="G32" i="8"/>
  <c r="I32" i="8" s="1"/>
  <c r="G33" i="8"/>
  <c r="I33" i="8" s="1"/>
  <c r="G34" i="8"/>
  <c r="I34" i="8" s="1"/>
  <c r="G35" i="8"/>
  <c r="I35" i="8" s="1"/>
  <c r="G36" i="8"/>
  <c r="I36" i="8" s="1"/>
  <c r="G37" i="8"/>
  <c r="I37" i="8" s="1"/>
  <c r="G38" i="8"/>
  <c r="I38" i="8" s="1"/>
  <c r="G39" i="8"/>
  <c r="I39" i="8" s="1"/>
  <c r="G40" i="8"/>
  <c r="I40" i="8" s="1"/>
  <c r="G41" i="8"/>
  <c r="I41" i="8" s="1"/>
  <c r="G42" i="8"/>
  <c r="I42" i="8" s="1"/>
  <c r="G43" i="8"/>
  <c r="I43" i="8" s="1"/>
  <c r="G44" i="8"/>
  <c r="I44" i="8" s="1"/>
  <c r="G45" i="8"/>
  <c r="I45" i="8" s="1"/>
  <c r="G46" i="8"/>
  <c r="I46" i="8" s="1"/>
  <c r="G47" i="8"/>
  <c r="I47" i="8" s="1"/>
  <c r="G48" i="8"/>
  <c r="I48" i="8" s="1"/>
  <c r="G49" i="8"/>
  <c r="I49" i="8" s="1"/>
  <c r="G50" i="8"/>
  <c r="I50" i="8" s="1"/>
  <c r="G51" i="8"/>
  <c r="I51" i="8" s="1"/>
  <c r="G52" i="8"/>
  <c r="I52" i="8" s="1"/>
  <c r="G53" i="8"/>
  <c r="I53" i="8" s="1"/>
  <c r="G54" i="8"/>
  <c r="I54" i="8" s="1"/>
  <c r="G55" i="8"/>
  <c r="I55" i="8" s="1"/>
  <c r="G56" i="8"/>
  <c r="I56" i="8" s="1"/>
  <c r="G57" i="8"/>
  <c r="I57" i="8" s="1"/>
  <c r="G58" i="8"/>
  <c r="I58" i="8" s="1"/>
  <c r="G59" i="8"/>
  <c r="G60" i="8"/>
  <c r="I60" i="8" s="1"/>
  <c r="G61" i="8"/>
  <c r="I61" i="8" s="1"/>
  <c r="G62" i="8"/>
  <c r="I62" i="8" s="1"/>
  <c r="G63" i="8"/>
  <c r="I63" i="8" s="1"/>
  <c r="G64" i="8"/>
  <c r="I64" i="8" s="1"/>
  <c r="G65" i="8"/>
  <c r="I65" i="8" s="1"/>
  <c r="G66" i="8"/>
  <c r="I66" i="8" s="1"/>
  <c r="G67" i="8"/>
  <c r="I67" i="8" s="1"/>
  <c r="G68" i="8"/>
  <c r="I68" i="8" s="1"/>
  <c r="G69" i="8"/>
  <c r="I69" i="8" s="1"/>
  <c r="G70" i="8"/>
  <c r="I70" i="8" s="1"/>
  <c r="G71" i="8"/>
  <c r="I71" i="8" s="1"/>
  <c r="G72" i="8"/>
  <c r="I72" i="8" s="1"/>
  <c r="G73" i="8"/>
  <c r="I73" i="8" s="1"/>
  <c r="G74" i="8"/>
  <c r="I74" i="8" s="1"/>
  <c r="G75" i="8"/>
  <c r="I75" i="8" s="1"/>
  <c r="G76" i="8"/>
  <c r="I76" i="8" s="1"/>
  <c r="G77" i="8"/>
  <c r="I77" i="8" s="1"/>
  <c r="G78" i="8"/>
  <c r="I78" i="8" s="1"/>
  <c r="G79" i="8"/>
  <c r="I79" i="8" s="1"/>
  <c r="G80" i="8"/>
  <c r="I80" i="8" s="1"/>
  <c r="G81" i="8"/>
  <c r="I81" i="8" s="1"/>
  <c r="G82" i="8"/>
  <c r="I82" i="8" s="1"/>
  <c r="G83" i="8"/>
  <c r="I83" i="8" s="1"/>
  <c r="G84" i="8"/>
  <c r="I84" i="8" s="1"/>
  <c r="G85" i="8"/>
  <c r="I85" i="8" s="1"/>
  <c r="G86" i="8"/>
  <c r="I86" i="8" s="1"/>
  <c r="G87" i="8"/>
  <c r="I87" i="8" s="1"/>
  <c r="G88" i="8"/>
  <c r="I88" i="8" s="1"/>
  <c r="G89" i="8"/>
  <c r="I89" i="8" s="1"/>
  <c r="G90" i="8"/>
  <c r="I90" i="8" s="1"/>
  <c r="G91" i="8"/>
  <c r="I91" i="8" s="1"/>
  <c r="G92" i="8"/>
  <c r="I92" i="8" s="1"/>
  <c r="G93" i="8"/>
  <c r="I93" i="8" s="1"/>
  <c r="G94" i="8"/>
  <c r="I94" i="8" s="1"/>
  <c r="G95" i="8"/>
  <c r="I95" i="8" s="1"/>
  <c r="G96" i="8"/>
  <c r="I96" i="8" s="1"/>
  <c r="G97" i="8"/>
  <c r="I97" i="8" s="1"/>
  <c r="G98" i="8"/>
  <c r="I98" i="8" s="1"/>
  <c r="G99" i="8"/>
  <c r="I99" i="8" s="1"/>
  <c r="G100" i="8"/>
  <c r="I100" i="8" s="1"/>
  <c r="G101" i="8"/>
  <c r="I101" i="8" s="1"/>
  <c r="G102" i="8"/>
  <c r="I102" i="8" s="1"/>
  <c r="G103" i="8"/>
  <c r="I103" i="8" s="1"/>
  <c r="G104" i="8"/>
  <c r="I104" i="8" s="1"/>
  <c r="G105" i="8"/>
  <c r="I105" i="8" s="1"/>
  <c r="G106" i="8"/>
  <c r="I106" i="8" s="1"/>
  <c r="G107" i="8"/>
  <c r="I107" i="8" s="1"/>
  <c r="G108" i="8"/>
  <c r="I108" i="8" s="1"/>
  <c r="G109" i="8"/>
  <c r="I109" i="8" s="1"/>
  <c r="G110" i="8"/>
  <c r="I110" i="8" s="1"/>
  <c r="G111" i="8"/>
  <c r="I111" i="8" s="1"/>
  <c r="G112" i="8"/>
  <c r="I112" i="8" s="1"/>
  <c r="G113" i="8"/>
  <c r="I113" i="8" s="1"/>
  <c r="G114" i="8"/>
  <c r="I114" i="8" s="1"/>
  <c r="G115" i="8"/>
  <c r="I115" i="8" s="1"/>
  <c r="G116" i="8"/>
  <c r="I116" i="8" s="1"/>
  <c r="G117" i="8"/>
  <c r="I117" i="8" s="1"/>
  <c r="G118" i="8"/>
  <c r="I118" i="8" s="1"/>
  <c r="G119" i="8"/>
  <c r="I119" i="8" s="1"/>
  <c r="G120" i="8"/>
  <c r="I120" i="8" s="1"/>
  <c r="G121" i="8"/>
  <c r="I121" i="8" s="1"/>
  <c r="G122" i="8"/>
  <c r="I122" i="8" s="1"/>
  <c r="G123" i="8"/>
  <c r="I123" i="8" s="1"/>
  <c r="G124" i="8"/>
  <c r="I124" i="8" s="1"/>
  <c r="G125" i="8"/>
  <c r="I125" i="8" s="1"/>
  <c r="G126" i="8"/>
  <c r="I126" i="8" s="1"/>
  <c r="G127" i="8"/>
  <c r="I127" i="8" s="1"/>
  <c r="G128" i="8"/>
  <c r="I128" i="8" s="1"/>
  <c r="G129" i="8"/>
  <c r="I129" i="8" s="1"/>
  <c r="G130" i="8"/>
  <c r="I130" i="8" s="1"/>
  <c r="G131" i="8"/>
  <c r="I131" i="8" s="1"/>
  <c r="G132" i="8"/>
  <c r="I132" i="8" s="1"/>
  <c r="G133" i="8"/>
  <c r="I133" i="8" s="1"/>
  <c r="G134" i="8"/>
  <c r="I134" i="8" s="1"/>
  <c r="G135" i="8"/>
  <c r="I135" i="8" s="1"/>
  <c r="G136" i="8"/>
  <c r="I136" i="8" s="1"/>
  <c r="G137" i="8"/>
  <c r="I137" i="8" s="1"/>
  <c r="G138" i="8"/>
  <c r="I138" i="8" s="1"/>
  <c r="G139" i="8"/>
  <c r="I139" i="8" s="1"/>
  <c r="G140" i="8"/>
  <c r="I140" i="8" s="1"/>
  <c r="G141" i="8"/>
  <c r="I141" i="8" s="1"/>
  <c r="G142" i="8"/>
  <c r="I142" i="8" s="1"/>
  <c r="G143" i="8"/>
  <c r="I143" i="8" s="1"/>
  <c r="G144" i="8"/>
  <c r="I144" i="8" s="1"/>
  <c r="G145" i="8"/>
  <c r="I145" i="8" s="1"/>
  <c r="G146" i="8"/>
  <c r="I146" i="8" s="1"/>
  <c r="G147" i="8"/>
  <c r="I147" i="8" s="1"/>
  <c r="G148" i="8"/>
  <c r="I148" i="8" s="1"/>
  <c r="G149" i="8"/>
  <c r="I149" i="8" s="1"/>
  <c r="G150" i="8"/>
  <c r="I150" i="8" s="1"/>
  <c r="G151" i="8"/>
  <c r="I151" i="8" s="1"/>
  <c r="G152" i="8"/>
  <c r="I152" i="8" s="1"/>
  <c r="G153" i="8"/>
  <c r="I153" i="8" s="1"/>
  <c r="G154" i="8"/>
  <c r="I154" i="8" s="1"/>
  <c r="G155" i="8"/>
  <c r="I155" i="8" s="1"/>
  <c r="G156" i="8"/>
  <c r="I156" i="8" s="1"/>
  <c r="G157" i="8"/>
  <c r="I157" i="8" s="1"/>
  <c r="G158" i="8"/>
  <c r="I158" i="8" s="1"/>
  <c r="F4" i="4"/>
  <c r="G4" i="4" s="1"/>
  <c r="H4" i="4"/>
  <c r="I4" i="4"/>
  <c r="J4" i="4"/>
  <c r="K4" i="4"/>
  <c r="L4" i="4"/>
  <c r="M4" i="4"/>
  <c r="F5" i="4"/>
  <c r="G5" i="4" s="1"/>
  <c r="H5" i="4"/>
  <c r="I5" i="4"/>
  <c r="J5" i="4"/>
  <c r="K5" i="4"/>
  <c r="L5" i="4"/>
  <c r="M5" i="4"/>
  <c r="F6" i="4"/>
  <c r="G6" i="4" s="1"/>
  <c r="H6" i="4"/>
  <c r="I6" i="4"/>
  <c r="J6" i="4"/>
  <c r="K6" i="4"/>
  <c r="L6" i="4"/>
  <c r="M6" i="4"/>
  <c r="F7" i="4"/>
  <c r="G7" i="4" s="1"/>
  <c r="H7" i="4"/>
  <c r="I7" i="4"/>
  <c r="J7" i="4"/>
  <c r="K7" i="4"/>
  <c r="L7" i="4"/>
  <c r="M7" i="4"/>
  <c r="F8" i="4"/>
  <c r="G8" i="4" s="1"/>
  <c r="H8" i="4"/>
  <c r="I8" i="4"/>
  <c r="J8" i="4"/>
  <c r="K8" i="4"/>
  <c r="L8" i="4"/>
  <c r="M8" i="4"/>
  <c r="F9" i="4"/>
  <c r="G9" i="4" s="1"/>
  <c r="H9" i="4"/>
  <c r="E11" i="5" s="1"/>
  <c r="I9" i="4"/>
  <c r="J9" i="4"/>
  <c r="K9" i="4"/>
  <c r="F11" i="5" s="1"/>
  <c r="L9" i="4"/>
  <c r="M9" i="4"/>
  <c r="F10" i="4"/>
  <c r="G10" i="4" s="1"/>
  <c r="H10" i="4"/>
  <c r="F111" i="3" s="1"/>
  <c r="I10" i="4"/>
  <c r="J10" i="4"/>
  <c r="K10" i="4"/>
  <c r="F12" i="5" s="1"/>
  <c r="L10" i="4"/>
  <c r="M10" i="4"/>
  <c r="F11" i="4"/>
  <c r="G11" i="4" s="1"/>
  <c r="H11" i="4"/>
  <c r="I11" i="4"/>
  <c r="J11" i="4"/>
  <c r="K11" i="4"/>
  <c r="F13" i="5" s="1"/>
  <c r="L11" i="4"/>
  <c r="M11" i="4"/>
  <c r="F12" i="4"/>
  <c r="G12" i="4" s="1"/>
  <c r="H12" i="4"/>
  <c r="E14" i="5" s="1"/>
  <c r="I12" i="4"/>
  <c r="J12" i="4"/>
  <c r="K12" i="4"/>
  <c r="F14" i="5" s="1"/>
  <c r="L12" i="4"/>
  <c r="M12" i="4"/>
  <c r="F13" i="4"/>
  <c r="G13" i="4" s="1"/>
  <c r="H13" i="4"/>
  <c r="E15" i="5" s="1"/>
  <c r="I13" i="4"/>
  <c r="J13" i="4"/>
  <c r="K13" i="4"/>
  <c r="F15" i="5" s="1"/>
  <c r="L13" i="4"/>
  <c r="M13" i="4"/>
  <c r="F14" i="4"/>
  <c r="G14" i="4" s="1"/>
  <c r="H14" i="4"/>
  <c r="E16" i="5" s="1"/>
  <c r="I14" i="4"/>
  <c r="K14" i="4"/>
  <c r="F16" i="5" s="1"/>
  <c r="L14" i="4"/>
  <c r="M14" i="4"/>
  <c r="F15" i="4"/>
  <c r="G15" i="4" s="1"/>
  <c r="H15" i="4"/>
  <c r="I15" i="4"/>
  <c r="J15" i="4"/>
  <c r="K15" i="4"/>
  <c r="L15" i="4"/>
  <c r="M15" i="4"/>
  <c r="F16" i="4"/>
  <c r="G16" i="4" s="1"/>
  <c r="H16" i="4"/>
  <c r="I16" i="4"/>
  <c r="J16" i="4"/>
  <c r="K16" i="4"/>
  <c r="L16" i="4"/>
  <c r="M16" i="4"/>
  <c r="F17" i="4"/>
  <c r="G17" i="4" s="1"/>
  <c r="H17" i="4"/>
  <c r="I17" i="4"/>
  <c r="J17" i="4"/>
  <c r="K17" i="4"/>
  <c r="L17" i="4"/>
  <c r="M17" i="4"/>
  <c r="F18" i="4"/>
  <c r="G18" i="4" s="1"/>
  <c r="H18" i="4"/>
  <c r="I18" i="4"/>
  <c r="J18" i="4"/>
  <c r="K18" i="4"/>
  <c r="L18" i="4"/>
  <c r="M18" i="4"/>
  <c r="F19" i="4"/>
  <c r="G19" i="4" s="1"/>
  <c r="H19" i="4"/>
  <c r="I19" i="4"/>
  <c r="J19" i="4"/>
  <c r="K19" i="4"/>
  <c r="L19" i="4"/>
  <c r="M19" i="4"/>
  <c r="F20" i="4"/>
  <c r="G20" i="4" s="1"/>
  <c r="H20" i="4"/>
  <c r="I20" i="4"/>
  <c r="J20" i="4"/>
  <c r="K20" i="4"/>
  <c r="L20" i="4"/>
  <c r="M20" i="4"/>
  <c r="F21" i="4"/>
  <c r="G21" i="4" s="1"/>
  <c r="H21" i="4"/>
  <c r="I21" i="4"/>
  <c r="J21" i="4"/>
  <c r="K21" i="4"/>
  <c r="L21" i="4"/>
  <c r="M21" i="4"/>
  <c r="F22" i="4"/>
  <c r="G22" i="4" s="1"/>
  <c r="H22" i="4"/>
  <c r="I22" i="4"/>
  <c r="J22" i="4"/>
  <c r="K22" i="4"/>
  <c r="L22" i="4"/>
  <c r="M22" i="4"/>
  <c r="F23" i="4"/>
  <c r="G23" i="4" s="1"/>
  <c r="H23" i="4"/>
  <c r="I23" i="4"/>
  <c r="J23" i="4"/>
  <c r="K23" i="4"/>
  <c r="L23" i="4"/>
  <c r="M23" i="4"/>
  <c r="F24" i="4"/>
  <c r="G24" i="4" s="1"/>
  <c r="H24" i="4"/>
  <c r="I24" i="4"/>
  <c r="J24" i="4"/>
  <c r="K24" i="4"/>
  <c r="L24" i="4"/>
  <c r="M24" i="4"/>
  <c r="F25" i="4"/>
  <c r="G25" i="4" s="1"/>
  <c r="H25" i="4"/>
  <c r="I25" i="4"/>
  <c r="J25" i="4"/>
  <c r="K25" i="4"/>
  <c r="L25" i="4"/>
  <c r="M25" i="4"/>
  <c r="F26" i="4"/>
  <c r="G26" i="4" s="1"/>
  <c r="H26" i="4"/>
  <c r="I26" i="4"/>
  <c r="J26" i="4"/>
  <c r="K26" i="4"/>
  <c r="L26" i="4"/>
  <c r="M26" i="4"/>
  <c r="F27" i="4"/>
  <c r="G27" i="4" s="1"/>
  <c r="H27" i="4"/>
  <c r="I27" i="4"/>
  <c r="J27" i="4"/>
  <c r="K27" i="4"/>
  <c r="L27" i="4"/>
  <c r="M27" i="4"/>
  <c r="F28" i="4"/>
  <c r="G28" i="4" s="1"/>
  <c r="H28" i="4"/>
  <c r="I28" i="4"/>
  <c r="J28" i="4"/>
  <c r="K28" i="4"/>
  <c r="L28" i="4"/>
  <c r="M28" i="4"/>
  <c r="F29" i="4"/>
  <c r="G29" i="4" s="1"/>
  <c r="H29" i="4"/>
  <c r="I29" i="4"/>
  <c r="J29" i="4"/>
  <c r="K29" i="4"/>
  <c r="L29" i="4"/>
  <c r="M29" i="4"/>
  <c r="F30" i="4"/>
  <c r="G30" i="4" s="1"/>
  <c r="H30" i="4"/>
  <c r="I30" i="4"/>
  <c r="J30" i="4"/>
  <c r="K30" i="4"/>
  <c r="L30" i="4"/>
  <c r="M30" i="4"/>
  <c r="F31" i="4"/>
  <c r="G31" i="4" s="1"/>
  <c r="H31" i="4"/>
  <c r="I31" i="4"/>
  <c r="J31" i="4"/>
  <c r="K31" i="4"/>
  <c r="L31" i="4"/>
  <c r="M31" i="4"/>
  <c r="F32" i="4"/>
  <c r="G32" i="4" s="1"/>
  <c r="H32" i="4"/>
  <c r="I32" i="4"/>
  <c r="J32" i="4"/>
  <c r="K32" i="4"/>
  <c r="L32" i="4"/>
  <c r="M32" i="4"/>
  <c r="F33" i="4"/>
  <c r="G33" i="4" s="1"/>
  <c r="H33" i="4"/>
  <c r="I33" i="4"/>
  <c r="J33" i="4"/>
  <c r="K33" i="4"/>
  <c r="L33" i="4"/>
  <c r="M33" i="4"/>
  <c r="F34" i="4"/>
  <c r="G34" i="4" s="1"/>
  <c r="H34" i="4"/>
  <c r="I34" i="4"/>
  <c r="J34" i="4"/>
  <c r="K34" i="4"/>
  <c r="L34" i="4"/>
  <c r="M34" i="4"/>
  <c r="F35" i="4"/>
  <c r="G35" i="4" s="1"/>
  <c r="H35" i="4"/>
  <c r="I35" i="4"/>
  <c r="J35" i="4"/>
  <c r="K35" i="4"/>
  <c r="L35" i="4"/>
  <c r="M35" i="4"/>
  <c r="F36" i="4"/>
  <c r="G36" i="4" s="1"/>
  <c r="H36" i="4"/>
  <c r="I36" i="4"/>
  <c r="J36" i="4"/>
  <c r="K36" i="4"/>
  <c r="L36" i="4"/>
  <c r="M36" i="4"/>
  <c r="F37" i="4"/>
  <c r="G37" i="4" s="1"/>
  <c r="H37" i="4"/>
  <c r="I37" i="4"/>
  <c r="J37" i="4"/>
  <c r="K37" i="4"/>
  <c r="L37" i="4"/>
  <c r="M37" i="4"/>
  <c r="F38" i="4"/>
  <c r="G38" i="4" s="1"/>
  <c r="H38" i="4"/>
  <c r="I38" i="4"/>
  <c r="J38" i="4"/>
  <c r="K38" i="4"/>
  <c r="L38" i="4"/>
  <c r="M38" i="4"/>
  <c r="F39" i="4"/>
  <c r="G39" i="4" s="1"/>
  <c r="H39" i="4"/>
  <c r="I39" i="4"/>
  <c r="J39" i="4"/>
  <c r="K39" i="4"/>
  <c r="L39" i="4"/>
  <c r="M39" i="4"/>
  <c r="F40" i="4"/>
  <c r="G40" i="4" s="1"/>
  <c r="H40" i="4"/>
  <c r="I40" i="4"/>
  <c r="J40" i="4"/>
  <c r="K40" i="4"/>
  <c r="L40" i="4"/>
  <c r="M40" i="4"/>
  <c r="F41" i="4"/>
  <c r="G41" i="4" s="1"/>
  <c r="H41" i="4"/>
  <c r="I41" i="4"/>
  <c r="J41" i="4"/>
  <c r="K41" i="4"/>
  <c r="L41" i="4"/>
  <c r="M41" i="4"/>
  <c r="F42" i="4"/>
  <c r="G42" i="4" s="1"/>
  <c r="H42" i="4"/>
  <c r="I42" i="4"/>
  <c r="J42" i="4"/>
  <c r="K42" i="4"/>
  <c r="L42" i="4"/>
  <c r="M42" i="4"/>
  <c r="F43" i="4"/>
  <c r="G43" i="4" s="1"/>
  <c r="H43" i="4"/>
  <c r="I43" i="4"/>
  <c r="J43" i="4"/>
  <c r="K43" i="4"/>
  <c r="L43" i="4"/>
  <c r="M43" i="4"/>
  <c r="F44" i="4"/>
  <c r="G44" i="4" s="1"/>
  <c r="H44" i="4"/>
  <c r="I44" i="4"/>
  <c r="J44" i="4"/>
  <c r="K44" i="4"/>
  <c r="L44" i="4"/>
  <c r="M44" i="4"/>
  <c r="F45" i="4"/>
  <c r="G45" i="4" s="1"/>
  <c r="H45" i="4"/>
  <c r="I45" i="4"/>
  <c r="J45" i="4"/>
  <c r="K45" i="4"/>
  <c r="L45" i="4"/>
  <c r="M45" i="4"/>
  <c r="F46" i="4"/>
  <c r="G46" i="4" s="1"/>
  <c r="H46" i="4"/>
  <c r="I46" i="4"/>
  <c r="J46" i="4"/>
  <c r="K46" i="4"/>
  <c r="L46" i="4"/>
  <c r="M46" i="4"/>
  <c r="F47" i="4"/>
  <c r="G47" i="4" s="1"/>
  <c r="H47" i="4"/>
  <c r="I47" i="4"/>
  <c r="J47" i="4"/>
  <c r="K47" i="4"/>
  <c r="L47" i="4"/>
  <c r="M47" i="4"/>
  <c r="F48" i="4"/>
  <c r="G48" i="4" s="1"/>
  <c r="H48" i="4"/>
  <c r="I48" i="4"/>
  <c r="J48" i="4"/>
  <c r="K48" i="4"/>
  <c r="L48" i="4"/>
  <c r="M48" i="4"/>
  <c r="F49" i="4"/>
  <c r="G49" i="4" s="1"/>
  <c r="H49" i="4"/>
  <c r="I49" i="4"/>
  <c r="J49" i="4"/>
  <c r="K49" i="4"/>
  <c r="L49" i="4"/>
  <c r="M49" i="4"/>
  <c r="F50" i="4"/>
  <c r="G50" i="4" s="1"/>
  <c r="H50" i="4"/>
  <c r="I50" i="4"/>
  <c r="J50" i="4"/>
  <c r="K50" i="4"/>
  <c r="L50" i="4"/>
  <c r="M50" i="4"/>
  <c r="F51" i="4"/>
  <c r="G51" i="4" s="1"/>
  <c r="H51" i="4"/>
  <c r="I51" i="4"/>
  <c r="J51" i="4"/>
  <c r="K51" i="4"/>
  <c r="L51" i="4"/>
  <c r="M51" i="4"/>
  <c r="F52" i="4"/>
  <c r="G52" i="4" s="1"/>
  <c r="H52" i="4"/>
  <c r="I52" i="4"/>
  <c r="J52" i="4"/>
  <c r="K52" i="4"/>
  <c r="L52" i="4"/>
  <c r="M52" i="4"/>
  <c r="F53" i="4"/>
  <c r="G53" i="4" s="1"/>
  <c r="H53" i="4"/>
  <c r="I53" i="4"/>
  <c r="J53" i="4"/>
  <c r="K53" i="4"/>
  <c r="L53" i="4"/>
  <c r="M53" i="4"/>
  <c r="F54" i="4"/>
  <c r="G54" i="4" s="1"/>
  <c r="H54" i="4"/>
  <c r="I54" i="4"/>
  <c r="J54" i="4"/>
  <c r="K54" i="4"/>
  <c r="L54" i="4"/>
  <c r="M54" i="4"/>
  <c r="F55" i="4"/>
  <c r="G55" i="4" s="1"/>
  <c r="H55" i="4"/>
  <c r="I55" i="4"/>
  <c r="J55" i="4"/>
  <c r="K55" i="4"/>
  <c r="L55" i="4"/>
  <c r="M55" i="4"/>
  <c r="F56" i="4"/>
  <c r="G56" i="4" s="1"/>
  <c r="H56" i="4"/>
  <c r="I56" i="4"/>
  <c r="J56" i="4"/>
  <c r="K56" i="4"/>
  <c r="L56" i="4"/>
  <c r="M56" i="4"/>
  <c r="F57" i="4"/>
  <c r="G57" i="4" s="1"/>
  <c r="H57" i="4"/>
  <c r="I57" i="4"/>
  <c r="J57" i="4"/>
  <c r="K57" i="4"/>
  <c r="L57" i="4"/>
  <c r="M57" i="4"/>
  <c r="F58" i="4"/>
  <c r="G58" i="4" s="1"/>
  <c r="H58" i="4"/>
  <c r="I58" i="4"/>
  <c r="J58" i="4"/>
  <c r="K58" i="4"/>
  <c r="L58" i="4"/>
  <c r="M58" i="4"/>
  <c r="F59" i="4"/>
  <c r="G59" i="4" s="1"/>
  <c r="H59" i="4"/>
  <c r="I59" i="4"/>
  <c r="J59" i="4"/>
  <c r="K59" i="4"/>
  <c r="L59" i="4"/>
  <c r="M59" i="4"/>
  <c r="F60" i="4"/>
  <c r="G60" i="4" s="1"/>
  <c r="H60" i="4"/>
  <c r="I60" i="4"/>
  <c r="J60" i="4"/>
  <c r="K60" i="4"/>
  <c r="L60" i="4"/>
  <c r="M60" i="4"/>
  <c r="F61" i="4"/>
  <c r="G61" i="4" s="1"/>
  <c r="H61" i="4"/>
  <c r="I61" i="4"/>
  <c r="J61" i="4"/>
  <c r="K61" i="4"/>
  <c r="L61" i="4"/>
  <c r="M61" i="4"/>
  <c r="F62" i="4"/>
  <c r="G62" i="4" s="1"/>
  <c r="H62" i="4"/>
  <c r="I62" i="4"/>
  <c r="J62" i="4"/>
  <c r="K62" i="4"/>
  <c r="L62" i="4"/>
  <c r="M62" i="4"/>
  <c r="F3" i="4"/>
  <c r="M3" i="4"/>
  <c r="L3" i="4"/>
  <c r="K3" i="4"/>
  <c r="J3" i="4"/>
  <c r="I3" i="4"/>
  <c r="H3" i="4"/>
  <c r="C9" i="4"/>
  <c r="G6" i="9"/>
  <c r="H6" i="9" s="1"/>
  <c r="I6" i="9"/>
  <c r="J6" i="9"/>
  <c r="K6" i="9"/>
  <c r="L6" i="9"/>
  <c r="M6" i="9"/>
  <c r="N6" i="9"/>
  <c r="G7" i="9"/>
  <c r="H7" i="9" s="1"/>
  <c r="I7" i="9"/>
  <c r="J7" i="9"/>
  <c r="K7" i="9"/>
  <c r="L7" i="9"/>
  <c r="M7" i="9"/>
  <c r="N7" i="9"/>
  <c r="G8" i="9"/>
  <c r="H8" i="9" s="1"/>
  <c r="I8" i="9"/>
  <c r="J8" i="9"/>
  <c r="K8" i="9"/>
  <c r="L8" i="9"/>
  <c r="M8" i="9"/>
  <c r="N8" i="9"/>
  <c r="G9" i="9"/>
  <c r="H9" i="9" s="1"/>
  <c r="I9" i="9"/>
  <c r="J9" i="9"/>
  <c r="K9" i="9"/>
  <c r="L9" i="9"/>
  <c r="M9" i="9"/>
  <c r="N9" i="9"/>
  <c r="G10" i="9"/>
  <c r="H10" i="9" s="1"/>
  <c r="I10" i="9"/>
  <c r="J10" i="9"/>
  <c r="K10" i="9"/>
  <c r="L10" i="9"/>
  <c r="M10" i="9"/>
  <c r="N10" i="9"/>
  <c r="G11" i="9"/>
  <c r="H11" i="9" s="1"/>
  <c r="I11" i="9"/>
  <c r="J11" i="9"/>
  <c r="K11" i="9"/>
  <c r="L11" i="9"/>
  <c r="M11" i="9"/>
  <c r="N11" i="9"/>
  <c r="G12" i="9"/>
  <c r="H12" i="9" s="1"/>
  <c r="I12" i="9"/>
  <c r="J12" i="9"/>
  <c r="K12" i="9"/>
  <c r="L12" i="9"/>
  <c r="M12" i="9"/>
  <c r="N12" i="9"/>
  <c r="G13" i="9"/>
  <c r="H13" i="9" s="1"/>
  <c r="I13" i="9"/>
  <c r="J13" i="9"/>
  <c r="K13" i="9"/>
  <c r="L13" i="9"/>
  <c r="M13" i="9"/>
  <c r="N13" i="9"/>
  <c r="G14" i="9"/>
  <c r="H14" i="9" s="1"/>
  <c r="I14" i="9"/>
  <c r="J14" i="9"/>
  <c r="K14" i="9"/>
  <c r="L14" i="9"/>
  <c r="M14" i="9"/>
  <c r="N14" i="9"/>
  <c r="G15" i="9"/>
  <c r="H15" i="9" s="1"/>
  <c r="I15" i="9"/>
  <c r="J15" i="9"/>
  <c r="K15" i="9"/>
  <c r="L15" i="9"/>
  <c r="M15" i="9"/>
  <c r="N15" i="9"/>
  <c r="G16" i="9"/>
  <c r="H16" i="9" s="1"/>
  <c r="I16" i="9"/>
  <c r="J16" i="9"/>
  <c r="K16" i="9"/>
  <c r="L16" i="9"/>
  <c r="M16" i="9"/>
  <c r="N16" i="9"/>
  <c r="G17" i="9"/>
  <c r="H17" i="9" s="1"/>
  <c r="I17" i="9"/>
  <c r="J17" i="9"/>
  <c r="K17" i="9"/>
  <c r="L17" i="9"/>
  <c r="M17" i="9"/>
  <c r="N17" i="9"/>
  <c r="G18" i="9"/>
  <c r="H18" i="9" s="1"/>
  <c r="I18" i="9"/>
  <c r="J18" i="9"/>
  <c r="K18" i="9"/>
  <c r="L18" i="9"/>
  <c r="M18" i="9"/>
  <c r="N18" i="9"/>
  <c r="G19" i="9"/>
  <c r="H19" i="9" s="1"/>
  <c r="I19" i="9"/>
  <c r="J19" i="9"/>
  <c r="K19" i="9"/>
  <c r="L19" i="9"/>
  <c r="M19" i="9"/>
  <c r="N19" i="9"/>
  <c r="G20" i="9"/>
  <c r="H20" i="9" s="1"/>
  <c r="I20" i="9"/>
  <c r="J20" i="9"/>
  <c r="K20" i="9"/>
  <c r="L20" i="9"/>
  <c r="M20" i="9"/>
  <c r="N20" i="9"/>
  <c r="G21" i="9"/>
  <c r="H21" i="9" s="1"/>
  <c r="I21" i="9"/>
  <c r="J21" i="9"/>
  <c r="K21" i="9"/>
  <c r="L21" i="9"/>
  <c r="M21" i="9"/>
  <c r="N21" i="9"/>
  <c r="G22" i="9"/>
  <c r="H22" i="9" s="1"/>
  <c r="I22" i="9"/>
  <c r="J22" i="9"/>
  <c r="K22" i="9"/>
  <c r="L22" i="9"/>
  <c r="M22" i="9"/>
  <c r="N22" i="9"/>
  <c r="G23" i="9"/>
  <c r="H23" i="9" s="1"/>
  <c r="I23" i="9"/>
  <c r="J23" i="9"/>
  <c r="K23" i="9"/>
  <c r="L23" i="9"/>
  <c r="M23" i="9"/>
  <c r="N23" i="9"/>
  <c r="G24" i="9"/>
  <c r="H24" i="9" s="1"/>
  <c r="I24" i="9"/>
  <c r="J24" i="9"/>
  <c r="K24" i="9"/>
  <c r="L24" i="9"/>
  <c r="M24" i="9"/>
  <c r="N24" i="9"/>
  <c r="G25" i="9"/>
  <c r="H25" i="9" s="1"/>
  <c r="I25" i="9"/>
  <c r="J25" i="9"/>
  <c r="K25" i="9"/>
  <c r="L25" i="9"/>
  <c r="M25" i="9"/>
  <c r="N25" i="9"/>
  <c r="G26" i="9"/>
  <c r="H26" i="9" s="1"/>
  <c r="I26" i="9"/>
  <c r="J26" i="9"/>
  <c r="K26" i="9"/>
  <c r="L26" i="9"/>
  <c r="M26" i="9"/>
  <c r="N26" i="9"/>
  <c r="G27" i="9"/>
  <c r="H27" i="9" s="1"/>
  <c r="I27" i="9"/>
  <c r="J27" i="9"/>
  <c r="K27" i="9"/>
  <c r="L27" i="9"/>
  <c r="M27" i="9"/>
  <c r="N27" i="9"/>
  <c r="G28" i="9"/>
  <c r="H28" i="9" s="1"/>
  <c r="I28" i="9"/>
  <c r="J28" i="9"/>
  <c r="K28" i="9"/>
  <c r="L28" i="9"/>
  <c r="M28" i="9"/>
  <c r="N28" i="9"/>
  <c r="G29" i="9"/>
  <c r="H29" i="9" s="1"/>
  <c r="I29" i="9"/>
  <c r="J29" i="9"/>
  <c r="K29" i="9"/>
  <c r="L29" i="9"/>
  <c r="M29" i="9"/>
  <c r="N29" i="9"/>
  <c r="G30" i="9"/>
  <c r="H30" i="9" s="1"/>
  <c r="I30" i="9"/>
  <c r="J30" i="9"/>
  <c r="K30" i="9"/>
  <c r="L30" i="9"/>
  <c r="M30" i="9"/>
  <c r="N30" i="9"/>
  <c r="G31" i="9"/>
  <c r="H31" i="9" s="1"/>
  <c r="I31" i="9"/>
  <c r="J31" i="9"/>
  <c r="K31" i="9"/>
  <c r="L31" i="9"/>
  <c r="M31" i="9"/>
  <c r="N31" i="9"/>
  <c r="G32" i="9"/>
  <c r="H32" i="9" s="1"/>
  <c r="I32" i="9"/>
  <c r="J32" i="9"/>
  <c r="K32" i="9"/>
  <c r="L32" i="9"/>
  <c r="M32" i="9"/>
  <c r="N32" i="9"/>
  <c r="G33" i="9"/>
  <c r="H33" i="9" s="1"/>
  <c r="I33" i="9"/>
  <c r="J33" i="9"/>
  <c r="K33" i="9"/>
  <c r="L33" i="9"/>
  <c r="M33" i="9"/>
  <c r="N33" i="9"/>
  <c r="G34" i="9"/>
  <c r="H34" i="9" s="1"/>
  <c r="I34" i="9"/>
  <c r="J34" i="9"/>
  <c r="K34" i="9"/>
  <c r="L34" i="9"/>
  <c r="M34" i="9"/>
  <c r="N34" i="9"/>
  <c r="G35" i="9"/>
  <c r="H35" i="9" s="1"/>
  <c r="I35" i="9"/>
  <c r="J35" i="9"/>
  <c r="K35" i="9"/>
  <c r="L35" i="9"/>
  <c r="M35" i="9"/>
  <c r="N35" i="9"/>
  <c r="G36" i="9"/>
  <c r="H36" i="9" s="1"/>
  <c r="I36" i="9"/>
  <c r="J36" i="9"/>
  <c r="K36" i="9"/>
  <c r="L36" i="9"/>
  <c r="M36" i="9"/>
  <c r="N36" i="9"/>
  <c r="G37" i="9"/>
  <c r="H37" i="9" s="1"/>
  <c r="I37" i="9"/>
  <c r="J37" i="9"/>
  <c r="K37" i="9"/>
  <c r="L37" i="9"/>
  <c r="M37" i="9"/>
  <c r="N37" i="9"/>
  <c r="G38" i="9"/>
  <c r="H38" i="9" s="1"/>
  <c r="I38" i="9"/>
  <c r="J38" i="9"/>
  <c r="K38" i="9"/>
  <c r="L38" i="9"/>
  <c r="M38" i="9"/>
  <c r="N38" i="9"/>
  <c r="G39" i="9"/>
  <c r="H39" i="9" s="1"/>
  <c r="I39" i="9"/>
  <c r="J39" i="9"/>
  <c r="K39" i="9"/>
  <c r="L39" i="9"/>
  <c r="M39" i="9"/>
  <c r="N39" i="9"/>
  <c r="G40" i="9"/>
  <c r="H40" i="9" s="1"/>
  <c r="I40" i="9"/>
  <c r="J40" i="9"/>
  <c r="K40" i="9"/>
  <c r="L40" i="9"/>
  <c r="M40" i="9"/>
  <c r="N40" i="9"/>
  <c r="G41" i="9"/>
  <c r="H41" i="9" s="1"/>
  <c r="I41" i="9"/>
  <c r="J41" i="9"/>
  <c r="K41" i="9"/>
  <c r="L41" i="9"/>
  <c r="M41" i="9"/>
  <c r="N41" i="9"/>
  <c r="G42" i="9"/>
  <c r="H42" i="9" s="1"/>
  <c r="I42" i="9"/>
  <c r="J42" i="9"/>
  <c r="K42" i="9"/>
  <c r="L42" i="9"/>
  <c r="M42" i="9"/>
  <c r="N42" i="9"/>
  <c r="G43" i="9"/>
  <c r="H43" i="9" s="1"/>
  <c r="I43" i="9"/>
  <c r="J43" i="9"/>
  <c r="K43" i="9"/>
  <c r="L43" i="9"/>
  <c r="M43" i="9"/>
  <c r="N43" i="9"/>
  <c r="G44" i="9"/>
  <c r="H44" i="9" s="1"/>
  <c r="I44" i="9"/>
  <c r="J44" i="9"/>
  <c r="K44" i="9"/>
  <c r="L44" i="9"/>
  <c r="M44" i="9"/>
  <c r="N44" i="9"/>
  <c r="G45" i="9"/>
  <c r="H45" i="9" s="1"/>
  <c r="I45" i="9"/>
  <c r="J45" i="9"/>
  <c r="K45" i="9"/>
  <c r="L45" i="9"/>
  <c r="M45" i="9"/>
  <c r="N45" i="9"/>
  <c r="G46" i="9"/>
  <c r="H46" i="9" s="1"/>
  <c r="I46" i="9"/>
  <c r="J46" i="9"/>
  <c r="K46" i="9"/>
  <c r="L46" i="9"/>
  <c r="M46" i="9"/>
  <c r="N46" i="9"/>
  <c r="G47" i="9"/>
  <c r="H47" i="9" s="1"/>
  <c r="I47" i="9"/>
  <c r="J47" i="9"/>
  <c r="K47" i="9"/>
  <c r="L47" i="9"/>
  <c r="M47" i="9"/>
  <c r="N47" i="9"/>
  <c r="G48" i="9"/>
  <c r="H48" i="9" s="1"/>
  <c r="I48" i="9"/>
  <c r="J48" i="9"/>
  <c r="K48" i="9"/>
  <c r="L48" i="9"/>
  <c r="M48" i="9"/>
  <c r="N48" i="9"/>
  <c r="G49" i="9"/>
  <c r="H49" i="9" s="1"/>
  <c r="I49" i="9"/>
  <c r="J49" i="9"/>
  <c r="K49" i="9"/>
  <c r="L49" i="9"/>
  <c r="M49" i="9"/>
  <c r="N49" i="9"/>
  <c r="G50" i="9"/>
  <c r="H50" i="9" s="1"/>
  <c r="I50" i="9"/>
  <c r="J50" i="9"/>
  <c r="K50" i="9"/>
  <c r="L50" i="9"/>
  <c r="M50" i="9"/>
  <c r="N50" i="9"/>
  <c r="G51" i="9"/>
  <c r="H51" i="9" s="1"/>
  <c r="I51" i="9"/>
  <c r="J51" i="9"/>
  <c r="K51" i="9"/>
  <c r="L51" i="9"/>
  <c r="M51" i="9"/>
  <c r="N51" i="9"/>
  <c r="G52" i="9"/>
  <c r="H52" i="9" s="1"/>
  <c r="I52" i="9"/>
  <c r="J52" i="9"/>
  <c r="K52" i="9"/>
  <c r="L52" i="9"/>
  <c r="M52" i="9"/>
  <c r="N52" i="9"/>
  <c r="G53" i="9"/>
  <c r="H53" i="9" s="1"/>
  <c r="I53" i="9"/>
  <c r="J53" i="9"/>
  <c r="K53" i="9"/>
  <c r="L53" i="9"/>
  <c r="M53" i="9"/>
  <c r="N53" i="9"/>
  <c r="G54" i="9"/>
  <c r="H54" i="9" s="1"/>
  <c r="I54" i="9"/>
  <c r="J54" i="9"/>
  <c r="K54" i="9"/>
  <c r="L54" i="9"/>
  <c r="M54" i="9"/>
  <c r="N54" i="9"/>
  <c r="G4" i="9"/>
  <c r="H4" i="9" s="1"/>
  <c r="I4" i="9"/>
  <c r="J4" i="9"/>
  <c r="K4" i="9"/>
  <c r="L4" i="9"/>
  <c r="M4" i="9"/>
  <c r="N4" i="9"/>
  <c r="G5" i="9"/>
  <c r="H5" i="9" s="1"/>
  <c r="I5" i="9"/>
  <c r="J5" i="9"/>
  <c r="K5" i="9"/>
  <c r="L5" i="9"/>
  <c r="M5" i="9"/>
  <c r="N5" i="9"/>
  <c r="N3" i="9"/>
  <c r="M3" i="9"/>
  <c r="L3" i="9"/>
  <c r="K3" i="9"/>
  <c r="J3" i="9"/>
  <c r="I3" i="9"/>
  <c r="G3" i="9"/>
  <c r="H3" i="9" s="1"/>
  <c r="D52" i="9"/>
  <c r="D51" i="9"/>
  <c r="D50" i="9"/>
  <c r="D49" i="9"/>
  <c r="D48" i="9"/>
  <c r="D47" i="9"/>
  <c r="D46" i="9"/>
  <c r="D45" i="9"/>
  <c r="D44" i="9"/>
  <c r="D43" i="9"/>
  <c r="D42" i="9"/>
  <c r="D41" i="9"/>
  <c r="D40" i="9"/>
  <c r="D39" i="9"/>
  <c r="D38" i="9"/>
  <c r="D37" i="9"/>
  <c r="D36" i="9"/>
  <c r="D35" i="9"/>
  <c r="D34" i="9"/>
  <c r="D33" i="9"/>
  <c r="D32" i="9"/>
  <c r="D3" i="9"/>
  <c r="A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 i="5"/>
  <c r="D15" i="5"/>
  <c r="C16" i="5"/>
  <c r="C11" i="5"/>
  <c r="D11" i="5"/>
  <c r="C12" i="5"/>
  <c r="D12" i="5"/>
  <c r="C13" i="5"/>
  <c r="D13" i="5"/>
  <c r="C14" i="5"/>
  <c r="D14" i="5"/>
  <c r="C15" i="5"/>
  <c r="C27" i="5"/>
  <c r="D27" i="5"/>
  <c r="C28" i="5"/>
  <c r="D28" i="5"/>
  <c r="C29" i="5"/>
  <c r="D29" i="5"/>
  <c r="C30" i="5"/>
  <c r="D30" i="5"/>
  <c r="C31" i="5"/>
  <c r="D31" i="5"/>
  <c r="C32" i="5"/>
  <c r="D32" i="5"/>
  <c r="C33" i="5"/>
  <c r="D33" i="5"/>
  <c r="C34" i="5"/>
  <c r="D34" i="5"/>
  <c r="C35" i="5"/>
  <c r="D35" i="5"/>
  <c r="C36" i="5"/>
  <c r="D36" i="5"/>
  <c r="C37" i="5"/>
  <c r="D37" i="5"/>
  <c r="C38" i="5"/>
  <c r="D38" i="5"/>
  <c r="C39" i="5"/>
  <c r="D39" i="5"/>
  <c r="C40" i="5"/>
  <c r="D40" i="5"/>
  <c r="C41" i="5"/>
  <c r="D41" i="5"/>
  <c r="C42" i="5"/>
  <c r="D42" i="5"/>
  <c r="C43" i="5"/>
  <c r="D43" i="5"/>
  <c r="C44" i="5"/>
  <c r="D44" i="5"/>
  <c r="C45" i="5"/>
  <c r="D45" i="5"/>
  <c r="C46" i="5"/>
  <c r="D46" i="5"/>
  <c r="C47" i="5"/>
  <c r="D47" i="5"/>
  <c r="C48" i="5"/>
  <c r="D48" i="5"/>
  <c r="C49" i="5"/>
  <c r="D49" i="5"/>
  <c r="C50" i="5"/>
  <c r="D50" i="5"/>
  <c r="C51" i="5"/>
  <c r="D51" i="5"/>
  <c r="C52" i="5"/>
  <c r="D52" i="5"/>
  <c r="C53" i="5"/>
  <c r="D53" i="5"/>
  <c r="C54" i="5"/>
  <c r="D54" i="5"/>
  <c r="C55" i="5"/>
  <c r="D55" i="5"/>
  <c r="C56" i="5"/>
  <c r="D56" i="5"/>
  <c r="C57" i="5"/>
  <c r="D57" i="5"/>
  <c r="C58" i="5"/>
  <c r="D58" i="5"/>
  <c r="C59" i="5"/>
  <c r="D59" i="5"/>
  <c r="D5" i="5"/>
  <c r="C5" i="5"/>
  <c r="F128" i="3" l="1"/>
  <c r="E12" i="5"/>
  <c r="E13" i="5"/>
  <c r="F120" i="3"/>
  <c r="F119" i="3"/>
  <c r="F118" i="3"/>
  <c r="F117" i="3"/>
  <c r="F116" i="3"/>
  <c r="F121" i="3"/>
  <c r="F110" i="3"/>
  <c r="F127" i="3"/>
  <c r="F115" i="3"/>
  <c r="F114" i="3"/>
  <c r="F113" i="3"/>
  <c r="F112" i="3"/>
  <c r="C18" i="5"/>
  <c r="D18" i="5"/>
  <c r="D17" i="5"/>
  <c r="C17" i="5"/>
  <c r="D16" i="5"/>
  <c r="D19" i="5" l="1"/>
  <c r="C19" i="5"/>
  <c r="C20" i="5" l="1"/>
  <c r="D20" i="5"/>
  <c r="D21" i="5" l="1"/>
  <c r="C21" i="5"/>
  <c r="D22" i="5" l="1"/>
  <c r="C22" i="5"/>
  <c r="C23" i="5" l="1"/>
  <c r="D23" i="5"/>
  <c r="C24" i="5" l="1"/>
  <c r="D24" i="5"/>
  <c r="C25" i="5" l="1"/>
  <c r="D25" i="5"/>
  <c r="D26" i="5" l="1"/>
  <c r="C26" i="5"/>
  <c r="B13" i="6" l="1"/>
  <c r="C5" i="6"/>
  <c r="C6" i="6"/>
  <c r="C7" i="6"/>
  <c r="C8" i="6"/>
  <c r="C9" i="6"/>
  <c r="C10" i="6"/>
  <c r="C11" i="6"/>
  <c r="C12" i="6"/>
  <c r="C13" i="6"/>
  <c r="C14" i="6"/>
  <c r="C15" i="6"/>
  <c r="C16" i="6"/>
  <c r="C17" i="6"/>
  <c r="C18" i="6"/>
  <c r="C19" i="6"/>
  <c r="C20" i="6"/>
  <c r="C21" i="6"/>
  <c r="B5" i="6"/>
  <c r="B6" i="6"/>
  <c r="B7" i="6"/>
  <c r="B8" i="6"/>
  <c r="B9" i="6"/>
  <c r="B10" i="6"/>
  <c r="B11" i="6"/>
  <c r="B12" i="6"/>
  <c r="B14" i="6"/>
  <c r="B15" i="6"/>
  <c r="B16" i="6"/>
  <c r="B17" i="6"/>
  <c r="B18" i="6"/>
  <c r="B19" i="6"/>
  <c r="B20" i="6"/>
  <c r="B21" i="6"/>
  <c r="C4" i="6"/>
  <c r="B4" i="6"/>
  <c r="E7" i="7"/>
  <c r="E8" i="7"/>
  <c r="E9" i="7"/>
  <c r="E10" i="7"/>
  <c r="E11" i="7"/>
  <c r="E12" i="7"/>
  <c r="E13" i="7"/>
  <c r="E14" i="7"/>
  <c r="E15" i="7"/>
  <c r="E16" i="7"/>
  <c r="E17" i="7"/>
  <c r="E18" i="7"/>
  <c r="E19" i="7"/>
  <c r="E20" i="7"/>
  <c r="E21" i="7"/>
  <c r="E22" i="7"/>
  <c r="E23" i="7"/>
  <c r="E6" i="7"/>
  <c r="H128" i="3"/>
  <c r="H147" i="3"/>
  <c r="I147" i="3"/>
  <c r="H148" i="3"/>
  <c r="I148" i="3"/>
  <c r="H149" i="3"/>
  <c r="I149" i="3"/>
  <c r="H150" i="3"/>
  <c r="I150" i="3"/>
  <c r="H151" i="3"/>
  <c r="I151" i="3"/>
  <c r="H152" i="3"/>
  <c r="I152" i="3"/>
  <c r="H153" i="3"/>
  <c r="I153" i="3"/>
  <c r="H154" i="3"/>
  <c r="I154" i="3"/>
  <c r="H155" i="3"/>
  <c r="I155" i="3"/>
  <c r="H156" i="3"/>
  <c r="I156" i="3"/>
  <c r="H157" i="3"/>
  <c r="I157" i="3"/>
  <c r="H158" i="3"/>
  <c r="I158" i="3"/>
  <c r="H159" i="3"/>
  <c r="I159" i="3"/>
  <c r="H160" i="3"/>
  <c r="I160" i="3"/>
  <c r="H161" i="3"/>
  <c r="I161" i="3"/>
  <c r="H162" i="3"/>
  <c r="I162" i="3"/>
  <c r="H163" i="3"/>
  <c r="I163" i="3"/>
  <c r="H164" i="3"/>
  <c r="I164" i="3"/>
  <c r="H165" i="3"/>
  <c r="I165" i="3"/>
  <c r="H166" i="3"/>
  <c r="I166" i="3"/>
  <c r="H167" i="3"/>
  <c r="I167" i="3"/>
  <c r="H168" i="3"/>
  <c r="I168" i="3"/>
  <c r="H169" i="3"/>
  <c r="I169" i="3"/>
  <c r="H170" i="3"/>
  <c r="I170" i="3"/>
  <c r="H171" i="3"/>
  <c r="I171" i="3"/>
  <c r="H172" i="3"/>
  <c r="I172" i="3"/>
  <c r="H173" i="3"/>
  <c r="I173" i="3"/>
  <c r="H174" i="3"/>
  <c r="I174" i="3"/>
  <c r="H175" i="3"/>
  <c r="I175" i="3"/>
  <c r="H176" i="3"/>
  <c r="I176" i="3"/>
  <c r="H177" i="3"/>
  <c r="I177" i="3"/>
  <c r="H178" i="3"/>
  <c r="I178" i="3"/>
  <c r="H179" i="3"/>
  <c r="I179" i="3"/>
  <c r="H180" i="3"/>
  <c r="I180" i="3"/>
  <c r="H181" i="3"/>
  <c r="I181" i="3"/>
  <c r="H182" i="3"/>
  <c r="I182" i="3"/>
  <c r="H183" i="3"/>
  <c r="I183" i="3"/>
  <c r="H184" i="3"/>
  <c r="I184" i="3"/>
  <c r="H185" i="3"/>
  <c r="I185" i="3"/>
  <c r="H186" i="3"/>
  <c r="I186" i="3"/>
  <c r="H187" i="3"/>
  <c r="I187" i="3"/>
  <c r="H188" i="3"/>
  <c r="I188" i="3"/>
  <c r="H189" i="3"/>
  <c r="I189" i="3"/>
  <c r="H190" i="3"/>
  <c r="I190" i="3"/>
  <c r="H191" i="3"/>
  <c r="I191" i="3"/>
  <c r="H192" i="3"/>
  <c r="I192" i="3"/>
  <c r="H193" i="3"/>
  <c r="I193" i="3"/>
  <c r="H194" i="3"/>
  <c r="I194" i="3"/>
  <c r="H195" i="3"/>
  <c r="I195" i="3"/>
  <c r="H196" i="3"/>
  <c r="I196" i="3"/>
  <c r="H197" i="3"/>
  <c r="I197" i="3"/>
  <c r="H198" i="3"/>
  <c r="I198" i="3"/>
  <c r="H199" i="3"/>
  <c r="I199" i="3"/>
  <c r="H200" i="3"/>
  <c r="I200" i="3"/>
  <c r="H201" i="3"/>
  <c r="I201" i="3"/>
  <c r="H202" i="3"/>
  <c r="I202" i="3"/>
  <c r="H203" i="3"/>
  <c r="I203" i="3"/>
  <c r="H204" i="3"/>
  <c r="I204" i="3"/>
  <c r="H205" i="3"/>
  <c r="I205" i="3"/>
  <c r="H206" i="3"/>
  <c r="I206" i="3"/>
  <c r="H207" i="3"/>
  <c r="I207" i="3"/>
  <c r="H208" i="3"/>
  <c r="I208" i="3"/>
  <c r="H209" i="3"/>
  <c r="I209" i="3"/>
  <c r="H210" i="3"/>
  <c r="I210" i="3"/>
  <c r="H211" i="3"/>
  <c r="I211" i="3"/>
  <c r="H212" i="3"/>
  <c r="I212" i="3"/>
  <c r="H213" i="3"/>
  <c r="I213" i="3"/>
  <c r="H214" i="3"/>
  <c r="I214" i="3"/>
  <c r="H215" i="3"/>
  <c r="I215" i="3"/>
  <c r="H216" i="3"/>
  <c r="I216" i="3"/>
  <c r="H217" i="3"/>
  <c r="I217" i="3"/>
  <c r="H218" i="3"/>
  <c r="I218" i="3"/>
  <c r="H219" i="3"/>
  <c r="I219" i="3"/>
  <c r="H220" i="3"/>
  <c r="I220" i="3"/>
  <c r="H221" i="3"/>
  <c r="I221" i="3"/>
  <c r="H222" i="3"/>
  <c r="I222" i="3"/>
  <c r="H223" i="3"/>
  <c r="I223" i="3"/>
  <c r="H224" i="3"/>
  <c r="I224" i="3"/>
  <c r="H225" i="3"/>
  <c r="I225" i="3"/>
  <c r="H226" i="3"/>
  <c r="I226" i="3"/>
  <c r="H227" i="3"/>
  <c r="I227" i="3"/>
  <c r="H228" i="3"/>
  <c r="I228" i="3"/>
  <c r="H229" i="3"/>
  <c r="I229" i="3"/>
  <c r="C3" i="5"/>
  <c r="A6" i="5"/>
  <c r="A4" i="4"/>
  <c r="C3" i="4"/>
  <c r="B6" i="5" l="1"/>
  <c r="D6" i="5"/>
  <c r="C6" i="5"/>
  <c r="F6" i="5"/>
  <c r="L3" i="6"/>
  <c r="M3" i="6"/>
  <c r="A7" i="5"/>
  <c r="E6" i="5"/>
  <c r="C4" i="4"/>
  <c r="A5" i="4"/>
  <c r="B7" i="5" s="1"/>
  <c r="A8" i="5" l="1"/>
  <c r="D7" i="5"/>
  <c r="C7" i="5"/>
  <c r="F7" i="5"/>
  <c r="A6" i="4"/>
  <c r="E7" i="5"/>
  <c r="C5" i="4"/>
  <c r="B8" i="5" l="1"/>
  <c r="C8" i="5"/>
  <c r="D8" i="5"/>
  <c r="A9" i="5"/>
  <c r="A7" i="4"/>
  <c r="C6" i="4"/>
  <c r="B9" i="5" l="1"/>
  <c r="A10" i="5"/>
  <c r="C9" i="5"/>
  <c r="D9" i="5"/>
  <c r="A8" i="4"/>
  <c r="F9" i="5"/>
  <c r="F8" i="5"/>
  <c r="G29" i="3"/>
  <c r="I29" i="3" s="1"/>
  <c r="G30" i="3"/>
  <c r="I30" i="3" s="1"/>
  <c r="G37" i="3"/>
  <c r="I37" i="3" s="1"/>
  <c r="G24" i="3"/>
  <c r="I24" i="3" s="1"/>
  <c r="G31" i="3"/>
  <c r="I31" i="3" s="1"/>
  <c r="G25" i="3"/>
  <c r="I25" i="3" s="1"/>
  <c r="G32" i="3"/>
  <c r="I32" i="3" s="1"/>
  <c r="G26" i="3"/>
  <c r="I26" i="3" s="1"/>
  <c r="G33" i="3"/>
  <c r="I33" i="3" s="1"/>
  <c r="G20" i="3"/>
  <c r="I20" i="3" s="1"/>
  <c r="G27" i="3"/>
  <c r="I27" i="3" s="1"/>
  <c r="G34" i="3"/>
  <c r="I34" i="3" s="1"/>
  <c r="G36" i="3"/>
  <c r="I36" i="3" s="1"/>
  <c r="G21" i="3"/>
  <c r="I21" i="3" s="1"/>
  <c r="G28" i="3"/>
  <c r="I28" i="3" s="1"/>
  <c r="G35" i="3"/>
  <c r="I35" i="3" s="1"/>
  <c r="E8" i="5"/>
  <c r="F29" i="3"/>
  <c r="H29" i="3" s="1"/>
  <c r="F36" i="3"/>
  <c r="H36" i="3" s="1"/>
  <c r="F30" i="3"/>
  <c r="H30" i="3" s="1"/>
  <c r="F37" i="3"/>
  <c r="H37" i="3" s="1"/>
  <c r="F24" i="3"/>
  <c r="H24" i="3" s="1"/>
  <c r="F31" i="3"/>
  <c r="H31" i="3" s="1"/>
  <c r="F32" i="3"/>
  <c r="H32" i="3" s="1"/>
  <c r="F20" i="3"/>
  <c r="H20" i="3" s="1"/>
  <c r="F27" i="3"/>
  <c r="H27" i="3" s="1"/>
  <c r="F26" i="3"/>
  <c r="H26" i="3" s="1"/>
  <c r="F33" i="3"/>
  <c r="H33" i="3" s="1"/>
  <c r="F34" i="3"/>
  <c r="H34" i="3" s="1"/>
  <c r="F25" i="3"/>
  <c r="H25" i="3" s="1"/>
  <c r="F21" i="3"/>
  <c r="H21" i="3" s="1"/>
  <c r="F28" i="3"/>
  <c r="H28" i="3" s="1"/>
  <c r="F35" i="3"/>
  <c r="H35" i="3" s="1"/>
  <c r="E9" i="5"/>
  <c r="C7" i="4"/>
  <c r="B10" i="5" l="1"/>
  <c r="B11" i="5"/>
  <c r="C10" i="5"/>
  <c r="D10" i="5"/>
  <c r="F22" i="3"/>
  <c r="H22" i="3" s="1"/>
  <c r="G22" i="3"/>
  <c r="I22" i="3" s="1"/>
  <c r="C8" i="4"/>
  <c r="F10" i="5" l="1"/>
  <c r="G23" i="3"/>
  <c r="I23" i="3" s="1"/>
  <c r="E10" i="5"/>
  <c r="F23" i="3"/>
  <c r="H23" i="3" s="1"/>
  <c r="C10" i="4" l="1"/>
  <c r="C11" i="4" l="1"/>
  <c r="C12" i="4" l="1"/>
  <c r="C13" i="4" l="1"/>
  <c r="F17" i="5" l="1"/>
  <c r="E17" i="5"/>
  <c r="C14" i="4"/>
  <c r="F18" i="5" l="1"/>
  <c r="E18" i="5"/>
  <c r="C15" i="4"/>
  <c r="F19" i="5" l="1"/>
  <c r="E19" i="5"/>
  <c r="C16" i="4"/>
  <c r="F20" i="5" l="1"/>
  <c r="E20" i="5"/>
  <c r="C17" i="4"/>
  <c r="F21" i="5" l="1"/>
  <c r="E21" i="5"/>
  <c r="C18" i="4"/>
  <c r="E22" i="6" l="1"/>
  <c r="D22" i="6"/>
  <c r="C19" i="4"/>
  <c r="F22" i="5" l="1"/>
  <c r="G22" i="6"/>
  <c r="E22" i="5"/>
  <c r="F22" i="6"/>
  <c r="C20" i="4"/>
  <c r="E23" i="5" l="1"/>
  <c r="F23" i="5"/>
  <c r="C21" i="4"/>
  <c r="E24" i="5" l="1"/>
  <c r="F24" i="5"/>
  <c r="E25" i="6"/>
  <c r="D25" i="6"/>
  <c r="C22" i="4"/>
  <c r="E25" i="5" l="1"/>
  <c r="F25" i="6"/>
  <c r="F25" i="5"/>
  <c r="G25" i="6"/>
  <c r="E26" i="6"/>
  <c r="D26" i="6"/>
  <c r="C23" i="4"/>
  <c r="E26" i="5" l="1"/>
  <c r="F26" i="6"/>
  <c r="F26" i="5"/>
  <c r="G26" i="6"/>
  <c r="D27" i="6"/>
  <c r="E27" i="6"/>
  <c r="C24" i="4"/>
  <c r="E27" i="5" l="1"/>
  <c r="F27" i="6"/>
  <c r="F27" i="5"/>
  <c r="G27" i="6"/>
  <c r="E28" i="6"/>
  <c r="D28" i="6"/>
  <c r="C25" i="4"/>
  <c r="F28" i="5" l="1"/>
  <c r="G28" i="6"/>
  <c r="E28" i="5"/>
  <c r="F28" i="6"/>
  <c r="E29" i="6"/>
  <c r="D29" i="6"/>
  <c r="C26" i="4"/>
  <c r="E29" i="5" l="1"/>
  <c r="F29" i="6"/>
  <c r="F29" i="5"/>
  <c r="G29" i="6"/>
  <c r="E30" i="6"/>
  <c r="D30" i="6"/>
  <c r="C27" i="4"/>
  <c r="E30" i="5" l="1"/>
  <c r="F30" i="6"/>
  <c r="F30" i="5"/>
  <c r="G30" i="6"/>
  <c r="D31" i="6"/>
  <c r="C28" i="4"/>
  <c r="E31" i="5" l="1"/>
  <c r="F31" i="6"/>
  <c r="F31" i="5"/>
  <c r="G31" i="6"/>
  <c r="E32" i="6"/>
  <c r="D32" i="6"/>
  <c r="C29" i="4"/>
  <c r="E32" i="5" l="1"/>
  <c r="F32" i="6"/>
  <c r="F32" i="5"/>
  <c r="G32" i="6"/>
  <c r="E33" i="6"/>
  <c r="D33" i="6"/>
  <c r="C30" i="4"/>
  <c r="E33" i="5" l="1"/>
  <c r="F33" i="6"/>
  <c r="F33" i="5"/>
  <c r="G33" i="6"/>
  <c r="E34" i="6"/>
  <c r="D34" i="6"/>
  <c r="C31" i="4"/>
  <c r="E34" i="5" l="1"/>
  <c r="F34" i="6"/>
  <c r="F34" i="5"/>
  <c r="G34" i="6"/>
  <c r="E35" i="6"/>
  <c r="D35" i="6"/>
  <c r="C32" i="4"/>
  <c r="F35" i="5" l="1"/>
  <c r="G35" i="6"/>
  <c r="E35" i="5"/>
  <c r="F35" i="6"/>
  <c r="D36" i="6"/>
  <c r="E36" i="6"/>
  <c r="C33" i="4"/>
  <c r="E36" i="5" l="1"/>
  <c r="F36" i="6"/>
  <c r="F36" i="5"/>
  <c r="G36" i="6"/>
  <c r="E37" i="6"/>
  <c r="D37" i="6"/>
  <c r="C34" i="4"/>
  <c r="F37" i="5" l="1"/>
  <c r="G37" i="6"/>
  <c r="E37" i="5"/>
  <c r="F37" i="6"/>
  <c r="E38" i="6"/>
  <c r="D38" i="6"/>
  <c r="C35" i="4"/>
  <c r="F38" i="5" l="1"/>
  <c r="G38" i="6"/>
  <c r="E38" i="5"/>
  <c r="F38" i="6"/>
  <c r="E39" i="6"/>
  <c r="D39" i="6"/>
  <c r="C36" i="4"/>
  <c r="E39" i="5" l="1"/>
  <c r="F39" i="6"/>
  <c r="F39" i="5"/>
  <c r="G39" i="6"/>
  <c r="E40" i="6"/>
  <c r="D40" i="6"/>
  <c r="C37" i="4"/>
  <c r="E40" i="5" l="1"/>
  <c r="F40" i="6"/>
  <c r="F40" i="5"/>
  <c r="G40" i="6"/>
  <c r="D41" i="6"/>
  <c r="E41" i="6"/>
  <c r="C38" i="4"/>
  <c r="F41" i="5" l="1"/>
  <c r="G41" i="6"/>
  <c r="E41" i="5"/>
  <c r="F41" i="6"/>
  <c r="E42" i="6"/>
  <c r="D42" i="6"/>
  <c r="C39" i="4"/>
  <c r="E42" i="5" l="1"/>
  <c r="F42" i="6"/>
  <c r="F42" i="5"/>
  <c r="G42" i="6"/>
  <c r="E43" i="6"/>
  <c r="D43" i="6"/>
  <c r="C40" i="4"/>
  <c r="F43" i="5" l="1"/>
  <c r="G43" i="6"/>
  <c r="E43" i="5"/>
  <c r="F43" i="6"/>
  <c r="E44" i="6"/>
  <c r="D44" i="6"/>
  <c r="C41" i="4"/>
  <c r="F44" i="5" l="1"/>
  <c r="G44" i="6"/>
  <c r="E44" i="5"/>
  <c r="F44" i="6"/>
  <c r="E45" i="6"/>
  <c r="D45" i="6"/>
  <c r="C42" i="4"/>
  <c r="E45" i="5" l="1"/>
  <c r="F45" i="6"/>
  <c r="F45" i="5"/>
  <c r="G45" i="6"/>
  <c r="E46" i="6"/>
  <c r="D46" i="6"/>
  <c r="C43" i="4"/>
  <c r="F46" i="5" l="1"/>
  <c r="G46" i="6"/>
  <c r="E46" i="5"/>
  <c r="F46" i="6"/>
  <c r="E47" i="6"/>
  <c r="D47" i="6"/>
  <c r="C44" i="4"/>
  <c r="F47" i="5" l="1"/>
  <c r="G47" i="6"/>
  <c r="E47" i="5"/>
  <c r="F47" i="6"/>
  <c r="E48" i="6"/>
  <c r="D48" i="6"/>
  <c r="C45" i="4"/>
  <c r="F48" i="5" l="1"/>
  <c r="G48" i="6"/>
  <c r="E48" i="5"/>
  <c r="F48" i="6"/>
  <c r="E49" i="6"/>
  <c r="D49" i="6"/>
  <c r="C46" i="4"/>
  <c r="E49" i="5" l="1"/>
  <c r="F49" i="6"/>
  <c r="F49" i="5"/>
  <c r="G49" i="6"/>
  <c r="E50" i="6"/>
  <c r="D50" i="6"/>
  <c r="C47" i="4"/>
  <c r="E50" i="5" l="1"/>
  <c r="F50" i="6"/>
  <c r="F50" i="5"/>
  <c r="G50" i="6"/>
  <c r="E51" i="6"/>
  <c r="D51" i="6"/>
  <c r="C48" i="4"/>
  <c r="E51" i="5" l="1"/>
  <c r="F51" i="6"/>
  <c r="F51" i="5"/>
  <c r="G51" i="6"/>
  <c r="E52" i="6"/>
  <c r="D52" i="6"/>
  <c r="C49" i="4"/>
  <c r="F52" i="5" l="1"/>
  <c r="G52" i="6"/>
  <c r="E52" i="5"/>
  <c r="F52" i="6"/>
  <c r="E53" i="6"/>
  <c r="D53" i="6"/>
  <c r="C50" i="4"/>
  <c r="F53" i="5" l="1"/>
  <c r="G53" i="6"/>
  <c r="E53" i="5"/>
  <c r="F53" i="6"/>
  <c r="E54" i="6"/>
  <c r="D54" i="6"/>
  <c r="C51" i="4"/>
  <c r="F54" i="5" l="1"/>
  <c r="G54" i="6"/>
  <c r="E54" i="5"/>
  <c r="F54" i="6"/>
  <c r="D55" i="6"/>
  <c r="E55" i="6"/>
  <c r="C52" i="4"/>
  <c r="F55" i="5" l="1"/>
  <c r="G55" i="6"/>
  <c r="E55" i="5"/>
  <c r="F55" i="6"/>
  <c r="E56" i="6"/>
  <c r="D56" i="6"/>
  <c r="C53" i="4"/>
  <c r="E56" i="5" l="1"/>
  <c r="F56" i="6"/>
  <c r="F56" i="5"/>
  <c r="G56" i="6"/>
  <c r="E57" i="6"/>
  <c r="D57" i="6"/>
  <c r="C54" i="4"/>
  <c r="F57" i="5" l="1"/>
  <c r="G57" i="6"/>
  <c r="E57" i="5"/>
  <c r="F57" i="6"/>
  <c r="E58" i="6"/>
  <c r="D58" i="6"/>
  <c r="C55" i="4"/>
  <c r="F58" i="5" l="1"/>
  <c r="G58" i="6"/>
  <c r="E58" i="5"/>
  <c r="F58" i="6"/>
  <c r="E59" i="6"/>
  <c r="D59" i="6"/>
  <c r="D60" i="5"/>
  <c r="C60" i="5"/>
  <c r="C56" i="4"/>
  <c r="F78" i="3" l="1"/>
  <c r="H78" i="3" s="1"/>
  <c r="G90" i="3"/>
  <c r="I90" i="3" s="1"/>
  <c r="F50" i="3"/>
  <c r="H50" i="3" s="1"/>
  <c r="G223" i="3"/>
  <c r="F219" i="3"/>
  <c r="G117" i="3"/>
  <c r="I117" i="3" s="1"/>
  <c r="F225" i="3"/>
  <c r="G53" i="3"/>
  <c r="I53" i="3" s="1"/>
  <c r="F157" i="3"/>
  <c r="H116" i="3"/>
  <c r="F158" i="3"/>
  <c r="G184" i="3"/>
  <c r="G173" i="3"/>
  <c r="F180" i="3"/>
  <c r="F177" i="3"/>
  <c r="G76" i="3"/>
  <c r="I76" i="3" s="1"/>
  <c r="F164" i="3"/>
  <c r="F39" i="3"/>
  <c r="H39" i="3" s="1"/>
  <c r="G168" i="3"/>
  <c r="G175" i="3"/>
  <c r="G106" i="3"/>
  <c r="I106" i="3" s="1"/>
  <c r="F103" i="3"/>
  <c r="H103" i="3" s="1"/>
  <c r="F186" i="3"/>
  <c r="F152" i="3"/>
  <c r="G88" i="3"/>
  <c r="I88" i="3" s="1"/>
  <c r="H113" i="3"/>
  <c r="F196" i="3"/>
  <c r="F159" i="3"/>
  <c r="G190" i="3"/>
  <c r="F173" i="3"/>
  <c r="G103" i="3"/>
  <c r="I103" i="3" s="1"/>
  <c r="F163" i="3"/>
  <c r="F60" i="3"/>
  <c r="H60" i="3" s="1"/>
  <c r="G142" i="3"/>
  <c r="I142" i="3" s="1"/>
  <c r="F109" i="3"/>
  <c r="H109" i="3" s="1"/>
  <c r="G102" i="3"/>
  <c r="I102" i="3" s="1"/>
  <c r="F126" i="3"/>
  <c r="H126" i="3" s="1"/>
  <c r="F168" i="3"/>
  <c r="G74" i="3"/>
  <c r="I74" i="3" s="1"/>
  <c r="G65" i="3"/>
  <c r="I65" i="3" s="1"/>
  <c r="F160" i="3"/>
  <c r="F54" i="3"/>
  <c r="H54" i="3" s="1"/>
  <c r="G46" i="3"/>
  <c r="I46" i="3" s="1"/>
  <c r="F229" i="3"/>
  <c r="G146" i="3"/>
  <c r="I146" i="3" s="1"/>
  <c r="G127" i="3"/>
  <c r="I127" i="3" s="1"/>
  <c r="F51" i="3"/>
  <c r="H51" i="3" s="1"/>
  <c r="G100" i="3"/>
  <c r="I100" i="3" s="1"/>
  <c r="G112" i="3"/>
  <c r="I112" i="3" s="1"/>
  <c r="G99" i="3"/>
  <c r="I99" i="3" s="1"/>
  <c r="F93" i="3"/>
  <c r="H93" i="3" s="1"/>
  <c r="G124" i="3"/>
  <c r="I124" i="3" s="1"/>
  <c r="F44" i="3"/>
  <c r="H44" i="3" s="1"/>
  <c r="F123" i="3"/>
  <c r="H123" i="3" s="1"/>
  <c r="F141" i="3"/>
  <c r="H141" i="3" s="1"/>
  <c r="G227" i="3"/>
  <c r="G140" i="3"/>
  <c r="I140" i="3" s="1"/>
  <c r="H115" i="3"/>
  <c r="G200" i="3"/>
  <c r="F137" i="3"/>
  <c r="H137" i="3" s="1"/>
  <c r="F153" i="3"/>
  <c r="G154" i="3"/>
  <c r="F71" i="3"/>
  <c r="H71" i="3" s="1"/>
  <c r="F75" i="3"/>
  <c r="H75" i="3" s="1"/>
  <c r="F67" i="3"/>
  <c r="H67" i="3" s="1"/>
  <c r="F90" i="3"/>
  <c r="H90" i="3" s="1"/>
  <c r="G217" i="3"/>
  <c r="F84" i="3"/>
  <c r="H84" i="3" s="1"/>
  <c r="F134" i="3"/>
  <c r="H134" i="3" s="1"/>
  <c r="F63" i="3"/>
  <c r="H63" i="3" s="1"/>
  <c r="G203" i="3"/>
  <c r="F147" i="3"/>
  <c r="F178" i="3"/>
  <c r="G59" i="3"/>
  <c r="I59" i="3" s="1"/>
  <c r="G177" i="3"/>
  <c r="F195" i="3"/>
  <c r="F206" i="3"/>
  <c r="G157" i="3"/>
  <c r="F49" i="3"/>
  <c r="H49" i="3" s="1"/>
  <c r="G193" i="3"/>
  <c r="F201" i="3"/>
  <c r="G69" i="3"/>
  <c r="I69" i="3" s="1"/>
  <c r="G60" i="3"/>
  <c r="I60" i="3" s="1"/>
  <c r="G186" i="3"/>
  <c r="F182" i="3"/>
  <c r="F223" i="3"/>
  <c r="F77" i="3"/>
  <c r="H77" i="3" s="1"/>
  <c r="G114" i="3"/>
  <c r="I114" i="3" s="1"/>
  <c r="G41" i="3"/>
  <c r="I41" i="3" s="1"/>
  <c r="G51" i="3"/>
  <c r="I51" i="3" s="1"/>
  <c r="G113" i="3"/>
  <c r="I113" i="3" s="1"/>
  <c r="F124" i="3"/>
  <c r="H124" i="3" s="1"/>
  <c r="G196" i="3"/>
  <c r="G183" i="3"/>
  <c r="F203" i="3"/>
  <c r="G180" i="3"/>
  <c r="G39" i="3"/>
  <c r="I39" i="3" s="1"/>
  <c r="F226" i="3"/>
  <c r="F172" i="3"/>
  <c r="F89" i="3"/>
  <c r="H89" i="3" s="1"/>
  <c r="G109" i="3"/>
  <c r="I109" i="3" s="1"/>
  <c r="G156" i="3"/>
  <c r="G213" i="3"/>
  <c r="G150" i="3"/>
  <c r="G214" i="3"/>
  <c r="G188" i="3"/>
  <c r="F55" i="3"/>
  <c r="H55" i="3" s="1"/>
  <c r="G136" i="3"/>
  <c r="I136" i="3" s="1"/>
  <c r="F86" i="3"/>
  <c r="H86" i="3" s="1"/>
  <c r="F70" i="3"/>
  <c r="H70" i="3" s="1"/>
  <c r="F204" i="3"/>
  <c r="G138" i="3"/>
  <c r="I138" i="3" s="1"/>
  <c r="F216" i="3"/>
  <c r="F40" i="3"/>
  <c r="H40" i="3" s="1"/>
  <c r="G81" i="3"/>
  <c r="I81" i="3" s="1"/>
  <c r="F80" i="3"/>
  <c r="H80" i="3" s="1"/>
  <c r="G161" i="3"/>
  <c r="F169" i="3"/>
  <c r="G163" i="3"/>
  <c r="G219" i="3"/>
  <c r="G47" i="3"/>
  <c r="I47" i="3" s="1"/>
  <c r="F88" i="3"/>
  <c r="H88" i="3" s="1"/>
  <c r="G130" i="3"/>
  <c r="I130" i="3" s="1"/>
  <c r="G167" i="3"/>
  <c r="F61" i="3"/>
  <c r="H61" i="3" s="1"/>
  <c r="G191" i="3"/>
  <c r="F140" i="3"/>
  <c r="H140" i="3" s="1"/>
  <c r="G185" i="3"/>
  <c r="F150" i="3"/>
  <c r="F227" i="3"/>
  <c r="F165" i="3"/>
  <c r="F59" i="3"/>
  <c r="H59" i="3" s="1"/>
  <c r="G165" i="3"/>
  <c r="G77" i="3"/>
  <c r="I77" i="3" s="1"/>
  <c r="G229" i="3"/>
  <c r="G111" i="3"/>
  <c r="I111" i="3" s="1"/>
  <c r="F65" i="3"/>
  <c r="H65" i="3" s="1"/>
  <c r="G42" i="3"/>
  <c r="I42" i="3" s="1"/>
  <c r="G169" i="3"/>
  <c r="F162" i="3"/>
  <c r="G66" i="3"/>
  <c r="I66" i="3" s="1"/>
  <c r="G62" i="3"/>
  <c r="I62" i="3" s="1"/>
  <c r="G116" i="3"/>
  <c r="I116" i="3" s="1"/>
  <c r="G208" i="3"/>
  <c r="G145" i="3"/>
  <c r="I145" i="3" s="1"/>
  <c r="G70" i="3"/>
  <c r="I70" i="3" s="1"/>
  <c r="G120" i="3"/>
  <c r="I120" i="3" s="1"/>
  <c r="F130" i="3"/>
  <c r="H130" i="3" s="1"/>
  <c r="F183" i="3"/>
  <c r="F91" i="3"/>
  <c r="H91" i="3" s="1"/>
  <c r="F47" i="3"/>
  <c r="H47" i="3" s="1"/>
  <c r="F156" i="3"/>
  <c r="F129" i="3"/>
  <c r="H129" i="3" s="1"/>
  <c r="F210" i="3"/>
  <c r="G192" i="3"/>
  <c r="F221" i="3"/>
  <c r="G199" i="3"/>
  <c r="G40" i="3"/>
  <c r="I40" i="3" s="1"/>
  <c r="G209" i="3"/>
  <c r="G104" i="3"/>
  <c r="I104" i="3" s="1"/>
  <c r="G85" i="3"/>
  <c r="I85" i="3" s="1"/>
  <c r="G96" i="3"/>
  <c r="I96" i="3" s="1"/>
  <c r="F104" i="3"/>
  <c r="H104" i="3" s="1"/>
  <c r="F148" i="3"/>
  <c r="F73" i="3"/>
  <c r="H73" i="3" s="1"/>
  <c r="G97" i="3"/>
  <c r="I97" i="3" s="1"/>
  <c r="G179" i="3"/>
  <c r="F81" i="3"/>
  <c r="H81" i="3" s="1"/>
  <c r="H114" i="3"/>
  <c r="H127" i="3"/>
  <c r="F106" i="3"/>
  <c r="H106" i="3" s="1"/>
  <c r="G153" i="3"/>
  <c r="G89" i="3"/>
  <c r="I89" i="3" s="1"/>
  <c r="G210" i="3"/>
  <c r="F82" i="3"/>
  <c r="H82" i="3" s="1"/>
  <c r="F176" i="3"/>
  <c r="G131" i="3"/>
  <c r="I131" i="3" s="1"/>
  <c r="F145" i="3"/>
  <c r="H145" i="3" s="1"/>
  <c r="F41" i="3"/>
  <c r="H41" i="3" s="1"/>
  <c r="F184" i="3"/>
  <c r="G226" i="3"/>
  <c r="G105" i="3"/>
  <c r="I105" i="3" s="1"/>
  <c r="F46" i="3"/>
  <c r="H46" i="3" s="1"/>
  <c r="G151" i="3"/>
  <c r="F188" i="3"/>
  <c r="F192" i="3"/>
  <c r="G79" i="3"/>
  <c r="I79" i="3" s="1"/>
  <c r="F132" i="3"/>
  <c r="H132" i="3" s="1"/>
  <c r="G108" i="3"/>
  <c r="I108" i="3" s="1"/>
  <c r="F212" i="3"/>
  <c r="G84" i="3"/>
  <c r="I84" i="3" s="1"/>
  <c r="F79" i="3"/>
  <c r="H79" i="3" s="1"/>
  <c r="F181" i="3"/>
  <c r="G220" i="3"/>
  <c r="F167" i="3"/>
  <c r="F74" i="3"/>
  <c r="H74" i="3" s="1"/>
  <c r="G178" i="3"/>
  <c r="F217" i="3"/>
  <c r="G187" i="3"/>
  <c r="G218" i="3"/>
  <c r="F66" i="3"/>
  <c r="H66" i="3" s="1"/>
  <c r="G110" i="3"/>
  <c r="I110" i="3" s="1"/>
  <c r="F222" i="3"/>
  <c r="G87" i="3"/>
  <c r="I87" i="3" s="1"/>
  <c r="G119" i="3"/>
  <c r="I119" i="3" s="1"/>
  <c r="G222" i="3"/>
  <c r="G228" i="3"/>
  <c r="F199" i="3"/>
  <c r="F76" i="3"/>
  <c r="H76" i="3" s="1"/>
  <c r="G95" i="3"/>
  <c r="I95" i="3" s="1"/>
  <c r="F143" i="3"/>
  <c r="H143" i="3" s="1"/>
  <c r="G86" i="3"/>
  <c r="I86" i="3" s="1"/>
  <c r="F161" i="3"/>
  <c r="F170" i="3"/>
  <c r="F97" i="3"/>
  <c r="H97" i="3" s="1"/>
  <c r="G211" i="3"/>
  <c r="G152" i="3"/>
  <c r="H110" i="3"/>
  <c r="H112" i="3"/>
  <c r="G202" i="3"/>
  <c r="F135" i="3"/>
  <c r="H135" i="3" s="1"/>
  <c r="G189" i="3"/>
  <c r="G63" i="3"/>
  <c r="I63" i="3" s="1"/>
  <c r="G212" i="3"/>
  <c r="F208" i="3"/>
  <c r="G171" i="3"/>
  <c r="G55" i="3"/>
  <c r="I55" i="3" s="1"/>
  <c r="G93" i="3"/>
  <c r="I93" i="3" s="1"/>
  <c r="F155" i="3"/>
  <c r="G98" i="3"/>
  <c r="I98" i="3" s="1"/>
  <c r="H120" i="3"/>
  <c r="F96" i="3"/>
  <c r="H96" i="3" s="1"/>
  <c r="F87" i="3"/>
  <c r="H87" i="3" s="1"/>
  <c r="G204" i="3"/>
  <c r="G43" i="3"/>
  <c r="I43" i="3" s="1"/>
  <c r="F53" i="3"/>
  <c r="H53" i="3" s="1"/>
  <c r="F83" i="3"/>
  <c r="H83" i="3" s="1"/>
  <c r="G134" i="3"/>
  <c r="I134" i="3" s="1"/>
  <c r="G78" i="3"/>
  <c r="I78" i="3" s="1"/>
  <c r="G67" i="3"/>
  <c r="I67" i="3" s="1"/>
  <c r="F45" i="3"/>
  <c r="H45" i="3" s="1"/>
  <c r="F198" i="3"/>
  <c r="F146" i="3"/>
  <c r="H146" i="3" s="1"/>
  <c r="F224" i="3"/>
  <c r="G126" i="3"/>
  <c r="I126" i="3" s="1"/>
  <c r="F185" i="3"/>
  <c r="G52" i="3"/>
  <c r="I52" i="3" s="1"/>
  <c r="G216" i="3"/>
  <c r="F92" i="3"/>
  <c r="H92" i="3" s="1"/>
  <c r="G73" i="3"/>
  <c r="I73" i="3" s="1"/>
  <c r="G94" i="3"/>
  <c r="I94" i="3" s="1"/>
  <c r="G121" i="3"/>
  <c r="I121" i="3" s="1"/>
  <c r="F215" i="3"/>
  <c r="H118" i="3"/>
  <c r="G125" i="3"/>
  <c r="I125" i="3" s="1"/>
  <c r="G115" i="3"/>
  <c r="I115" i="3" s="1"/>
  <c r="G137" i="3"/>
  <c r="I137" i="3" s="1"/>
  <c r="G45" i="3"/>
  <c r="I45" i="3" s="1"/>
  <c r="G133" i="3"/>
  <c r="I133" i="3" s="1"/>
  <c r="F101" i="3"/>
  <c r="H101" i="3" s="1"/>
  <c r="G57" i="3"/>
  <c r="I57" i="3" s="1"/>
  <c r="G122" i="3"/>
  <c r="I122" i="3" s="1"/>
  <c r="F187" i="3"/>
  <c r="F175" i="3"/>
  <c r="G162" i="3"/>
  <c r="G182" i="3"/>
  <c r="G129" i="3"/>
  <c r="I129" i="3" s="1"/>
  <c r="G198" i="3"/>
  <c r="F197" i="3"/>
  <c r="G50" i="3"/>
  <c r="I50" i="3" s="1"/>
  <c r="G172" i="3"/>
  <c r="F72" i="3"/>
  <c r="H72" i="3" s="1"/>
  <c r="G194" i="3"/>
  <c r="H117" i="3"/>
  <c r="G195" i="3"/>
  <c r="G139" i="3"/>
  <c r="I139" i="3" s="1"/>
  <c r="G107" i="3"/>
  <c r="I107" i="3" s="1"/>
  <c r="F94" i="3"/>
  <c r="H94" i="3" s="1"/>
  <c r="G38" i="3"/>
  <c r="I38" i="3" s="1"/>
  <c r="F144" i="3"/>
  <c r="H144" i="3" s="1"/>
  <c r="F98" i="3"/>
  <c r="H98" i="3" s="1"/>
  <c r="G141" i="3"/>
  <c r="I141" i="3" s="1"/>
  <c r="G56" i="3"/>
  <c r="I56" i="3" s="1"/>
  <c r="F62" i="3"/>
  <c r="H62" i="3" s="1"/>
  <c r="G174" i="3"/>
  <c r="G128" i="3"/>
  <c r="I128" i="3" s="1"/>
  <c r="G68" i="3"/>
  <c r="I68" i="3" s="1"/>
  <c r="F69" i="3"/>
  <c r="H69" i="3" s="1"/>
  <c r="G215" i="3"/>
  <c r="G164" i="3"/>
  <c r="F207" i="3"/>
  <c r="G143" i="3"/>
  <c r="I143" i="3" s="1"/>
  <c r="G49" i="3"/>
  <c r="I49" i="3" s="1"/>
  <c r="G75" i="3"/>
  <c r="I75" i="3" s="1"/>
  <c r="F149" i="3"/>
  <c r="G83" i="3"/>
  <c r="I83" i="3" s="1"/>
  <c r="F85" i="3"/>
  <c r="H85" i="3" s="1"/>
  <c r="F171" i="3"/>
  <c r="F205" i="3"/>
  <c r="G91" i="3"/>
  <c r="I91" i="3" s="1"/>
  <c r="G181" i="3"/>
  <c r="F102" i="3"/>
  <c r="H102" i="3" s="1"/>
  <c r="G207" i="3"/>
  <c r="F99" i="3"/>
  <c r="H99" i="3" s="1"/>
  <c r="G155" i="3"/>
  <c r="F194" i="3"/>
  <c r="F202" i="3"/>
  <c r="F64" i="3"/>
  <c r="H64" i="3" s="1"/>
  <c r="G144" i="3"/>
  <c r="I144" i="3" s="1"/>
  <c r="F174" i="3"/>
  <c r="F151" i="3"/>
  <c r="G224" i="3"/>
  <c r="G58" i="3"/>
  <c r="I58" i="3" s="1"/>
  <c r="H121" i="3"/>
  <c r="F191" i="3"/>
  <c r="F142" i="3"/>
  <c r="H142" i="3" s="1"/>
  <c r="F133" i="3"/>
  <c r="H133" i="3" s="1"/>
  <c r="G147" i="3"/>
  <c r="F56" i="3"/>
  <c r="H56" i="3" s="1"/>
  <c r="F122" i="3"/>
  <c r="H122" i="3" s="1"/>
  <c r="G92" i="3"/>
  <c r="I92" i="3" s="1"/>
  <c r="G201" i="3"/>
  <c r="F100" i="3"/>
  <c r="H100" i="3" s="1"/>
  <c r="G206" i="3"/>
  <c r="F48" i="3"/>
  <c r="H48" i="3" s="1"/>
  <c r="G54" i="3"/>
  <c r="I54" i="3" s="1"/>
  <c r="F125" i="3"/>
  <c r="H125" i="3" s="1"/>
  <c r="G166" i="3"/>
  <c r="F214" i="3"/>
  <c r="G149" i="3"/>
  <c r="G64" i="3"/>
  <c r="I64" i="3" s="1"/>
  <c r="F220" i="3"/>
  <c r="G158" i="3"/>
  <c r="F38" i="3"/>
  <c r="H38" i="3" s="1"/>
  <c r="G82" i="3"/>
  <c r="I82" i="3" s="1"/>
  <c r="F213" i="3"/>
  <c r="G205" i="3"/>
  <c r="F108" i="3"/>
  <c r="H108" i="3" s="1"/>
  <c r="F228" i="3"/>
  <c r="G176" i="3"/>
  <c r="F57" i="3"/>
  <c r="H57" i="3" s="1"/>
  <c r="F154" i="3"/>
  <c r="F193" i="3"/>
  <c r="G71" i="3"/>
  <c r="I71" i="3" s="1"/>
  <c r="F105" i="3"/>
  <c r="H105" i="3" s="1"/>
  <c r="F166" i="3"/>
  <c r="F200" i="3"/>
  <c r="G221" i="3"/>
  <c r="G72" i="3"/>
  <c r="I72" i="3" s="1"/>
  <c r="G132" i="3"/>
  <c r="I132" i="3" s="1"/>
  <c r="F218" i="3"/>
  <c r="F43" i="3"/>
  <c r="H43" i="3" s="1"/>
  <c r="F58" i="3"/>
  <c r="H58" i="3" s="1"/>
  <c r="G148" i="3"/>
  <c r="G123" i="3"/>
  <c r="I123" i="3" s="1"/>
  <c r="H119" i="3"/>
  <c r="G118" i="3"/>
  <c r="I118" i="3" s="1"/>
  <c r="F179" i="3"/>
  <c r="G225" i="3"/>
  <c r="H111" i="3"/>
  <c r="F68" i="3"/>
  <c r="H68" i="3" s="1"/>
  <c r="F52" i="3"/>
  <c r="H52" i="3" s="1"/>
  <c r="F209" i="3"/>
  <c r="G101" i="3"/>
  <c r="I101" i="3" s="1"/>
  <c r="F42" i="3"/>
  <c r="H42" i="3" s="1"/>
  <c r="F189" i="3"/>
  <c r="F138" i="3"/>
  <c r="H138" i="3" s="1"/>
  <c r="G170" i="3"/>
  <c r="G160" i="3"/>
  <c r="F211" i="3"/>
  <c r="F136" i="3"/>
  <c r="H136" i="3" s="1"/>
  <c r="G80" i="3"/>
  <c r="I80" i="3" s="1"/>
  <c r="F131" i="3"/>
  <c r="H131" i="3" s="1"/>
  <c r="G48" i="3"/>
  <c r="I48" i="3" s="1"/>
  <c r="F139" i="3"/>
  <c r="H139" i="3" s="1"/>
  <c r="G159" i="3"/>
  <c r="F190" i="3"/>
  <c r="F95" i="3"/>
  <c r="H95" i="3" s="1"/>
  <c r="G135" i="3"/>
  <c r="I135" i="3" s="1"/>
  <c r="F107" i="3"/>
  <c r="H107" i="3" s="1"/>
  <c r="G44" i="3"/>
  <c r="I44" i="3" s="1"/>
  <c r="G197" i="3"/>
  <c r="G61" i="3"/>
  <c r="I61" i="3" s="1"/>
  <c r="E59" i="5"/>
  <c r="F59" i="6"/>
  <c r="F59" i="5"/>
  <c r="G59" i="6"/>
  <c r="E60" i="6"/>
  <c r="D60" i="6"/>
  <c r="C57" i="4"/>
  <c r="D11" i="6" l="1"/>
  <c r="H11" i="6" s="1"/>
  <c r="E11" i="6"/>
  <c r="I11" i="6" s="1"/>
  <c r="G11" i="6"/>
  <c r="F11" i="6"/>
  <c r="F60" i="5"/>
  <c r="G60" i="6"/>
  <c r="E60" i="5"/>
  <c r="F60" i="6"/>
  <c r="F11" i="3" l="1"/>
  <c r="H11" i="3" s="1"/>
  <c r="F13" i="6" s="1"/>
  <c r="F4" i="3"/>
  <c r="H4" i="3" s="1"/>
  <c r="G14" i="3"/>
  <c r="I14" i="3" s="1"/>
  <c r="E16" i="6" s="1"/>
  <c r="I16" i="6" s="1"/>
  <c r="G6" i="3"/>
  <c r="I6" i="3" s="1"/>
  <c r="F7" i="3"/>
  <c r="H7" i="3" s="1"/>
  <c r="F8" i="6" s="1"/>
  <c r="G13" i="3"/>
  <c r="I13" i="3" s="1"/>
  <c r="G5" i="3"/>
  <c r="I5" i="3" s="1"/>
  <c r="E6" i="6" s="1"/>
  <c r="I6" i="6" s="1"/>
  <c r="F19" i="3"/>
  <c r="H19" i="3" s="1"/>
  <c r="F13" i="3"/>
  <c r="H13" i="3" s="1"/>
  <c r="F8" i="3"/>
  <c r="H8" i="3" s="1"/>
  <c r="F12" i="3"/>
  <c r="H12" i="3" s="1"/>
  <c r="F10" i="3"/>
  <c r="H10" i="3" s="1"/>
  <c r="G19" i="3"/>
  <c r="I19" i="3" s="1"/>
  <c r="F5" i="5"/>
  <c r="G3" i="4"/>
  <c r="F5" i="6" l="1"/>
  <c r="D5" i="6"/>
  <c r="H5" i="6" s="1"/>
  <c r="F9" i="6"/>
  <c r="D9" i="6"/>
  <c r="H9" i="6" s="1"/>
  <c r="D15" i="6"/>
  <c r="H15" i="6" s="1"/>
  <c r="F15" i="6"/>
  <c r="G15" i="6"/>
  <c r="E15" i="6"/>
  <c r="I15" i="6" s="1"/>
  <c r="D14" i="6"/>
  <c r="H14" i="6" s="1"/>
  <c r="F14" i="6"/>
  <c r="D13" i="6"/>
  <c r="H13" i="6" s="1"/>
  <c r="D8" i="6"/>
  <c r="H8" i="6" s="1"/>
  <c r="D21" i="6"/>
  <c r="H21" i="6" s="1"/>
  <c r="F21" i="6"/>
  <c r="G7" i="6"/>
  <c r="E7" i="6"/>
  <c r="I7" i="6" s="1"/>
  <c r="G21" i="6"/>
  <c r="E21" i="6"/>
  <c r="I21" i="6" s="1"/>
  <c r="F12" i="6"/>
  <c r="D12" i="6"/>
  <c r="H12" i="6" s="1"/>
  <c r="F6" i="3"/>
  <c r="H6" i="3" s="1"/>
  <c r="G10" i="3"/>
  <c r="I10" i="3" s="1"/>
  <c r="E5" i="5"/>
  <c r="G8" i="3"/>
  <c r="I8" i="3" s="1"/>
  <c r="F16" i="3"/>
  <c r="H16" i="3" s="1"/>
  <c r="G11" i="3"/>
  <c r="I11" i="3" s="1"/>
  <c r="G6" i="6"/>
  <c r="G16" i="6"/>
  <c r="F3" i="3"/>
  <c r="H3" i="3" s="1"/>
  <c r="G12" i="3"/>
  <c r="I12" i="3" s="1"/>
  <c r="F9" i="3"/>
  <c r="H9" i="3" s="1"/>
  <c r="G7" i="3"/>
  <c r="I7" i="3" s="1"/>
  <c r="F14" i="3"/>
  <c r="H14" i="3" s="1"/>
  <c r="F15" i="3"/>
  <c r="H15" i="3" s="1"/>
  <c r="G3" i="3"/>
  <c r="I3" i="3" s="1"/>
  <c r="G9" i="3"/>
  <c r="I9" i="3" s="1"/>
  <c r="F17" i="3"/>
  <c r="H17" i="3" s="1"/>
  <c r="G4" i="3"/>
  <c r="I4" i="3" s="1"/>
  <c r="F5" i="3"/>
  <c r="H5" i="3" s="1"/>
  <c r="F18" i="3"/>
  <c r="H18" i="3" s="1"/>
  <c r="G15" i="3"/>
  <c r="I15" i="3" s="1"/>
  <c r="G17" i="3"/>
  <c r="I17" i="3" s="1"/>
  <c r="G18" i="3"/>
  <c r="I18" i="3" s="1"/>
  <c r="G16" i="3"/>
  <c r="I16" i="3" s="1"/>
  <c r="G8" i="6" l="1"/>
  <c r="E8" i="6"/>
  <c r="I8" i="6" s="1"/>
  <c r="D10" i="6"/>
  <c r="H10" i="6" s="1"/>
  <c r="F10" i="6"/>
  <c r="E18" i="6"/>
  <c r="I18" i="6" s="1"/>
  <c r="G18" i="6"/>
  <c r="E14" i="6"/>
  <c r="I14" i="6" s="1"/>
  <c r="G14" i="6"/>
  <c r="G20" i="6"/>
  <c r="E20" i="6"/>
  <c r="I20" i="6" s="1"/>
  <c r="D4" i="6"/>
  <c r="H4" i="6" s="1"/>
  <c r="F4" i="6"/>
  <c r="E19" i="6"/>
  <c r="I19" i="6" s="1"/>
  <c r="G19" i="6"/>
  <c r="F20" i="6"/>
  <c r="D20" i="6"/>
  <c r="H20" i="6" s="1"/>
  <c r="G13" i="6"/>
  <c r="E13" i="6"/>
  <c r="I13" i="6" s="1"/>
  <c r="F6" i="6"/>
  <c r="D6" i="6"/>
  <c r="H6" i="6" s="1"/>
  <c r="F18" i="6"/>
  <c r="D18" i="6"/>
  <c r="H18" i="6" s="1"/>
  <c r="E5" i="6"/>
  <c r="I5" i="6" s="1"/>
  <c r="G5" i="6"/>
  <c r="G9" i="6"/>
  <c r="E9" i="6"/>
  <c r="I9" i="6" s="1"/>
  <c r="D19" i="6"/>
  <c r="H19" i="6" s="1"/>
  <c r="F19" i="6"/>
  <c r="G10" i="6"/>
  <c r="E10" i="6"/>
  <c r="I10" i="6" s="1"/>
  <c r="G12" i="6"/>
  <c r="E12" i="6"/>
  <c r="I12" i="6" s="1"/>
  <c r="G4" i="6"/>
  <c r="E4" i="6"/>
  <c r="I4" i="6" s="1"/>
  <c r="F7" i="6"/>
  <c r="D7" i="6"/>
  <c r="H7" i="6" s="1"/>
  <c r="F17" i="6"/>
  <c r="D17" i="6"/>
  <c r="H17" i="6" s="1"/>
  <c r="E17" i="6"/>
  <c r="I17" i="6" s="1"/>
  <c r="G17" i="6"/>
  <c r="F16" i="6"/>
  <c r="D16" i="6"/>
  <c r="H1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G1" authorId="0" shapeId="0" xr:uid="{758A495D-6CE8-4386-9EC7-6434A2EC4147}">
      <text>
        <r>
          <rPr>
            <b/>
            <sz val="9"/>
            <color indexed="81"/>
            <rFont val="Tahoma"/>
            <family val="2"/>
          </rPr>
          <t>Daniel Newby:</t>
        </r>
        <r>
          <rPr>
            <sz val="9"/>
            <color indexed="81"/>
            <rFont val="Tahoma"/>
            <family val="2"/>
          </rPr>
          <t xml:space="preserve">
Represents how well you covered volume with wand waves.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H1" authorId="0" shapeId="0" xr:uid="{EEBD00CB-756E-4524-8C2F-8A54CB9A3850}">
      <text>
        <r>
          <rPr>
            <b/>
            <sz val="9"/>
            <color indexed="81"/>
            <rFont val="Tahoma"/>
            <family val="2"/>
          </rPr>
          <t>Daniel Newby:</t>
        </r>
        <r>
          <rPr>
            <sz val="9"/>
            <color indexed="81"/>
            <rFont val="Tahoma"/>
            <family val="2"/>
          </rPr>
          <t xml:space="preserve">
Represents how well you covered volume with wand waves.</t>
        </r>
      </text>
    </comment>
  </commentList>
</comments>
</file>

<file path=xl/sharedStrings.xml><?xml version="1.0" encoding="utf-8"?>
<sst xmlns="http://schemas.openxmlformats.org/spreadsheetml/2006/main" count="408" uniqueCount="102">
  <si>
    <t>How this workbook works</t>
  </si>
  <si>
    <t>1. Log sheet</t>
  </si>
  <si>
    <t xml:space="preserve">   Each day, add one new row per camera to the table (just type into the row directly below the last one - the table expands automatically).</t>
  </si>
  <si>
    <t xml:space="preserve">   Columns: Date, Camera, Wand Count, World Error, Image Error.</t>
  </si>
  <si>
    <t xml:space="preserve">   The Camera column has a dropdown so names stay consistent.</t>
  </si>
  <si>
    <t>2. Daily Summary sheet</t>
  </si>
  <si>
    <t xml:space="preserve">   Automatically averages World Error and Image Error across all cameras for each date, and counts how many cameras were logged that day (flags red if it isn't 17, so you notice a missed camera). Pre-built with formulas for the next ~150 days - nothing to edit.</t>
  </si>
  <si>
    <t xml:space="preserve">   Chart: average error trend over time, across the whole rig.</t>
  </si>
  <si>
    <t>3. Camera Trend sheet</t>
  </si>
  <si>
    <t xml:space="preserve">   Pick a camera from the dropdown in the highlighted cell and its own error history over time appears in the table and chart below. Useful for spotting a camera that's drifting or degrading.</t>
  </si>
  <si>
    <t>4. Lists sheet</t>
  </si>
  <si>
    <t xml:space="preserve">   Just holds the camera name list that powers the dropdowns. Hidden by default - unhide it (right-click any sheet tab) if you add or retire a camera.</t>
  </si>
  <si>
    <t>Cells you edit day-to-day are highlighted in pale yellow. Everything else is a formula and updates itself.</t>
  </si>
  <si>
    <t>Camera</t>
  </si>
  <si>
    <t>#1 (Vero v2.2)</t>
  </si>
  <si>
    <t>#2 (Vero v2.2)</t>
  </si>
  <si>
    <t>#3 (Vero v2.2)</t>
  </si>
  <si>
    <t>#4 (Vero v2.2)</t>
  </si>
  <si>
    <t>#5 (Vero v2.2)</t>
  </si>
  <si>
    <t>#6 (Vero v2.2)</t>
  </si>
  <si>
    <t>#7 (Vero v2.2)</t>
  </si>
  <si>
    <t>#9 (Vero v2.2)</t>
  </si>
  <si>
    <t>#10 (Vero v2.2)</t>
  </si>
  <si>
    <t>#11 (Vero v2.2)</t>
  </si>
  <si>
    <t>#12 (Vero v2.2)</t>
  </si>
  <si>
    <t>#13 (Vero v2.2)</t>
  </si>
  <si>
    <t>#14 (Vero v2.2)</t>
  </si>
  <si>
    <t>#15 (Vero v2.2)</t>
  </si>
  <si>
    <t>#16 (Vero v2.2)</t>
  </si>
  <si>
    <t>#17 (Vero v2.2)</t>
  </si>
  <si>
    <t>#18 (Vero v2.2)</t>
  </si>
  <si>
    <t>Date</t>
  </si>
  <si>
    <t>Wand Count</t>
  </si>
  <si>
    <t>World Error</t>
  </si>
  <si>
    <t>Image Error</t>
  </si>
  <si>
    <t>Cameras Logged</t>
  </si>
  <si>
    <t>Avg Wand Count</t>
  </si>
  <si>
    <t>Select camera:</t>
  </si>
  <si>
    <t>Camera Error (This Day)</t>
  </si>
  <si>
    <t>World Error (Avg.)</t>
  </si>
  <si>
    <t>Image Error (Avg.)</t>
  </si>
  <si>
    <t>Add new rows below the table - one per camera, each day.</t>
  </si>
  <si>
    <t>Camera 8 not enabled by mistake, no masking or marker removal attempted - attempting to establish baselines</t>
  </si>
  <si>
    <t>Beats average?</t>
  </si>
  <si>
    <t>World</t>
  </si>
  <si>
    <t>Image</t>
  </si>
  <si>
    <t>#8 (Vero v2.2)</t>
  </si>
  <si>
    <t>Evaluation</t>
  </si>
  <si>
    <t>For future reference, if this is ever corrected - the files here will need to be corrected</t>
  </si>
  <si>
    <t>Cameras in the INB Robotics/Vicon lab are labelled differently to the Nexus software, I've recorded the differences here</t>
  </si>
  <si>
    <t>Match</t>
  </si>
  <si>
    <t>Camera Name</t>
  </si>
  <si>
    <t>Physical Label</t>
  </si>
  <si>
    <t>Nexus Software ID</t>
  </si>
  <si>
    <t xml:space="preserve"> </t>
  </si>
  <si>
    <t>AVERAGE CAMERA ERRORS</t>
  </si>
  <si>
    <t>Average Errors (This Day)</t>
  </si>
  <si>
    <t>GLOBAL AVERAGE OF ERROR</t>
  </si>
  <si>
    <t>Notes on daily calibration attempt</t>
  </si>
  <si>
    <t>Did not create a box with markers, scattered randomly, adjusted auto detect tolerance for set volume down to 2mm</t>
  </si>
  <si>
    <t>Starting Temperature</t>
  </si>
  <si>
    <t>Starting Time</t>
  </si>
  <si>
    <t>Errors marked red if worse than daily average, green if better</t>
  </si>
  <si>
    <t>Scattered markers randomly in the volume, completely reset calibration and masking beforehand, manually masked reflective pipe in camera 5. Modified approach with wand to push in/pull back and wave widely/shortly rather than fixating on figure 8</t>
  </si>
  <si>
    <t>LOSS RATE (vs average)</t>
  </si>
  <si>
    <t>WIN RATE (vs average)</t>
  </si>
  <si>
    <t>WIN RATE as Percentage</t>
  </si>
  <si>
    <t>% of total days camera beats the average</t>
  </si>
  <si>
    <t>How many days camera is worse than avg.</t>
  </si>
  <si>
    <t>How many days is camera better than avg.</t>
  </si>
  <si>
    <t>Marked red if worse than global average</t>
  </si>
  <si>
    <t>Cameras where world and image error are both highlighted as consistently above average (lower scores are better)/have poor win rates should be investigated.</t>
  </si>
  <si>
    <r>
      <rPr>
        <b/>
        <i/>
        <sz val="11"/>
        <color theme="1"/>
        <rFont val="Calibri"/>
        <family val="2"/>
      </rPr>
      <t>Note</t>
    </r>
    <r>
      <rPr>
        <i/>
        <sz val="11"/>
        <color theme="1"/>
        <rFont val="Calibri"/>
        <family val="2"/>
      </rPr>
      <t>: camera 8 was mistakenly not included in 1st day win rate could be 1 higher</t>
    </r>
  </si>
  <si>
    <t>Mostly focused on fixing the calibration data pollution bug from sample data (camera IDs reorganised) but sweeping movements around the main volume, with markers scattered in clusters no box outline</t>
  </si>
  <si>
    <t>Temp</t>
  </si>
  <si>
    <t>WE Average</t>
  </si>
  <si>
    <t>Lowest WE</t>
  </si>
  <si>
    <t>Highest WE</t>
  </si>
  <si>
    <t>IE Average</t>
  </si>
  <si>
    <t>Lowest IE</t>
  </si>
  <si>
    <t>Highest IE</t>
  </si>
  <si>
    <t>No swish/figure 8, instead followed guidance from active wand v4 docs which suggested keeping wand away from body due to occlusion, and facing cameras. Waved in mostly large (sometimes small) circles</t>
  </si>
  <si>
    <t>THIS SHEET FOR INVALID CALIBRATION DATA ONLY</t>
  </si>
  <si>
    <t>Why is this entry removed from daily calibration data?</t>
  </si>
  <si>
    <t>After calibration modified level of the L-Frame as floor wasn't level, so this may affect volume capture in future</t>
  </si>
  <si>
    <t>People kept coming in room, interrupting calibration attempts - along with poor wand wave &amp; previous wand level modification could not set volume</t>
  </si>
  <si>
    <r>
      <t>Attempt</t>
    </r>
    <r>
      <rPr>
        <sz val="12"/>
        <color rgb="FFFFFFFF"/>
        <rFont val="Arial"/>
        <family val="2"/>
      </rPr>
      <t xml:space="preserve"> </t>
    </r>
    <r>
      <rPr>
        <sz val="10"/>
        <color rgb="FFFFFFFF"/>
        <rFont val="Arial"/>
        <family val="2"/>
      </rPr>
      <t>(Formula Key)</t>
    </r>
  </si>
  <si>
    <t>Key</t>
  </si>
  <si>
    <t>Min Wand Count Setting</t>
  </si>
  <si>
    <t>Count as Proportion</t>
  </si>
  <si>
    <t>Minor wand wave not according to technique (folding wave) but otherwise going left/right and keeping away from body. Some camera error outliers and ghost markers during floor plane calibration.</t>
  </si>
  <si>
    <t>Wand wave technique is semi-radial extended from body but facing/relative degree° equal to facing (rocking side to side drawing a semi-circle basically) with some squatting or bending down</t>
  </si>
  <si>
    <t>Wand wave technique as above</t>
  </si>
  <si>
    <t>Camera 5 not relative to rest</t>
  </si>
  <si>
    <t>Camera 4 not relative to rest</t>
  </si>
  <si>
    <t>check calibration data for camera relativity</t>
  </si>
  <si>
    <r>
      <t xml:space="preserve">Following 2 wand count errors increased auto stop min frames to 1500 and spread time more equally in volume - using technique guidance from active wand v4 (away from body, large circles, facing camera, no turning wand keep parallel to yourself, watch for objects)
</t>
    </r>
    <r>
      <rPr>
        <b/>
        <sz val="11"/>
        <color theme="1"/>
        <rFont val="Arial"/>
        <family val="2"/>
      </rPr>
      <t>Worsening world and image errors!</t>
    </r>
    <r>
      <rPr>
        <sz val="11"/>
        <color theme="1"/>
        <rFont val="Arial"/>
        <family val="2"/>
      </rPr>
      <t xml:space="preserve"> To repeat on 1-2 tests to confirm</t>
    </r>
  </si>
  <si>
    <r>
      <t>Reverted wand wave technique</t>
    </r>
    <r>
      <rPr>
        <sz val="11"/>
        <color theme="1"/>
        <rFont val="Arial"/>
        <family val="2"/>
      </rPr>
      <t xml:space="preserve"> - waving in figure 8</t>
    </r>
    <r>
      <rPr>
        <b/>
        <sz val="11"/>
        <color theme="1"/>
        <rFont val="Arial"/>
        <family val="2"/>
      </rPr>
      <t xml:space="preserve">
</t>
    </r>
    <r>
      <rPr>
        <sz val="11"/>
        <color theme="1"/>
        <rFont val="Arial"/>
        <family val="2"/>
      </rPr>
      <t>Opting to put clusters of 3 in volume corners and spacing out pairs elsewhere in centre of volume floor plane</t>
    </r>
  </si>
  <si>
    <t>ALL TIME AVERAGES</t>
  </si>
  <si>
    <t>AVERAGES FOR THIS DAY</t>
  </si>
  <si>
    <t>ALL TIME CAMERA ERRORS</t>
  </si>
  <si>
    <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</si>
</sst>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
    <numFmt numFmtId="166" formatCode="0.0\°\ \(\C\)"/>
    <numFmt numFmtId="167" formatCode="hh:mm:ss;@"/>
    <numFmt numFmtId="168" formatCode="[$-F400]h:mm:ss\ AM/PM"/>
  </numFmts>
  <fonts count="28" x14ac:knownFonts="1">
    <font>
      <sz val="11"/>
      <color theme="1"/>
      <name val="Calibri"/>
      <family val="2"/>
      <charset val="1"/>
    </font>
    <font>
      <b/>
      <sz val="14"/>
      <name val="Arial"/>
      <family val="2"/>
    </font>
    <font>
      <sz val="11"/>
      <name val="Arial"/>
      <family val="2"/>
    </font>
    <font>
      <b/>
      <sz val="11"/>
      <name val="Arial"/>
      <family val="2"/>
    </font>
    <font>
      <b/>
      <sz val="11"/>
      <color rgb="FFFFFFFF"/>
      <name val="Arial"/>
      <family val="2"/>
    </font>
    <font>
      <i/>
      <sz val="10"/>
      <color rgb="FF666666"/>
      <name val="Arial"/>
      <family val="2"/>
    </font>
    <font>
      <sz val="11"/>
      <name val="Arial"/>
      <family val="2"/>
    </font>
    <font>
      <b/>
      <sz val="11"/>
      <color rgb="FFFFFFFF"/>
      <name val="Arial"/>
      <family val="2"/>
    </font>
    <font>
      <b/>
      <sz val="12"/>
      <color rgb="FFFFFFFF"/>
      <name val="Arial"/>
      <family val="2"/>
    </font>
    <font>
      <b/>
      <sz val="10"/>
      <color rgb="FFFFFFFF"/>
      <name val="Arial"/>
      <family val="2"/>
    </font>
    <font>
      <b/>
      <sz val="11"/>
      <color theme="0"/>
      <name val="Calibri"/>
      <family val="2"/>
    </font>
    <font>
      <b/>
      <sz val="11"/>
      <color theme="1"/>
      <name val="Calibri"/>
      <family val="2"/>
    </font>
    <font>
      <b/>
      <sz val="11"/>
      <color theme="0"/>
      <name val="Arial"/>
      <family val="2"/>
    </font>
    <font>
      <b/>
      <sz val="12"/>
      <color theme="1"/>
      <name val="Calibri"/>
      <family val="2"/>
    </font>
    <font>
      <i/>
      <sz val="10"/>
      <color theme="1"/>
      <name val="Calibri"/>
      <family val="2"/>
    </font>
    <font>
      <i/>
      <sz val="11"/>
      <color theme="1"/>
      <name val="Calibri"/>
      <family val="2"/>
    </font>
    <font>
      <b/>
      <sz val="12"/>
      <name val="Arial"/>
      <family val="2"/>
    </font>
    <font>
      <b/>
      <i/>
      <sz val="11"/>
      <color theme="1"/>
      <name val="Calibri"/>
      <family val="2"/>
    </font>
    <font>
      <b/>
      <i/>
      <sz val="8"/>
      <color rgb="FFFFFF00"/>
      <name val="Calibri"/>
      <family val="2"/>
    </font>
    <font>
      <sz val="12"/>
      <color rgb="FFFFFFFF"/>
      <name val="Arial"/>
      <family val="2"/>
    </font>
    <font>
      <sz val="10"/>
      <color rgb="FFFFFFFF"/>
      <name val="Arial"/>
      <family val="2"/>
    </font>
    <font>
      <sz val="9"/>
      <color indexed="81"/>
      <name val="Tahoma"/>
      <family val="2"/>
    </font>
    <font>
      <b/>
      <sz val="9"/>
      <color indexed="81"/>
      <name val="Tahoma"/>
      <family val="2"/>
    </font>
    <font>
      <sz val="11"/>
      <color theme="1"/>
      <name val="Arial"/>
      <family val="2"/>
    </font>
    <font>
      <i/>
      <sz val="10"/>
      <color theme="1"/>
      <name val="Arial"/>
      <family val="2"/>
    </font>
    <font>
      <sz val="10"/>
      <color theme="1"/>
      <name val="Arial"/>
      <family val="2"/>
    </font>
    <font>
      <b/>
      <sz val="11"/>
      <color theme="1"/>
      <name val="Arial"/>
      <family val="2"/>
    </font>
    <font>
      <sz val="11"/>
      <color theme="0"/>
      <name val="Calibri"/>
      <family val="2"/>
      <charset val="1"/>
    </font>
  </fonts>
  <fills count="27">
    <fill>
      <patternFill patternType="none"/>
    </fill>
    <fill>
      <patternFill patternType="gray125"/>
    </fill>
    <fill>
      <patternFill patternType="solid">
        <fgColor rgb="FF1F4E78"/>
        <bgColor rgb="FF003366"/>
      </patternFill>
    </fill>
    <fill>
      <patternFill patternType="solid">
        <fgColor rgb="FFFFF9DB"/>
        <bgColor rgb="FFFFFFFF"/>
      </patternFill>
    </fill>
    <fill>
      <patternFill patternType="solid">
        <fgColor rgb="FF0A90F4"/>
        <bgColor rgb="FF003366"/>
      </patternFill>
    </fill>
    <fill>
      <patternFill patternType="solid">
        <fgColor rgb="FFFF0000"/>
        <bgColor indexed="64"/>
      </patternFill>
    </fill>
    <fill>
      <patternFill patternType="solid">
        <fgColor theme="0" tint="-0.249977111117893"/>
        <bgColor indexed="64"/>
      </patternFill>
    </fill>
    <fill>
      <patternFill patternType="solid">
        <fgColor theme="9" tint="-0.249977111117893"/>
        <bgColor rgb="FF003366"/>
      </patternFill>
    </fill>
    <fill>
      <patternFill patternType="solid">
        <fgColor theme="9" tint="0.79998168889431442"/>
        <bgColor indexed="64"/>
      </patternFill>
    </fill>
    <fill>
      <patternFill patternType="solid">
        <fgColor theme="0" tint="-4.9989318521683403E-2"/>
        <bgColor rgb="FFFFFFFF"/>
      </patternFill>
    </fill>
    <fill>
      <patternFill patternType="solid">
        <fgColor rgb="FF8BB8E1"/>
        <bgColor rgb="FF003366"/>
      </patternFill>
    </fill>
    <fill>
      <patternFill patternType="solid">
        <fgColor rgb="FFFF6161"/>
        <bgColor indexed="64"/>
      </patternFill>
    </fill>
    <fill>
      <patternFill patternType="solid">
        <fgColor rgb="FFFF6161"/>
        <bgColor rgb="FF003366"/>
      </patternFill>
    </fill>
    <fill>
      <patternFill patternType="solid">
        <fgColor rgb="FFFF0000"/>
        <bgColor rgb="FF003366"/>
      </patternFill>
    </fill>
    <fill>
      <patternFill patternType="solid">
        <fgColor rgb="FF669900"/>
        <bgColor indexed="64"/>
      </patternFill>
    </fill>
    <fill>
      <patternFill patternType="solid">
        <fgColor rgb="FF92D050"/>
        <bgColor rgb="FF003366"/>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F69240"/>
        <bgColor rgb="FF003366"/>
      </patternFill>
    </fill>
    <fill>
      <patternFill patternType="solid">
        <fgColor theme="0"/>
        <bgColor indexed="64"/>
      </patternFill>
    </fill>
    <fill>
      <patternFill patternType="solid">
        <fgColor theme="0" tint="-0.14999847407452621"/>
        <bgColor indexed="64"/>
      </patternFill>
    </fill>
    <fill>
      <patternFill patternType="solid">
        <fgColor rgb="FF669900"/>
        <bgColor rgb="FF003366"/>
      </patternFill>
    </fill>
    <fill>
      <patternFill patternType="solid">
        <fgColor theme="1"/>
        <bgColor indexed="64"/>
      </patternFill>
    </fill>
    <fill>
      <patternFill patternType="solid">
        <fgColor theme="5" tint="-0.249977111117893"/>
        <bgColor rgb="FF003366"/>
      </patternFill>
    </fill>
    <fill>
      <patternFill patternType="solid">
        <fgColor theme="9" tint="0.59999389629810485"/>
        <bgColor indexed="64"/>
      </patternFill>
    </fill>
    <fill>
      <patternFill patternType="solid">
        <fgColor theme="9" tint="-0.499984740745262"/>
        <bgColor indexed="64"/>
      </patternFill>
    </fill>
    <fill>
      <patternFill patternType="solid">
        <fgColor rgb="FFFF712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5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2" fillId="0" borderId="0" xfId="0" applyFont="1"/>
    <xf numFmtId="14" fontId="2" fillId="3" borderId="0" xfId="0" applyNumberFormat="1" applyFont="1" applyFill="1" applyAlignment="1">
      <alignment horizontal="center" vertical="center"/>
    </xf>
    <xf numFmtId="0" fontId="2" fillId="3" borderId="0" xfId="0" applyFont="1" applyFill="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0" borderId="0" xfId="0" applyFont="1" applyAlignment="1">
      <alignment horizontal="center" vertical="center"/>
    </xf>
    <xf numFmtId="3" fontId="2" fillId="0" borderId="0" xfId="0" applyNumberFormat="1" applyFont="1" applyAlignment="1">
      <alignment horizontal="center" vertical="center"/>
    </xf>
    <xf numFmtId="0" fontId="10" fillId="11" borderId="1" xfId="0" applyFont="1" applyFill="1" applyBorder="1" applyAlignment="1">
      <alignment horizontal="center" vertical="center"/>
    </xf>
    <xf numFmtId="0" fontId="0" fillId="8" borderId="5" xfId="0" applyFill="1" applyBorder="1" applyAlignment="1">
      <alignment horizontal="center" vertical="center"/>
    </xf>
    <xf numFmtId="0" fontId="0" fillId="8" borderId="4" xfId="0" applyFill="1"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8" fillId="2" borderId="6" xfId="0" applyFont="1" applyFill="1" applyBorder="1" applyAlignment="1">
      <alignment horizontal="center" vertical="center" wrapText="1"/>
    </xf>
    <xf numFmtId="164" fontId="2" fillId="3" borderId="5" xfId="0" applyNumberFormat="1" applyFont="1" applyFill="1" applyBorder="1" applyAlignment="1">
      <alignment horizontal="center" vertical="center"/>
    </xf>
    <xf numFmtId="164" fontId="2" fillId="3" borderId="4" xfId="0" applyNumberFormat="1" applyFont="1" applyFill="1" applyBorder="1" applyAlignment="1">
      <alignment horizontal="center" vertical="center"/>
    </xf>
    <xf numFmtId="0" fontId="8" fillId="2" borderId="8" xfId="0" applyFont="1" applyFill="1" applyBorder="1" applyAlignment="1">
      <alignment horizontal="center" vertical="center" wrapText="1"/>
    </xf>
    <xf numFmtId="0" fontId="2" fillId="9" borderId="9" xfId="0" applyFont="1" applyFill="1" applyBorder="1" applyAlignment="1">
      <alignment horizontal="center" vertical="center"/>
    </xf>
    <xf numFmtId="0" fontId="0" fillId="0" borderId="9" xfId="0" applyBorder="1" applyAlignment="1">
      <alignment horizontal="center" vertical="center"/>
    </xf>
    <xf numFmtId="1" fontId="0" fillId="0" borderId="5" xfId="0" applyNumberFormat="1" applyBorder="1" applyAlignment="1">
      <alignment horizontal="center" vertical="center"/>
    </xf>
    <xf numFmtId="1" fontId="0" fillId="0" borderId="4" xfId="0" applyNumberFormat="1" applyBorder="1" applyAlignment="1">
      <alignment horizontal="center" vertical="center"/>
    </xf>
    <xf numFmtId="1" fontId="2" fillId="0" borderId="5" xfId="0" applyNumberFormat="1" applyFont="1" applyBorder="1" applyAlignment="1">
      <alignment horizontal="center" vertical="center"/>
    </xf>
    <xf numFmtId="1" fontId="2" fillId="0" borderId="4" xfId="0" applyNumberFormat="1" applyFont="1" applyBorder="1" applyAlignment="1">
      <alignment horizontal="center" vertical="center"/>
    </xf>
    <xf numFmtId="1" fontId="2" fillId="0" borderId="2" xfId="0" applyNumberFormat="1" applyFont="1" applyBorder="1" applyAlignment="1">
      <alignment horizontal="center" vertical="center"/>
    </xf>
    <xf numFmtId="1" fontId="2" fillId="0" borderId="3" xfId="0" applyNumberFormat="1" applyFont="1" applyBorder="1" applyAlignment="1">
      <alignment horizontal="center"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0" fontId="0" fillId="16" borderId="0" xfId="0" applyFill="1"/>
    <xf numFmtId="14" fontId="2" fillId="0" borderId="5" xfId="0" applyNumberFormat="1" applyFont="1" applyBorder="1" applyAlignment="1">
      <alignment horizontal="center" vertical="center"/>
    </xf>
    <xf numFmtId="14" fontId="2" fillId="16" borderId="5" xfId="0" applyNumberFormat="1" applyFont="1" applyFill="1" applyBorder="1" applyAlignment="1">
      <alignment horizontal="center" vertical="center"/>
    </xf>
    <xf numFmtId="14" fontId="6" fillId="16" borderId="5" xfId="0" applyNumberFormat="1" applyFont="1" applyFill="1" applyBorder="1" applyAlignment="1">
      <alignment horizontal="center" vertical="center"/>
    </xf>
    <xf numFmtId="14" fontId="2" fillId="16" borderId="2" xfId="0" applyNumberFormat="1" applyFont="1" applyFill="1" applyBorder="1" applyAlignment="1">
      <alignment horizontal="center" vertical="center"/>
    </xf>
    <xf numFmtId="0" fontId="0" fillId="0" borderId="9" xfId="0" applyBorder="1"/>
    <xf numFmtId="0" fontId="0" fillId="0" borderId="10" xfId="0" applyBorder="1"/>
    <xf numFmtId="0" fontId="4" fillId="15" borderId="1" xfId="0" applyFont="1" applyFill="1" applyBorder="1" applyAlignment="1">
      <alignment horizontal="center" vertical="center"/>
    </xf>
    <xf numFmtId="0" fontId="0" fillId="0" borderId="0" xfId="0" applyAlignment="1">
      <alignment horizontal="center" vertical="center" wrapText="1"/>
    </xf>
    <xf numFmtId="164" fontId="6" fillId="0" borderId="0" xfId="0" applyNumberFormat="1" applyFont="1" applyAlignment="1">
      <alignment horizontal="center" vertical="center"/>
    </xf>
    <xf numFmtId="0" fontId="4" fillId="2" borderId="1" xfId="0" applyFont="1" applyFill="1" applyBorder="1" applyAlignment="1">
      <alignment horizontal="center" vertical="center"/>
    </xf>
    <xf numFmtId="165" fontId="0" fillId="0" borderId="1" xfId="0" applyNumberFormat="1" applyBorder="1" applyAlignment="1">
      <alignment horizontal="center" vertical="center"/>
    </xf>
    <xf numFmtId="165" fontId="2" fillId="0" borderId="5" xfId="0" applyNumberFormat="1" applyFont="1" applyBorder="1" applyAlignment="1">
      <alignment horizontal="center" vertical="center"/>
    </xf>
    <xf numFmtId="165" fontId="2" fillId="0" borderId="9" xfId="0" applyNumberFormat="1" applyFont="1" applyBorder="1" applyAlignment="1">
      <alignment horizontal="center" vertical="center"/>
    </xf>
    <xf numFmtId="165" fontId="2" fillId="0" borderId="2" xfId="0" applyNumberFormat="1" applyFont="1" applyBorder="1" applyAlignment="1">
      <alignment horizontal="center" vertical="center"/>
    </xf>
    <xf numFmtId="165" fontId="2" fillId="0" borderId="10" xfId="0" applyNumberFormat="1" applyFont="1" applyBorder="1" applyAlignment="1">
      <alignment horizontal="center" vertical="center"/>
    </xf>
    <xf numFmtId="0" fontId="0" fillId="16" borderId="0" xfId="0" applyFill="1" applyAlignment="1">
      <alignment horizontal="center" vertical="center"/>
    </xf>
    <xf numFmtId="0" fontId="11" fillId="16" borderId="0" xfId="0" applyFont="1" applyFill="1" applyAlignment="1">
      <alignment horizontal="left" vertical="center"/>
    </xf>
    <xf numFmtId="0" fontId="0" fillId="16" borderId="0" xfId="0" applyFill="1" applyAlignment="1">
      <alignment horizontal="left" vertical="center"/>
    </xf>
    <xf numFmtId="0" fontId="13" fillId="19" borderId="1" xfId="0" applyFont="1" applyFill="1" applyBorder="1" applyAlignment="1">
      <alignment horizontal="center" vertical="center" wrapText="1"/>
    </xf>
    <xf numFmtId="0" fontId="13" fillId="19" borderId="1" xfId="0" applyFont="1" applyFill="1" applyBorder="1" applyAlignment="1">
      <alignment horizontal="center" vertical="center"/>
    </xf>
    <xf numFmtId="0" fontId="11" fillId="19" borderId="1" xfId="0" applyFont="1" applyFill="1" applyBorder="1" applyAlignment="1">
      <alignment horizontal="center" vertical="center"/>
    </xf>
    <xf numFmtId="0" fontId="0" fillId="19" borderId="1" xfId="0" applyFill="1" applyBorder="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10" fontId="0" fillId="0" borderId="5" xfId="0" applyNumberFormat="1" applyBorder="1" applyAlignment="1">
      <alignment horizontal="center" vertical="center"/>
    </xf>
    <xf numFmtId="10" fontId="0" fillId="0" borderId="0" xfId="0" applyNumberFormat="1"/>
    <xf numFmtId="0" fontId="0" fillId="0" borderId="0" xfId="0" applyAlignment="1">
      <alignment wrapText="1"/>
    </xf>
    <xf numFmtId="0" fontId="7"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15" fillId="0" borderId="0" xfId="0" applyFont="1"/>
    <xf numFmtId="0" fontId="4" fillId="21" borderId="1"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8" fillId="13" borderId="6"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13" borderId="8" xfId="0" applyFont="1" applyFill="1" applyBorder="1" applyAlignment="1">
      <alignment horizontal="center" vertical="center" wrapText="1"/>
    </xf>
    <xf numFmtId="0" fontId="9" fillId="13" borderId="1" xfId="0" applyFont="1" applyFill="1" applyBorder="1" applyAlignment="1">
      <alignment horizontal="center" vertical="center" wrapText="1"/>
    </xf>
    <xf numFmtId="1" fontId="8" fillId="13" borderId="6" xfId="0" applyNumberFormat="1" applyFont="1" applyFill="1" applyBorder="1" applyAlignment="1">
      <alignment horizontal="center" vertical="center" wrapText="1"/>
    </xf>
    <xf numFmtId="1" fontId="2" fillId="3" borderId="0" xfId="0" applyNumberFormat="1" applyFont="1" applyFill="1" applyAlignment="1">
      <alignment horizontal="center" vertical="center"/>
    </xf>
    <xf numFmtId="1" fontId="0" fillId="0" borderId="0" xfId="0" applyNumberFormat="1" applyAlignment="1">
      <alignment horizontal="center" vertical="center"/>
    </xf>
    <xf numFmtId="1" fontId="5" fillId="0" borderId="0" xfId="0" applyNumberFormat="1" applyFont="1" applyAlignment="1">
      <alignment horizontal="center" vertical="center"/>
    </xf>
    <xf numFmtId="1" fontId="2" fillId="0" borderId="0" xfId="0" applyNumberFormat="1" applyFont="1" applyAlignment="1">
      <alignment horizontal="center" vertical="center"/>
    </xf>
    <xf numFmtId="10" fontId="2" fillId="0" borderId="0" xfId="0" applyNumberFormat="1" applyFont="1" applyAlignment="1">
      <alignment horizontal="center" vertical="center"/>
    </xf>
    <xf numFmtId="10" fontId="0" fillId="0" borderId="0" xfId="0" applyNumberFormat="1" applyAlignment="1">
      <alignment horizontal="center" vertical="center"/>
    </xf>
    <xf numFmtId="0" fontId="4" fillId="2" borderId="15" xfId="0" applyFont="1" applyFill="1" applyBorder="1" applyAlignment="1">
      <alignment horizontal="center" vertical="center" wrapText="1"/>
    </xf>
    <xf numFmtId="0" fontId="4" fillId="21" borderId="15" xfId="0" applyFont="1" applyFill="1" applyBorder="1" applyAlignment="1">
      <alignment horizontal="center" vertical="center" wrapText="1"/>
    </xf>
    <xf numFmtId="0" fontId="4" fillId="12" borderId="1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5" xfId="0" applyFont="1" applyFill="1" applyBorder="1" applyAlignment="1">
      <alignment horizontal="center" vertical="center" wrapText="1"/>
    </xf>
    <xf numFmtId="166" fontId="4" fillId="2" borderId="1" xfId="0" applyNumberFormat="1" applyFont="1" applyFill="1" applyBorder="1" applyAlignment="1">
      <alignment horizontal="center" vertical="center" wrapText="1"/>
    </xf>
    <xf numFmtId="166" fontId="4" fillId="2" borderId="15"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 fontId="4" fillId="2" borderId="15"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10" fontId="4" fillId="2" borderId="15" xfId="0" applyNumberFormat="1" applyFont="1" applyFill="1" applyBorder="1" applyAlignment="1">
      <alignment horizontal="center" vertical="center" wrapText="1"/>
    </xf>
    <xf numFmtId="0" fontId="8" fillId="7" borderId="1" xfId="0" applyFont="1" applyFill="1" applyBorder="1" applyAlignment="1">
      <alignment horizontal="center" vertical="center"/>
    </xf>
    <xf numFmtId="0" fontId="8" fillId="2"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14" fillId="20" borderId="5" xfId="0" applyFont="1" applyFill="1" applyBorder="1" applyAlignment="1">
      <alignment horizontal="center" vertical="center"/>
    </xf>
    <xf numFmtId="0" fontId="14" fillId="20" borderId="0" xfId="0" applyFont="1" applyFill="1" applyAlignment="1">
      <alignment horizontal="center" vertical="center"/>
    </xf>
    <xf numFmtId="0" fontId="14" fillId="20" borderId="4" xfId="0" applyFont="1" applyFill="1" applyBorder="1" applyAlignment="1">
      <alignment horizontal="center" vertical="center"/>
    </xf>
    <xf numFmtId="14" fontId="16" fillId="16" borderId="1" xfId="0" applyNumberFormat="1" applyFont="1" applyFill="1" applyBorder="1" applyAlignment="1">
      <alignment horizontal="center" vertical="center" wrapText="1"/>
    </xf>
    <xf numFmtId="0" fontId="12" fillId="14" borderId="6" xfId="0" applyFont="1" applyFill="1" applyBorder="1" applyAlignment="1">
      <alignment horizontal="center" vertical="center" wrapText="1"/>
    </xf>
    <xf numFmtId="0" fontId="12" fillId="14" borderId="7" xfId="0" applyFont="1" applyFill="1" applyBorder="1" applyAlignment="1">
      <alignment horizontal="center" vertical="center" wrapText="1"/>
    </xf>
    <xf numFmtId="0" fontId="14" fillId="20" borderId="1" xfId="0" applyFont="1" applyFill="1" applyBorder="1" applyAlignment="1">
      <alignment horizontal="center" vertical="center" wrapText="1"/>
    </xf>
    <xf numFmtId="0" fontId="10" fillId="17" borderId="11" xfId="0" applyFont="1" applyFill="1" applyBorder="1" applyAlignment="1">
      <alignment horizontal="center" vertical="center"/>
    </xf>
    <xf numFmtId="0" fontId="10" fillId="17" borderId="9" xfId="0" applyFont="1" applyFill="1" applyBorder="1" applyAlignment="1">
      <alignment horizontal="center" vertical="center"/>
    </xf>
    <xf numFmtId="0" fontId="7" fillId="2" borderId="0" xfId="0" applyFont="1" applyFill="1" applyAlignment="1">
      <alignment horizontal="center" vertical="center"/>
    </xf>
    <xf numFmtId="0" fontId="7" fillId="2" borderId="12" xfId="0" applyFont="1" applyFill="1" applyBorder="1" applyAlignment="1">
      <alignment horizontal="center" vertical="center"/>
    </xf>
    <xf numFmtId="0" fontId="4" fillId="13" borderId="1" xfId="0" applyFont="1" applyFill="1" applyBorder="1" applyAlignment="1">
      <alignment horizontal="center" vertical="center"/>
    </xf>
    <xf numFmtId="0" fontId="12" fillId="14" borderId="1" xfId="0" applyFont="1" applyFill="1" applyBorder="1" applyAlignment="1">
      <alignment horizontal="center" vertical="center"/>
    </xf>
    <xf numFmtId="0" fontId="7"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8" fillId="13" borderId="1" xfId="0" applyFont="1" applyFill="1" applyBorder="1" applyAlignment="1">
      <alignment horizontal="center" vertical="center"/>
    </xf>
    <xf numFmtId="0" fontId="18" fillId="22" borderId="12" xfId="0" applyFont="1" applyFill="1" applyBorder="1" applyAlignment="1">
      <alignment horizontal="center" vertical="center" wrapText="1"/>
    </xf>
    <xf numFmtId="0" fontId="18" fillId="22" borderId="3"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4" fillId="23" borderId="1" xfId="0" applyFont="1" applyFill="1" applyBorder="1" applyAlignment="1">
      <alignment horizontal="center" vertical="center" wrapText="1"/>
    </xf>
    <xf numFmtId="0" fontId="7" fillId="23"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0" xfId="0"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168" fontId="2" fillId="0" borderId="0" xfId="0" applyNumberFormat="1" applyFont="1" applyAlignment="1">
      <alignment horizontal="center" vertical="center"/>
    </xf>
    <xf numFmtId="14" fontId="23" fillId="0" borderId="0" xfId="0" applyNumberFormat="1" applyFont="1" applyAlignment="1">
      <alignment horizontal="center" vertical="center"/>
    </xf>
    <xf numFmtId="0" fontId="23" fillId="0" borderId="0" xfId="0" applyFont="1" applyAlignment="1">
      <alignment horizontal="center" vertical="center"/>
    </xf>
    <xf numFmtId="168" fontId="23" fillId="0" borderId="0" xfId="0" applyNumberFormat="1" applyFont="1" applyAlignment="1">
      <alignment horizontal="center" vertical="center"/>
    </xf>
    <xf numFmtId="166" fontId="23" fillId="0" borderId="0" xfId="0" applyNumberFormat="1" applyFont="1" applyAlignment="1">
      <alignment horizontal="center" vertical="center"/>
    </xf>
    <xf numFmtId="0" fontId="11" fillId="0" borderId="0" xfId="0" applyFont="1" applyAlignment="1">
      <alignment horizontal="center" vertical="center" wrapText="1"/>
    </xf>
    <xf numFmtId="0" fontId="12" fillId="5" borderId="1" xfId="0" applyFont="1" applyFill="1" applyBorder="1" applyAlignment="1">
      <alignment horizontal="center" vertical="center" wrapText="1"/>
    </xf>
    <xf numFmtId="0" fontId="23" fillId="0" borderId="0" xfId="0" applyFont="1"/>
    <xf numFmtId="0" fontId="12" fillId="11" borderId="1" xfId="0" applyFont="1" applyFill="1" applyBorder="1" applyAlignment="1">
      <alignment horizontal="center" vertical="center"/>
    </xf>
    <xf numFmtId="0" fontId="23" fillId="8" borderId="5" xfId="0" applyFont="1" applyFill="1" applyBorder="1" applyAlignment="1">
      <alignment horizontal="center" vertical="center"/>
    </xf>
    <xf numFmtId="0" fontId="23" fillId="8" borderId="4" xfId="0" applyFont="1" applyFill="1" applyBorder="1" applyAlignment="1">
      <alignment horizontal="center" vertical="center"/>
    </xf>
    <xf numFmtId="0" fontId="23" fillId="0" borderId="5" xfId="0" applyFont="1" applyBorder="1" applyAlignment="1">
      <alignment horizontal="center" vertical="center"/>
    </xf>
    <xf numFmtId="0" fontId="23" fillId="0" borderId="9" xfId="0" applyFont="1" applyBorder="1" applyAlignment="1">
      <alignment horizontal="center" vertical="center"/>
    </xf>
    <xf numFmtId="0" fontId="23" fillId="0" borderId="4" xfId="0" applyFont="1" applyBorder="1" applyAlignment="1">
      <alignment horizontal="center" vertical="center"/>
    </xf>
    <xf numFmtId="0" fontId="24" fillId="6" borderId="12"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23" fillId="0" borderId="1" xfId="0" applyFont="1" applyBorder="1" applyAlignment="1">
      <alignment horizontal="center" vertical="center"/>
    </xf>
    <xf numFmtId="0" fontId="4" fillId="10" borderId="15" xfId="0" applyFont="1" applyFill="1" applyBorder="1" applyAlignment="1">
      <alignment horizontal="center" vertical="center" wrapText="1"/>
    </xf>
    <xf numFmtId="0" fontId="25" fillId="0" borderId="0" xfId="0" applyFont="1" applyAlignment="1">
      <alignment horizontal="center" vertical="center" wrapText="1"/>
    </xf>
    <xf numFmtId="0" fontId="23" fillId="0" borderId="0" xfId="0" applyFont="1" applyAlignment="1">
      <alignment horizontal="center" vertical="center" wrapText="1"/>
    </xf>
    <xf numFmtId="167" fontId="23" fillId="0" borderId="0" xfId="0" applyNumberFormat="1" applyFont="1" applyAlignment="1">
      <alignment horizontal="center" vertical="center"/>
    </xf>
    <xf numFmtId="1" fontId="23" fillId="0" borderId="0" xfId="0" applyNumberFormat="1" applyFont="1" applyAlignment="1">
      <alignment horizontal="center" vertical="center"/>
    </xf>
    <xf numFmtId="10" fontId="23" fillId="0" borderId="0" xfId="0" applyNumberFormat="1" applyFont="1" applyAlignment="1">
      <alignment horizontal="center" vertical="center"/>
    </xf>
    <xf numFmtId="0" fontId="26" fillId="0" borderId="0" xfId="0" applyFont="1" applyAlignment="1">
      <alignment horizontal="center" vertical="center" wrapText="1"/>
    </xf>
    <xf numFmtId="0" fontId="0" fillId="24" borderId="1" xfId="0" applyFill="1" applyBorder="1" applyAlignment="1">
      <alignment horizontal="center" vertical="center"/>
    </xf>
    <xf numFmtId="0" fontId="27" fillId="25" borderId="1" xfId="0" applyFont="1" applyFill="1" applyBorder="1" applyAlignment="1">
      <alignment horizontal="center" vertical="center"/>
    </xf>
    <xf numFmtId="10" fontId="11" fillId="26" borderId="1" xfId="0" applyNumberFormat="1" applyFont="1" applyFill="1" applyBorder="1" applyAlignment="1">
      <alignment horizontal="center" vertical="center"/>
    </xf>
  </cellXfs>
  <cellStyles count="1">
    <cellStyle name="Normal" xfId="0" builtinId="0"/>
  </cellStyles>
  <dxfs count="32">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4F4F"/>
        </patternFill>
      </fill>
    </dxf>
    <dxf>
      <fill>
        <patternFill>
          <bgColor rgb="FFFF0000"/>
        </patternFill>
      </fill>
    </dxf>
    <dxf>
      <fill>
        <patternFill>
          <bgColor rgb="FFFF0000"/>
        </patternFill>
      </fill>
    </dxf>
    <dxf>
      <fill>
        <patternFill>
          <bgColor rgb="FF92D050"/>
        </patternFill>
      </fill>
    </dxf>
    <dxf>
      <fill>
        <patternFill>
          <bgColor rgb="FFFF4F4F"/>
        </patternFill>
      </fill>
    </dxf>
    <dxf>
      <fill>
        <patternFill>
          <bgColor rgb="FFFF9797"/>
        </patternFill>
      </fill>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sz val="10"/>
        <color rgb="FFFFFFFF"/>
        <name val="Arial"/>
        <family val="2"/>
        <scheme val="none"/>
      </font>
      <alignment horizontal="center" vertical="center" textRotation="0" wrapText="1" indent="0" justifyLastLine="0" shrinkToFit="0" readingOrder="0"/>
    </dxf>
    <dxf>
      <font>
        <strike val="0"/>
        <outline val="0"/>
        <shadow val="0"/>
        <u val="none"/>
        <vertAlign val="baseline"/>
        <name val="Arial"/>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border>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alignment horizontal="center" vertical="center" textRotation="0" wrapText="0" indent="0" justifyLastLine="0" shrinkToFit="0" readingOrder="0"/>
      <border diagonalUp="0" diagonalDown="0" outline="0">
        <left style="thin">
          <color indexed="64"/>
        </left>
      </border>
    </dxf>
    <dxf>
      <font>
        <strike val="0"/>
        <outline val="0"/>
        <shadow val="0"/>
        <u val="none"/>
        <vertAlign val="baseline"/>
        <name val="Arial"/>
        <family val="2"/>
        <scheme val="none"/>
      </font>
      <alignment horizontal="center" vertical="center" textRotation="0" wrapText="0" indent="0" justifyLastLine="0" shrinkToFit="0" readingOrder="0"/>
    </dxf>
    <dxf>
      <font>
        <strike val="0"/>
        <outline val="0"/>
        <shadow val="0"/>
        <u val="none"/>
        <vertAlign val="baseline"/>
        <name val="Arial"/>
        <family val="2"/>
        <scheme val="none"/>
      </font>
      <fill>
        <patternFill patternType="solid">
          <fgColor rgb="FFFFFFFF"/>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border>
    </dxf>
    <dxf>
      <font>
        <strike val="0"/>
        <outline val="0"/>
        <shadow val="0"/>
        <u val="none"/>
        <vertAlign val="baseline"/>
        <name val="Arial"/>
        <family val="2"/>
        <scheme val="none"/>
      </font>
      <alignment horizontal="center" vertical="center" textRotation="0" wrapText="0" indent="0" justifyLastLine="0" shrinkToFit="0" readingOrder="0"/>
    </dxf>
    <dxf>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border>
    </dxf>
    <dxf>
      <alignment horizontal="center" vertical="center" textRotation="0" wrapText="0" indent="0" justifyLastLine="0" shrinkToFit="0" readingOrder="0"/>
    </dxf>
    <dxf>
      <fill>
        <patternFill patternType="solid">
          <fgColor rgb="FFFFFFFF"/>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vertical/>
      </border>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rgb="FFFFFFFF"/>
        <name val="Arial"/>
        <scheme val="none"/>
      </font>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FFF9D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7128"/>
      <color rgb="FFFFEF9C"/>
      <color rgb="FF669900"/>
      <color rgb="FFFF6161"/>
      <color rgb="FF00D000"/>
      <color rgb="FF63BE7B"/>
      <color rgb="FFF8696B"/>
      <color rgb="FFF69240"/>
      <color rgb="FFFF9797"/>
      <color rgb="FFCDC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Selected Camera - Error Over Time</a:t>
            </a:r>
            <a:br>
              <a:rPr lang="en-GB" sz="1800" b="1" strike="noStrike" spc="-1">
                <a:solidFill>
                  <a:srgbClr val="000000"/>
                </a:solidFill>
                <a:latin typeface="Calibri"/>
              </a:rPr>
            </a:br>
            <a:r>
              <a:rPr lang="en-GB" sz="1200" b="0" i="1" strike="noStrike" spc="-1">
                <a:solidFill>
                  <a:srgbClr val="000000"/>
                </a:solidFill>
                <a:latin typeface="Calibri"/>
              </a:rPr>
              <a:t>(from Camera Error Trend)</a:t>
            </a:r>
          </a:p>
        </c:rich>
      </c:tx>
      <c:overlay val="0"/>
      <c:spPr>
        <a:noFill/>
        <a:ln w="0">
          <a:noFill/>
        </a:ln>
      </c:spPr>
    </c:title>
    <c:autoTitleDeleted val="0"/>
    <c:plotArea>
      <c:layout/>
      <c:lineChart>
        <c:grouping val="standard"/>
        <c:varyColors val="0"/>
        <c:ser>
          <c:idx val="0"/>
          <c:order val="0"/>
          <c:tx>
            <c:strRef>
              <c:f>'Camera Error Trend'!$C$4</c:f>
              <c:strCache>
                <c:ptCount val="1"/>
                <c:pt idx="0">
                  <c:v>World Error</c:v>
                </c:pt>
              </c:strCache>
            </c:strRef>
          </c:tx>
          <c:spPr>
            <a:ln w="4752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'Camera Error Trend'!$A$5:$A$60</c:f>
              <c:numCache>
                <c:formatCode>m/d/yyyy</c:formatCode>
                <c:ptCount val="55"/>
                <c:pt idx="0">
                  <c:v>46228</c:v>
                </c:pt>
                <c:pt idx="1">
                  <c:v>46230</c:v>
                </c:pt>
                <c:pt idx="2">
                  <c:v>46231</c:v>
                </c:pt>
                <c:pt idx="3">
                  <c:v>46232</c:v>
                </c:pt>
                <c:pt idx="4">
                  <c:v>46233</c:v>
                </c:pt>
                <c:pt idx="5">
                  <c:v>46234</c:v>
                </c:pt>
              </c:numCache>
            </c:numRef>
          </c:cat>
          <c:val>
            <c:numRef>
              <c:f>'Camera Error Trend'!$C$5:$C$60</c:f>
              <c:numCache>
                <c:formatCode>0.000000</c:formatCode>
                <c:ptCount val="55"/>
                <c:pt idx="0">
                  <c:v>0.62003600000000003</c:v>
                </c:pt>
                <c:pt idx="1">
                  <c:v>0.610344</c:v>
                </c:pt>
                <c:pt idx="2">
                  <c:v>0.55386500000000005</c:v>
                </c:pt>
                <c:pt idx="3">
                  <c:v>0.56917399999999996</c:v>
                </c:pt>
                <c:pt idx="4">
                  <c:v>0.45406200000000002</c:v>
                </c:pt>
                <c:pt idx="5">
                  <c:v>0.53664000000000001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numCache>
            </c:numRef>
          </c:val>
          <c:smooth val="0"/>
          <c:extLst>
            <c:ext xmlns:c16="http://schemas.microsoft.com/office/drawing/2014/chart" uri="{C3380CC4-5D6E-409C-BE32-E72D297353CC}">
              <c16:uniqueId val="{00000000-4263-4C18-B27D-4E5EBC9D822E}"/>
            </c:ext>
          </c:extLst>
        </c:ser>
        <c:ser>
          <c:idx val="1"/>
          <c:order val="1"/>
          <c:tx>
            <c:strRef>
              <c:f>'Camera Error Trend'!$D$4</c:f>
              <c:strCache>
                <c:ptCount val="1"/>
                <c:pt idx="0">
                  <c:v>Image Error</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'Camera Error Trend'!$A$5:$A$60</c:f>
              <c:numCache>
                <c:formatCode>m/d/yyyy</c:formatCode>
                <c:ptCount val="55"/>
                <c:pt idx="0">
                  <c:v>46228</c:v>
                </c:pt>
                <c:pt idx="1">
                  <c:v>46230</c:v>
                </c:pt>
                <c:pt idx="2">
                  <c:v>46231</c:v>
                </c:pt>
                <c:pt idx="3">
                  <c:v>46232</c:v>
                </c:pt>
                <c:pt idx="4">
                  <c:v>46233</c:v>
                </c:pt>
                <c:pt idx="5">
                  <c:v>46234</c:v>
                </c:pt>
              </c:numCache>
            </c:numRef>
          </c:cat>
          <c:val>
            <c:numRef>
              <c:f>'Camera Error Trend'!$D$5:$D$60</c:f>
              <c:numCache>
                <c:formatCode>0.000000</c:formatCode>
                <c:ptCount val="55"/>
                <c:pt idx="0">
                  <c:v>0.12157900000000001</c:v>
                </c:pt>
                <c:pt idx="1">
                  <c:v>0.120907</c:v>
                </c:pt>
                <c:pt idx="2">
                  <c:v>0.109685</c:v>
                </c:pt>
                <c:pt idx="3">
                  <c:v>0.112651</c:v>
                </c:pt>
                <c:pt idx="4">
                  <c:v>8.9885099999999996E-2</c:v>
                </c:pt>
                <c:pt idx="5">
                  <c:v>0.106142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numCache>
            </c:numRef>
          </c:val>
          <c:smooth val="0"/>
          <c:extLst>
            <c:ext xmlns:c16="http://schemas.microsoft.com/office/drawing/2014/chart" uri="{C3380CC4-5D6E-409C-BE32-E72D297353CC}">
              <c16:uniqueId val="{00000001-4263-4C18-B27D-4E5EBC9D822E}"/>
            </c:ext>
          </c:extLst>
        </c:ser>
        <c:dLbls>
          <c:showLegendKey val="0"/>
          <c:showVal val="0"/>
          <c:showCatName val="0"/>
          <c:showSerName val="0"/>
          <c:showPercent val="0"/>
          <c:showBubbleSize val="0"/>
        </c:dLbls>
        <c:hiLowLines>
          <c:spPr>
            <a:ln w="0">
              <a:noFill/>
            </a:ln>
          </c:spPr>
        </c:hiLowLines>
        <c:smooth val="0"/>
        <c:axId val="96563045"/>
        <c:axId val="27821446"/>
      </c:lineChart>
      <c:dateAx>
        <c:axId val="96563045"/>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821446"/>
        <c:crosses val="autoZero"/>
        <c:auto val="1"/>
        <c:lblOffset val="100"/>
        <c:baseTimeUnit val="days"/>
      </c:dateAx>
      <c:valAx>
        <c:axId val="2782144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Error</a:t>
                </a:r>
              </a:p>
            </c:rich>
          </c:tx>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30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Calibration</a:t>
            </a:r>
            <a:r>
              <a:rPr lang="en-GB" sz="1800" b="1" strike="noStrike" spc="-1" baseline="0">
                <a:solidFill>
                  <a:srgbClr val="000000"/>
                </a:solidFill>
                <a:latin typeface="Calibri"/>
              </a:rPr>
              <a:t> </a:t>
            </a:r>
            <a:r>
              <a:rPr lang="en-GB" sz="1800" b="1" strike="noStrike" spc="-1">
                <a:solidFill>
                  <a:srgbClr val="000000"/>
                </a:solidFill>
                <a:latin typeface="Calibri"/>
              </a:rPr>
              <a:t>Across All Cameras, by Day</a:t>
            </a:r>
            <a:br>
              <a:rPr lang="en-GB" sz="1800" b="1" strike="noStrike" spc="-1">
                <a:solidFill>
                  <a:srgbClr val="000000"/>
                </a:solidFill>
                <a:latin typeface="Calibri"/>
              </a:rPr>
            </a:br>
            <a:r>
              <a:rPr lang="en-GB" sz="1200" b="0" i="1" strike="noStrike" spc="-1">
                <a:solidFill>
                  <a:srgbClr val="000000"/>
                </a:solidFill>
                <a:latin typeface="Calibri"/>
              </a:rPr>
              <a:t>(from Daily Summary)</a:t>
            </a:r>
          </a:p>
        </c:rich>
      </c:tx>
      <c:overlay val="0"/>
      <c:spPr>
        <a:noFill/>
        <a:ln w="0">
          <a:noFill/>
        </a:ln>
      </c:spPr>
    </c:title>
    <c:autoTitleDeleted val="0"/>
    <c:plotArea>
      <c:layout/>
      <c:lineChart>
        <c:grouping val="standard"/>
        <c:varyColors val="0"/>
        <c:ser>
          <c:idx val="0"/>
          <c:order val="0"/>
          <c:tx>
            <c:strRef>
              <c:f>'Daily Summary'!$H$2</c:f>
              <c:strCache>
                <c:ptCount val="1"/>
                <c:pt idx="0">
                  <c:v>WE Average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'Daily Summary'!$A$3:$A$8</c:f>
              <c:numCache>
                <c:formatCode>m/d/yyyy</c:formatCode>
                <c:ptCount val="5"/>
                <c:pt idx="0">
                  <c:v>46228</c:v>
                </c:pt>
                <c:pt idx="1">
                  <c:v>46230</c:v>
                </c:pt>
                <c:pt idx="2">
                  <c:v>46231</c:v>
                </c:pt>
                <c:pt idx="3">
                  <c:v>46232</c:v>
                </c:pt>
                <c:pt idx="4">
                  <c:v>46233</c:v>
                </c:pt>
              </c:numCache>
            </c:numRef>
          </c:cat>
          <c:val>
            <c:numRef>
              <c:f>'Daily Summary'!$H$3:$H$57</c:f>
              <c:numCache>
                <c:formatCode>0.000000</c:formatCode>
                <c:ptCount val="54"/>
                <c:pt idx="0">
                  <c:v>0.3911837647058824</c:v>
                </c:pt>
                <c:pt idx="1">
                  <c:v>0.3804177222222222</c:v>
                </c:pt>
                <c:pt idx="2">
                  <c:v>0.3508782777777778</c:v>
                </c:pt>
                <c:pt idx="3">
                  <c:v>0.36980916666666658</c:v>
                </c:pt>
                <c:pt idx="4">
                  <c:v>0.32767977777777779</c:v>
                </c:pt>
                <c:pt idx="5">
                  <c:v>0.39170800000000006</c:v>
                </c:pt>
                <c:pt idx="6">
                  <c:v>0.5529641111111111</c:v>
                </c:pt>
                <c:pt idx="7">
                  <c:v>0.37600283333333329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val>
          <c:smooth val="0"/>
          <c:extLst>
            <c:ext xmlns:c16="http://schemas.microsoft.com/office/drawing/2014/chart" uri="{C3380CC4-5D6E-409C-BE32-E72D297353CC}">
              <c16:uniqueId val="{00000000-61CB-403B-9C9E-64C59F521EE9}"/>
            </c:ext>
          </c:extLst>
        </c:ser>
        <c:ser>
          <c:idx val="1"/>
          <c:order val="1"/>
          <c:tx>
            <c:strRef>
              <c:f>'Daily Summary'!$K$2</c:f>
              <c:strCache>
                <c:ptCount val="1"/>
                <c:pt idx="0">
                  <c:v>IE Average</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'Daily Summary'!$A$3:$A$8</c:f>
              <c:numCache>
                <c:formatCode>m/d/yyyy</c:formatCode>
                <c:ptCount val="5"/>
                <c:pt idx="0">
                  <c:v>46228</c:v>
                </c:pt>
                <c:pt idx="1">
                  <c:v>46230</c:v>
                </c:pt>
                <c:pt idx="2">
                  <c:v>46231</c:v>
                </c:pt>
                <c:pt idx="3">
                  <c:v>46232</c:v>
                </c:pt>
                <c:pt idx="4">
                  <c:v>46233</c:v>
                </c:pt>
              </c:numCache>
            </c:numRef>
          </c:cat>
          <c:val>
            <c:numRef>
              <c:f>'Daily Summary'!$K$3:$K$57</c:f>
              <c:numCache>
                <c:formatCode>0.000000</c:formatCode>
                <c:ptCount val="54"/>
                <c:pt idx="0">
                  <c:v>9.2278499999999999E-2</c:v>
                </c:pt>
                <c:pt idx="1">
                  <c:v>9.1966633333333339E-2</c:v>
                </c:pt>
                <c:pt idx="2">
                  <c:v>8.4730411111111126E-2</c:v>
                </c:pt>
                <c:pt idx="3">
                  <c:v>8.8881683333333336E-2</c:v>
                </c:pt>
                <c:pt idx="4">
                  <c:v>7.9198327777777758E-2</c:v>
                </c:pt>
                <c:pt idx="5">
                  <c:v>9.6186149999999998E-2</c:v>
                </c:pt>
                <c:pt idx="6">
                  <c:v>0.12669717222222221</c:v>
                </c:pt>
                <c:pt idx="7">
                  <c:v>9.034650000000001E-2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val>
          <c:smooth val="0"/>
          <c:extLst>
            <c:ext xmlns:c16="http://schemas.microsoft.com/office/drawing/2014/chart" uri="{C3380CC4-5D6E-409C-BE32-E72D297353CC}">
              <c16:uniqueId val="{00000001-61CB-403B-9C9E-64C59F521EE9}"/>
            </c:ext>
          </c:extLst>
        </c:ser>
        <c:dLbls>
          <c:showLegendKey val="0"/>
          <c:showVal val="0"/>
          <c:showCatName val="0"/>
          <c:showSerName val="0"/>
          <c:showPercent val="0"/>
          <c:showBubbleSize val="0"/>
        </c:dLbls>
        <c:hiLowLines>
          <c:spPr>
            <a:ln w="0">
              <a:noFill/>
            </a:ln>
          </c:spPr>
        </c:hiLowLines>
        <c:marker val="1"/>
        <c:smooth val="0"/>
        <c:axId val="49816524"/>
        <c:axId val="23224881"/>
      </c:lineChart>
      <c:lineChart>
        <c:grouping val="standard"/>
        <c:varyColors val="0"/>
        <c:ser>
          <c:idx val="2"/>
          <c:order val="2"/>
          <c:tx>
            <c:strRef>
              <c:f>'Daily Summary'!$G$1:$G$2</c:f>
              <c:strCache>
                <c:ptCount val="2"/>
                <c:pt idx="0">
                  <c:v>Count as Proportion</c:v>
                </c:pt>
              </c:strCache>
            </c:strRef>
          </c:tx>
          <c:spPr>
            <a:ln>
              <a:solidFill>
                <a:schemeClr val="accent6">
                  <a:lumMod val="60000"/>
                  <a:lumOff val="40000"/>
                </a:schemeClr>
              </a:solidFill>
            </a:ln>
          </c:spPr>
          <c:marker>
            <c:symbol val="none"/>
          </c:marker>
          <c:cat>
            <c:numRef>
              <c:f>'Daily Summary'!$A$3:$A$8</c:f>
              <c:numCache>
                <c:formatCode>m/d/yyyy</c:formatCode>
                <c:ptCount val="5"/>
                <c:pt idx="0">
                  <c:v>46228</c:v>
                </c:pt>
                <c:pt idx="1">
                  <c:v>46230</c:v>
                </c:pt>
                <c:pt idx="2">
                  <c:v>46231</c:v>
                </c:pt>
                <c:pt idx="3">
                  <c:v>46232</c:v>
                </c:pt>
                <c:pt idx="4">
                  <c:v>46233</c:v>
                </c:pt>
              </c:numCache>
            </c:numRef>
          </c:cat>
          <c:val>
            <c:numRef>
              <c:f>'Daily Summary'!$G$3:$G$8</c:f>
              <c:numCache>
                <c:formatCode>0.00%</c:formatCode>
                <c:ptCount val="5"/>
                <c:pt idx="0">
                  <c:v>2.0454117647058823</c:v>
                </c:pt>
                <c:pt idx="1">
                  <c:v>1.5828333333333333</c:v>
                </c:pt>
                <c:pt idx="2">
                  <c:v>1.8330555555555557</c:v>
                </c:pt>
                <c:pt idx="3">
                  <c:v>2.0142222222222221</c:v>
                </c:pt>
                <c:pt idx="4">
                  <c:v>1.9315555555555557</c:v>
                </c:pt>
              </c:numCache>
            </c:numRef>
          </c:val>
          <c:smooth val="0"/>
          <c:extLst>
            <c:ext xmlns:c16="http://schemas.microsoft.com/office/drawing/2014/chart" uri="{C3380CC4-5D6E-409C-BE32-E72D297353CC}">
              <c16:uniqueId val="{00000001-6C79-441D-B46B-1A434A62148E}"/>
            </c:ext>
          </c:extLst>
        </c:ser>
        <c:dLbls>
          <c:showLegendKey val="0"/>
          <c:showVal val="0"/>
          <c:showCatName val="0"/>
          <c:showSerName val="0"/>
          <c:showPercent val="0"/>
          <c:showBubbleSize val="0"/>
        </c:dLbls>
        <c:marker val="1"/>
        <c:smooth val="0"/>
        <c:axId val="43560800"/>
        <c:axId val="43544000"/>
      </c:lineChart>
      <c:dateAx>
        <c:axId val="49816524"/>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224881"/>
        <c:crosses val="autoZero"/>
        <c:auto val="1"/>
        <c:lblOffset val="100"/>
        <c:baseTimeUnit val="days"/>
      </c:dateAx>
      <c:valAx>
        <c:axId val="232248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Error</a:t>
                </a:r>
              </a:p>
            </c:rich>
          </c:tx>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816524"/>
        <c:crosses val="autoZero"/>
        <c:crossBetween val="between"/>
      </c:valAx>
      <c:valAx>
        <c:axId val="43544000"/>
        <c:scaling>
          <c:orientation val="minMax"/>
        </c:scaling>
        <c:delete val="0"/>
        <c:axPos val="r"/>
        <c:numFmt formatCode="0.00%" sourceLinked="1"/>
        <c:majorTickMark val="out"/>
        <c:minorTickMark val="none"/>
        <c:tickLblPos val="nextTo"/>
        <c:crossAx val="43560800"/>
        <c:crosses val="max"/>
        <c:crossBetween val="between"/>
      </c:valAx>
      <c:dateAx>
        <c:axId val="43560800"/>
        <c:scaling>
          <c:orientation val="minMax"/>
        </c:scaling>
        <c:delete val="1"/>
        <c:axPos val="b"/>
        <c:numFmt formatCode="m/d/yyyy" sourceLinked="1"/>
        <c:majorTickMark val="out"/>
        <c:minorTickMark val="none"/>
        <c:tickLblPos val="nextTo"/>
        <c:crossAx val="43544000"/>
        <c:crosses val="autoZero"/>
        <c:auto val="1"/>
        <c:lblOffset val="100"/>
        <c:baseTimeUnit val="days"/>
      </c:dateAx>
      <c:spPr>
        <a:noFill/>
        <a:ln w="0">
          <a:noFill/>
        </a:ln>
      </c:spPr>
    </c:plotArea>
    <c:legend>
      <c:legendPos val="r"/>
      <c:layout>
        <c:manualLayout>
          <c:xMode val="edge"/>
          <c:yMode val="edge"/>
          <c:x val="0.81824340774514037"/>
          <c:y val="2.1204956320517398E-2"/>
          <c:w val="0.16830455970715538"/>
          <c:h val="0.263992836133842"/>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95124</xdr:colOff>
      <xdr:row>4</xdr:row>
      <xdr:rowOff>50665</xdr:rowOff>
    </xdr:from>
    <xdr:to>
      <xdr:col>13</xdr:col>
      <xdr:colOff>406852</xdr:colOff>
      <xdr:row>19</xdr:row>
      <xdr:rowOff>75919</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95125</xdr:colOff>
      <xdr:row>19</xdr:row>
      <xdr:rowOff>178259</xdr:rowOff>
    </xdr:from>
    <xdr:to>
      <xdr:col>13</xdr:col>
      <xdr:colOff>406851</xdr:colOff>
      <xdr:row>34</xdr:row>
      <xdr:rowOff>44823</xdr:rowOff>
    </xdr:to>
    <xdr:graphicFrame macro="">
      <xdr:nvGraphicFramePr>
        <xdr:cNvPr id="3" name="Chart 2">
          <a:extLst>
            <a:ext uri="{FF2B5EF4-FFF2-40B4-BE49-F238E27FC236}">
              <a16:creationId xmlns:a16="http://schemas.microsoft.com/office/drawing/2014/main" id="{A8A6B187-103A-4109-9A28-04DDD8683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librationLog" displayName="CalibrationLog" ref="A2:F229" totalsRowShown="0" headerRowDxfId="17" dataDxfId="16">
  <autoFilter ref="A2:F229" xr:uid="{00000000-0009-0000-0100-000001000000}"/>
  <tableColumns count="6">
    <tableColumn id="1" xr3:uid="{00000000-0010-0000-0000-000001000000}" name="Date" dataDxfId="23"/>
    <tableColumn id="2" xr3:uid="{00000000-0010-0000-0000-000002000000}" name="Camera" dataDxfId="22"/>
    <tableColumn id="3" xr3:uid="{00000000-0010-0000-0000-000003000000}" name="Wand Count" dataDxfId="21"/>
    <tableColumn id="4" xr3:uid="{00000000-0010-0000-0000-000004000000}" name="World Error" dataDxfId="20"/>
    <tableColumn id="5" xr3:uid="{00000000-0010-0000-0000-000005000000}" name="Image Error" dataDxfId="19"/>
    <tableColumn id="6" xr3:uid="{F2EEE9A3-6808-4A55-87D5-1A79EE123A0F}" name="World Error (Avg.)" dataDxfId="18">
      <calculatedColumnFormula>_xlfn.XLOOKUP(CalibrationLog[[#This Row],[Date]], 'Daily Summary'!A:A, 'Daily Summary'!H:H, "n/a")</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A93095-3E9E-4B8A-B90D-1F29E23012BE}" name="CalibrationLog3" displayName="CalibrationLog3" ref="B2:G158" totalsRowShown="0" headerRowDxfId="31" dataDxfId="30">
  <autoFilter ref="B2:G158" xr:uid="{00000000-0009-0000-0100-000001000000}"/>
  <tableColumns count="6">
    <tableColumn id="1" xr3:uid="{51B67423-B1B1-4A16-BBCC-834944FAE191}" name="Date" dataDxfId="29"/>
    <tableColumn id="2" xr3:uid="{FABEBB3C-66EB-4956-95C9-CBB40C9E32E4}" name="Camera" dataDxfId="28"/>
    <tableColumn id="3" xr3:uid="{766E62E6-E8D6-460F-BDF5-449F20A2F47C}" name="Wand Count" dataDxfId="27"/>
    <tableColumn id="4" xr3:uid="{132E3B4C-B94B-4FD9-BB91-C8476EF47049}" name="World Error" dataDxfId="26"/>
    <tableColumn id="5" xr3:uid="{9AE105E3-C1BC-4C8A-A3F2-7EACB47F9196}" name="Image Error" dataDxfId="25"/>
    <tableColumn id="6" xr3:uid="{0CE6588A-9807-4091-8B8E-16270637A441}" name="World Error (Avg.)" dataDxfId="24">
      <calculatedColumnFormula>IFERROR(AVERAGEIFS($E:$E,$B:$B,$B3, $A:$A, $A3),"")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showGridLines="0" zoomScaleNormal="100" workbookViewId="0"/>
  </sheetViews>
  <sheetFormatPr defaultColWidth="8.6640625" defaultRowHeight="14.4" x14ac:dyDescent="0.3"/>
  <cols>
    <col min="1" max="1" width="100" customWidth="1"/>
  </cols>
  <sheetData>
    <row r="1" spans="1:1" ht="17.399999999999999" x14ac:dyDescent="0.3">
      <c r="A1" s="1" t="s">
        <v>0</v>
      </c>
    </row>
    <row r="2" spans="1:1" x14ac:dyDescent="0.3">
      <c r="A2" s="2"/>
    </row>
    <row r="3" spans="1:1" x14ac:dyDescent="0.3">
      <c r="A3" s="3" t="s">
        <v>1</v>
      </c>
    </row>
    <row r="4" spans="1:1" ht="27.6" x14ac:dyDescent="0.3">
      <c r="A4" s="2" t="s">
        <v>2</v>
      </c>
    </row>
    <row r="5" spans="1:1" x14ac:dyDescent="0.3">
      <c r="A5" s="2" t="s">
        <v>3</v>
      </c>
    </row>
    <row r="6" spans="1:1" x14ac:dyDescent="0.3">
      <c r="A6" s="2" t="s">
        <v>4</v>
      </c>
    </row>
    <row r="7" spans="1:1" x14ac:dyDescent="0.3">
      <c r="A7" s="2"/>
    </row>
    <row r="8" spans="1:1" x14ac:dyDescent="0.3">
      <c r="A8" s="3" t="s">
        <v>5</v>
      </c>
    </row>
    <row r="9" spans="1:1" ht="41.4" x14ac:dyDescent="0.3">
      <c r="A9" s="2" t="s">
        <v>6</v>
      </c>
    </row>
    <row r="10" spans="1:1" x14ac:dyDescent="0.3">
      <c r="A10" s="2" t="s">
        <v>7</v>
      </c>
    </row>
    <row r="11" spans="1:1" x14ac:dyDescent="0.3">
      <c r="A11" s="2"/>
    </row>
    <row r="12" spans="1:1" x14ac:dyDescent="0.3">
      <c r="A12" s="3" t="s">
        <v>8</v>
      </c>
    </row>
    <row r="13" spans="1:1" ht="27.6" x14ac:dyDescent="0.3">
      <c r="A13" s="2" t="s">
        <v>9</v>
      </c>
    </row>
    <row r="14" spans="1:1" x14ac:dyDescent="0.3">
      <c r="A14" s="2"/>
    </row>
    <row r="15" spans="1:1" x14ac:dyDescent="0.3">
      <c r="A15" s="3" t="s">
        <v>10</v>
      </c>
    </row>
    <row r="16" spans="1:1" ht="27.6" x14ac:dyDescent="0.3">
      <c r="A16" s="2" t="s">
        <v>11</v>
      </c>
    </row>
    <row r="17" spans="1:1" x14ac:dyDescent="0.3">
      <c r="A17" s="2"/>
    </row>
    <row r="18" spans="1:1" ht="27.6" x14ac:dyDescent="0.3">
      <c r="A18" s="3"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zoomScaleNormal="100" workbookViewId="0">
      <selection activeCell="A9" sqref="A9"/>
    </sheetView>
  </sheetViews>
  <sheetFormatPr defaultColWidth="8.6640625" defaultRowHeight="14.4" x14ac:dyDescent="0.3"/>
  <cols>
    <col min="1" max="1" width="18" customWidth="1"/>
  </cols>
  <sheetData>
    <row r="1" spans="1:1" x14ac:dyDescent="0.3">
      <c r="A1" s="4" t="s">
        <v>13</v>
      </c>
    </row>
    <row r="2" spans="1:1" x14ac:dyDescent="0.3">
      <c r="A2" s="5" t="s">
        <v>14</v>
      </c>
    </row>
    <row r="3" spans="1:1" x14ac:dyDescent="0.3">
      <c r="A3" s="5" t="s">
        <v>15</v>
      </c>
    </row>
    <row r="4" spans="1:1" x14ac:dyDescent="0.3">
      <c r="A4" s="5" t="s">
        <v>16</v>
      </c>
    </row>
    <row r="5" spans="1:1" x14ac:dyDescent="0.3">
      <c r="A5" s="5" t="s">
        <v>17</v>
      </c>
    </row>
    <row r="6" spans="1:1" x14ac:dyDescent="0.3">
      <c r="A6" s="5" t="s">
        <v>18</v>
      </c>
    </row>
    <row r="7" spans="1:1" x14ac:dyDescent="0.3">
      <c r="A7" s="5" t="s">
        <v>19</v>
      </c>
    </row>
    <row r="8" spans="1:1" x14ac:dyDescent="0.3">
      <c r="A8" s="5" t="s">
        <v>20</v>
      </c>
    </row>
    <row r="9" spans="1:1" x14ac:dyDescent="0.3">
      <c r="A9" s="5" t="s">
        <v>46</v>
      </c>
    </row>
    <row r="10" spans="1:1" x14ac:dyDescent="0.3">
      <c r="A10" s="5" t="s">
        <v>21</v>
      </c>
    </row>
    <row r="11" spans="1:1" x14ac:dyDescent="0.3">
      <c r="A11" s="5" t="s">
        <v>22</v>
      </c>
    </row>
    <row r="12" spans="1:1" x14ac:dyDescent="0.3">
      <c r="A12" s="5" t="s">
        <v>23</v>
      </c>
    </row>
    <row r="13" spans="1:1" x14ac:dyDescent="0.3">
      <c r="A13" s="5" t="s">
        <v>24</v>
      </c>
    </row>
    <row r="14" spans="1:1" x14ac:dyDescent="0.3">
      <c r="A14" s="5" t="s">
        <v>25</v>
      </c>
    </row>
    <row r="15" spans="1:1" x14ac:dyDescent="0.3">
      <c r="A15" s="5" t="s">
        <v>26</v>
      </c>
    </row>
    <row r="16" spans="1:1" x14ac:dyDescent="0.3">
      <c r="A16" s="5" t="s">
        <v>27</v>
      </c>
    </row>
    <row r="17" spans="1:1" x14ac:dyDescent="0.3">
      <c r="A17" s="5" t="s">
        <v>28</v>
      </c>
    </row>
    <row r="18" spans="1:1" x14ac:dyDescent="0.3">
      <c r="A18" s="5" t="s">
        <v>29</v>
      </c>
    </row>
    <row r="19" spans="1:1" x14ac:dyDescent="0.3">
      <c r="A19" s="5" t="s">
        <v>30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7B62-9DB4-4B3C-B240-3C03C9AF5852}">
  <sheetPr>
    <tabColor theme="9" tint="-0.249977111117893"/>
  </sheetPr>
  <dimension ref="A1:G25"/>
  <sheetViews>
    <sheetView workbookViewId="0">
      <selection activeCell="G14" sqref="G14"/>
    </sheetView>
  </sheetViews>
  <sheetFormatPr defaultColWidth="0" defaultRowHeight="14.4" zeroHeight="1" x14ac:dyDescent="0.3"/>
  <cols>
    <col min="1" max="1" width="8.88671875" customWidth="1"/>
    <col min="2" max="5" width="20.44140625" style="9" customWidth="1"/>
    <col min="6" max="6" width="8.88671875" customWidth="1"/>
    <col min="7" max="7" width="27.44140625" customWidth="1"/>
    <col min="8" max="16384" width="8.88671875" hidden="1"/>
  </cols>
  <sheetData>
    <row r="1" spans="1:7" x14ac:dyDescent="0.3">
      <c r="A1" s="36"/>
      <c r="B1" s="52"/>
      <c r="C1" s="52"/>
      <c r="D1" s="52"/>
      <c r="E1" s="52"/>
      <c r="F1" s="36"/>
      <c r="G1" s="36"/>
    </row>
    <row r="2" spans="1:7" x14ac:dyDescent="0.3">
      <c r="A2" s="36"/>
      <c r="B2" s="53" t="s">
        <v>49</v>
      </c>
      <c r="C2" s="52"/>
      <c r="D2" s="52"/>
      <c r="E2" s="52"/>
      <c r="F2" s="36"/>
      <c r="G2" s="36"/>
    </row>
    <row r="3" spans="1:7" x14ac:dyDescent="0.3">
      <c r="A3" s="36"/>
      <c r="B3" s="54" t="s">
        <v>48</v>
      </c>
      <c r="C3" s="52"/>
      <c r="D3" s="52"/>
      <c r="E3" s="52"/>
      <c r="F3" s="36"/>
      <c r="G3" s="36"/>
    </row>
    <row r="4" spans="1:7" x14ac:dyDescent="0.3">
      <c r="A4" s="36"/>
      <c r="B4" s="52"/>
      <c r="C4" s="52"/>
      <c r="D4" s="52"/>
      <c r="E4" s="52"/>
      <c r="F4" s="36"/>
      <c r="G4" s="36"/>
    </row>
    <row r="5" spans="1:7" ht="15.6" x14ac:dyDescent="0.3">
      <c r="A5" s="36"/>
      <c r="B5" s="55" t="s">
        <v>51</v>
      </c>
      <c r="C5" s="55" t="s">
        <v>53</v>
      </c>
      <c r="D5" s="55" t="s">
        <v>52</v>
      </c>
      <c r="E5" s="56" t="s">
        <v>50</v>
      </c>
      <c r="F5" s="36"/>
      <c r="G5" s="36"/>
    </row>
    <row r="6" spans="1:7" x14ac:dyDescent="0.3">
      <c r="A6" s="36"/>
      <c r="B6" s="57" t="s">
        <v>14</v>
      </c>
      <c r="C6" s="58">
        <v>1</v>
      </c>
      <c r="D6" s="58">
        <v>1</v>
      </c>
      <c r="E6" s="58" t="str">
        <f>IF(C6=D6, "Yes", "No")</f>
        <v>Yes</v>
      </c>
      <c r="F6" s="36"/>
      <c r="G6" s="36"/>
    </row>
    <row r="7" spans="1:7" x14ac:dyDescent="0.3">
      <c r="A7" s="36"/>
      <c r="B7" s="57" t="s">
        <v>15</v>
      </c>
      <c r="C7" s="58">
        <v>2</v>
      </c>
      <c r="D7" s="58">
        <v>2</v>
      </c>
      <c r="E7" s="58" t="str">
        <f t="shared" ref="E7:E23" si="0">IF(C7=D7, "Yes", "No")</f>
        <v>Yes</v>
      </c>
      <c r="F7" s="36"/>
      <c r="G7" s="36"/>
    </row>
    <row r="8" spans="1:7" x14ac:dyDescent="0.3">
      <c r="A8" s="36"/>
      <c r="B8" s="57" t="s">
        <v>16</v>
      </c>
      <c r="C8" s="58">
        <v>3</v>
      </c>
      <c r="D8" s="58">
        <v>4</v>
      </c>
      <c r="E8" s="58" t="str">
        <f t="shared" si="0"/>
        <v>No</v>
      </c>
      <c r="F8" s="36"/>
      <c r="G8" s="36"/>
    </row>
    <row r="9" spans="1:7" x14ac:dyDescent="0.3">
      <c r="A9" s="36"/>
      <c r="B9" s="57" t="s">
        <v>17</v>
      </c>
      <c r="C9" s="58">
        <v>4</v>
      </c>
      <c r="D9" s="58">
        <v>18</v>
      </c>
      <c r="E9" s="58" t="str">
        <f t="shared" si="0"/>
        <v>No</v>
      </c>
      <c r="F9" s="36"/>
      <c r="G9" s="36"/>
    </row>
    <row r="10" spans="1:7" x14ac:dyDescent="0.3">
      <c r="A10" s="36"/>
      <c r="B10" s="57" t="s">
        <v>18</v>
      </c>
      <c r="C10" s="58">
        <v>5</v>
      </c>
      <c r="D10" s="58">
        <v>5</v>
      </c>
      <c r="E10" s="58" t="str">
        <f t="shared" si="0"/>
        <v>Yes</v>
      </c>
      <c r="F10" s="36"/>
      <c r="G10" s="36"/>
    </row>
    <row r="11" spans="1:7" x14ac:dyDescent="0.3">
      <c r="A11" s="36"/>
      <c r="B11" s="57" t="s">
        <v>19</v>
      </c>
      <c r="C11" s="58">
        <v>6</v>
      </c>
      <c r="D11" s="58">
        <v>6</v>
      </c>
      <c r="E11" s="58" t="str">
        <f t="shared" si="0"/>
        <v>Yes</v>
      </c>
      <c r="F11" s="36"/>
      <c r="G11" s="36"/>
    </row>
    <row r="12" spans="1:7" x14ac:dyDescent="0.3">
      <c r="A12" s="36"/>
      <c r="B12" s="57" t="s">
        <v>20</v>
      </c>
      <c r="C12" s="58">
        <v>7</v>
      </c>
      <c r="D12" s="58">
        <v>7</v>
      </c>
      <c r="E12" s="58" t="str">
        <f t="shared" si="0"/>
        <v>Yes</v>
      </c>
      <c r="F12" s="36"/>
      <c r="G12" s="36"/>
    </row>
    <row r="13" spans="1:7" x14ac:dyDescent="0.3">
      <c r="A13" s="36"/>
      <c r="B13" s="57" t="s">
        <v>46</v>
      </c>
      <c r="C13" s="58">
        <v>8</v>
      </c>
      <c r="D13" s="58">
        <v>8</v>
      </c>
      <c r="E13" s="58" t="str">
        <f t="shared" si="0"/>
        <v>Yes</v>
      </c>
      <c r="F13" s="36"/>
      <c r="G13" s="36"/>
    </row>
    <row r="14" spans="1:7" x14ac:dyDescent="0.3">
      <c r="A14" s="36"/>
      <c r="B14" s="57" t="s">
        <v>21</v>
      </c>
      <c r="C14" s="58">
        <v>9</v>
      </c>
      <c r="D14" s="58">
        <v>14</v>
      </c>
      <c r="E14" s="58" t="str">
        <f t="shared" si="0"/>
        <v>No</v>
      </c>
      <c r="F14" s="36"/>
      <c r="G14" s="36"/>
    </row>
    <row r="15" spans="1:7" x14ac:dyDescent="0.3">
      <c r="A15" s="36"/>
      <c r="B15" s="57" t="s">
        <v>22</v>
      </c>
      <c r="C15" s="58">
        <v>10</v>
      </c>
      <c r="D15" s="58">
        <v>10</v>
      </c>
      <c r="E15" s="58" t="str">
        <f t="shared" si="0"/>
        <v>Yes</v>
      </c>
      <c r="F15" s="36"/>
      <c r="G15" s="36"/>
    </row>
    <row r="16" spans="1:7" x14ac:dyDescent="0.3">
      <c r="A16" s="36"/>
      <c r="B16" s="57" t="s">
        <v>23</v>
      </c>
      <c r="C16" s="58">
        <v>11</v>
      </c>
      <c r="D16" s="58">
        <v>11</v>
      </c>
      <c r="E16" s="58" t="str">
        <f t="shared" si="0"/>
        <v>Yes</v>
      </c>
      <c r="F16" s="36"/>
      <c r="G16" s="36"/>
    </row>
    <row r="17" spans="1:7" x14ac:dyDescent="0.3">
      <c r="A17" s="36"/>
      <c r="B17" s="57" t="s">
        <v>24</v>
      </c>
      <c r="C17" s="58">
        <v>12</v>
      </c>
      <c r="D17" s="58">
        <v>12</v>
      </c>
      <c r="E17" s="58" t="str">
        <f t="shared" si="0"/>
        <v>Yes</v>
      </c>
      <c r="F17" s="36"/>
      <c r="G17" s="36"/>
    </row>
    <row r="18" spans="1:7" x14ac:dyDescent="0.3">
      <c r="A18" s="36"/>
      <c r="B18" s="57" t="s">
        <v>25</v>
      </c>
      <c r="C18" s="58">
        <v>13</v>
      </c>
      <c r="D18" s="58">
        <v>13</v>
      </c>
      <c r="E18" s="58" t="str">
        <f t="shared" si="0"/>
        <v>Yes</v>
      </c>
      <c r="F18" s="36"/>
      <c r="G18" s="36"/>
    </row>
    <row r="19" spans="1:7" x14ac:dyDescent="0.3">
      <c r="A19" s="36"/>
      <c r="B19" s="57" t="s">
        <v>26</v>
      </c>
      <c r="C19" s="58">
        <v>14</v>
      </c>
      <c r="D19" s="58">
        <v>14</v>
      </c>
      <c r="E19" s="58" t="str">
        <f t="shared" si="0"/>
        <v>Yes</v>
      </c>
      <c r="F19" s="36"/>
      <c r="G19" s="36"/>
    </row>
    <row r="20" spans="1:7" x14ac:dyDescent="0.3">
      <c r="A20" s="36"/>
      <c r="B20" s="57" t="s">
        <v>27</v>
      </c>
      <c r="C20" s="58">
        <v>15</v>
      </c>
      <c r="D20" s="58">
        <v>15</v>
      </c>
      <c r="E20" s="58" t="str">
        <f t="shared" si="0"/>
        <v>Yes</v>
      </c>
      <c r="F20" s="36"/>
      <c r="G20" s="36"/>
    </row>
    <row r="21" spans="1:7" x14ac:dyDescent="0.3">
      <c r="A21" s="36"/>
      <c r="B21" s="57" t="s">
        <v>28</v>
      </c>
      <c r="C21" s="58">
        <v>16</v>
      </c>
      <c r="D21" s="58">
        <v>16</v>
      </c>
      <c r="E21" s="58" t="str">
        <f t="shared" si="0"/>
        <v>Yes</v>
      </c>
      <c r="F21" s="36"/>
      <c r="G21" s="36"/>
    </row>
    <row r="22" spans="1:7" x14ac:dyDescent="0.3">
      <c r="A22" s="36"/>
      <c r="B22" s="57" t="s">
        <v>29</v>
      </c>
      <c r="C22" s="58">
        <v>17</v>
      </c>
      <c r="D22" s="58">
        <v>3</v>
      </c>
      <c r="E22" s="58" t="str">
        <f t="shared" si="0"/>
        <v>No</v>
      </c>
      <c r="F22" s="36"/>
      <c r="G22" s="36"/>
    </row>
    <row r="23" spans="1:7" x14ac:dyDescent="0.3">
      <c r="A23" s="36"/>
      <c r="B23" s="57" t="s">
        <v>30</v>
      </c>
      <c r="C23" s="58">
        <v>18</v>
      </c>
      <c r="D23" s="58">
        <v>17</v>
      </c>
      <c r="E23" s="58" t="str">
        <f t="shared" si="0"/>
        <v>No</v>
      </c>
      <c r="F23" s="36"/>
      <c r="G23" s="36"/>
    </row>
    <row r="24" spans="1:7" x14ac:dyDescent="0.3">
      <c r="A24" s="36"/>
      <c r="B24" s="52"/>
      <c r="C24" s="52"/>
      <c r="D24" s="52"/>
      <c r="E24" s="52"/>
      <c r="F24" s="36"/>
      <c r="G24" s="36"/>
    </row>
    <row r="25" spans="1:7" x14ac:dyDescent="0.3">
      <c r="A25" s="36"/>
      <c r="B25" s="52"/>
      <c r="C25" s="52"/>
      <c r="D25" s="52"/>
      <c r="E25" s="52"/>
      <c r="F25" s="36"/>
      <c r="G25" s="36"/>
    </row>
  </sheetData>
  <sheetProtection sheet="1" objects="1" scenarios="1" selectLockedCells="1" selectUnlockedCells="1"/>
  <conditionalFormatting sqref="B6:E23">
    <cfRule type="expression" dxfId="15" priority="1">
      <formula>$E6="No"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sheetPr>
  <dimension ref="A1:I231"/>
  <sheetViews>
    <sheetView showZeros="0" zoomScale="85" zoomScaleNormal="85" workbookViewId="0">
      <pane ySplit="2" topLeftCell="A104" activePane="bottomLeft" state="frozen"/>
      <selection pane="bottomLeft" activeCell="K124" sqref="K124"/>
    </sheetView>
  </sheetViews>
  <sheetFormatPr defaultColWidth="8.6640625" defaultRowHeight="13.8" x14ac:dyDescent="0.25"/>
  <cols>
    <col min="1" max="1" width="17.109375" style="132" customWidth="1"/>
    <col min="2" max="2" width="19.33203125" style="142" customWidth="1"/>
    <col min="3" max="3" width="17.44140625" style="132" customWidth="1"/>
    <col min="4" max="4" width="17.44140625" style="141" customWidth="1"/>
    <col min="5" max="5" width="17.44140625" style="143" customWidth="1"/>
    <col min="6" max="6" width="19.88671875" style="141" customWidth="1"/>
    <col min="7" max="7" width="19.88671875" style="143" customWidth="1"/>
    <col min="8" max="8" width="8.6640625" style="141"/>
    <col min="9" max="9" width="8.6640625" style="143"/>
    <col min="10" max="16384" width="8.6640625" style="137"/>
  </cols>
  <sheetData>
    <row r="1" spans="1:9" ht="15.6" customHeight="1" x14ac:dyDescent="0.25">
      <c r="A1" s="144" t="s">
        <v>41</v>
      </c>
      <c r="B1" s="144"/>
      <c r="C1" s="145"/>
      <c r="D1" s="98" t="s">
        <v>38</v>
      </c>
      <c r="E1" s="98"/>
      <c r="F1" s="97" t="s">
        <v>56</v>
      </c>
      <c r="G1" s="97"/>
      <c r="H1" s="136" t="s">
        <v>43</v>
      </c>
      <c r="I1" s="136"/>
    </row>
    <row r="2" spans="1:9" ht="25.05" customHeight="1" x14ac:dyDescent="0.25">
      <c r="A2" s="22" t="s">
        <v>31</v>
      </c>
      <c r="B2" s="14" t="s">
        <v>13</v>
      </c>
      <c r="C2" s="25" t="s">
        <v>32</v>
      </c>
      <c r="D2" s="12" t="s">
        <v>33</v>
      </c>
      <c r="E2" s="12" t="s">
        <v>34</v>
      </c>
      <c r="F2" s="13" t="s">
        <v>39</v>
      </c>
      <c r="G2" s="13" t="s">
        <v>40</v>
      </c>
      <c r="H2" s="138" t="s">
        <v>44</v>
      </c>
      <c r="I2" s="138" t="s">
        <v>45</v>
      </c>
    </row>
    <row r="3" spans="1:9" x14ac:dyDescent="0.25">
      <c r="A3" s="6">
        <v>46228</v>
      </c>
      <c r="B3" s="26" t="s">
        <v>14</v>
      </c>
      <c r="C3" s="7">
        <v>2306</v>
      </c>
      <c r="D3" s="23">
        <v>0.274982</v>
      </c>
      <c r="E3" s="24">
        <v>7.9356800000000005E-2</v>
      </c>
      <c r="F3" s="139">
        <f>_xlfn.XLOOKUP(CalibrationLog[[#This Row],[Date]], 'Daily Summary'!A:A, 'Daily Summary'!H:H, "n/a")</f>
        <v>0.3911837647058824</v>
      </c>
      <c r="G3" s="140">
        <f>_xlfn.XLOOKUP(CalibrationLog[[#This Row],[Date]], 'Daily Summary'!A:A, 'Daily Summary'!K:K, "n/a")</f>
        <v>9.2278499999999999E-2</v>
      </c>
      <c r="H3" s="141" t="str">
        <f>IF(CalibrationLog[[#This Row],[Date]]="", "", IF(CalibrationLog[[#This Row],[World Error]]&lt;CalibrationLog[[#This Row],[World Error (Avg.)]], "Yes", "No"))</f>
        <v>Yes</v>
      </c>
      <c r="I3" s="142" t="str">
        <f>IF(CalibrationLog[[#This Row],[Date]]="", "", IF(CalibrationLog[[#This Row],[Image Error]]&lt;G3, "Yes", "No"))</f>
        <v>Yes</v>
      </c>
    </row>
    <row r="4" spans="1:9" x14ac:dyDescent="0.25">
      <c r="A4" s="6">
        <v>46228</v>
      </c>
      <c r="B4" s="26" t="s">
        <v>15</v>
      </c>
      <c r="C4" s="7">
        <v>2392</v>
      </c>
      <c r="D4" s="23">
        <v>0.42184300000000002</v>
      </c>
      <c r="E4" s="24">
        <v>0.112306</v>
      </c>
      <c r="F4" s="139">
        <f>_xlfn.XLOOKUP(CalibrationLog[[#This Row],[Date]], 'Daily Summary'!A:A, 'Daily Summary'!H:H, "n/a")</f>
        <v>0.3911837647058824</v>
      </c>
      <c r="G4" s="140">
        <f>_xlfn.XLOOKUP(CalibrationLog[[#This Row],[Date]], 'Daily Summary'!A:A, 'Daily Summary'!K:K, "n/a")</f>
        <v>9.2278499999999999E-2</v>
      </c>
      <c r="H4" s="141" t="str">
        <f>IF(CalibrationLog[[#This Row],[Date]]="", "", IF(CalibrationLog[[#This Row],[World Error]]&lt;CalibrationLog[[#This Row],[World Error (Avg.)]], "Yes", "No"))</f>
        <v>No</v>
      </c>
      <c r="I4" s="142" t="str">
        <f>IF(CalibrationLog[[#This Row],[Date]]="", "", IF(CalibrationLog[[#This Row],[Image Error]]&lt;G4, "Yes", "No"))</f>
        <v>No</v>
      </c>
    </row>
    <row r="5" spans="1:9" x14ac:dyDescent="0.25">
      <c r="A5" s="6">
        <v>46228</v>
      </c>
      <c r="B5" s="26" t="s">
        <v>16</v>
      </c>
      <c r="C5" s="7">
        <v>1810</v>
      </c>
      <c r="D5" s="23">
        <v>0.39858399999999999</v>
      </c>
      <c r="E5" s="24">
        <v>9.2427499999999996E-2</v>
      </c>
      <c r="F5" s="139">
        <f>_xlfn.XLOOKUP(CalibrationLog[[#This Row],[Date]], 'Daily Summary'!A:A, 'Daily Summary'!H:H, "n/a")</f>
        <v>0.3911837647058824</v>
      </c>
      <c r="G5" s="140">
        <f>_xlfn.XLOOKUP(CalibrationLog[[#This Row],[Date]], 'Daily Summary'!A:A, 'Daily Summary'!K:K, "n/a")</f>
        <v>9.2278499999999999E-2</v>
      </c>
      <c r="H5" s="141" t="str">
        <f>IF(CalibrationLog[[#This Row],[Date]]="", "", IF(CalibrationLog[[#This Row],[World Error]]&lt;CalibrationLog[[#This Row],[World Error (Avg.)]], "Yes", "No"))</f>
        <v>No</v>
      </c>
      <c r="I5" s="142" t="str">
        <f>IF(CalibrationLog[[#This Row],[Date]]="", "", IF(CalibrationLog[[#This Row],[Image Error]]&lt;G5, "Yes", "No"))</f>
        <v>No</v>
      </c>
    </row>
    <row r="6" spans="1:9" x14ac:dyDescent="0.25">
      <c r="A6" s="6">
        <v>46228</v>
      </c>
      <c r="B6" s="26" t="s">
        <v>17</v>
      </c>
      <c r="C6" s="7">
        <v>2277</v>
      </c>
      <c r="D6" s="23">
        <v>0.62003600000000003</v>
      </c>
      <c r="E6" s="24">
        <v>0.12157900000000001</v>
      </c>
      <c r="F6" s="139">
        <f>_xlfn.XLOOKUP(CalibrationLog[[#This Row],[Date]], 'Daily Summary'!A:A, 'Daily Summary'!H:H, "n/a")</f>
        <v>0.3911837647058824</v>
      </c>
      <c r="G6" s="140">
        <f>_xlfn.XLOOKUP(CalibrationLog[[#This Row],[Date]], 'Daily Summary'!A:A, 'Daily Summary'!K:K, "n/a")</f>
        <v>9.2278499999999999E-2</v>
      </c>
      <c r="H6" s="141" t="str">
        <f>IF(CalibrationLog[[#This Row],[Date]]="", "", IF(CalibrationLog[[#This Row],[World Error]]&lt;CalibrationLog[[#This Row],[World Error (Avg.)]], "Yes", "No"))</f>
        <v>No</v>
      </c>
      <c r="I6" s="142" t="str">
        <f>IF(CalibrationLog[[#This Row],[Date]]="", "", IF(CalibrationLog[[#This Row],[Image Error]]&lt;G6, "Yes", "No"))</f>
        <v>No</v>
      </c>
    </row>
    <row r="7" spans="1:9" x14ac:dyDescent="0.25">
      <c r="A7" s="6">
        <v>46228</v>
      </c>
      <c r="B7" s="26" t="s">
        <v>18</v>
      </c>
      <c r="C7" s="7">
        <v>2240</v>
      </c>
      <c r="D7" s="23">
        <v>0.19189300000000001</v>
      </c>
      <c r="E7" s="24">
        <v>4.4366900000000001E-2</v>
      </c>
      <c r="F7" s="139">
        <f>_xlfn.XLOOKUP(CalibrationLog[[#This Row],[Date]], 'Daily Summary'!A:A, 'Daily Summary'!H:H, "n/a")</f>
        <v>0.3911837647058824</v>
      </c>
      <c r="G7" s="140">
        <f>_xlfn.XLOOKUP(CalibrationLog[[#This Row],[Date]], 'Daily Summary'!A:A, 'Daily Summary'!K:K, "n/a")</f>
        <v>9.2278499999999999E-2</v>
      </c>
      <c r="H7" s="141" t="str">
        <f>IF(CalibrationLog[[#This Row],[Date]]="", "", IF(CalibrationLog[[#This Row],[World Error]]&lt;CalibrationLog[[#This Row],[World Error (Avg.)]], "Yes", "No"))</f>
        <v>Yes</v>
      </c>
      <c r="I7" s="142" t="str">
        <f>IF(CalibrationLog[[#This Row],[Date]]="", "", IF(CalibrationLog[[#This Row],[Image Error]]&lt;G7, "Yes", "No"))</f>
        <v>Yes</v>
      </c>
    </row>
    <row r="8" spans="1:9" x14ac:dyDescent="0.25">
      <c r="A8" s="6">
        <v>46228</v>
      </c>
      <c r="B8" s="26" t="s">
        <v>19</v>
      </c>
      <c r="C8" s="7">
        <v>2754</v>
      </c>
      <c r="D8" s="23">
        <v>0.44223499999999999</v>
      </c>
      <c r="E8" s="24">
        <v>8.9975399999999997E-2</v>
      </c>
      <c r="F8" s="139">
        <f>_xlfn.XLOOKUP(CalibrationLog[[#This Row],[Date]], 'Daily Summary'!A:A, 'Daily Summary'!H:H, "n/a")</f>
        <v>0.3911837647058824</v>
      </c>
      <c r="G8" s="140">
        <f>_xlfn.XLOOKUP(CalibrationLog[[#This Row],[Date]], 'Daily Summary'!A:A, 'Daily Summary'!K:K, "n/a")</f>
        <v>9.2278499999999999E-2</v>
      </c>
      <c r="H8" s="141" t="str">
        <f>IF(CalibrationLog[[#This Row],[Date]]="", "", IF(CalibrationLog[[#This Row],[World Error]]&lt;CalibrationLog[[#This Row],[World Error (Avg.)]], "Yes", "No"))</f>
        <v>No</v>
      </c>
      <c r="I8" s="142" t="str">
        <f>IF(CalibrationLog[[#This Row],[Date]]="", "", IF(CalibrationLog[[#This Row],[Image Error]]&lt;G8, "Yes", "No"))</f>
        <v>Yes</v>
      </c>
    </row>
    <row r="9" spans="1:9" x14ac:dyDescent="0.25">
      <c r="A9" s="6">
        <v>46228</v>
      </c>
      <c r="B9" s="26" t="s">
        <v>20</v>
      </c>
      <c r="C9" s="7">
        <v>3007</v>
      </c>
      <c r="D9" s="23">
        <v>0.50989600000000002</v>
      </c>
      <c r="E9" s="24">
        <v>0.102799</v>
      </c>
      <c r="F9" s="139">
        <f>_xlfn.XLOOKUP(CalibrationLog[[#This Row],[Date]], 'Daily Summary'!A:A, 'Daily Summary'!H:H, "n/a")</f>
        <v>0.3911837647058824</v>
      </c>
      <c r="G9" s="140">
        <f>_xlfn.XLOOKUP(CalibrationLog[[#This Row],[Date]], 'Daily Summary'!A:A, 'Daily Summary'!K:K, "n/a")</f>
        <v>9.2278499999999999E-2</v>
      </c>
      <c r="H9" s="141" t="str">
        <f>IF(CalibrationLog[[#This Row],[Date]]="", "", IF(CalibrationLog[[#This Row],[World Error]]&lt;CalibrationLog[[#This Row],[World Error (Avg.)]], "Yes", "No"))</f>
        <v>No</v>
      </c>
      <c r="I9" s="142" t="str">
        <f>IF(CalibrationLog[[#This Row],[Date]]="", "", IF(CalibrationLog[[#This Row],[Image Error]]&lt;G9, "Yes", "No"))</f>
        <v>No</v>
      </c>
    </row>
    <row r="10" spans="1:9" x14ac:dyDescent="0.25">
      <c r="A10" s="6">
        <v>46228</v>
      </c>
      <c r="B10" s="26" t="s">
        <v>21</v>
      </c>
      <c r="C10" s="7">
        <v>2832</v>
      </c>
      <c r="D10" s="23">
        <v>0.39593499999999998</v>
      </c>
      <c r="E10" s="24">
        <v>7.95796E-2</v>
      </c>
      <c r="F10" s="139">
        <f>_xlfn.XLOOKUP(CalibrationLog[[#This Row],[Date]], 'Daily Summary'!A:A, 'Daily Summary'!H:H, "n/a")</f>
        <v>0.3911837647058824</v>
      </c>
      <c r="G10" s="140">
        <f>_xlfn.XLOOKUP(CalibrationLog[[#This Row],[Date]], 'Daily Summary'!A:A, 'Daily Summary'!K:K, "n/a")</f>
        <v>9.2278499999999999E-2</v>
      </c>
      <c r="H10" s="141" t="str">
        <f>IF(CalibrationLog[[#This Row],[Date]]="", "", IF(CalibrationLog[[#This Row],[World Error]]&lt;CalibrationLog[[#This Row],[World Error (Avg.)]], "Yes", "No"))</f>
        <v>No</v>
      </c>
      <c r="I10" s="142" t="str">
        <f>IF(CalibrationLog[[#This Row],[Date]]="", "", IF(CalibrationLog[[#This Row],[Image Error]]&lt;G10, "Yes", "No"))</f>
        <v>Yes</v>
      </c>
    </row>
    <row r="11" spans="1:9" x14ac:dyDescent="0.25">
      <c r="A11" s="6">
        <v>46228</v>
      </c>
      <c r="B11" s="26" t="s">
        <v>22</v>
      </c>
      <c r="C11" s="7">
        <v>2120</v>
      </c>
      <c r="D11" s="23">
        <v>0.49960599999999999</v>
      </c>
      <c r="E11" s="24">
        <v>0.13203699999999999</v>
      </c>
      <c r="F11" s="139">
        <f>_xlfn.XLOOKUP(CalibrationLog[[#This Row],[Date]], 'Daily Summary'!A:A, 'Daily Summary'!H:H, "n/a")</f>
        <v>0.3911837647058824</v>
      </c>
      <c r="G11" s="140">
        <f>_xlfn.XLOOKUP(CalibrationLog[[#This Row],[Date]], 'Daily Summary'!A:A, 'Daily Summary'!K:K, "n/a")</f>
        <v>9.2278499999999999E-2</v>
      </c>
      <c r="H11" s="141" t="str">
        <f>IF(CalibrationLog[[#This Row],[Date]]="", "", IF(CalibrationLog[[#This Row],[World Error]]&lt;CalibrationLog[[#This Row],[World Error (Avg.)]], "Yes", "No"))</f>
        <v>No</v>
      </c>
      <c r="I11" s="142" t="str">
        <f>IF(CalibrationLog[[#This Row],[Date]]="", "", IF(CalibrationLog[[#This Row],[Image Error]]&lt;G11, "Yes", "No"))</f>
        <v>No</v>
      </c>
    </row>
    <row r="12" spans="1:9" x14ac:dyDescent="0.25">
      <c r="A12" s="6">
        <v>46228</v>
      </c>
      <c r="B12" s="26" t="s">
        <v>23</v>
      </c>
      <c r="C12" s="7">
        <v>1471</v>
      </c>
      <c r="D12" s="23">
        <v>0.13059299999999999</v>
      </c>
      <c r="E12" s="24">
        <v>4.5056100000000002E-2</v>
      </c>
      <c r="F12" s="139">
        <f>_xlfn.XLOOKUP(CalibrationLog[[#This Row],[Date]], 'Daily Summary'!A:A, 'Daily Summary'!H:H, "n/a")</f>
        <v>0.3911837647058824</v>
      </c>
      <c r="G12" s="140">
        <f>_xlfn.XLOOKUP(CalibrationLog[[#This Row],[Date]], 'Daily Summary'!A:A, 'Daily Summary'!K:K, "n/a")</f>
        <v>9.2278499999999999E-2</v>
      </c>
      <c r="H12" s="141" t="str">
        <f>IF(CalibrationLog[[#This Row],[Date]]="", "", IF(CalibrationLog[[#This Row],[World Error]]&lt;CalibrationLog[[#This Row],[World Error (Avg.)]], "Yes", "No"))</f>
        <v>Yes</v>
      </c>
      <c r="I12" s="142" t="str">
        <f>IF(CalibrationLog[[#This Row],[Date]]="", "", IF(CalibrationLog[[#This Row],[Image Error]]&lt;G12, "Yes", "No"))</f>
        <v>Yes</v>
      </c>
    </row>
    <row r="13" spans="1:9" x14ac:dyDescent="0.25">
      <c r="A13" s="6">
        <v>46228</v>
      </c>
      <c r="B13" s="26" t="s">
        <v>24</v>
      </c>
      <c r="C13" s="7">
        <v>1657</v>
      </c>
      <c r="D13" s="23">
        <v>0.428371</v>
      </c>
      <c r="E13" s="24">
        <v>0.14066300000000001</v>
      </c>
      <c r="F13" s="139">
        <f>_xlfn.XLOOKUP(CalibrationLog[[#This Row],[Date]], 'Daily Summary'!A:A, 'Daily Summary'!H:H, "n/a")</f>
        <v>0.3911837647058824</v>
      </c>
      <c r="G13" s="140">
        <f>_xlfn.XLOOKUP(CalibrationLog[[#This Row],[Date]], 'Daily Summary'!A:A, 'Daily Summary'!K:K, "n/a")</f>
        <v>9.2278499999999999E-2</v>
      </c>
      <c r="H13" s="141" t="str">
        <f>IF(CalibrationLog[[#This Row],[Date]]="", "", IF(CalibrationLog[[#This Row],[World Error]]&lt;CalibrationLog[[#This Row],[World Error (Avg.)]], "Yes", "No"))</f>
        <v>No</v>
      </c>
      <c r="I13" s="142" t="str">
        <f>IF(CalibrationLog[[#This Row],[Date]]="", "", IF(CalibrationLog[[#This Row],[Image Error]]&lt;G13, "Yes", "No"))</f>
        <v>No</v>
      </c>
    </row>
    <row r="14" spans="1:9" x14ac:dyDescent="0.25">
      <c r="A14" s="6">
        <v>46228</v>
      </c>
      <c r="B14" s="26" t="s">
        <v>25</v>
      </c>
      <c r="C14" s="7">
        <v>1007</v>
      </c>
      <c r="D14" s="23">
        <v>0.16838600000000001</v>
      </c>
      <c r="E14" s="24">
        <v>4.2415799999999997E-2</v>
      </c>
      <c r="F14" s="139">
        <f>_xlfn.XLOOKUP(CalibrationLog[[#This Row],[Date]], 'Daily Summary'!A:A, 'Daily Summary'!H:H, "n/a")</f>
        <v>0.3911837647058824</v>
      </c>
      <c r="G14" s="140">
        <f>_xlfn.XLOOKUP(CalibrationLog[[#This Row],[Date]], 'Daily Summary'!A:A, 'Daily Summary'!K:K, "n/a")</f>
        <v>9.2278499999999999E-2</v>
      </c>
      <c r="H14" s="141" t="str">
        <f>IF(CalibrationLog[[#This Row],[Date]]="", "", IF(CalibrationLog[[#This Row],[World Error]]&lt;CalibrationLog[[#This Row],[World Error (Avg.)]], "Yes", "No"))</f>
        <v>Yes</v>
      </c>
      <c r="I14" s="142" t="str">
        <f>IF(CalibrationLog[[#This Row],[Date]]="", "", IF(CalibrationLog[[#This Row],[Image Error]]&lt;G14, "Yes", "No"))</f>
        <v>Yes</v>
      </c>
    </row>
    <row r="15" spans="1:9" x14ac:dyDescent="0.25">
      <c r="A15" s="6">
        <v>46228</v>
      </c>
      <c r="B15" s="26" t="s">
        <v>26</v>
      </c>
      <c r="C15" s="7">
        <v>2022</v>
      </c>
      <c r="D15" s="23">
        <v>0.160743</v>
      </c>
      <c r="E15" s="24">
        <v>4.9050299999999998E-2</v>
      </c>
      <c r="F15" s="139">
        <f>_xlfn.XLOOKUP(CalibrationLog[[#This Row],[Date]], 'Daily Summary'!A:A, 'Daily Summary'!H:H, "n/a")</f>
        <v>0.3911837647058824</v>
      </c>
      <c r="G15" s="140">
        <f>_xlfn.XLOOKUP(CalibrationLog[[#This Row],[Date]], 'Daily Summary'!A:A, 'Daily Summary'!K:K, "n/a")</f>
        <v>9.2278499999999999E-2</v>
      </c>
      <c r="H15" s="141" t="str">
        <f>IF(CalibrationLog[[#This Row],[Date]]="", "", IF(CalibrationLog[[#This Row],[World Error]]&lt;CalibrationLog[[#This Row],[World Error (Avg.)]], "Yes", "No"))</f>
        <v>Yes</v>
      </c>
      <c r="I15" s="142" t="str">
        <f>IF(CalibrationLog[[#This Row],[Date]]="", "", IF(CalibrationLog[[#This Row],[Image Error]]&lt;G15, "Yes", "No"))</f>
        <v>Yes</v>
      </c>
    </row>
    <row r="16" spans="1:9" x14ac:dyDescent="0.25">
      <c r="A16" s="6">
        <v>46228</v>
      </c>
      <c r="B16" s="26" t="s">
        <v>27</v>
      </c>
      <c r="C16" s="7">
        <v>1985</v>
      </c>
      <c r="D16" s="23">
        <v>0.43960500000000002</v>
      </c>
      <c r="E16" s="24">
        <v>0.10267900000000001</v>
      </c>
      <c r="F16" s="139">
        <f>_xlfn.XLOOKUP(CalibrationLog[[#This Row],[Date]], 'Daily Summary'!A:A, 'Daily Summary'!H:H, "n/a")</f>
        <v>0.3911837647058824</v>
      </c>
      <c r="G16" s="140">
        <f>_xlfn.XLOOKUP(CalibrationLog[[#This Row],[Date]], 'Daily Summary'!A:A, 'Daily Summary'!K:K, "n/a")</f>
        <v>9.2278499999999999E-2</v>
      </c>
      <c r="H16" s="141" t="str">
        <f>IF(CalibrationLog[[#This Row],[Date]]="", "", IF(CalibrationLog[[#This Row],[World Error]]&lt;CalibrationLog[[#This Row],[World Error (Avg.)]], "Yes", "No"))</f>
        <v>No</v>
      </c>
      <c r="I16" s="142" t="str">
        <f>IF(CalibrationLog[[#This Row],[Date]]="", "", IF(CalibrationLog[[#This Row],[Image Error]]&lt;G16, "Yes", "No"))</f>
        <v>No</v>
      </c>
    </row>
    <row r="17" spans="1:9" x14ac:dyDescent="0.25">
      <c r="A17" s="6">
        <v>46228</v>
      </c>
      <c r="B17" s="26" t="s">
        <v>28</v>
      </c>
      <c r="C17" s="7">
        <v>1540</v>
      </c>
      <c r="D17" s="23">
        <v>0.64795899999999995</v>
      </c>
      <c r="E17" s="24">
        <v>0.147318</v>
      </c>
      <c r="F17" s="139">
        <f>_xlfn.XLOOKUP(CalibrationLog[[#This Row],[Date]], 'Daily Summary'!A:A, 'Daily Summary'!H:H, "n/a")</f>
        <v>0.3911837647058824</v>
      </c>
      <c r="G17" s="140">
        <f>_xlfn.XLOOKUP(CalibrationLog[[#This Row],[Date]], 'Daily Summary'!A:A, 'Daily Summary'!K:K, "n/a")</f>
        <v>9.2278499999999999E-2</v>
      </c>
      <c r="H17" s="141" t="str">
        <f>IF(CalibrationLog[[#This Row],[Date]]="", "", IF(CalibrationLog[[#This Row],[World Error]]&lt;CalibrationLog[[#This Row],[World Error (Avg.)]], "Yes", "No"))</f>
        <v>No</v>
      </c>
      <c r="I17" s="142" t="str">
        <f>IF(CalibrationLog[[#This Row],[Date]]="", "", IF(CalibrationLog[[#This Row],[Image Error]]&lt;G17, "Yes", "No"))</f>
        <v>No</v>
      </c>
    </row>
    <row r="18" spans="1:9" x14ac:dyDescent="0.25">
      <c r="A18" s="6">
        <v>46228</v>
      </c>
      <c r="B18" s="26" t="s">
        <v>29</v>
      </c>
      <c r="C18" s="7">
        <v>1892</v>
      </c>
      <c r="D18" s="23">
        <v>0.37152299999999999</v>
      </c>
      <c r="E18" s="24">
        <v>7.7194100000000002E-2</v>
      </c>
      <c r="F18" s="139">
        <f>_xlfn.XLOOKUP(CalibrationLog[[#This Row],[Date]], 'Daily Summary'!A:A, 'Daily Summary'!H:H, "n/a")</f>
        <v>0.3911837647058824</v>
      </c>
      <c r="G18" s="140">
        <f>_xlfn.XLOOKUP(CalibrationLog[[#This Row],[Date]], 'Daily Summary'!A:A, 'Daily Summary'!K:K, "n/a")</f>
        <v>9.2278499999999999E-2</v>
      </c>
      <c r="H18" s="141" t="str">
        <f>IF(CalibrationLog[[#This Row],[Date]]="", "", IF(CalibrationLog[[#This Row],[World Error]]&lt;CalibrationLog[[#This Row],[World Error (Avg.)]], "Yes", "No"))</f>
        <v>Yes</v>
      </c>
      <c r="I18" s="142" t="str">
        <f>IF(CalibrationLog[[#This Row],[Date]]="", "", IF(CalibrationLog[[#This Row],[Image Error]]&lt;G18, "Yes", "No"))</f>
        <v>Yes</v>
      </c>
    </row>
    <row r="19" spans="1:9" x14ac:dyDescent="0.25">
      <c r="A19" s="6">
        <v>46228</v>
      </c>
      <c r="B19" s="26" t="s">
        <v>30</v>
      </c>
      <c r="C19" s="7">
        <v>1460</v>
      </c>
      <c r="D19" s="23">
        <v>0.54793400000000003</v>
      </c>
      <c r="E19" s="24">
        <v>0.109931</v>
      </c>
      <c r="F19" s="139">
        <f>_xlfn.XLOOKUP(CalibrationLog[[#This Row],[Date]], 'Daily Summary'!A:A, 'Daily Summary'!H:H, "n/a")</f>
        <v>0.3911837647058824</v>
      </c>
      <c r="G19" s="140">
        <f>_xlfn.XLOOKUP(CalibrationLog[[#This Row],[Date]], 'Daily Summary'!A:A, 'Daily Summary'!K:K, "n/a")</f>
        <v>9.2278499999999999E-2</v>
      </c>
      <c r="H19" s="141" t="str">
        <f>IF(CalibrationLog[[#This Row],[Date]]="", "", IF(CalibrationLog[[#This Row],[World Error]]&lt;CalibrationLog[[#This Row],[World Error (Avg.)]], "Yes", "No"))</f>
        <v>No</v>
      </c>
      <c r="I19" s="142" t="str">
        <f>IF(CalibrationLog[[#This Row],[Date]]="", "", IF(CalibrationLog[[#This Row],[Image Error]]&lt;G19, "Yes", "No"))</f>
        <v>No</v>
      </c>
    </row>
    <row r="20" spans="1:9" x14ac:dyDescent="0.25">
      <c r="A20" s="6">
        <v>46230</v>
      </c>
      <c r="B20" s="26" t="s">
        <v>14</v>
      </c>
      <c r="C20" s="7">
        <v>1939</v>
      </c>
      <c r="D20" s="23">
        <v>0.38631799999999999</v>
      </c>
      <c r="E20" s="24">
        <v>0.10861</v>
      </c>
      <c r="F20" s="139">
        <f>_xlfn.XLOOKUP(CalibrationLog[[#This Row],[Date]], 'Daily Summary'!A:A, 'Daily Summary'!H:H, "n/a")</f>
        <v>0.3804177222222222</v>
      </c>
      <c r="G20" s="140">
        <f>_xlfn.XLOOKUP(CalibrationLog[[#This Row],[Date]], 'Daily Summary'!A:A, 'Daily Summary'!K:K, "n/a")</f>
        <v>9.1966633333333339E-2</v>
      </c>
      <c r="H20" s="141" t="str">
        <f>IF(CalibrationLog[[#This Row],[Date]]="", "", IF(CalibrationLog[[#This Row],[World Error]]&lt;CalibrationLog[[#This Row],[World Error (Avg.)]], "Yes", "No"))</f>
        <v>No</v>
      </c>
      <c r="I20" s="142" t="str">
        <f>IF(CalibrationLog[[#This Row],[Date]]="", "", IF(CalibrationLog[[#This Row],[Image Error]]&lt;G20, "Yes", "No"))</f>
        <v>No</v>
      </c>
    </row>
    <row r="21" spans="1:9" x14ac:dyDescent="0.25">
      <c r="A21" s="6">
        <v>46230</v>
      </c>
      <c r="B21" s="26" t="s">
        <v>15</v>
      </c>
      <c r="C21" s="7">
        <v>2172</v>
      </c>
      <c r="D21" s="23">
        <v>0.40509299999999998</v>
      </c>
      <c r="E21" s="24">
        <v>0.10678</v>
      </c>
      <c r="F21" s="139">
        <f>_xlfn.XLOOKUP(CalibrationLog[[#This Row],[Date]], 'Daily Summary'!A:A, 'Daily Summary'!H:H, "n/a")</f>
        <v>0.3804177222222222</v>
      </c>
      <c r="G21" s="140">
        <f>_xlfn.XLOOKUP(CalibrationLog[[#This Row],[Date]], 'Daily Summary'!A:A, 'Daily Summary'!K:K, "n/a")</f>
        <v>9.1966633333333339E-2</v>
      </c>
      <c r="H21" s="141" t="str">
        <f>IF(CalibrationLog[[#This Row],[Date]]="", "", IF(CalibrationLog[[#This Row],[World Error]]&lt;CalibrationLog[[#This Row],[World Error (Avg.)]], "Yes", "No"))</f>
        <v>No</v>
      </c>
      <c r="I21" s="142" t="str">
        <f>IF(CalibrationLog[[#This Row],[Date]]="", "", IF(CalibrationLog[[#This Row],[Image Error]]&lt;G21, "Yes", "No"))</f>
        <v>No</v>
      </c>
    </row>
    <row r="22" spans="1:9" x14ac:dyDescent="0.25">
      <c r="A22" s="6">
        <v>46230</v>
      </c>
      <c r="B22" s="26" t="s">
        <v>16</v>
      </c>
      <c r="C22" s="7">
        <v>1359</v>
      </c>
      <c r="D22" s="23">
        <v>0.42063299999999998</v>
      </c>
      <c r="E22" s="24">
        <v>9.8741200000000001E-2</v>
      </c>
      <c r="F22" s="139">
        <f>_xlfn.XLOOKUP(CalibrationLog[[#This Row],[Date]], 'Daily Summary'!A:A, 'Daily Summary'!H:H, "n/a")</f>
        <v>0.3804177222222222</v>
      </c>
      <c r="G22" s="140">
        <f>_xlfn.XLOOKUP(CalibrationLog[[#This Row],[Date]], 'Daily Summary'!A:A, 'Daily Summary'!K:K, "n/a")</f>
        <v>9.1966633333333339E-2</v>
      </c>
      <c r="H22" s="141" t="str">
        <f>IF(CalibrationLog[[#This Row],[Date]]="", "", IF(CalibrationLog[[#This Row],[World Error]]&lt;CalibrationLog[[#This Row],[World Error (Avg.)]], "Yes", "No"))</f>
        <v>No</v>
      </c>
      <c r="I22" s="142" t="str">
        <f>IF(CalibrationLog[[#This Row],[Date]]="", "", IF(CalibrationLog[[#This Row],[Image Error]]&lt;G22, "Yes", "No"))</f>
        <v>No</v>
      </c>
    </row>
    <row r="23" spans="1:9" x14ac:dyDescent="0.25">
      <c r="A23" s="6">
        <v>46230</v>
      </c>
      <c r="B23" s="26" t="s">
        <v>17</v>
      </c>
      <c r="C23" s="7">
        <v>1819</v>
      </c>
      <c r="D23" s="23">
        <v>0.610344</v>
      </c>
      <c r="E23" s="24">
        <v>0.120907</v>
      </c>
      <c r="F23" s="139">
        <f>_xlfn.XLOOKUP(CalibrationLog[[#This Row],[Date]], 'Daily Summary'!A:A, 'Daily Summary'!H:H, "n/a")</f>
        <v>0.3804177222222222</v>
      </c>
      <c r="G23" s="140">
        <f>_xlfn.XLOOKUP(CalibrationLog[[#This Row],[Date]], 'Daily Summary'!A:A, 'Daily Summary'!K:K, "n/a")</f>
        <v>9.1966633333333339E-2</v>
      </c>
      <c r="H23" s="141" t="str">
        <f>IF(CalibrationLog[[#This Row],[Date]]="", "", IF(CalibrationLog[[#This Row],[World Error]]&lt;CalibrationLog[[#This Row],[World Error (Avg.)]], "Yes", "No"))</f>
        <v>No</v>
      </c>
      <c r="I23" s="142" t="str">
        <f>IF(CalibrationLog[[#This Row],[Date]]="", "", IF(CalibrationLog[[#This Row],[Image Error]]&lt;G23, "Yes", "No"))</f>
        <v>No</v>
      </c>
    </row>
    <row r="24" spans="1:9" x14ac:dyDescent="0.25">
      <c r="A24" s="6">
        <v>46230</v>
      </c>
      <c r="B24" s="26" t="s">
        <v>18</v>
      </c>
      <c r="C24" s="7">
        <v>1541</v>
      </c>
      <c r="D24" s="23">
        <v>0.28196100000000002</v>
      </c>
      <c r="E24" s="24">
        <v>6.7092299999999994E-2</v>
      </c>
      <c r="F24" s="139">
        <f>_xlfn.XLOOKUP(CalibrationLog[[#This Row],[Date]], 'Daily Summary'!A:A, 'Daily Summary'!H:H, "n/a")</f>
        <v>0.3804177222222222</v>
      </c>
      <c r="G24" s="140">
        <f>_xlfn.XLOOKUP(CalibrationLog[[#This Row],[Date]], 'Daily Summary'!A:A, 'Daily Summary'!K:K, "n/a")</f>
        <v>9.1966633333333339E-2</v>
      </c>
      <c r="H24" s="141" t="str">
        <f>IF(CalibrationLog[[#This Row],[Date]]="", "", IF(CalibrationLog[[#This Row],[World Error]]&lt;CalibrationLog[[#This Row],[World Error (Avg.)]], "Yes", "No"))</f>
        <v>Yes</v>
      </c>
      <c r="I24" s="142" t="str">
        <f>IF(CalibrationLog[[#This Row],[Date]]="", "", IF(CalibrationLog[[#This Row],[Image Error]]&lt;G24, "Yes", "No"))</f>
        <v>Yes</v>
      </c>
    </row>
    <row r="25" spans="1:9" x14ac:dyDescent="0.25">
      <c r="A25" s="6">
        <v>46230</v>
      </c>
      <c r="B25" s="26" t="s">
        <v>19</v>
      </c>
      <c r="C25" s="7">
        <v>1296</v>
      </c>
      <c r="D25" s="23">
        <v>0.35003099999999998</v>
      </c>
      <c r="E25" s="24">
        <v>7.3608499999999993E-2</v>
      </c>
      <c r="F25" s="139">
        <f>_xlfn.XLOOKUP(CalibrationLog[[#This Row],[Date]], 'Daily Summary'!A:A, 'Daily Summary'!H:H, "n/a")</f>
        <v>0.3804177222222222</v>
      </c>
      <c r="G25" s="140">
        <f>_xlfn.XLOOKUP(CalibrationLog[[#This Row],[Date]], 'Daily Summary'!A:A, 'Daily Summary'!K:K, "n/a")</f>
        <v>9.1966633333333339E-2</v>
      </c>
      <c r="H25" s="141" t="str">
        <f>IF(CalibrationLog[[#This Row],[Date]]="", "", IF(CalibrationLog[[#This Row],[World Error]]&lt;CalibrationLog[[#This Row],[World Error (Avg.)]], "Yes", "No"))</f>
        <v>Yes</v>
      </c>
      <c r="I25" s="142" t="str">
        <f>IF(CalibrationLog[[#This Row],[Date]]="", "", IF(CalibrationLog[[#This Row],[Image Error]]&lt;G25, "Yes", "No"))</f>
        <v>Yes</v>
      </c>
    </row>
    <row r="26" spans="1:9" x14ac:dyDescent="0.25">
      <c r="A26" s="6">
        <v>46230</v>
      </c>
      <c r="B26" s="26" t="s">
        <v>20</v>
      </c>
      <c r="C26" s="7">
        <v>1470</v>
      </c>
      <c r="D26" s="23">
        <v>0.36660399999999999</v>
      </c>
      <c r="E26" s="24">
        <v>7.6716000000000006E-2</v>
      </c>
      <c r="F26" s="139">
        <f>_xlfn.XLOOKUP(CalibrationLog[[#This Row],[Date]], 'Daily Summary'!A:A, 'Daily Summary'!H:H, "n/a")</f>
        <v>0.3804177222222222</v>
      </c>
      <c r="G26" s="140">
        <f>_xlfn.XLOOKUP(CalibrationLog[[#This Row],[Date]], 'Daily Summary'!A:A, 'Daily Summary'!K:K, "n/a")</f>
        <v>9.1966633333333339E-2</v>
      </c>
      <c r="H26" s="141" t="str">
        <f>IF(CalibrationLog[[#This Row],[Date]]="", "", IF(CalibrationLog[[#This Row],[World Error]]&lt;CalibrationLog[[#This Row],[World Error (Avg.)]], "Yes", "No"))</f>
        <v>Yes</v>
      </c>
      <c r="I26" s="142" t="str">
        <f>IF(CalibrationLog[[#This Row],[Date]]="", "", IF(CalibrationLog[[#This Row],[Image Error]]&lt;G26, "Yes", "No"))</f>
        <v>Yes</v>
      </c>
    </row>
    <row r="27" spans="1:9" x14ac:dyDescent="0.25">
      <c r="A27" s="6">
        <v>46230</v>
      </c>
      <c r="B27" s="26" t="s">
        <v>46</v>
      </c>
      <c r="C27" s="7">
        <v>1162</v>
      </c>
      <c r="D27" s="23">
        <v>0.162101</v>
      </c>
      <c r="E27" s="24">
        <v>4.9118500000000002E-2</v>
      </c>
      <c r="F27" s="139">
        <f>_xlfn.XLOOKUP(CalibrationLog[[#This Row],[Date]], 'Daily Summary'!A:A, 'Daily Summary'!H:H, "n/a")</f>
        <v>0.3804177222222222</v>
      </c>
      <c r="G27" s="140">
        <f>_xlfn.XLOOKUP(CalibrationLog[[#This Row],[Date]], 'Daily Summary'!A:A, 'Daily Summary'!K:K, "n/a")</f>
        <v>9.1966633333333339E-2</v>
      </c>
      <c r="H27" s="141" t="str">
        <f>IF(CalibrationLog[[#This Row],[Date]]="", "", IF(CalibrationLog[[#This Row],[World Error]]&lt;CalibrationLog[[#This Row],[World Error (Avg.)]], "Yes", "No"))</f>
        <v>Yes</v>
      </c>
      <c r="I27" s="142" t="str">
        <f>IF(CalibrationLog[[#This Row],[Date]]="", "", IF(CalibrationLog[[#This Row],[Image Error]]&lt;G27, "Yes", "No"))</f>
        <v>Yes</v>
      </c>
    </row>
    <row r="28" spans="1:9" x14ac:dyDescent="0.25">
      <c r="A28" s="6">
        <v>46230</v>
      </c>
      <c r="B28" s="26" t="s">
        <v>21</v>
      </c>
      <c r="C28" s="7">
        <v>2611</v>
      </c>
      <c r="D28" s="23">
        <v>0.42067700000000002</v>
      </c>
      <c r="E28" s="24">
        <v>8.1860199999999994E-2</v>
      </c>
      <c r="F28" s="139">
        <f>_xlfn.XLOOKUP(CalibrationLog[[#This Row],[Date]], 'Daily Summary'!A:A, 'Daily Summary'!H:H, "n/a")</f>
        <v>0.3804177222222222</v>
      </c>
      <c r="G28" s="140">
        <f>_xlfn.XLOOKUP(CalibrationLog[[#This Row],[Date]], 'Daily Summary'!A:A, 'Daily Summary'!K:K, "n/a")</f>
        <v>9.1966633333333339E-2</v>
      </c>
      <c r="H28" s="141" t="str">
        <f>IF(CalibrationLog[[#This Row],[Date]]="", "", IF(CalibrationLog[[#This Row],[World Error]]&lt;CalibrationLog[[#This Row],[World Error (Avg.)]], "Yes", "No"))</f>
        <v>No</v>
      </c>
      <c r="I28" s="142" t="str">
        <f>IF(CalibrationLog[[#This Row],[Date]]="", "", IF(CalibrationLog[[#This Row],[Image Error]]&lt;G28, "Yes", "No"))</f>
        <v>Yes</v>
      </c>
    </row>
    <row r="29" spans="1:9" x14ac:dyDescent="0.25">
      <c r="A29" s="6">
        <v>46230</v>
      </c>
      <c r="B29" s="26" t="s">
        <v>22</v>
      </c>
      <c r="C29" s="7">
        <v>1449</v>
      </c>
      <c r="D29" s="23">
        <v>0.45557700000000001</v>
      </c>
      <c r="E29" s="24">
        <v>0.123795</v>
      </c>
      <c r="F29" s="139">
        <f>_xlfn.XLOOKUP(CalibrationLog[[#This Row],[Date]], 'Daily Summary'!A:A, 'Daily Summary'!H:H, "n/a")</f>
        <v>0.3804177222222222</v>
      </c>
      <c r="G29" s="140">
        <f>_xlfn.XLOOKUP(CalibrationLog[[#This Row],[Date]], 'Daily Summary'!A:A, 'Daily Summary'!K:K, "n/a")</f>
        <v>9.1966633333333339E-2</v>
      </c>
      <c r="H29" s="141" t="str">
        <f>IF(CalibrationLog[[#This Row],[Date]]="", "", IF(CalibrationLog[[#This Row],[World Error]]&lt;CalibrationLog[[#This Row],[World Error (Avg.)]], "Yes", "No"))</f>
        <v>No</v>
      </c>
      <c r="I29" s="142" t="str">
        <f>IF(CalibrationLog[[#This Row],[Date]]="", "", IF(CalibrationLog[[#This Row],[Image Error]]&lt;G29, "Yes", "No"))</f>
        <v>No</v>
      </c>
    </row>
    <row r="30" spans="1:9" x14ac:dyDescent="0.25">
      <c r="A30" s="6">
        <v>46230</v>
      </c>
      <c r="B30" s="26" t="s">
        <v>23</v>
      </c>
      <c r="C30" s="7">
        <v>1005</v>
      </c>
      <c r="D30" s="23">
        <v>0.43718499999999999</v>
      </c>
      <c r="E30" s="24">
        <v>0.14344199999999999</v>
      </c>
      <c r="F30" s="139">
        <f>_xlfn.XLOOKUP(CalibrationLog[[#This Row],[Date]], 'Daily Summary'!A:A, 'Daily Summary'!H:H, "n/a")</f>
        <v>0.3804177222222222</v>
      </c>
      <c r="G30" s="140">
        <f>_xlfn.XLOOKUP(CalibrationLog[[#This Row],[Date]], 'Daily Summary'!A:A, 'Daily Summary'!K:K, "n/a")</f>
        <v>9.1966633333333339E-2</v>
      </c>
      <c r="H30" s="141" t="str">
        <f>IF(CalibrationLog[[#This Row],[Date]]="", "", IF(CalibrationLog[[#This Row],[World Error]]&lt;CalibrationLog[[#This Row],[World Error (Avg.)]], "Yes", "No"))</f>
        <v>No</v>
      </c>
      <c r="I30" s="142" t="str">
        <f>IF(CalibrationLog[[#This Row],[Date]]="", "", IF(CalibrationLog[[#This Row],[Image Error]]&lt;G30, "Yes", "No"))</f>
        <v>No</v>
      </c>
    </row>
    <row r="31" spans="1:9" x14ac:dyDescent="0.25">
      <c r="A31" s="6">
        <v>46230</v>
      </c>
      <c r="B31" s="26" t="s">
        <v>24</v>
      </c>
      <c r="C31" s="7">
        <v>2076</v>
      </c>
      <c r="D31" s="23">
        <v>0.30209799999999998</v>
      </c>
      <c r="E31" s="24">
        <v>9.3080999999999997E-2</v>
      </c>
      <c r="F31" s="139">
        <f>_xlfn.XLOOKUP(CalibrationLog[[#This Row],[Date]], 'Daily Summary'!A:A, 'Daily Summary'!H:H, "n/a")</f>
        <v>0.3804177222222222</v>
      </c>
      <c r="G31" s="140">
        <f>_xlfn.XLOOKUP(CalibrationLog[[#This Row],[Date]], 'Daily Summary'!A:A, 'Daily Summary'!K:K, "n/a")</f>
        <v>9.1966633333333339E-2</v>
      </c>
      <c r="H31" s="141" t="str">
        <f>IF(CalibrationLog[[#This Row],[Date]]="", "", IF(CalibrationLog[[#This Row],[World Error]]&lt;CalibrationLog[[#This Row],[World Error (Avg.)]], "Yes", "No"))</f>
        <v>Yes</v>
      </c>
      <c r="I31" s="142" t="str">
        <f>IF(CalibrationLog[[#This Row],[Date]]="", "", IF(CalibrationLog[[#This Row],[Image Error]]&lt;G31, "Yes", "No"))</f>
        <v>No</v>
      </c>
    </row>
    <row r="32" spans="1:9" x14ac:dyDescent="0.25">
      <c r="A32" s="6">
        <v>46230</v>
      </c>
      <c r="B32" s="26" t="s">
        <v>25</v>
      </c>
      <c r="C32" s="7">
        <v>1159</v>
      </c>
      <c r="D32" s="23">
        <v>0.18565499999999999</v>
      </c>
      <c r="E32" s="24">
        <v>4.46854E-2</v>
      </c>
      <c r="F32" s="139">
        <f>_xlfn.XLOOKUP(CalibrationLog[[#This Row],[Date]], 'Daily Summary'!A:A, 'Daily Summary'!H:H, "n/a")</f>
        <v>0.3804177222222222</v>
      </c>
      <c r="G32" s="140">
        <f>_xlfn.XLOOKUP(CalibrationLog[[#This Row],[Date]], 'Daily Summary'!A:A, 'Daily Summary'!K:K, "n/a")</f>
        <v>9.1966633333333339E-2</v>
      </c>
      <c r="H32" s="141" t="str">
        <f>IF(CalibrationLog[[#This Row],[Date]]="", "", IF(CalibrationLog[[#This Row],[World Error]]&lt;CalibrationLog[[#This Row],[World Error (Avg.)]], "Yes", "No"))</f>
        <v>Yes</v>
      </c>
      <c r="I32" s="142" t="str">
        <f>IF(CalibrationLog[[#This Row],[Date]]="", "", IF(CalibrationLog[[#This Row],[Image Error]]&lt;G32, "Yes", "No"))</f>
        <v>Yes</v>
      </c>
    </row>
    <row r="33" spans="1:9" x14ac:dyDescent="0.25">
      <c r="A33" s="6">
        <v>46230</v>
      </c>
      <c r="B33" s="26" t="s">
        <v>26</v>
      </c>
      <c r="C33" s="7">
        <v>1409</v>
      </c>
      <c r="D33" s="23">
        <v>0.21656300000000001</v>
      </c>
      <c r="E33" s="24">
        <v>6.9651900000000003E-2</v>
      </c>
      <c r="F33" s="139">
        <f>_xlfn.XLOOKUP(CalibrationLog[[#This Row],[Date]], 'Daily Summary'!A:A, 'Daily Summary'!H:H, "n/a")</f>
        <v>0.3804177222222222</v>
      </c>
      <c r="G33" s="140">
        <f>_xlfn.XLOOKUP(CalibrationLog[[#This Row],[Date]], 'Daily Summary'!A:A, 'Daily Summary'!K:K, "n/a")</f>
        <v>9.1966633333333339E-2</v>
      </c>
      <c r="H33" s="141" t="str">
        <f>IF(CalibrationLog[[#This Row],[Date]]="", "", IF(CalibrationLog[[#This Row],[World Error]]&lt;CalibrationLog[[#This Row],[World Error (Avg.)]], "Yes", "No"))</f>
        <v>Yes</v>
      </c>
      <c r="I33" s="142" t="str">
        <f>IF(CalibrationLog[[#This Row],[Date]]="", "", IF(CalibrationLog[[#This Row],[Image Error]]&lt;G33, "Yes", "No"))</f>
        <v>Yes</v>
      </c>
    </row>
    <row r="34" spans="1:9" x14ac:dyDescent="0.25">
      <c r="A34" s="6">
        <v>46230</v>
      </c>
      <c r="B34" s="26" t="s">
        <v>27</v>
      </c>
      <c r="C34" s="7">
        <v>1914</v>
      </c>
      <c r="D34" s="23">
        <v>0.46116299999999999</v>
      </c>
      <c r="E34" s="24">
        <v>0.104768</v>
      </c>
      <c r="F34" s="139">
        <f>_xlfn.XLOOKUP(CalibrationLog[[#This Row],[Date]], 'Daily Summary'!A:A, 'Daily Summary'!H:H, "n/a")</f>
        <v>0.3804177222222222</v>
      </c>
      <c r="G34" s="140">
        <f>_xlfn.XLOOKUP(CalibrationLog[[#This Row],[Date]], 'Daily Summary'!A:A, 'Daily Summary'!K:K, "n/a")</f>
        <v>9.1966633333333339E-2</v>
      </c>
      <c r="H34" s="141" t="str">
        <f>IF(CalibrationLog[[#This Row],[Date]]="", "", IF(CalibrationLog[[#This Row],[World Error]]&lt;CalibrationLog[[#This Row],[World Error (Avg.)]], "Yes", "No"))</f>
        <v>No</v>
      </c>
      <c r="I34" s="142" t="str">
        <f>IF(CalibrationLog[[#This Row],[Date]]="", "", IF(CalibrationLog[[#This Row],[Image Error]]&lt;G34, "Yes", "No"))</f>
        <v>No</v>
      </c>
    </row>
    <row r="35" spans="1:9" x14ac:dyDescent="0.25">
      <c r="A35" s="6">
        <v>46230</v>
      </c>
      <c r="B35" s="26" t="s">
        <v>28</v>
      </c>
      <c r="C35" s="7">
        <v>1154</v>
      </c>
      <c r="D35" s="23">
        <v>0.49668299999999999</v>
      </c>
      <c r="E35" s="24">
        <v>0.111633</v>
      </c>
      <c r="F35" s="139">
        <f>_xlfn.XLOOKUP(CalibrationLog[[#This Row],[Date]], 'Daily Summary'!A:A, 'Daily Summary'!H:H, "n/a")</f>
        <v>0.3804177222222222</v>
      </c>
      <c r="G35" s="140">
        <f>_xlfn.XLOOKUP(CalibrationLog[[#This Row],[Date]], 'Daily Summary'!A:A, 'Daily Summary'!K:K, "n/a")</f>
        <v>9.1966633333333339E-2</v>
      </c>
      <c r="H35" s="141" t="str">
        <f>IF(CalibrationLog[[#This Row],[Date]]="", "", IF(CalibrationLog[[#This Row],[World Error]]&lt;CalibrationLog[[#This Row],[World Error (Avg.)]], "Yes", "No"))</f>
        <v>No</v>
      </c>
      <c r="I35" s="142" t="str">
        <f>IF(CalibrationLog[[#This Row],[Date]]="", "", IF(CalibrationLog[[#This Row],[Image Error]]&lt;G35, "Yes", "No"))</f>
        <v>No</v>
      </c>
    </row>
    <row r="36" spans="1:9" x14ac:dyDescent="0.25">
      <c r="A36" s="6">
        <v>46230</v>
      </c>
      <c r="B36" s="26" t="s">
        <v>29</v>
      </c>
      <c r="C36" s="7">
        <v>1614</v>
      </c>
      <c r="D36" s="23">
        <v>0.32052799999999998</v>
      </c>
      <c r="E36" s="24">
        <v>6.6401399999999999E-2</v>
      </c>
      <c r="F36" s="139">
        <f>_xlfn.XLOOKUP(CalibrationLog[[#This Row],[Date]], 'Daily Summary'!A:A, 'Daily Summary'!H:H, "n/a")</f>
        <v>0.3804177222222222</v>
      </c>
      <c r="G36" s="140">
        <f>_xlfn.XLOOKUP(CalibrationLog[[#This Row],[Date]], 'Daily Summary'!A:A, 'Daily Summary'!K:K, "n/a")</f>
        <v>9.1966633333333339E-2</v>
      </c>
      <c r="H36" s="141" t="str">
        <f>IF(CalibrationLog[[#This Row],[Date]]="", "", IF(CalibrationLog[[#This Row],[World Error]]&lt;CalibrationLog[[#This Row],[World Error (Avg.)]], "Yes", "No"))</f>
        <v>Yes</v>
      </c>
      <c r="I36" s="142" t="str">
        <f>IF(CalibrationLog[[#This Row],[Date]]="", "", IF(CalibrationLog[[#This Row],[Image Error]]&lt;G36, "Yes", "No"))</f>
        <v>Yes</v>
      </c>
    </row>
    <row r="37" spans="1:9" x14ac:dyDescent="0.25">
      <c r="A37" s="6">
        <v>46230</v>
      </c>
      <c r="B37" s="26" t="s">
        <v>30</v>
      </c>
      <c r="C37" s="7">
        <v>1342</v>
      </c>
      <c r="D37" s="23">
        <v>0.56830499999999995</v>
      </c>
      <c r="E37" s="24">
        <v>0.114508</v>
      </c>
      <c r="F37" s="139">
        <f>_xlfn.XLOOKUP(CalibrationLog[[#This Row],[Date]], 'Daily Summary'!A:A, 'Daily Summary'!H:H, "n/a")</f>
        <v>0.3804177222222222</v>
      </c>
      <c r="G37" s="140">
        <f>_xlfn.XLOOKUP(CalibrationLog[[#This Row],[Date]], 'Daily Summary'!A:A, 'Daily Summary'!K:K, "n/a")</f>
        <v>9.1966633333333339E-2</v>
      </c>
      <c r="H37" s="141" t="str">
        <f>IF(CalibrationLog[[#This Row],[Date]]="", "", IF(CalibrationLog[[#This Row],[World Error]]&lt;CalibrationLog[[#This Row],[World Error (Avg.)]], "Yes", "No"))</f>
        <v>No</v>
      </c>
      <c r="I37" s="142" t="str">
        <f>IF(CalibrationLog[[#This Row],[Date]]="", "", IF(CalibrationLog[[#This Row],[Image Error]]&lt;G37, "Yes", "No"))</f>
        <v>No</v>
      </c>
    </row>
    <row r="38" spans="1:9" x14ac:dyDescent="0.25">
      <c r="A38" s="6">
        <v>46231</v>
      </c>
      <c r="B38" s="26" t="s">
        <v>14</v>
      </c>
      <c r="C38" s="7">
        <v>2192</v>
      </c>
      <c r="D38" s="23">
        <v>0.32684800000000003</v>
      </c>
      <c r="E38" s="24">
        <v>9.1957899999999995E-2</v>
      </c>
      <c r="F38" s="139">
        <f>_xlfn.XLOOKUP(CalibrationLog[[#This Row],[Date]], 'Daily Summary'!A:A, 'Daily Summary'!H:H, "n/a")</f>
        <v>0.3508782777777778</v>
      </c>
      <c r="G38" s="140">
        <f>_xlfn.XLOOKUP(CalibrationLog[[#This Row],[Date]], 'Daily Summary'!A:A, 'Daily Summary'!K:K, "n/a")</f>
        <v>8.4730411111111126E-2</v>
      </c>
      <c r="H38" s="141" t="str">
        <f>IF(CalibrationLog[[#This Row],[Date]]="", "", IF(CalibrationLog[[#This Row],[World Error]]&lt;CalibrationLog[[#This Row],[World Error (Avg.)]], "Yes", "No"))</f>
        <v>Yes</v>
      </c>
      <c r="I38" s="142" t="str">
        <f>IF(CalibrationLog[[#This Row],[Date]]="", "", IF(CalibrationLog[[#This Row],[Image Error]]&lt;G38, "Yes", "No"))</f>
        <v>No</v>
      </c>
    </row>
    <row r="39" spans="1:9" x14ac:dyDescent="0.25">
      <c r="A39" s="6">
        <v>46231</v>
      </c>
      <c r="B39" s="26" t="s">
        <v>15</v>
      </c>
      <c r="C39" s="7">
        <v>2430</v>
      </c>
      <c r="D39" s="23">
        <v>0.55680700000000005</v>
      </c>
      <c r="E39" s="24">
        <v>0.14671400000000001</v>
      </c>
      <c r="F39" s="139">
        <f>_xlfn.XLOOKUP(CalibrationLog[[#This Row],[Date]], 'Daily Summary'!A:A, 'Daily Summary'!H:H, "n/a")</f>
        <v>0.3508782777777778</v>
      </c>
      <c r="G39" s="140">
        <f>_xlfn.XLOOKUP(CalibrationLog[[#This Row],[Date]], 'Daily Summary'!A:A, 'Daily Summary'!K:K, "n/a")</f>
        <v>8.4730411111111126E-2</v>
      </c>
      <c r="H39" s="141" t="str">
        <f>IF(CalibrationLog[[#This Row],[Date]]="", "", IF(CalibrationLog[[#This Row],[World Error]]&lt;CalibrationLog[[#This Row],[World Error (Avg.)]], "Yes", "No"))</f>
        <v>No</v>
      </c>
      <c r="I39" s="142" t="str">
        <f>IF(CalibrationLog[[#This Row],[Date]]="", "", IF(CalibrationLog[[#This Row],[Image Error]]&lt;G39, "Yes", "No"))</f>
        <v>No</v>
      </c>
    </row>
    <row r="40" spans="1:9" x14ac:dyDescent="0.25">
      <c r="A40" s="6">
        <v>46231</v>
      </c>
      <c r="B40" s="26" t="s">
        <v>16</v>
      </c>
      <c r="C40" s="7">
        <v>1832</v>
      </c>
      <c r="D40" s="23">
        <v>0.34914299999999998</v>
      </c>
      <c r="E40" s="24">
        <v>8.1951999999999997E-2</v>
      </c>
      <c r="F40" s="139">
        <f>_xlfn.XLOOKUP(CalibrationLog[[#This Row],[Date]], 'Daily Summary'!A:A, 'Daily Summary'!H:H, "n/a")</f>
        <v>0.3508782777777778</v>
      </c>
      <c r="G40" s="140">
        <f>_xlfn.XLOOKUP(CalibrationLog[[#This Row],[Date]], 'Daily Summary'!A:A, 'Daily Summary'!K:K, "n/a")</f>
        <v>8.4730411111111126E-2</v>
      </c>
      <c r="H40" s="141" t="str">
        <f>IF(CalibrationLog[[#This Row],[Date]]="", "", IF(CalibrationLog[[#This Row],[World Error]]&lt;CalibrationLog[[#This Row],[World Error (Avg.)]], "Yes", "No"))</f>
        <v>Yes</v>
      </c>
      <c r="I40" s="142" t="str">
        <f>IF(CalibrationLog[[#This Row],[Date]]="", "", IF(CalibrationLog[[#This Row],[Image Error]]&lt;G40, "Yes", "No"))</f>
        <v>Yes</v>
      </c>
    </row>
    <row r="41" spans="1:9" x14ac:dyDescent="0.25">
      <c r="A41" s="6">
        <v>46231</v>
      </c>
      <c r="B41" s="26" t="s">
        <v>17</v>
      </c>
      <c r="C41" s="7">
        <v>2081</v>
      </c>
      <c r="D41" s="23">
        <v>0.55386500000000005</v>
      </c>
      <c r="E41" s="24">
        <v>0.109685</v>
      </c>
      <c r="F41" s="139">
        <f>_xlfn.XLOOKUP(CalibrationLog[[#This Row],[Date]], 'Daily Summary'!A:A, 'Daily Summary'!H:H, "n/a")</f>
        <v>0.3508782777777778</v>
      </c>
      <c r="G41" s="140">
        <f>_xlfn.XLOOKUP(CalibrationLog[[#This Row],[Date]], 'Daily Summary'!A:A, 'Daily Summary'!K:K, "n/a")</f>
        <v>8.4730411111111126E-2</v>
      </c>
      <c r="H41" s="141" t="str">
        <f>IF(CalibrationLog[[#This Row],[Date]]="", "", IF(CalibrationLog[[#This Row],[World Error]]&lt;CalibrationLog[[#This Row],[World Error (Avg.)]], "Yes", "No"))</f>
        <v>No</v>
      </c>
      <c r="I41" s="142" t="str">
        <f>IF(CalibrationLog[[#This Row],[Date]]="", "", IF(CalibrationLog[[#This Row],[Image Error]]&lt;G41, "Yes", "No"))</f>
        <v>No</v>
      </c>
    </row>
    <row r="42" spans="1:9" x14ac:dyDescent="0.25">
      <c r="A42" s="6">
        <v>46231</v>
      </c>
      <c r="B42" s="26" t="s">
        <v>18</v>
      </c>
      <c r="C42" s="7">
        <v>2109</v>
      </c>
      <c r="D42" s="23">
        <v>0.32659700000000003</v>
      </c>
      <c r="E42" s="24">
        <v>7.7769500000000005E-2</v>
      </c>
      <c r="F42" s="139">
        <f>_xlfn.XLOOKUP(CalibrationLog[[#This Row],[Date]], 'Daily Summary'!A:A, 'Daily Summary'!H:H, "n/a")</f>
        <v>0.3508782777777778</v>
      </c>
      <c r="G42" s="140">
        <f>_xlfn.XLOOKUP(CalibrationLog[[#This Row],[Date]], 'Daily Summary'!A:A, 'Daily Summary'!K:K, "n/a")</f>
        <v>8.4730411111111126E-2</v>
      </c>
      <c r="H42" s="141" t="str">
        <f>IF(CalibrationLog[[#This Row],[Date]]="", "", IF(CalibrationLog[[#This Row],[World Error]]&lt;CalibrationLog[[#This Row],[World Error (Avg.)]], "Yes", "No"))</f>
        <v>Yes</v>
      </c>
      <c r="I42" s="142" t="str">
        <f>IF(CalibrationLog[[#This Row],[Date]]="", "", IF(CalibrationLog[[#This Row],[Image Error]]&lt;G42, "Yes", "No"))</f>
        <v>Yes</v>
      </c>
    </row>
    <row r="43" spans="1:9" x14ac:dyDescent="0.25">
      <c r="A43" s="6">
        <v>46231</v>
      </c>
      <c r="B43" s="26" t="s">
        <v>19</v>
      </c>
      <c r="C43" s="7">
        <v>2103</v>
      </c>
      <c r="D43" s="23">
        <v>0.39977800000000002</v>
      </c>
      <c r="E43" s="24">
        <v>8.4118100000000001E-2</v>
      </c>
      <c r="F43" s="139">
        <f>_xlfn.XLOOKUP(CalibrationLog[[#This Row],[Date]], 'Daily Summary'!A:A, 'Daily Summary'!H:H, "n/a")</f>
        <v>0.3508782777777778</v>
      </c>
      <c r="G43" s="140">
        <f>_xlfn.XLOOKUP(CalibrationLog[[#This Row],[Date]], 'Daily Summary'!A:A, 'Daily Summary'!K:K, "n/a")</f>
        <v>8.4730411111111126E-2</v>
      </c>
      <c r="H43" s="141" t="str">
        <f>IF(CalibrationLog[[#This Row],[Date]]="", "", IF(CalibrationLog[[#This Row],[World Error]]&lt;CalibrationLog[[#This Row],[World Error (Avg.)]], "Yes", "No"))</f>
        <v>No</v>
      </c>
      <c r="I43" s="142" t="str">
        <f>IF(CalibrationLog[[#This Row],[Date]]="", "", IF(CalibrationLog[[#This Row],[Image Error]]&lt;G43, "Yes", "No"))</f>
        <v>Yes</v>
      </c>
    </row>
    <row r="44" spans="1:9" x14ac:dyDescent="0.25">
      <c r="A44" s="6">
        <v>46231</v>
      </c>
      <c r="B44" s="26" t="s">
        <v>20</v>
      </c>
      <c r="C44" s="7">
        <v>2171</v>
      </c>
      <c r="D44" s="23">
        <v>0.42612899999999998</v>
      </c>
      <c r="E44" s="24">
        <v>8.9207099999999998E-2</v>
      </c>
      <c r="F44" s="139">
        <f>_xlfn.XLOOKUP(CalibrationLog[[#This Row],[Date]], 'Daily Summary'!A:A, 'Daily Summary'!H:H, "n/a")</f>
        <v>0.3508782777777778</v>
      </c>
      <c r="G44" s="140">
        <f>_xlfn.XLOOKUP(CalibrationLog[[#This Row],[Date]], 'Daily Summary'!A:A, 'Daily Summary'!K:K, "n/a")</f>
        <v>8.4730411111111126E-2</v>
      </c>
      <c r="H44" s="141" t="str">
        <f>IF(CalibrationLog[[#This Row],[Date]]="", "", IF(CalibrationLog[[#This Row],[World Error]]&lt;CalibrationLog[[#This Row],[World Error (Avg.)]], "Yes", "No"))</f>
        <v>No</v>
      </c>
      <c r="I44" s="142" t="str">
        <f>IF(CalibrationLog[[#This Row],[Date]]="", "", IF(CalibrationLog[[#This Row],[Image Error]]&lt;G44, "Yes", "No"))</f>
        <v>No</v>
      </c>
    </row>
    <row r="45" spans="1:9" x14ac:dyDescent="0.25">
      <c r="A45" s="6">
        <v>46231</v>
      </c>
      <c r="B45" s="26" t="s">
        <v>46</v>
      </c>
      <c r="C45" s="7">
        <v>1004</v>
      </c>
      <c r="D45" s="23">
        <v>0.157855</v>
      </c>
      <c r="E45" s="24">
        <v>4.7859600000000002E-2</v>
      </c>
      <c r="F45" s="139">
        <f>_xlfn.XLOOKUP(CalibrationLog[[#This Row],[Date]], 'Daily Summary'!A:A, 'Daily Summary'!H:H, "n/a")</f>
        <v>0.3508782777777778</v>
      </c>
      <c r="G45" s="140">
        <f>_xlfn.XLOOKUP(CalibrationLog[[#This Row],[Date]], 'Daily Summary'!A:A, 'Daily Summary'!K:K, "n/a")</f>
        <v>8.4730411111111126E-2</v>
      </c>
      <c r="H45" s="141" t="str">
        <f>IF(CalibrationLog[[#This Row],[Date]]="", "", IF(CalibrationLog[[#This Row],[World Error]]&lt;CalibrationLog[[#This Row],[World Error (Avg.)]], "Yes", "No"))</f>
        <v>Yes</v>
      </c>
      <c r="I45" s="142" t="str">
        <f>IF(CalibrationLog[[#This Row],[Date]]="", "", IF(CalibrationLog[[#This Row],[Image Error]]&lt;G45, "Yes", "No"))</f>
        <v>Yes</v>
      </c>
    </row>
    <row r="46" spans="1:9" x14ac:dyDescent="0.25">
      <c r="A46" s="6">
        <v>46231</v>
      </c>
      <c r="B46" s="26" t="s">
        <v>21</v>
      </c>
      <c r="C46" s="7">
        <v>2717</v>
      </c>
      <c r="D46" s="23">
        <v>0.35114800000000002</v>
      </c>
      <c r="E46" s="24">
        <v>6.8267099999999997E-2</v>
      </c>
      <c r="F46" s="139">
        <f>_xlfn.XLOOKUP(CalibrationLog[[#This Row],[Date]], 'Daily Summary'!A:A, 'Daily Summary'!H:H, "n/a")</f>
        <v>0.3508782777777778</v>
      </c>
      <c r="G46" s="140">
        <f>_xlfn.XLOOKUP(CalibrationLog[[#This Row],[Date]], 'Daily Summary'!A:A, 'Daily Summary'!K:K, "n/a")</f>
        <v>8.4730411111111126E-2</v>
      </c>
      <c r="H46" s="141" t="str">
        <f>IF(CalibrationLog[[#This Row],[Date]]="", "", IF(CalibrationLog[[#This Row],[World Error]]&lt;CalibrationLog[[#This Row],[World Error (Avg.)]], "Yes", "No"))</f>
        <v>No</v>
      </c>
      <c r="I46" s="142" t="str">
        <f>IF(CalibrationLog[[#This Row],[Date]]="", "", IF(CalibrationLog[[#This Row],[Image Error]]&lt;G46, "Yes", "No"))</f>
        <v>Yes</v>
      </c>
    </row>
    <row r="47" spans="1:9" x14ac:dyDescent="0.25">
      <c r="A47" s="6">
        <v>46231</v>
      </c>
      <c r="B47" s="26" t="s">
        <v>22</v>
      </c>
      <c r="C47" s="7">
        <v>1748</v>
      </c>
      <c r="D47" s="23">
        <v>0.508247</v>
      </c>
      <c r="E47" s="24">
        <v>0.13811000000000001</v>
      </c>
      <c r="F47" s="139">
        <f>_xlfn.XLOOKUP(CalibrationLog[[#This Row],[Date]], 'Daily Summary'!A:A, 'Daily Summary'!H:H, "n/a")</f>
        <v>0.3508782777777778</v>
      </c>
      <c r="G47" s="140">
        <f>_xlfn.XLOOKUP(CalibrationLog[[#This Row],[Date]], 'Daily Summary'!A:A, 'Daily Summary'!K:K, "n/a")</f>
        <v>8.4730411111111126E-2</v>
      </c>
      <c r="H47" s="141" t="str">
        <f>IF(CalibrationLog[[#This Row],[Date]]="", "", IF(CalibrationLog[[#This Row],[World Error]]&lt;CalibrationLog[[#This Row],[World Error (Avg.)]], "Yes", "No"))</f>
        <v>No</v>
      </c>
      <c r="I47" s="142" t="str">
        <f>IF(CalibrationLog[[#This Row],[Date]]="", "", IF(CalibrationLog[[#This Row],[Image Error]]&lt;G47, "Yes", "No"))</f>
        <v>No</v>
      </c>
    </row>
    <row r="48" spans="1:9" x14ac:dyDescent="0.25">
      <c r="A48" s="6">
        <v>46231</v>
      </c>
      <c r="B48" s="26" t="s">
        <v>23</v>
      </c>
      <c r="C48" s="7">
        <v>1329</v>
      </c>
      <c r="D48" s="23">
        <v>0.36122100000000001</v>
      </c>
      <c r="E48" s="24">
        <v>0.118642</v>
      </c>
      <c r="F48" s="139">
        <f>_xlfn.XLOOKUP(CalibrationLog[[#This Row],[Date]], 'Daily Summary'!A:A, 'Daily Summary'!H:H, "n/a")</f>
        <v>0.3508782777777778</v>
      </c>
      <c r="G48" s="140">
        <f>_xlfn.XLOOKUP(CalibrationLog[[#This Row],[Date]], 'Daily Summary'!A:A, 'Daily Summary'!K:K, "n/a")</f>
        <v>8.4730411111111126E-2</v>
      </c>
      <c r="H48" s="141" t="str">
        <f>IF(CalibrationLog[[#This Row],[Date]]="", "", IF(CalibrationLog[[#This Row],[World Error]]&lt;CalibrationLog[[#This Row],[World Error (Avg.)]], "Yes", "No"))</f>
        <v>No</v>
      </c>
      <c r="I48" s="142" t="str">
        <f>IF(CalibrationLog[[#This Row],[Date]]="", "", IF(CalibrationLog[[#This Row],[Image Error]]&lt;G48, "Yes", "No"))</f>
        <v>No</v>
      </c>
    </row>
    <row r="49" spans="1:9" x14ac:dyDescent="0.25">
      <c r="A49" s="6">
        <v>46231</v>
      </c>
      <c r="B49" s="26" t="s">
        <v>24</v>
      </c>
      <c r="C49" s="7">
        <v>1653</v>
      </c>
      <c r="D49" s="23">
        <v>0.19215299999999999</v>
      </c>
      <c r="E49" s="24">
        <v>5.9232199999999999E-2</v>
      </c>
      <c r="F49" s="139">
        <f>_xlfn.XLOOKUP(CalibrationLog[[#This Row],[Date]], 'Daily Summary'!A:A, 'Daily Summary'!H:H, "n/a")</f>
        <v>0.3508782777777778</v>
      </c>
      <c r="G49" s="140">
        <f>_xlfn.XLOOKUP(CalibrationLog[[#This Row],[Date]], 'Daily Summary'!A:A, 'Daily Summary'!K:K, "n/a")</f>
        <v>8.4730411111111126E-2</v>
      </c>
      <c r="H49" s="141" t="str">
        <f>IF(CalibrationLog[[#This Row],[Date]]="", "", IF(CalibrationLog[[#This Row],[World Error]]&lt;CalibrationLog[[#This Row],[World Error (Avg.)]], "Yes", "No"))</f>
        <v>Yes</v>
      </c>
      <c r="I49" s="142" t="str">
        <f>IF(CalibrationLog[[#This Row],[Date]]="", "", IF(CalibrationLog[[#This Row],[Image Error]]&lt;G49, "Yes", "No"))</f>
        <v>Yes</v>
      </c>
    </row>
    <row r="50" spans="1:9" x14ac:dyDescent="0.25">
      <c r="A50" s="6">
        <v>46231</v>
      </c>
      <c r="B50" s="26" t="s">
        <v>25</v>
      </c>
      <c r="C50" s="7">
        <v>1260</v>
      </c>
      <c r="D50" s="23">
        <v>0.220161</v>
      </c>
      <c r="E50" s="24">
        <v>5.2973800000000001E-2</v>
      </c>
      <c r="F50" s="139">
        <f>_xlfn.XLOOKUP(CalibrationLog[[#This Row],[Date]], 'Daily Summary'!A:A, 'Daily Summary'!H:H, "n/a")</f>
        <v>0.3508782777777778</v>
      </c>
      <c r="G50" s="140">
        <f>_xlfn.XLOOKUP(CalibrationLog[[#This Row],[Date]], 'Daily Summary'!A:A, 'Daily Summary'!K:K, "n/a")</f>
        <v>8.4730411111111126E-2</v>
      </c>
      <c r="H50" s="141" t="str">
        <f>IF(CalibrationLog[[#This Row],[Date]]="", "", IF(CalibrationLog[[#This Row],[World Error]]&lt;CalibrationLog[[#This Row],[World Error (Avg.)]], "Yes", "No"))</f>
        <v>Yes</v>
      </c>
      <c r="I50" s="142" t="str">
        <f>IF(CalibrationLog[[#This Row],[Date]]="", "", IF(CalibrationLog[[#This Row],[Image Error]]&lt;G50, "Yes", "No"))</f>
        <v>Yes</v>
      </c>
    </row>
    <row r="51" spans="1:9" x14ac:dyDescent="0.25">
      <c r="A51" s="6">
        <v>46231</v>
      </c>
      <c r="B51" s="26" t="s">
        <v>26</v>
      </c>
      <c r="C51" s="7">
        <v>1442</v>
      </c>
      <c r="D51" s="23">
        <v>0.19145999999999999</v>
      </c>
      <c r="E51" s="24">
        <v>6.1579000000000002E-2</v>
      </c>
      <c r="F51" s="139">
        <f>_xlfn.XLOOKUP(CalibrationLog[[#This Row],[Date]], 'Daily Summary'!A:A, 'Daily Summary'!H:H, "n/a")</f>
        <v>0.3508782777777778</v>
      </c>
      <c r="G51" s="140">
        <f>_xlfn.XLOOKUP(CalibrationLog[[#This Row],[Date]], 'Daily Summary'!A:A, 'Daily Summary'!K:K, "n/a")</f>
        <v>8.4730411111111126E-2</v>
      </c>
      <c r="H51" s="141" t="str">
        <f>IF(CalibrationLog[[#This Row],[Date]]="", "", IF(CalibrationLog[[#This Row],[World Error]]&lt;CalibrationLog[[#This Row],[World Error (Avg.)]], "Yes", "No"))</f>
        <v>Yes</v>
      </c>
      <c r="I51" s="142" t="str">
        <f>IF(CalibrationLog[[#This Row],[Date]]="", "", IF(CalibrationLog[[#This Row],[Image Error]]&lt;G51, "Yes", "No"))</f>
        <v>Yes</v>
      </c>
    </row>
    <row r="52" spans="1:9" x14ac:dyDescent="0.25">
      <c r="A52" s="6">
        <v>46231</v>
      </c>
      <c r="B52" s="26" t="s">
        <v>27</v>
      </c>
      <c r="C52" s="7">
        <v>1990</v>
      </c>
      <c r="D52" s="23">
        <v>0.29572300000000001</v>
      </c>
      <c r="E52" s="24">
        <v>6.7059099999999996E-2</v>
      </c>
      <c r="F52" s="139">
        <f>_xlfn.XLOOKUP(CalibrationLog[[#This Row],[Date]], 'Daily Summary'!A:A, 'Daily Summary'!H:H, "n/a")</f>
        <v>0.3508782777777778</v>
      </c>
      <c r="G52" s="140">
        <f>_xlfn.XLOOKUP(CalibrationLog[[#This Row],[Date]], 'Daily Summary'!A:A, 'Daily Summary'!K:K, "n/a")</f>
        <v>8.4730411111111126E-2</v>
      </c>
      <c r="H52" s="141" t="str">
        <f>IF(CalibrationLog[[#This Row],[Date]]="", "", IF(CalibrationLog[[#This Row],[World Error]]&lt;CalibrationLog[[#This Row],[World Error (Avg.)]], "Yes", "No"))</f>
        <v>Yes</v>
      </c>
      <c r="I52" s="142" t="str">
        <f>IF(CalibrationLog[[#This Row],[Date]]="", "", IF(CalibrationLog[[#This Row],[Image Error]]&lt;G52, "Yes", "No"))</f>
        <v>Yes</v>
      </c>
    </row>
    <row r="53" spans="1:9" x14ac:dyDescent="0.25">
      <c r="A53" s="6">
        <v>46231</v>
      </c>
      <c r="B53" s="26" t="s">
        <v>28</v>
      </c>
      <c r="C53" s="7">
        <v>1384</v>
      </c>
      <c r="D53" s="23">
        <v>0.29070200000000002</v>
      </c>
      <c r="E53" s="24">
        <v>6.5277500000000002E-2</v>
      </c>
      <c r="F53" s="139">
        <f>_xlfn.XLOOKUP(CalibrationLog[[#This Row],[Date]], 'Daily Summary'!A:A, 'Daily Summary'!H:H, "n/a")</f>
        <v>0.3508782777777778</v>
      </c>
      <c r="G53" s="140">
        <f>_xlfn.XLOOKUP(CalibrationLog[[#This Row],[Date]], 'Daily Summary'!A:A, 'Daily Summary'!K:K, "n/a")</f>
        <v>8.4730411111111126E-2</v>
      </c>
      <c r="H53" s="141" t="str">
        <f>IF(CalibrationLog[[#This Row],[Date]]="", "", IF(CalibrationLog[[#This Row],[World Error]]&lt;CalibrationLog[[#This Row],[World Error (Avg.)]], "Yes", "No"))</f>
        <v>Yes</v>
      </c>
      <c r="I53" s="142" t="str">
        <f>IF(CalibrationLog[[#This Row],[Date]]="", "", IF(CalibrationLog[[#This Row],[Image Error]]&lt;G53, "Yes", "No"))</f>
        <v>Yes</v>
      </c>
    </row>
    <row r="54" spans="1:9" x14ac:dyDescent="0.25">
      <c r="A54" s="6">
        <v>46231</v>
      </c>
      <c r="B54" s="26" t="s">
        <v>29</v>
      </c>
      <c r="C54" s="7">
        <v>2118</v>
      </c>
      <c r="D54" s="23">
        <v>0.33533099999999999</v>
      </c>
      <c r="E54" s="24">
        <v>6.9472199999999998E-2</v>
      </c>
      <c r="F54" s="139">
        <f>_xlfn.XLOOKUP(CalibrationLog[[#This Row],[Date]], 'Daily Summary'!A:A, 'Daily Summary'!H:H, "n/a")</f>
        <v>0.3508782777777778</v>
      </c>
      <c r="G54" s="140">
        <f>_xlfn.XLOOKUP(CalibrationLog[[#This Row],[Date]], 'Daily Summary'!A:A, 'Daily Summary'!K:K, "n/a")</f>
        <v>8.4730411111111126E-2</v>
      </c>
      <c r="H54" s="141" t="str">
        <f>IF(CalibrationLog[[#This Row],[Date]]="", "", IF(CalibrationLog[[#This Row],[World Error]]&lt;CalibrationLog[[#This Row],[World Error (Avg.)]], "Yes", "No"))</f>
        <v>Yes</v>
      </c>
      <c r="I54" s="142" t="str">
        <f>IF(CalibrationLog[[#This Row],[Date]]="", "", IF(CalibrationLog[[#This Row],[Image Error]]&lt;G54, "Yes", "No"))</f>
        <v>Yes</v>
      </c>
    </row>
    <row r="55" spans="1:9" x14ac:dyDescent="0.25">
      <c r="A55" s="6">
        <v>46231</v>
      </c>
      <c r="B55" s="26" t="s">
        <v>30</v>
      </c>
      <c r="C55" s="7">
        <v>1432</v>
      </c>
      <c r="D55" s="23">
        <v>0.47264099999999998</v>
      </c>
      <c r="E55" s="24">
        <v>9.5271300000000003E-2</v>
      </c>
      <c r="F55" s="139">
        <f>_xlfn.XLOOKUP(CalibrationLog[[#This Row],[Date]], 'Daily Summary'!A:A, 'Daily Summary'!H:H, "n/a")</f>
        <v>0.3508782777777778</v>
      </c>
      <c r="G55" s="140">
        <f>_xlfn.XLOOKUP(CalibrationLog[[#This Row],[Date]], 'Daily Summary'!A:A, 'Daily Summary'!K:K, "n/a")</f>
        <v>8.4730411111111126E-2</v>
      </c>
      <c r="H55" s="141" t="str">
        <f>IF(CalibrationLog[[#This Row],[Date]]="", "", IF(CalibrationLog[[#This Row],[World Error]]&lt;CalibrationLog[[#This Row],[World Error (Avg.)]], "Yes", "No"))</f>
        <v>No</v>
      </c>
      <c r="I55" s="142" t="str">
        <f>IF(CalibrationLog[[#This Row],[Date]]="", "", IF(CalibrationLog[[#This Row],[Image Error]]&lt;G55, "Yes", "No"))</f>
        <v>No</v>
      </c>
    </row>
    <row r="56" spans="1:9" x14ac:dyDescent="0.25">
      <c r="A56" s="6">
        <v>46232</v>
      </c>
      <c r="B56" s="26" t="s">
        <v>14</v>
      </c>
      <c r="C56" s="7">
        <v>2734</v>
      </c>
      <c r="D56" s="23">
        <v>0.28613699999999997</v>
      </c>
      <c r="E56" s="24">
        <v>8.0479400000000006E-2</v>
      </c>
      <c r="F56" s="139">
        <f>_xlfn.XLOOKUP(CalibrationLog[[#This Row],[Date]], 'Daily Summary'!A:A, 'Daily Summary'!H:H, "n/a")</f>
        <v>0.36980916666666658</v>
      </c>
      <c r="G56" s="140">
        <f>_xlfn.XLOOKUP(CalibrationLog[[#This Row],[Date]], 'Daily Summary'!A:A, 'Daily Summary'!K:K, "n/a")</f>
        <v>8.8881683333333336E-2</v>
      </c>
      <c r="H56" s="141" t="str">
        <f>IF(CalibrationLog[[#This Row],[Date]]="", "", IF(CalibrationLog[[#This Row],[World Error]]&lt;CalibrationLog[[#This Row],[World Error (Avg.)]], "Yes", "No"))</f>
        <v>Yes</v>
      </c>
      <c r="I56" s="142" t="str">
        <f>IF(CalibrationLog[[#This Row],[Date]]="", "", IF(CalibrationLog[[#This Row],[Image Error]]&lt;G56, "Yes", "No"))</f>
        <v>Yes</v>
      </c>
    </row>
    <row r="57" spans="1:9" x14ac:dyDescent="0.25">
      <c r="A57" s="6">
        <v>46232</v>
      </c>
      <c r="B57" s="26" t="s">
        <v>15</v>
      </c>
      <c r="C57" s="7">
        <v>2228</v>
      </c>
      <c r="D57" s="23">
        <v>0.39689600000000003</v>
      </c>
      <c r="E57" s="24">
        <v>0.104628</v>
      </c>
      <c r="F57" s="139">
        <f>_xlfn.XLOOKUP(CalibrationLog[[#This Row],[Date]], 'Daily Summary'!A:A, 'Daily Summary'!H:H, "n/a")</f>
        <v>0.36980916666666658</v>
      </c>
      <c r="G57" s="140">
        <f>_xlfn.XLOOKUP(CalibrationLog[[#This Row],[Date]], 'Daily Summary'!A:A, 'Daily Summary'!K:K, "n/a")</f>
        <v>8.8881683333333336E-2</v>
      </c>
      <c r="H57" s="141" t="str">
        <f>IF(CalibrationLog[[#This Row],[Date]]="", "", IF(CalibrationLog[[#This Row],[World Error]]&lt;CalibrationLog[[#This Row],[World Error (Avg.)]], "Yes", "No"))</f>
        <v>No</v>
      </c>
      <c r="I57" s="142" t="str">
        <f>IF(CalibrationLog[[#This Row],[Date]]="", "", IF(CalibrationLog[[#This Row],[Image Error]]&lt;G57, "Yes", "No"))</f>
        <v>No</v>
      </c>
    </row>
    <row r="58" spans="1:9" x14ac:dyDescent="0.25">
      <c r="A58" s="6">
        <v>46232</v>
      </c>
      <c r="B58" s="26" t="s">
        <v>16</v>
      </c>
      <c r="C58" s="7">
        <v>1998</v>
      </c>
      <c r="D58" s="23">
        <v>0.45231500000000002</v>
      </c>
      <c r="E58" s="24">
        <v>0.106193</v>
      </c>
      <c r="F58" s="139">
        <f>_xlfn.XLOOKUP(CalibrationLog[[#This Row],[Date]], 'Daily Summary'!A:A, 'Daily Summary'!H:H, "n/a")</f>
        <v>0.36980916666666658</v>
      </c>
      <c r="G58" s="140">
        <f>_xlfn.XLOOKUP(CalibrationLog[[#This Row],[Date]], 'Daily Summary'!A:A, 'Daily Summary'!K:K, "n/a")</f>
        <v>8.8881683333333336E-2</v>
      </c>
      <c r="H58" s="141" t="str">
        <f>IF(CalibrationLog[[#This Row],[Date]]="", "", IF(CalibrationLog[[#This Row],[World Error]]&lt;CalibrationLog[[#This Row],[World Error (Avg.)]], "Yes", "No"))</f>
        <v>No</v>
      </c>
      <c r="I58" s="142" t="str">
        <f>IF(CalibrationLog[[#This Row],[Date]]="", "", IF(CalibrationLog[[#This Row],[Image Error]]&lt;G58, "Yes", "No"))</f>
        <v>No</v>
      </c>
    </row>
    <row r="59" spans="1:9" x14ac:dyDescent="0.25">
      <c r="A59" s="6">
        <v>46232</v>
      </c>
      <c r="B59" s="26" t="s">
        <v>17</v>
      </c>
      <c r="C59" s="7">
        <v>2381</v>
      </c>
      <c r="D59" s="23">
        <v>0.56917399999999996</v>
      </c>
      <c r="E59" s="24">
        <v>0.112651</v>
      </c>
      <c r="F59" s="139">
        <f>_xlfn.XLOOKUP(CalibrationLog[[#This Row],[Date]], 'Daily Summary'!A:A, 'Daily Summary'!H:H, "n/a")</f>
        <v>0.36980916666666658</v>
      </c>
      <c r="G59" s="140">
        <f>_xlfn.XLOOKUP(CalibrationLog[[#This Row],[Date]], 'Daily Summary'!A:A, 'Daily Summary'!K:K, "n/a")</f>
        <v>8.8881683333333336E-2</v>
      </c>
      <c r="H59" s="141" t="str">
        <f>IF(CalibrationLog[[#This Row],[Date]]="", "", IF(CalibrationLog[[#This Row],[World Error]]&lt;CalibrationLog[[#This Row],[World Error (Avg.)]], "Yes", "No"))</f>
        <v>No</v>
      </c>
      <c r="I59" s="142" t="str">
        <f>IF(CalibrationLog[[#This Row],[Date]]="", "", IF(CalibrationLog[[#This Row],[Image Error]]&lt;G59, "Yes", "No"))</f>
        <v>No</v>
      </c>
    </row>
    <row r="60" spans="1:9" x14ac:dyDescent="0.25">
      <c r="A60" s="6">
        <v>46232</v>
      </c>
      <c r="B60" s="26" t="s">
        <v>18</v>
      </c>
      <c r="C60" s="7">
        <v>1925</v>
      </c>
      <c r="D60" s="23">
        <v>0.27124799999999999</v>
      </c>
      <c r="E60" s="24">
        <v>6.4562400000000006E-2</v>
      </c>
      <c r="F60" s="139">
        <f>_xlfn.XLOOKUP(CalibrationLog[[#This Row],[Date]], 'Daily Summary'!A:A, 'Daily Summary'!H:H, "n/a")</f>
        <v>0.36980916666666658</v>
      </c>
      <c r="G60" s="140">
        <f>_xlfn.XLOOKUP(CalibrationLog[[#This Row],[Date]], 'Daily Summary'!A:A, 'Daily Summary'!K:K, "n/a")</f>
        <v>8.8881683333333336E-2</v>
      </c>
      <c r="H60" s="141" t="str">
        <f>IF(CalibrationLog[[#This Row],[Date]]="", "", IF(CalibrationLog[[#This Row],[World Error]]&lt;CalibrationLog[[#This Row],[World Error (Avg.)]], "Yes", "No"))</f>
        <v>Yes</v>
      </c>
      <c r="I60" s="142" t="str">
        <f>IF(CalibrationLog[[#This Row],[Date]]="", "", IF(CalibrationLog[[#This Row],[Image Error]]&lt;G60, "Yes", "No"))</f>
        <v>Yes</v>
      </c>
    </row>
    <row r="61" spans="1:9" x14ac:dyDescent="0.25">
      <c r="A61" s="6">
        <v>46232</v>
      </c>
      <c r="B61" s="26" t="s">
        <v>19</v>
      </c>
      <c r="C61" s="7">
        <v>1532</v>
      </c>
      <c r="D61" s="23">
        <v>0.38306699999999999</v>
      </c>
      <c r="E61" s="24">
        <v>8.06085E-2</v>
      </c>
      <c r="F61" s="139">
        <f>_xlfn.XLOOKUP(CalibrationLog[[#This Row],[Date]], 'Daily Summary'!A:A, 'Daily Summary'!H:H, "n/a")</f>
        <v>0.36980916666666658</v>
      </c>
      <c r="G61" s="140">
        <f>_xlfn.XLOOKUP(CalibrationLog[[#This Row],[Date]], 'Daily Summary'!A:A, 'Daily Summary'!K:K, "n/a")</f>
        <v>8.8881683333333336E-2</v>
      </c>
      <c r="H61" s="141" t="str">
        <f>IF(CalibrationLog[[#This Row],[Date]]="", "", IF(CalibrationLog[[#This Row],[World Error]]&lt;CalibrationLog[[#This Row],[World Error (Avg.)]], "Yes", "No"))</f>
        <v>No</v>
      </c>
      <c r="I61" s="142" t="str">
        <f>IF(CalibrationLog[[#This Row],[Date]]="", "", IF(CalibrationLog[[#This Row],[Image Error]]&lt;G61, "Yes", "No"))</f>
        <v>Yes</v>
      </c>
    </row>
    <row r="62" spans="1:9" x14ac:dyDescent="0.25">
      <c r="A62" s="6">
        <v>46232</v>
      </c>
      <c r="B62" s="26" t="s">
        <v>20</v>
      </c>
      <c r="C62" s="7">
        <v>1844</v>
      </c>
      <c r="D62" s="23">
        <v>0.39710200000000001</v>
      </c>
      <c r="E62" s="24">
        <v>8.3112099999999994E-2</v>
      </c>
      <c r="F62" s="139">
        <f>_xlfn.XLOOKUP(CalibrationLog[[#This Row],[Date]], 'Daily Summary'!A:A, 'Daily Summary'!H:H, "n/a")</f>
        <v>0.36980916666666658</v>
      </c>
      <c r="G62" s="140">
        <f>_xlfn.XLOOKUP(CalibrationLog[[#This Row],[Date]], 'Daily Summary'!A:A, 'Daily Summary'!K:K, "n/a")</f>
        <v>8.8881683333333336E-2</v>
      </c>
      <c r="H62" s="141" t="str">
        <f>IF(CalibrationLog[[#This Row],[Date]]="", "", IF(CalibrationLog[[#This Row],[World Error]]&lt;CalibrationLog[[#This Row],[World Error (Avg.)]], "Yes", "No"))</f>
        <v>No</v>
      </c>
      <c r="I62" s="142" t="str">
        <f>IF(CalibrationLog[[#This Row],[Date]]="", "", IF(CalibrationLog[[#This Row],[Image Error]]&lt;G62, "Yes", "No"))</f>
        <v>Yes</v>
      </c>
    </row>
    <row r="63" spans="1:9" x14ac:dyDescent="0.25">
      <c r="A63" s="6">
        <v>46232</v>
      </c>
      <c r="B63" s="26" t="s">
        <v>46</v>
      </c>
      <c r="C63" s="7">
        <v>1024</v>
      </c>
      <c r="D63" s="23">
        <v>0.228356</v>
      </c>
      <c r="E63" s="24">
        <v>6.9231899999999999E-2</v>
      </c>
      <c r="F63" s="139">
        <f>_xlfn.XLOOKUP(CalibrationLog[[#This Row],[Date]], 'Daily Summary'!A:A, 'Daily Summary'!H:H, "n/a")</f>
        <v>0.36980916666666658</v>
      </c>
      <c r="G63" s="140">
        <f>_xlfn.XLOOKUP(CalibrationLog[[#This Row],[Date]], 'Daily Summary'!A:A, 'Daily Summary'!K:K, "n/a")</f>
        <v>8.8881683333333336E-2</v>
      </c>
      <c r="H63" s="141" t="str">
        <f>IF(CalibrationLog[[#This Row],[Date]]="", "", IF(CalibrationLog[[#This Row],[World Error]]&lt;CalibrationLog[[#This Row],[World Error (Avg.)]], "Yes", "No"))</f>
        <v>Yes</v>
      </c>
      <c r="I63" s="142" t="str">
        <f>IF(CalibrationLog[[#This Row],[Date]]="", "", IF(CalibrationLog[[#This Row],[Image Error]]&lt;G63, "Yes", "No"))</f>
        <v>Yes</v>
      </c>
    </row>
    <row r="64" spans="1:9" x14ac:dyDescent="0.25">
      <c r="A64" s="6">
        <v>46232</v>
      </c>
      <c r="B64" s="26" t="s">
        <v>21</v>
      </c>
      <c r="C64" s="7">
        <v>3094</v>
      </c>
      <c r="D64" s="23">
        <v>0.439106</v>
      </c>
      <c r="E64" s="24">
        <v>8.5488999999999996E-2</v>
      </c>
      <c r="F64" s="139">
        <f>_xlfn.XLOOKUP(CalibrationLog[[#This Row],[Date]], 'Daily Summary'!A:A, 'Daily Summary'!H:H, "n/a")</f>
        <v>0.36980916666666658</v>
      </c>
      <c r="G64" s="140">
        <f>_xlfn.XLOOKUP(CalibrationLog[[#This Row],[Date]], 'Daily Summary'!A:A, 'Daily Summary'!K:K, "n/a")</f>
        <v>8.8881683333333336E-2</v>
      </c>
      <c r="H64" s="141" t="str">
        <f>IF(CalibrationLog[[#This Row],[Date]]="", "", IF(CalibrationLog[[#This Row],[World Error]]&lt;CalibrationLog[[#This Row],[World Error (Avg.)]], "Yes", "No"))</f>
        <v>No</v>
      </c>
      <c r="I64" s="142" t="str">
        <f>IF(CalibrationLog[[#This Row],[Date]]="", "", IF(CalibrationLog[[#This Row],[Image Error]]&lt;G64, "Yes", "No"))</f>
        <v>Yes</v>
      </c>
    </row>
    <row r="65" spans="1:9" x14ac:dyDescent="0.25">
      <c r="A65" s="6">
        <v>46232</v>
      </c>
      <c r="B65" s="26" t="s">
        <v>22</v>
      </c>
      <c r="C65" s="7">
        <v>2382</v>
      </c>
      <c r="D65" s="23">
        <v>0.50203399999999998</v>
      </c>
      <c r="E65" s="24">
        <v>0.136459</v>
      </c>
      <c r="F65" s="139">
        <f>_xlfn.XLOOKUP(CalibrationLog[[#This Row],[Date]], 'Daily Summary'!A:A, 'Daily Summary'!H:H, "n/a")</f>
        <v>0.36980916666666658</v>
      </c>
      <c r="G65" s="140">
        <f>_xlfn.XLOOKUP(CalibrationLog[[#This Row],[Date]], 'Daily Summary'!A:A, 'Daily Summary'!K:K, "n/a")</f>
        <v>8.8881683333333336E-2</v>
      </c>
      <c r="H65" s="141" t="str">
        <f>IF(CalibrationLog[[#This Row],[Date]]="", "", IF(CalibrationLog[[#This Row],[World Error]]&lt;CalibrationLog[[#This Row],[World Error (Avg.)]], "Yes", "No"))</f>
        <v>No</v>
      </c>
      <c r="I65" s="142" t="str">
        <f>IF(CalibrationLog[[#This Row],[Date]]="", "", IF(CalibrationLog[[#This Row],[Image Error]]&lt;G65, "Yes", "No"))</f>
        <v>No</v>
      </c>
    </row>
    <row r="66" spans="1:9" x14ac:dyDescent="0.25">
      <c r="A66" s="6">
        <v>46232</v>
      </c>
      <c r="B66" s="26" t="s">
        <v>23</v>
      </c>
      <c r="C66" s="7">
        <v>1548</v>
      </c>
      <c r="D66" s="23">
        <v>0.40054099999999998</v>
      </c>
      <c r="E66" s="24">
        <v>0.13156499999999999</v>
      </c>
      <c r="F66" s="139">
        <f>_xlfn.XLOOKUP(CalibrationLog[[#This Row],[Date]], 'Daily Summary'!A:A, 'Daily Summary'!H:H, "n/a")</f>
        <v>0.36980916666666658</v>
      </c>
      <c r="G66" s="140">
        <f>_xlfn.XLOOKUP(CalibrationLog[[#This Row],[Date]], 'Daily Summary'!A:A, 'Daily Summary'!K:K, "n/a")</f>
        <v>8.8881683333333336E-2</v>
      </c>
      <c r="H66" s="141" t="str">
        <f>IF(CalibrationLog[[#This Row],[Date]]="", "", IF(CalibrationLog[[#This Row],[World Error]]&lt;CalibrationLog[[#This Row],[World Error (Avg.)]], "Yes", "No"))</f>
        <v>No</v>
      </c>
      <c r="I66" s="142" t="str">
        <f>IF(CalibrationLog[[#This Row],[Date]]="", "", IF(CalibrationLog[[#This Row],[Image Error]]&lt;G66, "Yes", "No"))</f>
        <v>No</v>
      </c>
    </row>
    <row r="67" spans="1:9" x14ac:dyDescent="0.25">
      <c r="A67" s="6">
        <v>46232</v>
      </c>
      <c r="B67" s="26" t="s">
        <v>24</v>
      </c>
      <c r="C67" s="7">
        <v>2980</v>
      </c>
      <c r="D67" s="23">
        <v>0.20336000000000001</v>
      </c>
      <c r="E67" s="24">
        <v>6.2631199999999998E-2</v>
      </c>
      <c r="F67" s="139">
        <f>_xlfn.XLOOKUP(CalibrationLog[[#This Row],[Date]], 'Daily Summary'!A:A, 'Daily Summary'!H:H, "n/a")</f>
        <v>0.36980916666666658</v>
      </c>
      <c r="G67" s="140">
        <f>_xlfn.XLOOKUP(CalibrationLog[[#This Row],[Date]], 'Daily Summary'!A:A, 'Daily Summary'!K:K, "n/a")</f>
        <v>8.8881683333333336E-2</v>
      </c>
      <c r="H67" s="141" t="str">
        <f>IF(CalibrationLog[[#This Row],[Date]]="", "", IF(CalibrationLog[[#This Row],[World Error]]&lt;CalibrationLog[[#This Row],[World Error (Avg.)]], "Yes", "No"))</f>
        <v>Yes</v>
      </c>
      <c r="I67" s="142" t="str">
        <f>IF(CalibrationLog[[#This Row],[Date]]="", "", IF(CalibrationLog[[#This Row],[Image Error]]&lt;G67, "Yes", "No"))</f>
        <v>Yes</v>
      </c>
    </row>
    <row r="68" spans="1:9" x14ac:dyDescent="0.25">
      <c r="A68" s="6">
        <v>46232</v>
      </c>
      <c r="B68" s="26" t="s">
        <v>25</v>
      </c>
      <c r="C68" s="7">
        <v>1004</v>
      </c>
      <c r="D68" s="23">
        <v>0.25667299999999998</v>
      </c>
      <c r="E68" s="24">
        <v>6.1802799999999998E-2</v>
      </c>
      <c r="F68" s="139">
        <f>_xlfn.XLOOKUP(CalibrationLog[[#This Row],[Date]], 'Daily Summary'!A:A, 'Daily Summary'!H:H, "n/a")</f>
        <v>0.36980916666666658</v>
      </c>
      <c r="G68" s="140">
        <f>_xlfn.XLOOKUP(CalibrationLog[[#This Row],[Date]], 'Daily Summary'!A:A, 'Daily Summary'!K:K, "n/a")</f>
        <v>8.8881683333333336E-2</v>
      </c>
      <c r="H68" s="141" t="str">
        <f>IF(CalibrationLog[[#This Row],[Date]]="", "", IF(CalibrationLog[[#This Row],[World Error]]&lt;CalibrationLog[[#This Row],[World Error (Avg.)]], "Yes", "No"))</f>
        <v>Yes</v>
      </c>
      <c r="I68" s="142" t="str">
        <f>IF(CalibrationLog[[#This Row],[Date]]="", "", IF(CalibrationLog[[#This Row],[Image Error]]&lt;G68, "Yes", "No"))</f>
        <v>Yes</v>
      </c>
    </row>
    <row r="69" spans="1:9" x14ac:dyDescent="0.25">
      <c r="A69" s="6">
        <v>46232</v>
      </c>
      <c r="B69" s="26" t="s">
        <v>26</v>
      </c>
      <c r="C69" s="7">
        <v>2309</v>
      </c>
      <c r="D69" s="23">
        <v>0.18460799999999999</v>
      </c>
      <c r="E69" s="24">
        <v>5.9381200000000002E-2</v>
      </c>
      <c r="F69" s="139">
        <f>_xlfn.XLOOKUP(CalibrationLog[[#This Row],[Date]], 'Daily Summary'!A:A, 'Daily Summary'!H:H, "n/a")</f>
        <v>0.36980916666666658</v>
      </c>
      <c r="G69" s="140">
        <f>_xlfn.XLOOKUP(CalibrationLog[[#This Row],[Date]], 'Daily Summary'!A:A, 'Daily Summary'!K:K, "n/a")</f>
        <v>8.8881683333333336E-2</v>
      </c>
      <c r="H69" s="141" t="str">
        <f>IF(CalibrationLog[[#This Row],[Date]]="", "", IF(CalibrationLog[[#This Row],[World Error]]&lt;CalibrationLog[[#This Row],[World Error (Avg.)]], "Yes", "No"))</f>
        <v>Yes</v>
      </c>
      <c r="I69" s="142" t="str">
        <f>IF(CalibrationLog[[#This Row],[Date]]="", "", IF(CalibrationLog[[#This Row],[Image Error]]&lt;G69, "Yes", "No"))</f>
        <v>Yes</v>
      </c>
    </row>
    <row r="70" spans="1:9" x14ac:dyDescent="0.25">
      <c r="A70" s="6">
        <v>46232</v>
      </c>
      <c r="B70" s="26" t="s">
        <v>27</v>
      </c>
      <c r="C70" s="7">
        <v>2107</v>
      </c>
      <c r="D70" s="23">
        <v>0.437442</v>
      </c>
      <c r="E70" s="24">
        <v>9.9357200000000007E-2</v>
      </c>
      <c r="F70" s="139">
        <f>_xlfn.XLOOKUP(CalibrationLog[[#This Row],[Date]], 'Daily Summary'!A:A, 'Daily Summary'!H:H, "n/a")</f>
        <v>0.36980916666666658</v>
      </c>
      <c r="G70" s="140">
        <f>_xlfn.XLOOKUP(CalibrationLog[[#This Row],[Date]], 'Daily Summary'!A:A, 'Daily Summary'!K:K, "n/a")</f>
        <v>8.8881683333333336E-2</v>
      </c>
      <c r="H70" s="141" t="str">
        <f>IF(CalibrationLog[[#This Row],[Date]]="", "", IF(CalibrationLog[[#This Row],[World Error]]&lt;CalibrationLog[[#This Row],[World Error (Avg.)]], "Yes", "No"))</f>
        <v>No</v>
      </c>
      <c r="I70" s="142" t="str">
        <f>IF(CalibrationLog[[#This Row],[Date]]="", "", IF(CalibrationLog[[#This Row],[Image Error]]&lt;G70, "Yes", "No"))</f>
        <v>No</v>
      </c>
    </row>
    <row r="71" spans="1:9" x14ac:dyDescent="0.25">
      <c r="A71" s="6">
        <v>46232</v>
      </c>
      <c r="B71" s="26" t="s">
        <v>28</v>
      </c>
      <c r="C71" s="7">
        <v>1476</v>
      </c>
      <c r="D71" s="23">
        <v>0.355014</v>
      </c>
      <c r="E71" s="24">
        <v>7.9746600000000001E-2</v>
      </c>
      <c r="F71" s="139">
        <f>_xlfn.XLOOKUP(CalibrationLog[[#This Row],[Date]], 'Daily Summary'!A:A, 'Daily Summary'!H:H, "n/a")</f>
        <v>0.36980916666666658</v>
      </c>
      <c r="G71" s="140">
        <f>_xlfn.XLOOKUP(CalibrationLog[[#This Row],[Date]], 'Daily Summary'!A:A, 'Daily Summary'!K:K, "n/a")</f>
        <v>8.8881683333333336E-2</v>
      </c>
      <c r="H71" s="141" t="str">
        <f>IF(CalibrationLog[[#This Row],[Date]]="", "", IF(CalibrationLog[[#This Row],[World Error]]&lt;CalibrationLog[[#This Row],[World Error (Avg.)]], "Yes", "No"))</f>
        <v>Yes</v>
      </c>
      <c r="I71" s="142" t="str">
        <f>IF(CalibrationLog[[#This Row],[Date]]="", "", IF(CalibrationLog[[#This Row],[Image Error]]&lt;G71, "Yes", "No"))</f>
        <v>Yes</v>
      </c>
    </row>
    <row r="72" spans="1:9" x14ac:dyDescent="0.25">
      <c r="A72" s="6">
        <v>46232</v>
      </c>
      <c r="B72" s="26" t="s">
        <v>29</v>
      </c>
      <c r="C72" s="7">
        <v>1689</v>
      </c>
      <c r="D72" s="23">
        <v>0.354182</v>
      </c>
      <c r="E72" s="24">
        <v>7.3407E-2</v>
      </c>
      <c r="F72" s="139">
        <f>_xlfn.XLOOKUP(CalibrationLog[[#This Row],[Date]], 'Daily Summary'!A:A, 'Daily Summary'!H:H, "n/a")</f>
        <v>0.36980916666666658</v>
      </c>
      <c r="G72" s="140">
        <f>_xlfn.XLOOKUP(CalibrationLog[[#This Row],[Date]], 'Daily Summary'!A:A, 'Daily Summary'!K:K, "n/a")</f>
        <v>8.8881683333333336E-2</v>
      </c>
      <c r="H72" s="141" t="str">
        <f>IF(CalibrationLog[[#This Row],[Date]]="", "", IF(CalibrationLog[[#This Row],[World Error]]&lt;CalibrationLog[[#This Row],[World Error (Avg.)]], "Yes", "No"))</f>
        <v>Yes</v>
      </c>
      <c r="I72" s="142" t="str">
        <f>IF(CalibrationLog[[#This Row],[Date]]="", "", IF(CalibrationLog[[#This Row],[Image Error]]&lt;G72, "Yes", "No"))</f>
        <v>Yes</v>
      </c>
    </row>
    <row r="73" spans="1:9" x14ac:dyDescent="0.25">
      <c r="A73" s="6">
        <v>46232</v>
      </c>
      <c r="B73" s="26" t="s">
        <v>30</v>
      </c>
      <c r="C73" s="7">
        <v>2001</v>
      </c>
      <c r="D73" s="23">
        <v>0.53930999999999996</v>
      </c>
      <c r="E73" s="24">
        <v>0.10856499999999999</v>
      </c>
      <c r="F73" s="139">
        <f>_xlfn.XLOOKUP(CalibrationLog[[#This Row],[Date]], 'Daily Summary'!A:A, 'Daily Summary'!H:H, "n/a")</f>
        <v>0.36980916666666658</v>
      </c>
      <c r="G73" s="140">
        <f>_xlfn.XLOOKUP(CalibrationLog[[#This Row],[Date]], 'Daily Summary'!A:A, 'Daily Summary'!K:K, "n/a")</f>
        <v>8.8881683333333336E-2</v>
      </c>
      <c r="H73" s="141" t="str">
        <f>IF(CalibrationLog[[#This Row],[Date]]="", "", IF(CalibrationLog[[#This Row],[World Error]]&lt;CalibrationLog[[#This Row],[World Error (Avg.)]], "Yes", "No"))</f>
        <v>No</v>
      </c>
      <c r="I73" s="142" t="str">
        <f>IF(CalibrationLog[[#This Row],[Date]]="", "", IF(CalibrationLog[[#This Row],[Image Error]]&lt;G73, "Yes", "No"))</f>
        <v>No</v>
      </c>
    </row>
    <row r="74" spans="1:9" x14ac:dyDescent="0.25">
      <c r="A74" s="6">
        <v>46233</v>
      </c>
      <c r="B74" s="26" t="s">
        <v>14</v>
      </c>
      <c r="C74" s="7">
        <v>2638</v>
      </c>
      <c r="D74" s="23">
        <v>0.21954399999999999</v>
      </c>
      <c r="E74" s="24">
        <v>6.17744E-2</v>
      </c>
      <c r="F74" s="139">
        <f>_xlfn.XLOOKUP(CalibrationLog[[#This Row],[Date]], 'Daily Summary'!A:A, 'Daily Summary'!H:H, "n/a")</f>
        <v>0.32767977777777779</v>
      </c>
      <c r="G74" s="140">
        <f>_xlfn.XLOOKUP(CalibrationLog[[#This Row],[Date]], 'Daily Summary'!A:A, 'Daily Summary'!K:K, "n/a")</f>
        <v>7.9198327777777758E-2</v>
      </c>
      <c r="H74" s="141" t="str">
        <f>IF(CalibrationLog[[#This Row],[Date]]="", "", IF(CalibrationLog[[#This Row],[World Error]]&lt;CalibrationLog[[#This Row],[World Error (Avg.)]], "Yes", "No"))</f>
        <v>Yes</v>
      </c>
      <c r="I74" s="142" t="str">
        <f>IF(CalibrationLog[[#This Row],[Date]]="", "", IF(CalibrationLog[[#This Row],[Image Error]]&lt;G74, "Yes", "No"))</f>
        <v>Yes</v>
      </c>
    </row>
    <row r="75" spans="1:9" x14ac:dyDescent="0.25">
      <c r="A75" s="6">
        <v>46233</v>
      </c>
      <c r="B75" s="26" t="s">
        <v>15</v>
      </c>
      <c r="C75" s="7">
        <v>2543</v>
      </c>
      <c r="D75" s="23">
        <v>0.37991200000000003</v>
      </c>
      <c r="E75" s="24">
        <v>0.10016</v>
      </c>
      <c r="F75" s="139">
        <f>_xlfn.XLOOKUP(CalibrationLog[[#This Row],[Date]], 'Daily Summary'!A:A, 'Daily Summary'!H:H, "n/a")</f>
        <v>0.32767977777777779</v>
      </c>
      <c r="G75" s="140">
        <f>_xlfn.XLOOKUP(CalibrationLog[[#This Row],[Date]], 'Daily Summary'!A:A, 'Daily Summary'!K:K, "n/a")</f>
        <v>7.9198327777777758E-2</v>
      </c>
      <c r="H75" s="141" t="str">
        <f>IF(CalibrationLog[[#This Row],[Date]]="", "", IF(CalibrationLog[[#This Row],[World Error]]&lt;CalibrationLog[[#This Row],[World Error (Avg.)]], "Yes", "No"))</f>
        <v>No</v>
      </c>
      <c r="I75" s="142" t="str">
        <f>IF(CalibrationLog[[#This Row],[Date]]="", "", IF(CalibrationLog[[#This Row],[Image Error]]&lt;G75, "Yes", "No"))</f>
        <v>No</v>
      </c>
    </row>
    <row r="76" spans="1:9" x14ac:dyDescent="0.25">
      <c r="A76" s="6">
        <v>46233</v>
      </c>
      <c r="B76" s="26" t="s">
        <v>16</v>
      </c>
      <c r="C76" s="7">
        <v>2200</v>
      </c>
      <c r="D76" s="23">
        <v>0.43276999999999999</v>
      </c>
      <c r="E76" s="24">
        <v>0.101578</v>
      </c>
      <c r="F76" s="139">
        <f>_xlfn.XLOOKUP(CalibrationLog[[#This Row],[Date]], 'Daily Summary'!A:A, 'Daily Summary'!H:H, "n/a")</f>
        <v>0.32767977777777779</v>
      </c>
      <c r="G76" s="140">
        <f>_xlfn.XLOOKUP(CalibrationLog[[#This Row],[Date]], 'Daily Summary'!A:A, 'Daily Summary'!K:K, "n/a")</f>
        <v>7.9198327777777758E-2</v>
      </c>
      <c r="H76" s="141" t="str">
        <f>IF(CalibrationLog[[#This Row],[Date]]="", "", IF(CalibrationLog[[#This Row],[World Error]]&lt;CalibrationLog[[#This Row],[World Error (Avg.)]], "Yes", "No"))</f>
        <v>No</v>
      </c>
      <c r="I76" s="142" t="str">
        <f>IF(CalibrationLog[[#This Row],[Date]]="", "", IF(CalibrationLog[[#This Row],[Image Error]]&lt;G76, "Yes", "No"))</f>
        <v>No</v>
      </c>
    </row>
    <row r="77" spans="1:9" x14ac:dyDescent="0.25">
      <c r="A77" s="6">
        <v>46233</v>
      </c>
      <c r="B77" s="26" t="s">
        <v>17</v>
      </c>
      <c r="C77" s="7">
        <v>2099</v>
      </c>
      <c r="D77" s="23">
        <v>0.45406200000000002</v>
      </c>
      <c r="E77" s="24">
        <v>8.9885099999999996E-2</v>
      </c>
      <c r="F77" s="139">
        <f>_xlfn.XLOOKUP(CalibrationLog[[#This Row],[Date]], 'Daily Summary'!A:A, 'Daily Summary'!H:H, "n/a")</f>
        <v>0.32767977777777779</v>
      </c>
      <c r="G77" s="140">
        <f>_xlfn.XLOOKUP(CalibrationLog[[#This Row],[Date]], 'Daily Summary'!A:A, 'Daily Summary'!K:K, "n/a")</f>
        <v>7.9198327777777758E-2</v>
      </c>
      <c r="H77" s="141" t="str">
        <f>IF(CalibrationLog[[#This Row],[Date]]="", "", IF(CalibrationLog[[#This Row],[World Error]]&lt;CalibrationLog[[#This Row],[World Error (Avg.)]], "Yes", "No"))</f>
        <v>No</v>
      </c>
      <c r="I77" s="142" t="str">
        <f>IF(CalibrationLog[[#This Row],[Date]]="", "", IF(CalibrationLog[[#This Row],[Image Error]]&lt;G77, "Yes", "No"))</f>
        <v>No</v>
      </c>
    </row>
    <row r="78" spans="1:9" x14ac:dyDescent="0.25">
      <c r="A78" s="6">
        <v>46233</v>
      </c>
      <c r="B78" s="26" t="s">
        <v>18</v>
      </c>
      <c r="C78" s="7">
        <v>2275</v>
      </c>
      <c r="D78" s="23">
        <v>0.258108</v>
      </c>
      <c r="E78" s="24">
        <v>6.1423999999999999E-2</v>
      </c>
      <c r="F78" s="139">
        <f>_xlfn.XLOOKUP(CalibrationLog[[#This Row],[Date]], 'Daily Summary'!A:A, 'Daily Summary'!H:H, "n/a")</f>
        <v>0.32767977777777779</v>
      </c>
      <c r="G78" s="140">
        <f>_xlfn.XLOOKUP(CalibrationLog[[#This Row],[Date]], 'Daily Summary'!A:A, 'Daily Summary'!K:K, "n/a")</f>
        <v>7.9198327777777758E-2</v>
      </c>
      <c r="H78" s="141" t="str">
        <f>IF(CalibrationLog[[#This Row],[Date]]="", "", IF(CalibrationLog[[#This Row],[World Error]]&lt;CalibrationLog[[#This Row],[World Error (Avg.)]], "Yes", "No"))</f>
        <v>Yes</v>
      </c>
      <c r="I78" s="142" t="str">
        <f>IF(CalibrationLog[[#This Row],[Date]]="", "", IF(CalibrationLog[[#This Row],[Image Error]]&lt;G78, "Yes", "No"))</f>
        <v>Yes</v>
      </c>
    </row>
    <row r="79" spans="1:9" x14ac:dyDescent="0.25">
      <c r="A79" s="6">
        <v>46233</v>
      </c>
      <c r="B79" s="26" t="s">
        <v>19</v>
      </c>
      <c r="C79" s="7">
        <v>1741</v>
      </c>
      <c r="D79" s="23">
        <v>0.33665899999999999</v>
      </c>
      <c r="E79" s="24">
        <v>7.0834300000000003E-2</v>
      </c>
      <c r="F79" s="139">
        <f>_xlfn.XLOOKUP(CalibrationLog[[#This Row],[Date]], 'Daily Summary'!A:A, 'Daily Summary'!H:H, "n/a")</f>
        <v>0.32767977777777779</v>
      </c>
      <c r="G79" s="140">
        <f>_xlfn.XLOOKUP(CalibrationLog[[#This Row],[Date]], 'Daily Summary'!A:A, 'Daily Summary'!K:K, "n/a")</f>
        <v>7.9198327777777758E-2</v>
      </c>
      <c r="H79" s="141" t="str">
        <f>IF(CalibrationLog[[#This Row],[Date]]="", "", IF(CalibrationLog[[#This Row],[World Error]]&lt;CalibrationLog[[#This Row],[World Error (Avg.)]], "Yes", "No"))</f>
        <v>No</v>
      </c>
      <c r="I79" s="142" t="str">
        <f>IF(CalibrationLog[[#This Row],[Date]]="", "", IF(CalibrationLog[[#This Row],[Image Error]]&lt;G79, "Yes", "No"))</f>
        <v>Yes</v>
      </c>
    </row>
    <row r="80" spans="1:9" x14ac:dyDescent="0.25">
      <c r="A80" s="6">
        <v>46233</v>
      </c>
      <c r="B80" s="26" t="s">
        <v>20</v>
      </c>
      <c r="C80" s="7">
        <v>1921</v>
      </c>
      <c r="D80" s="23">
        <v>0.380859</v>
      </c>
      <c r="E80" s="24">
        <v>7.9699599999999995E-2</v>
      </c>
      <c r="F80" s="139">
        <f>_xlfn.XLOOKUP(CalibrationLog[[#This Row],[Date]], 'Daily Summary'!A:A, 'Daily Summary'!H:H, "n/a")</f>
        <v>0.32767977777777779</v>
      </c>
      <c r="G80" s="140">
        <f>_xlfn.XLOOKUP(CalibrationLog[[#This Row],[Date]], 'Daily Summary'!A:A, 'Daily Summary'!K:K, "n/a")</f>
        <v>7.9198327777777758E-2</v>
      </c>
      <c r="H80" s="141" t="str">
        <f>IF(CalibrationLog[[#This Row],[Date]]="", "", IF(CalibrationLog[[#This Row],[World Error]]&lt;CalibrationLog[[#This Row],[World Error (Avg.)]], "Yes", "No"))</f>
        <v>No</v>
      </c>
      <c r="I80" s="142" t="str">
        <f>IF(CalibrationLog[[#This Row],[Date]]="", "", IF(CalibrationLog[[#This Row],[Image Error]]&lt;G80, "Yes", "No"))</f>
        <v>No</v>
      </c>
    </row>
    <row r="81" spans="1:9" x14ac:dyDescent="0.25">
      <c r="A81" s="6">
        <v>46233</v>
      </c>
      <c r="B81" s="26" t="s">
        <v>46</v>
      </c>
      <c r="C81" s="7">
        <v>1045</v>
      </c>
      <c r="D81" s="23">
        <v>0.211755</v>
      </c>
      <c r="E81" s="24">
        <v>6.4197799999999999E-2</v>
      </c>
      <c r="F81" s="139">
        <f>_xlfn.XLOOKUP(CalibrationLog[[#This Row],[Date]], 'Daily Summary'!A:A, 'Daily Summary'!H:H, "n/a")</f>
        <v>0.32767977777777779</v>
      </c>
      <c r="G81" s="140">
        <f>_xlfn.XLOOKUP(CalibrationLog[[#This Row],[Date]], 'Daily Summary'!A:A, 'Daily Summary'!K:K, "n/a")</f>
        <v>7.9198327777777758E-2</v>
      </c>
      <c r="H81" s="141" t="str">
        <f>IF(CalibrationLog[[#This Row],[Date]]="", "", IF(CalibrationLog[[#This Row],[World Error]]&lt;CalibrationLog[[#This Row],[World Error (Avg.)]], "Yes", "No"))</f>
        <v>Yes</v>
      </c>
      <c r="I81" s="142" t="str">
        <f>IF(CalibrationLog[[#This Row],[Date]]="", "", IF(CalibrationLog[[#This Row],[Image Error]]&lt;G81, "Yes", "No"))</f>
        <v>Yes</v>
      </c>
    </row>
    <row r="82" spans="1:9" x14ac:dyDescent="0.25">
      <c r="A82" s="6">
        <v>46233</v>
      </c>
      <c r="B82" s="26" t="s">
        <v>21</v>
      </c>
      <c r="C82" s="7">
        <v>2515</v>
      </c>
      <c r="D82" s="23">
        <v>0.42335200000000001</v>
      </c>
      <c r="E82" s="24">
        <v>8.2395399999999994E-2</v>
      </c>
      <c r="F82" s="139">
        <f>_xlfn.XLOOKUP(CalibrationLog[[#This Row],[Date]], 'Daily Summary'!A:A, 'Daily Summary'!H:H, "n/a")</f>
        <v>0.32767977777777779</v>
      </c>
      <c r="G82" s="140">
        <f>_xlfn.XLOOKUP(CalibrationLog[[#This Row],[Date]], 'Daily Summary'!A:A, 'Daily Summary'!K:K, "n/a")</f>
        <v>7.9198327777777758E-2</v>
      </c>
      <c r="H82" s="141" t="str">
        <f>IF(CalibrationLog[[#This Row],[Date]]="", "", IF(CalibrationLog[[#This Row],[World Error]]&lt;CalibrationLog[[#This Row],[World Error (Avg.)]], "Yes", "No"))</f>
        <v>No</v>
      </c>
      <c r="I82" s="142" t="str">
        <f>IF(CalibrationLog[[#This Row],[Date]]="", "", IF(CalibrationLog[[#This Row],[Image Error]]&lt;G82, "Yes", "No"))</f>
        <v>No</v>
      </c>
    </row>
    <row r="83" spans="1:9" x14ac:dyDescent="0.25">
      <c r="A83" s="6">
        <v>46233</v>
      </c>
      <c r="B83" s="26" t="s">
        <v>22</v>
      </c>
      <c r="C83" s="7">
        <v>2236</v>
      </c>
      <c r="D83" s="23">
        <v>0.26177600000000001</v>
      </c>
      <c r="E83" s="24">
        <v>7.1129800000000007E-2</v>
      </c>
      <c r="F83" s="139">
        <f>_xlfn.XLOOKUP(CalibrationLog[[#This Row],[Date]], 'Daily Summary'!A:A, 'Daily Summary'!H:H, "n/a")</f>
        <v>0.32767977777777779</v>
      </c>
      <c r="G83" s="140">
        <f>_xlfn.XLOOKUP(CalibrationLog[[#This Row],[Date]], 'Daily Summary'!A:A, 'Daily Summary'!K:K, "n/a")</f>
        <v>7.9198327777777758E-2</v>
      </c>
      <c r="H83" s="141" t="str">
        <f>IF(CalibrationLog[[#This Row],[Date]]="", "", IF(CalibrationLog[[#This Row],[World Error]]&lt;CalibrationLog[[#This Row],[World Error (Avg.)]], "Yes", "No"))</f>
        <v>Yes</v>
      </c>
      <c r="I83" s="142" t="str">
        <f>IF(CalibrationLog[[#This Row],[Date]]="", "", IF(CalibrationLog[[#This Row],[Image Error]]&lt;G83, "Yes", "No"))</f>
        <v>Yes</v>
      </c>
    </row>
    <row r="84" spans="1:9" x14ac:dyDescent="0.25">
      <c r="A84" s="6">
        <v>46233</v>
      </c>
      <c r="B84" s="26" t="s">
        <v>23</v>
      </c>
      <c r="C84" s="7">
        <v>1438</v>
      </c>
      <c r="D84" s="23">
        <v>0.37280799999999997</v>
      </c>
      <c r="E84" s="24">
        <v>0.12241299999999999</v>
      </c>
      <c r="F84" s="139">
        <f>_xlfn.XLOOKUP(CalibrationLog[[#This Row],[Date]], 'Daily Summary'!A:A, 'Daily Summary'!H:H, "n/a")</f>
        <v>0.32767977777777779</v>
      </c>
      <c r="G84" s="140">
        <f>_xlfn.XLOOKUP(CalibrationLog[[#This Row],[Date]], 'Daily Summary'!A:A, 'Daily Summary'!K:K, "n/a")</f>
        <v>7.9198327777777758E-2</v>
      </c>
      <c r="H84" s="141" t="str">
        <f>IF(CalibrationLog[[#This Row],[Date]]="", "", IF(CalibrationLog[[#This Row],[World Error]]&lt;CalibrationLog[[#This Row],[World Error (Avg.)]], "Yes", "No"))</f>
        <v>No</v>
      </c>
      <c r="I84" s="142" t="str">
        <f>IF(CalibrationLog[[#This Row],[Date]]="", "", IF(CalibrationLog[[#This Row],[Image Error]]&lt;G84, "Yes", "No"))</f>
        <v>No</v>
      </c>
    </row>
    <row r="85" spans="1:9" x14ac:dyDescent="0.25">
      <c r="A85" s="6">
        <v>46233</v>
      </c>
      <c r="B85" s="26" t="s">
        <v>24</v>
      </c>
      <c r="C85" s="7">
        <v>2455</v>
      </c>
      <c r="D85" s="23">
        <v>0.27420699999999998</v>
      </c>
      <c r="E85" s="24">
        <v>8.4493100000000002E-2</v>
      </c>
      <c r="F85" s="139">
        <f>_xlfn.XLOOKUP(CalibrationLog[[#This Row],[Date]], 'Daily Summary'!A:A, 'Daily Summary'!H:H, "n/a")</f>
        <v>0.32767977777777779</v>
      </c>
      <c r="G85" s="140">
        <f>_xlfn.XLOOKUP(CalibrationLog[[#This Row],[Date]], 'Daily Summary'!A:A, 'Daily Summary'!K:K, "n/a")</f>
        <v>7.9198327777777758E-2</v>
      </c>
      <c r="H85" s="141" t="str">
        <f>IF(CalibrationLog[[#This Row],[Date]]="", "", IF(CalibrationLog[[#This Row],[World Error]]&lt;CalibrationLog[[#This Row],[World Error (Avg.)]], "Yes", "No"))</f>
        <v>Yes</v>
      </c>
      <c r="I85" s="142" t="str">
        <f>IF(CalibrationLog[[#This Row],[Date]]="", "", IF(CalibrationLog[[#This Row],[Image Error]]&lt;G85, "Yes", "No"))</f>
        <v>No</v>
      </c>
    </row>
    <row r="86" spans="1:9" x14ac:dyDescent="0.25">
      <c r="A86" s="6">
        <v>46233</v>
      </c>
      <c r="B86" s="26" t="s">
        <v>25</v>
      </c>
      <c r="C86" s="7">
        <v>1004</v>
      </c>
      <c r="D86" s="23">
        <v>0.21171599999999999</v>
      </c>
      <c r="E86" s="24">
        <v>5.0948300000000002E-2</v>
      </c>
      <c r="F86" s="139">
        <f>_xlfn.XLOOKUP(CalibrationLog[[#This Row],[Date]], 'Daily Summary'!A:A, 'Daily Summary'!H:H, "n/a")</f>
        <v>0.32767977777777779</v>
      </c>
      <c r="G86" s="140">
        <f>_xlfn.XLOOKUP(CalibrationLog[[#This Row],[Date]], 'Daily Summary'!A:A, 'Daily Summary'!K:K, "n/a")</f>
        <v>7.9198327777777758E-2</v>
      </c>
      <c r="H86" s="141" t="str">
        <f>IF(CalibrationLog[[#This Row],[Date]]="", "", IF(CalibrationLog[[#This Row],[World Error]]&lt;CalibrationLog[[#This Row],[World Error (Avg.)]], "Yes", "No"))</f>
        <v>Yes</v>
      </c>
      <c r="I86" s="142" t="str">
        <f>IF(CalibrationLog[[#This Row],[Date]]="", "", IF(CalibrationLog[[#This Row],[Image Error]]&lt;G86, "Yes", "No"))</f>
        <v>Yes</v>
      </c>
    </row>
    <row r="87" spans="1:9" x14ac:dyDescent="0.25">
      <c r="A87" s="6">
        <v>46233</v>
      </c>
      <c r="B87" s="26" t="s">
        <v>26</v>
      </c>
      <c r="C87" s="7">
        <v>1995</v>
      </c>
      <c r="D87" s="23">
        <v>0.23136799999999999</v>
      </c>
      <c r="E87" s="24">
        <v>7.4430300000000005E-2</v>
      </c>
      <c r="F87" s="139">
        <f>_xlfn.XLOOKUP(CalibrationLog[[#This Row],[Date]], 'Daily Summary'!A:A, 'Daily Summary'!H:H, "n/a")</f>
        <v>0.32767977777777779</v>
      </c>
      <c r="G87" s="140">
        <f>_xlfn.XLOOKUP(CalibrationLog[[#This Row],[Date]], 'Daily Summary'!A:A, 'Daily Summary'!K:K, "n/a")</f>
        <v>7.9198327777777758E-2</v>
      </c>
      <c r="H87" s="141" t="str">
        <f>IF(CalibrationLog[[#This Row],[Date]]="", "", IF(CalibrationLog[[#This Row],[World Error]]&lt;CalibrationLog[[#This Row],[World Error (Avg.)]], "Yes", "No"))</f>
        <v>Yes</v>
      </c>
      <c r="I87" s="142" t="str">
        <f>IF(CalibrationLog[[#This Row],[Date]]="", "", IF(CalibrationLog[[#This Row],[Image Error]]&lt;G87, "Yes", "No"))</f>
        <v>Yes</v>
      </c>
    </row>
    <row r="88" spans="1:9" x14ac:dyDescent="0.25">
      <c r="A88" s="6">
        <v>46233</v>
      </c>
      <c r="B88" s="26" t="s">
        <v>27</v>
      </c>
      <c r="C88" s="7">
        <v>1717</v>
      </c>
      <c r="D88" s="23">
        <v>0.34229399999999999</v>
      </c>
      <c r="E88" s="24">
        <v>7.7721700000000005E-2</v>
      </c>
      <c r="F88" s="139">
        <f>_xlfn.XLOOKUP(CalibrationLog[[#This Row],[Date]], 'Daily Summary'!A:A, 'Daily Summary'!H:H, "n/a")</f>
        <v>0.32767977777777779</v>
      </c>
      <c r="G88" s="140">
        <f>_xlfn.XLOOKUP(CalibrationLog[[#This Row],[Date]], 'Daily Summary'!A:A, 'Daily Summary'!K:K, "n/a")</f>
        <v>7.9198327777777758E-2</v>
      </c>
      <c r="H88" s="141" t="str">
        <f>IF(CalibrationLog[[#This Row],[Date]]="", "", IF(CalibrationLog[[#This Row],[World Error]]&lt;CalibrationLog[[#This Row],[World Error (Avg.)]], "Yes", "No"))</f>
        <v>No</v>
      </c>
      <c r="I88" s="142" t="str">
        <f>IF(CalibrationLog[[#This Row],[Date]]="", "", IF(CalibrationLog[[#This Row],[Image Error]]&lt;G88, "Yes", "No"))</f>
        <v>Yes</v>
      </c>
    </row>
    <row r="89" spans="1:9" x14ac:dyDescent="0.25">
      <c r="A89" s="6">
        <v>46233</v>
      </c>
      <c r="B89" s="26" t="s">
        <v>28</v>
      </c>
      <c r="C89" s="7">
        <v>1307</v>
      </c>
      <c r="D89" s="23">
        <v>0.328457</v>
      </c>
      <c r="E89" s="24">
        <v>7.3749300000000004E-2</v>
      </c>
      <c r="F89" s="139">
        <f>_xlfn.XLOOKUP(CalibrationLog[[#This Row],[Date]], 'Daily Summary'!A:A, 'Daily Summary'!H:H, "n/a")</f>
        <v>0.32767977777777779</v>
      </c>
      <c r="G89" s="140">
        <f>_xlfn.XLOOKUP(CalibrationLog[[#This Row],[Date]], 'Daily Summary'!A:A, 'Daily Summary'!K:K, "n/a")</f>
        <v>7.9198327777777758E-2</v>
      </c>
      <c r="H89" s="141" t="str">
        <f>IF(CalibrationLog[[#This Row],[Date]]="", "", IF(CalibrationLog[[#This Row],[World Error]]&lt;CalibrationLog[[#This Row],[World Error (Avg.)]], "Yes", "No"))</f>
        <v>No</v>
      </c>
      <c r="I89" s="142" t="str">
        <f>IF(CalibrationLog[[#This Row],[Date]]="", "", IF(CalibrationLog[[#This Row],[Image Error]]&lt;G89, "Yes", "No"))</f>
        <v>Yes</v>
      </c>
    </row>
    <row r="90" spans="1:9" x14ac:dyDescent="0.25">
      <c r="A90" s="6">
        <v>46233</v>
      </c>
      <c r="B90" s="26" t="s">
        <v>29</v>
      </c>
      <c r="C90" s="7">
        <v>2040</v>
      </c>
      <c r="D90" s="23">
        <v>0.33388400000000001</v>
      </c>
      <c r="E90" s="24">
        <v>6.9205000000000003E-2</v>
      </c>
      <c r="F90" s="139">
        <f>_xlfn.XLOOKUP(CalibrationLog[[#This Row],[Date]], 'Daily Summary'!A:A, 'Daily Summary'!H:H, "n/a")</f>
        <v>0.32767977777777779</v>
      </c>
      <c r="G90" s="140">
        <f>_xlfn.XLOOKUP(CalibrationLog[[#This Row],[Date]], 'Daily Summary'!A:A, 'Daily Summary'!K:K, "n/a")</f>
        <v>7.9198327777777758E-2</v>
      </c>
      <c r="H90" s="141" t="str">
        <f>IF(CalibrationLog[[#This Row],[Date]]="", "", IF(CalibrationLog[[#This Row],[World Error]]&lt;CalibrationLog[[#This Row],[World Error (Avg.)]], "Yes", "No"))</f>
        <v>No</v>
      </c>
      <c r="I90" s="142" t="str">
        <f>IF(CalibrationLog[[#This Row],[Date]]="", "", IF(CalibrationLog[[#This Row],[Image Error]]&lt;G90, "Yes", "No"))</f>
        <v>Yes</v>
      </c>
    </row>
    <row r="91" spans="1:9" x14ac:dyDescent="0.25">
      <c r="A91" s="6">
        <v>46233</v>
      </c>
      <c r="B91" s="26" t="s">
        <v>30</v>
      </c>
      <c r="C91" s="7">
        <v>1599</v>
      </c>
      <c r="D91" s="23">
        <v>0.44470500000000002</v>
      </c>
      <c r="E91" s="24">
        <v>8.9530799999999994E-2</v>
      </c>
      <c r="F91" s="139">
        <f>_xlfn.XLOOKUP(CalibrationLog[[#This Row],[Date]], 'Daily Summary'!A:A, 'Daily Summary'!H:H, "n/a")</f>
        <v>0.32767977777777779</v>
      </c>
      <c r="G91" s="140">
        <f>_xlfn.XLOOKUP(CalibrationLog[[#This Row],[Date]], 'Daily Summary'!A:A, 'Daily Summary'!K:K, "n/a")</f>
        <v>7.9198327777777758E-2</v>
      </c>
      <c r="H91" s="141" t="str">
        <f>IF(CalibrationLog[[#This Row],[Date]]="", "", IF(CalibrationLog[[#This Row],[World Error]]&lt;CalibrationLog[[#This Row],[World Error (Avg.)]], "Yes", "No"))</f>
        <v>No</v>
      </c>
      <c r="I91" s="142" t="str">
        <f>IF(CalibrationLog[[#This Row],[Date]]="", "", IF(CalibrationLog[[#This Row],[Image Error]]&lt;G91, "Yes", "No"))</f>
        <v>No</v>
      </c>
    </row>
    <row r="92" spans="1:9" x14ac:dyDescent="0.25">
      <c r="A92" s="6">
        <v>46234</v>
      </c>
      <c r="B92" s="26" t="s">
        <v>14</v>
      </c>
      <c r="C92" s="7">
        <v>3975</v>
      </c>
      <c r="D92" s="23">
        <v>0.52360899999999999</v>
      </c>
      <c r="E92" s="24">
        <v>0.147318</v>
      </c>
      <c r="F92" s="139">
        <f>_xlfn.XLOOKUP(CalibrationLog[[#This Row],[Date]], 'Daily Summary'!A:A, 'Daily Summary'!H:H, "n/a")</f>
        <v>0.39170800000000006</v>
      </c>
      <c r="G92" s="140">
        <f>_xlfn.XLOOKUP(CalibrationLog[[#This Row],[Date]], 'Daily Summary'!A:A, 'Daily Summary'!K:K, "n/a")</f>
        <v>9.6186149999999998E-2</v>
      </c>
      <c r="H92" s="141" t="str">
        <f>IF(CalibrationLog[[#This Row],[Date]]="", "", IF(CalibrationLog[[#This Row],[World Error]]&lt;CalibrationLog[[#This Row],[World Error (Avg.)]], "Yes", "No"))</f>
        <v>No</v>
      </c>
      <c r="I92" s="142" t="str">
        <f>IF(CalibrationLog[[#This Row],[Date]]="", "", IF(CalibrationLog[[#This Row],[Image Error]]&lt;G92, "Yes", "No"))</f>
        <v>No</v>
      </c>
    </row>
    <row r="93" spans="1:9" x14ac:dyDescent="0.25">
      <c r="A93" s="6">
        <v>46234</v>
      </c>
      <c r="B93" s="26" t="s">
        <v>15</v>
      </c>
      <c r="C93" s="7">
        <v>3665</v>
      </c>
      <c r="D93" s="23">
        <v>0.45449699999999998</v>
      </c>
      <c r="E93" s="24">
        <v>0.119767</v>
      </c>
      <c r="F93" s="139">
        <f>_xlfn.XLOOKUP(CalibrationLog[[#This Row],[Date]], 'Daily Summary'!A:A, 'Daily Summary'!H:H, "n/a")</f>
        <v>0.39170800000000006</v>
      </c>
      <c r="G93" s="140">
        <f>_xlfn.XLOOKUP(CalibrationLog[[#This Row],[Date]], 'Daily Summary'!A:A, 'Daily Summary'!K:K, "n/a")</f>
        <v>9.6186149999999998E-2</v>
      </c>
      <c r="H93" s="141" t="str">
        <f>IF(CalibrationLog[[#This Row],[Date]]="", "", IF(CalibrationLog[[#This Row],[World Error]]&lt;CalibrationLog[[#This Row],[World Error (Avg.)]], "Yes", "No"))</f>
        <v>No</v>
      </c>
      <c r="I93" s="142" t="str">
        <f>IF(CalibrationLog[[#This Row],[Date]]="", "", IF(CalibrationLog[[#This Row],[Image Error]]&lt;G93, "Yes", "No"))</f>
        <v>No</v>
      </c>
    </row>
    <row r="94" spans="1:9" x14ac:dyDescent="0.25">
      <c r="A94" s="6">
        <v>46234</v>
      </c>
      <c r="B94" s="26" t="s">
        <v>16</v>
      </c>
      <c r="C94" s="7">
        <v>2763</v>
      </c>
      <c r="D94" s="23">
        <v>0.40343299999999999</v>
      </c>
      <c r="E94" s="24">
        <v>9.4635200000000003E-2</v>
      </c>
      <c r="F94" s="139">
        <f>_xlfn.XLOOKUP(CalibrationLog[[#This Row],[Date]], 'Daily Summary'!A:A, 'Daily Summary'!H:H, "n/a")</f>
        <v>0.39170800000000006</v>
      </c>
      <c r="G94" s="140">
        <f>_xlfn.XLOOKUP(CalibrationLog[[#This Row],[Date]], 'Daily Summary'!A:A, 'Daily Summary'!K:K, "n/a")</f>
        <v>9.6186149999999998E-2</v>
      </c>
      <c r="H94" s="141" t="str">
        <f>IF(CalibrationLog[[#This Row],[Date]]="", "", IF(CalibrationLog[[#This Row],[World Error]]&lt;CalibrationLog[[#This Row],[World Error (Avg.)]], "Yes", "No"))</f>
        <v>No</v>
      </c>
      <c r="I94" s="142" t="str">
        <f>IF(CalibrationLog[[#This Row],[Date]]="", "", IF(CalibrationLog[[#This Row],[Image Error]]&lt;G94, "Yes", "No"))</f>
        <v>Yes</v>
      </c>
    </row>
    <row r="95" spans="1:9" x14ac:dyDescent="0.25">
      <c r="A95" s="6">
        <v>46234</v>
      </c>
      <c r="B95" s="26" t="s">
        <v>17</v>
      </c>
      <c r="C95" s="7">
        <v>2377</v>
      </c>
      <c r="D95" s="23">
        <v>0.53664000000000001</v>
      </c>
      <c r="E95" s="24">
        <v>0.106142</v>
      </c>
      <c r="F95" s="139">
        <f>_xlfn.XLOOKUP(CalibrationLog[[#This Row],[Date]], 'Daily Summary'!A:A, 'Daily Summary'!H:H, "n/a")</f>
        <v>0.39170800000000006</v>
      </c>
      <c r="G95" s="140">
        <f>_xlfn.XLOOKUP(CalibrationLog[[#This Row],[Date]], 'Daily Summary'!A:A, 'Daily Summary'!K:K, "n/a")</f>
        <v>9.6186149999999998E-2</v>
      </c>
      <c r="H95" s="141" t="str">
        <f>IF(CalibrationLog[[#This Row],[Date]]="", "", IF(CalibrationLog[[#This Row],[World Error]]&lt;CalibrationLog[[#This Row],[World Error (Avg.)]], "Yes", "No"))</f>
        <v>No</v>
      </c>
      <c r="I95" s="142" t="str">
        <f>IF(CalibrationLog[[#This Row],[Date]]="", "", IF(CalibrationLog[[#This Row],[Image Error]]&lt;G95, "Yes", "No"))</f>
        <v>No</v>
      </c>
    </row>
    <row r="96" spans="1:9" x14ac:dyDescent="0.25">
      <c r="A96" s="6">
        <v>46234</v>
      </c>
      <c r="B96" s="26" t="s">
        <v>18</v>
      </c>
      <c r="C96" s="7">
        <v>3135</v>
      </c>
      <c r="D96" s="23">
        <v>0.218719</v>
      </c>
      <c r="E96" s="24">
        <v>5.20276E-2</v>
      </c>
      <c r="F96" s="139">
        <f>_xlfn.XLOOKUP(CalibrationLog[[#This Row],[Date]], 'Daily Summary'!A:A, 'Daily Summary'!H:H, "n/a")</f>
        <v>0.39170800000000006</v>
      </c>
      <c r="G96" s="140">
        <f>_xlfn.XLOOKUP(CalibrationLog[[#This Row],[Date]], 'Daily Summary'!A:A, 'Daily Summary'!K:K, "n/a")</f>
        <v>9.6186149999999998E-2</v>
      </c>
      <c r="H96" s="141" t="str">
        <f>IF(CalibrationLog[[#This Row],[Date]]="", "", IF(CalibrationLog[[#This Row],[World Error]]&lt;CalibrationLog[[#This Row],[World Error (Avg.)]], "Yes", "No"))</f>
        <v>Yes</v>
      </c>
      <c r="I96" s="142" t="str">
        <f>IF(CalibrationLog[[#This Row],[Date]]="", "", IF(CalibrationLog[[#This Row],[Image Error]]&lt;G96, "Yes", "No"))</f>
        <v>Yes</v>
      </c>
    </row>
    <row r="97" spans="1:9" x14ac:dyDescent="0.25">
      <c r="A97" s="6">
        <v>46234</v>
      </c>
      <c r="B97" s="26" t="s">
        <v>19</v>
      </c>
      <c r="C97" s="7">
        <v>2511</v>
      </c>
      <c r="D97" s="23">
        <v>0.355244</v>
      </c>
      <c r="E97" s="24">
        <v>7.4700000000000003E-2</v>
      </c>
      <c r="F97" s="139">
        <f>_xlfn.XLOOKUP(CalibrationLog[[#This Row],[Date]], 'Daily Summary'!A:A, 'Daily Summary'!H:H, "n/a")</f>
        <v>0.39170800000000006</v>
      </c>
      <c r="G97" s="140">
        <f>_xlfn.XLOOKUP(CalibrationLog[[#This Row],[Date]], 'Daily Summary'!A:A, 'Daily Summary'!K:K, "n/a")</f>
        <v>9.6186149999999998E-2</v>
      </c>
      <c r="H97" s="141" t="str">
        <f>IF(CalibrationLog[[#This Row],[Date]]="", "", IF(CalibrationLog[[#This Row],[World Error]]&lt;CalibrationLog[[#This Row],[World Error (Avg.)]], "Yes", "No"))</f>
        <v>Yes</v>
      </c>
      <c r="I97" s="142" t="str">
        <f>IF(CalibrationLog[[#This Row],[Date]]="", "", IF(CalibrationLog[[#This Row],[Image Error]]&lt;G97, "Yes", "No"))</f>
        <v>Yes</v>
      </c>
    </row>
    <row r="98" spans="1:9" x14ac:dyDescent="0.25">
      <c r="A98" s="6">
        <v>46234</v>
      </c>
      <c r="B98" s="26" t="s">
        <v>20</v>
      </c>
      <c r="C98" s="7">
        <v>2587</v>
      </c>
      <c r="D98" s="23">
        <v>0.37267099999999997</v>
      </c>
      <c r="E98" s="24">
        <v>7.7942899999999996E-2</v>
      </c>
      <c r="F98" s="139">
        <f>_xlfn.XLOOKUP(CalibrationLog[[#This Row],[Date]], 'Daily Summary'!A:A, 'Daily Summary'!H:H, "n/a")</f>
        <v>0.39170800000000006</v>
      </c>
      <c r="G98" s="140">
        <f>_xlfn.XLOOKUP(CalibrationLog[[#This Row],[Date]], 'Daily Summary'!A:A, 'Daily Summary'!K:K, "n/a")</f>
        <v>9.6186149999999998E-2</v>
      </c>
      <c r="H98" s="141" t="str">
        <f>IF(CalibrationLog[[#This Row],[Date]]="", "", IF(CalibrationLog[[#This Row],[World Error]]&lt;CalibrationLog[[#This Row],[World Error (Avg.)]], "Yes", "No"))</f>
        <v>Yes</v>
      </c>
      <c r="I98" s="142" t="str">
        <f>IF(CalibrationLog[[#This Row],[Date]]="", "", IF(CalibrationLog[[#This Row],[Image Error]]&lt;G98, "Yes", "No"))</f>
        <v>Yes</v>
      </c>
    </row>
    <row r="99" spans="1:9" x14ac:dyDescent="0.25">
      <c r="A99" s="6">
        <v>46234</v>
      </c>
      <c r="B99" s="26" t="s">
        <v>46</v>
      </c>
      <c r="C99" s="7">
        <v>1502</v>
      </c>
      <c r="D99" s="23">
        <v>0.264567</v>
      </c>
      <c r="E99" s="24">
        <v>8.0192100000000002E-2</v>
      </c>
      <c r="F99" s="139">
        <f>_xlfn.XLOOKUP(CalibrationLog[[#This Row],[Date]], 'Daily Summary'!A:A, 'Daily Summary'!H:H, "n/a")</f>
        <v>0.39170800000000006</v>
      </c>
      <c r="G99" s="140">
        <f>_xlfn.XLOOKUP(CalibrationLog[[#This Row],[Date]], 'Daily Summary'!A:A, 'Daily Summary'!K:K, "n/a")</f>
        <v>9.6186149999999998E-2</v>
      </c>
      <c r="H99" s="141" t="str">
        <f>IF(CalibrationLog[[#This Row],[Date]]="", "", IF(CalibrationLog[[#This Row],[World Error]]&lt;CalibrationLog[[#This Row],[World Error (Avg.)]], "Yes", "No"))</f>
        <v>Yes</v>
      </c>
      <c r="I99" s="142" t="str">
        <f>IF(CalibrationLog[[#This Row],[Date]]="", "", IF(CalibrationLog[[#This Row],[Image Error]]&lt;G99, "Yes", "No"))</f>
        <v>Yes</v>
      </c>
    </row>
    <row r="100" spans="1:9" x14ac:dyDescent="0.25">
      <c r="A100" s="6">
        <v>46234</v>
      </c>
      <c r="B100" s="26" t="s">
        <v>21</v>
      </c>
      <c r="C100" s="7">
        <v>3787</v>
      </c>
      <c r="D100" s="23">
        <v>0.47795700000000002</v>
      </c>
      <c r="E100" s="24">
        <v>9.3003100000000005E-2</v>
      </c>
      <c r="F100" s="139">
        <f>_xlfn.XLOOKUP(CalibrationLog[[#This Row],[Date]], 'Daily Summary'!A:A, 'Daily Summary'!H:H, "n/a")</f>
        <v>0.39170800000000006</v>
      </c>
      <c r="G100" s="140">
        <f>_xlfn.XLOOKUP(CalibrationLog[[#This Row],[Date]], 'Daily Summary'!A:A, 'Daily Summary'!K:K, "n/a")</f>
        <v>9.6186149999999998E-2</v>
      </c>
      <c r="H100" s="141" t="str">
        <f>IF(CalibrationLog[[#This Row],[Date]]="", "", IF(CalibrationLog[[#This Row],[World Error]]&lt;CalibrationLog[[#This Row],[World Error (Avg.)]], "Yes", "No"))</f>
        <v>No</v>
      </c>
      <c r="I100" s="142" t="str">
        <f>IF(CalibrationLog[[#This Row],[Date]]="", "", IF(CalibrationLog[[#This Row],[Image Error]]&lt;G100, "Yes", "No"))</f>
        <v>Yes</v>
      </c>
    </row>
    <row r="101" spans="1:9" x14ac:dyDescent="0.25">
      <c r="A101" s="6">
        <v>46234</v>
      </c>
      <c r="B101" s="26" t="s">
        <v>22</v>
      </c>
      <c r="C101" s="7">
        <v>2437</v>
      </c>
      <c r="D101" s="23">
        <v>0.51614400000000005</v>
      </c>
      <c r="E101" s="24">
        <v>0.14021400000000001</v>
      </c>
      <c r="F101" s="139">
        <f>_xlfn.XLOOKUP(CalibrationLog[[#This Row],[Date]], 'Daily Summary'!A:A, 'Daily Summary'!H:H, "n/a")</f>
        <v>0.39170800000000006</v>
      </c>
      <c r="G101" s="140">
        <f>_xlfn.XLOOKUP(CalibrationLog[[#This Row],[Date]], 'Daily Summary'!A:A, 'Daily Summary'!K:K, "n/a")</f>
        <v>9.6186149999999998E-2</v>
      </c>
      <c r="H101" s="141" t="str">
        <f>IF(CalibrationLog[[#This Row],[Date]]="", "", IF(CalibrationLog[[#This Row],[World Error]]&lt;CalibrationLog[[#This Row],[World Error (Avg.)]], "Yes", "No"))</f>
        <v>No</v>
      </c>
      <c r="I101" s="142" t="str">
        <f>IF(CalibrationLog[[#This Row],[Date]]="", "", IF(CalibrationLog[[#This Row],[Image Error]]&lt;G101, "Yes", "No"))</f>
        <v>No</v>
      </c>
    </row>
    <row r="102" spans="1:9" x14ac:dyDescent="0.25">
      <c r="A102" s="6">
        <v>46234</v>
      </c>
      <c r="B102" s="26" t="s">
        <v>23</v>
      </c>
      <c r="C102" s="7">
        <v>2126</v>
      </c>
      <c r="D102" s="23">
        <v>0.61609199999999997</v>
      </c>
      <c r="E102" s="24">
        <v>0.202345</v>
      </c>
      <c r="F102" s="139">
        <f>_xlfn.XLOOKUP(CalibrationLog[[#This Row],[Date]], 'Daily Summary'!A:A, 'Daily Summary'!H:H, "n/a")</f>
        <v>0.39170800000000006</v>
      </c>
      <c r="G102" s="140">
        <f>_xlfn.XLOOKUP(CalibrationLog[[#This Row],[Date]], 'Daily Summary'!A:A, 'Daily Summary'!K:K, "n/a")</f>
        <v>9.6186149999999998E-2</v>
      </c>
      <c r="H102" s="141" t="str">
        <f>IF(CalibrationLog[[#This Row],[Date]]="", "", IF(CalibrationLog[[#This Row],[World Error]]&lt;CalibrationLog[[#This Row],[World Error (Avg.)]], "Yes", "No"))</f>
        <v>No</v>
      </c>
      <c r="I102" s="142" t="str">
        <f>IF(CalibrationLog[[#This Row],[Date]]="", "", IF(CalibrationLog[[#This Row],[Image Error]]&lt;G102, "Yes", "No"))</f>
        <v>No</v>
      </c>
    </row>
    <row r="103" spans="1:9" x14ac:dyDescent="0.25">
      <c r="A103" s="6">
        <v>46234</v>
      </c>
      <c r="B103" s="26" t="s">
        <v>24</v>
      </c>
      <c r="C103" s="7">
        <v>4033</v>
      </c>
      <c r="D103" s="23">
        <v>0.26639000000000002</v>
      </c>
      <c r="E103" s="24">
        <v>8.19878E-2</v>
      </c>
      <c r="F103" s="139">
        <f>_xlfn.XLOOKUP(CalibrationLog[[#This Row],[Date]], 'Daily Summary'!A:A, 'Daily Summary'!H:H, "n/a")</f>
        <v>0.39170800000000006</v>
      </c>
      <c r="G103" s="140">
        <f>_xlfn.XLOOKUP(CalibrationLog[[#This Row],[Date]], 'Daily Summary'!A:A, 'Daily Summary'!K:K, "n/a")</f>
        <v>9.6186149999999998E-2</v>
      </c>
      <c r="H103" s="141" t="str">
        <f>IF(CalibrationLog[[#This Row],[Date]]="", "", IF(CalibrationLog[[#This Row],[World Error]]&lt;CalibrationLog[[#This Row],[World Error (Avg.)]], "Yes", "No"))</f>
        <v>Yes</v>
      </c>
      <c r="I103" s="142" t="str">
        <f>IF(CalibrationLog[[#This Row],[Date]]="", "", IF(CalibrationLog[[#This Row],[Image Error]]&lt;G103, "Yes", "No"))</f>
        <v>Yes</v>
      </c>
    </row>
    <row r="104" spans="1:9" x14ac:dyDescent="0.25">
      <c r="A104" s="6">
        <v>46234</v>
      </c>
      <c r="B104" s="26" t="s">
        <v>25</v>
      </c>
      <c r="C104" s="7">
        <v>1548</v>
      </c>
      <c r="D104" s="23">
        <v>0.24405299999999999</v>
      </c>
      <c r="E104" s="24">
        <v>5.8651200000000001E-2</v>
      </c>
      <c r="F104" s="139">
        <f>_xlfn.XLOOKUP(CalibrationLog[[#This Row],[Date]], 'Daily Summary'!A:A, 'Daily Summary'!H:H, "n/a")</f>
        <v>0.39170800000000006</v>
      </c>
      <c r="G104" s="140">
        <f>_xlfn.XLOOKUP(CalibrationLog[[#This Row],[Date]], 'Daily Summary'!A:A, 'Daily Summary'!K:K, "n/a")</f>
        <v>9.6186149999999998E-2</v>
      </c>
      <c r="H104" s="141" t="str">
        <f>IF(CalibrationLog[[#This Row],[Date]]="", "", IF(CalibrationLog[[#This Row],[World Error]]&lt;CalibrationLog[[#This Row],[World Error (Avg.)]], "Yes", "No"))</f>
        <v>Yes</v>
      </c>
      <c r="I104" s="142" t="str">
        <f>IF(CalibrationLog[[#This Row],[Date]]="", "", IF(CalibrationLog[[#This Row],[Image Error]]&lt;G104, "Yes", "No"))</f>
        <v>Yes</v>
      </c>
    </row>
    <row r="105" spans="1:9" x14ac:dyDescent="0.25">
      <c r="A105" s="6">
        <v>46234</v>
      </c>
      <c r="B105" s="26" t="s">
        <v>26</v>
      </c>
      <c r="C105" s="7">
        <v>2915</v>
      </c>
      <c r="D105" s="23">
        <v>0.163774</v>
      </c>
      <c r="E105" s="24">
        <v>5.2653600000000002E-2</v>
      </c>
      <c r="F105" s="139">
        <f>_xlfn.XLOOKUP(CalibrationLog[[#This Row],[Date]], 'Daily Summary'!A:A, 'Daily Summary'!H:H, "n/a")</f>
        <v>0.39170800000000006</v>
      </c>
      <c r="G105" s="140">
        <f>_xlfn.XLOOKUP(CalibrationLog[[#This Row],[Date]], 'Daily Summary'!A:A, 'Daily Summary'!K:K, "n/a")</f>
        <v>9.6186149999999998E-2</v>
      </c>
      <c r="H105" s="141" t="str">
        <f>IF(CalibrationLog[[#This Row],[Date]]="", "", IF(CalibrationLog[[#This Row],[World Error]]&lt;CalibrationLog[[#This Row],[World Error (Avg.)]], "Yes", "No"))</f>
        <v>Yes</v>
      </c>
      <c r="I105" s="142" t="str">
        <f>IF(CalibrationLog[[#This Row],[Date]]="", "", IF(CalibrationLog[[#This Row],[Image Error]]&lt;G105, "Yes", "No"))</f>
        <v>Yes</v>
      </c>
    </row>
    <row r="106" spans="1:9" x14ac:dyDescent="0.25">
      <c r="A106" s="6">
        <v>46234</v>
      </c>
      <c r="B106" s="26" t="s">
        <v>27</v>
      </c>
      <c r="C106" s="7">
        <v>2017</v>
      </c>
      <c r="D106" s="23">
        <v>0.41799900000000001</v>
      </c>
      <c r="E106" s="24">
        <v>9.4883999999999996E-2</v>
      </c>
      <c r="F106" s="139">
        <f>_xlfn.XLOOKUP(CalibrationLog[[#This Row],[Date]], 'Daily Summary'!A:A, 'Daily Summary'!H:H, "n/a")</f>
        <v>0.39170800000000006</v>
      </c>
      <c r="G106" s="140">
        <f>_xlfn.XLOOKUP(CalibrationLog[[#This Row],[Date]], 'Daily Summary'!A:A, 'Daily Summary'!K:K, "n/a")</f>
        <v>9.6186149999999998E-2</v>
      </c>
      <c r="H106" s="141" t="str">
        <f>IF(CalibrationLog[[#This Row],[Date]]="", "", IF(CalibrationLog[[#This Row],[World Error]]&lt;CalibrationLog[[#This Row],[World Error (Avg.)]], "Yes", "No"))</f>
        <v>No</v>
      </c>
      <c r="I106" s="142" t="str">
        <f>IF(CalibrationLog[[#This Row],[Date]]="", "", IF(CalibrationLog[[#This Row],[Image Error]]&lt;G106, "Yes", "No"))</f>
        <v>Yes</v>
      </c>
    </row>
    <row r="107" spans="1:9" x14ac:dyDescent="0.25">
      <c r="A107" s="6">
        <v>46234</v>
      </c>
      <c r="B107" s="26" t="s">
        <v>28</v>
      </c>
      <c r="C107" s="7">
        <v>1610</v>
      </c>
      <c r="D107" s="23">
        <v>0.32311099999999998</v>
      </c>
      <c r="E107" s="24">
        <v>7.2502700000000003E-2</v>
      </c>
      <c r="F107" s="139">
        <f>_xlfn.XLOOKUP(CalibrationLog[[#This Row],[Date]], 'Daily Summary'!A:A, 'Daily Summary'!H:H, "n/a")</f>
        <v>0.39170800000000006</v>
      </c>
      <c r="G107" s="140">
        <f>_xlfn.XLOOKUP(CalibrationLog[[#This Row],[Date]], 'Daily Summary'!A:A, 'Daily Summary'!K:K, "n/a")</f>
        <v>9.6186149999999998E-2</v>
      </c>
      <c r="H107" s="141" t="str">
        <f>IF(CalibrationLog[[#This Row],[Date]]="", "", IF(CalibrationLog[[#This Row],[World Error]]&lt;CalibrationLog[[#This Row],[World Error (Avg.)]], "Yes", "No"))</f>
        <v>Yes</v>
      </c>
      <c r="I107" s="142" t="str">
        <f>IF(CalibrationLog[[#This Row],[Date]]="", "", IF(CalibrationLog[[#This Row],[Image Error]]&lt;G107, "Yes", "No"))</f>
        <v>Yes</v>
      </c>
    </row>
    <row r="108" spans="1:9" x14ac:dyDescent="0.25">
      <c r="A108" s="6">
        <v>46234</v>
      </c>
      <c r="B108" s="26" t="s">
        <v>29</v>
      </c>
      <c r="C108" s="7">
        <v>2718</v>
      </c>
      <c r="D108" s="23">
        <v>0.375027</v>
      </c>
      <c r="E108" s="24">
        <v>7.7646499999999993E-2</v>
      </c>
      <c r="F108" s="139">
        <f>_xlfn.XLOOKUP(CalibrationLog[[#This Row],[Date]], 'Daily Summary'!A:A, 'Daily Summary'!H:H, "n/a")</f>
        <v>0.39170800000000006</v>
      </c>
      <c r="G108" s="140">
        <f>_xlfn.XLOOKUP(CalibrationLog[[#This Row],[Date]], 'Daily Summary'!A:A, 'Daily Summary'!K:K, "n/a")</f>
        <v>9.6186149999999998E-2</v>
      </c>
      <c r="H108" s="141" t="str">
        <f>IF(CalibrationLog[[#This Row],[Date]]="", "", IF(CalibrationLog[[#This Row],[World Error]]&lt;CalibrationLog[[#This Row],[World Error (Avg.)]], "Yes", "No"))</f>
        <v>Yes</v>
      </c>
      <c r="I108" s="142" t="str">
        <f>IF(CalibrationLog[[#This Row],[Date]]="", "", IF(CalibrationLog[[#This Row],[Image Error]]&lt;G108, "Yes", "No"))</f>
        <v>Yes</v>
      </c>
    </row>
    <row r="109" spans="1:9" x14ac:dyDescent="0.25">
      <c r="A109" s="6">
        <v>46234</v>
      </c>
      <c r="B109" s="26" t="s">
        <v>30</v>
      </c>
      <c r="C109" s="7">
        <v>2001</v>
      </c>
      <c r="D109" s="23">
        <v>0.52081699999999997</v>
      </c>
      <c r="E109" s="24">
        <v>0.104738</v>
      </c>
      <c r="F109" s="139">
        <f>_xlfn.XLOOKUP(CalibrationLog[[#This Row],[Date]], 'Daily Summary'!A:A, 'Daily Summary'!H:H, "n/a")</f>
        <v>0.39170800000000006</v>
      </c>
      <c r="G109" s="140">
        <f>_xlfn.XLOOKUP(CalibrationLog[[#This Row],[Date]], 'Daily Summary'!A:A, 'Daily Summary'!K:K, "n/a")</f>
        <v>9.6186149999999998E-2</v>
      </c>
      <c r="H109" s="141" t="str">
        <f>IF(CalibrationLog[[#This Row],[Date]]="", "", IF(CalibrationLog[[#This Row],[World Error]]&lt;CalibrationLog[[#This Row],[World Error (Avg.)]], "Yes", "No"))</f>
        <v>No</v>
      </c>
      <c r="I109" s="142" t="str">
        <f>IF(CalibrationLog[[#This Row],[Date]]="", "", IF(CalibrationLog[[#This Row],[Image Error]]&lt;G109, "Yes", "No"))</f>
        <v>No</v>
      </c>
    </row>
    <row r="110" spans="1:9" x14ac:dyDescent="0.25">
      <c r="A110" s="6">
        <v>46235</v>
      </c>
      <c r="B110" s="26" t="s">
        <v>14</v>
      </c>
      <c r="C110" s="7">
        <v>3111</v>
      </c>
      <c r="D110" s="23">
        <v>0.38656600000000002</v>
      </c>
      <c r="E110" s="24">
        <v>0.10890900000000001</v>
      </c>
      <c r="F110" s="139">
        <f>_xlfn.XLOOKUP(CalibrationLog[[#This Row],[Date]], 'Daily Summary'!A:A, 'Daily Summary'!H:H, "n/a")</f>
        <v>0.5529641111111111</v>
      </c>
      <c r="G110" s="140">
        <f>_xlfn.XLOOKUP(CalibrationLog[[#This Row],[Date]], 'Daily Summary'!A:A, 'Daily Summary'!K:K, "n/a")</f>
        <v>0.12669717222222221</v>
      </c>
      <c r="H110" s="141" t="str">
        <f>IF(CalibrationLog[[#This Row],[Date]]="", "", IF(CalibrationLog[[#This Row],[World Error]]&lt;CalibrationLog[[#This Row],[World Error (Avg.)]], "Yes", "No"))</f>
        <v>Yes</v>
      </c>
      <c r="I110" s="142" t="str">
        <f>IF(CalibrationLog[[#This Row],[Date]]="", "", IF(CalibrationLog[[#This Row],[Image Error]]&lt;G110, "Yes", "No"))</f>
        <v>Yes</v>
      </c>
    </row>
    <row r="111" spans="1:9" x14ac:dyDescent="0.25">
      <c r="A111" s="6">
        <v>46235</v>
      </c>
      <c r="B111" s="26" t="s">
        <v>15</v>
      </c>
      <c r="C111" s="7">
        <v>2814</v>
      </c>
      <c r="D111" s="23">
        <v>0.48407099999999997</v>
      </c>
      <c r="E111" s="24">
        <v>0.127695</v>
      </c>
      <c r="F111" s="139">
        <f>_xlfn.XLOOKUP(CalibrationLog[[#This Row],[Date]], 'Daily Summary'!A:A, 'Daily Summary'!H:H, "n/a")</f>
        <v>0.5529641111111111</v>
      </c>
      <c r="G111" s="140">
        <f>_xlfn.XLOOKUP(CalibrationLog[[#This Row],[Date]], 'Daily Summary'!A:A, 'Daily Summary'!K:K, "n/a")</f>
        <v>0.12669717222222221</v>
      </c>
      <c r="H111" s="141" t="str">
        <f>IF(CalibrationLog[[#This Row],[Date]]="", "", IF(CalibrationLog[[#This Row],[World Error]]&lt;CalibrationLog[[#This Row],[World Error (Avg.)]], "Yes", "No"))</f>
        <v>Yes</v>
      </c>
      <c r="I111" s="142" t="str">
        <f>IF(CalibrationLog[[#This Row],[Date]]="", "", IF(CalibrationLog[[#This Row],[Image Error]]&lt;G111, "Yes", "No"))</f>
        <v>No</v>
      </c>
    </row>
    <row r="112" spans="1:9" x14ac:dyDescent="0.25">
      <c r="A112" s="6">
        <v>46235</v>
      </c>
      <c r="B112" s="26" t="s">
        <v>16</v>
      </c>
      <c r="C112" s="7">
        <v>2201</v>
      </c>
      <c r="D112" s="23">
        <v>0.54380600000000001</v>
      </c>
      <c r="E112" s="24">
        <v>0.12779199999999999</v>
      </c>
      <c r="F112" s="139">
        <f>_xlfn.XLOOKUP(CalibrationLog[[#This Row],[Date]], 'Daily Summary'!A:A, 'Daily Summary'!H:H, "n/a")</f>
        <v>0.5529641111111111</v>
      </c>
      <c r="G112" s="140">
        <f>_xlfn.XLOOKUP(CalibrationLog[[#This Row],[Date]], 'Daily Summary'!A:A, 'Daily Summary'!K:K, "n/a")</f>
        <v>0.12669717222222221</v>
      </c>
      <c r="H112" s="141" t="str">
        <f>IF(CalibrationLog[[#This Row],[Date]]="", "", IF(CalibrationLog[[#This Row],[World Error]]&lt;CalibrationLog[[#This Row],[World Error (Avg.)]], "Yes", "No"))</f>
        <v>Yes</v>
      </c>
      <c r="I112" s="142" t="str">
        <f>IF(CalibrationLog[[#This Row],[Date]]="", "", IF(CalibrationLog[[#This Row],[Image Error]]&lt;G112, "Yes", "No"))</f>
        <v>No</v>
      </c>
    </row>
    <row r="113" spans="1:9" x14ac:dyDescent="0.25">
      <c r="A113" s="6">
        <v>46235</v>
      </c>
      <c r="B113" s="26" t="s">
        <v>17</v>
      </c>
      <c r="C113" s="7">
        <v>2352</v>
      </c>
      <c r="D113" s="23">
        <v>0.47246100000000002</v>
      </c>
      <c r="E113" s="24">
        <v>9.3412599999999998E-2</v>
      </c>
      <c r="F113" s="139">
        <f>_xlfn.XLOOKUP(CalibrationLog[[#This Row],[Date]], 'Daily Summary'!A:A, 'Daily Summary'!H:H, "n/a")</f>
        <v>0.5529641111111111</v>
      </c>
      <c r="G113" s="140">
        <f>_xlfn.XLOOKUP(CalibrationLog[[#This Row],[Date]], 'Daily Summary'!A:A, 'Daily Summary'!K:K, "n/a")</f>
        <v>0.12669717222222221</v>
      </c>
      <c r="H113" s="141" t="str">
        <f>IF(CalibrationLog[[#This Row],[Date]]="", "", IF(CalibrationLog[[#This Row],[World Error]]&lt;CalibrationLog[[#This Row],[World Error (Avg.)]], "Yes", "No"))</f>
        <v>Yes</v>
      </c>
      <c r="I113" s="142" t="str">
        <f>IF(CalibrationLog[[#This Row],[Date]]="", "", IF(CalibrationLog[[#This Row],[Image Error]]&lt;G113, "Yes", "No"))</f>
        <v>Yes</v>
      </c>
    </row>
    <row r="114" spans="1:9" x14ac:dyDescent="0.25">
      <c r="A114" s="6">
        <v>46235</v>
      </c>
      <c r="B114" s="26" t="s">
        <v>18</v>
      </c>
      <c r="C114" s="7">
        <v>2814</v>
      </c>
      <c r="D114" s="23">
        <v>0.38531199999999999</v>
      </c>
      <c r="E114" s="24">
        <v>9.1877600000000004E-2</v>
      </c>
      <c r="F114" s="139">
        <f>_xlfn.XLOOKUP(CalibrationLog[[#This Row],[Date]], 'Daily Summary'!A:A, 'Daily Summary'!H:H, "n/a")</f>
        <v>0.5529641111111111</v>
      </c>
      <c r="G114" s="140">
        <f>_xlfn.XLOOKUP(CalibrationLog[[#This Row],[Date]], 'Daily Summary'!A:A, 'Daily Summary'!K:K, "n/a")</f>
        <v>0.12669717222222221</v>
      </c>
      <c r="H114" s="141" t="str">
        <f>IF(CalibrationLog[[#This Row],[Date]]="", "", IF(CalibrationLog[[#This Row],[World Error]]&lt;CalibrationLog[[#This Row],[World Error (Avg.)]], "Yes", "No"))</f>
        <v>Yes</v>
      </c>
      <c r="I114" s="142" t="str">
        <f>IF(CalibrationLog[[#This Row],[Date]]="", "", IF(CalibrationLog[[#This Row],[Image Error]]&lt;G114, "Yes", "No"))</f>
        <v>Yes</v>
      </c>
    </row>
    <row r="115" spans="1:9" x14ac:dyDescent="0.25">
      <c r="A115" s="6">
        <v>46235</v>
      </c>
      <c r="B115" s="26" t="s">
        <v>19</v>
      </c>
      <c r="C115" s="7">
        <v>2708</v>
      </c>
      <c r="D115" s="23">
        <v>1.47159</v>
      </c>
      <c r="E115" s="24">
        <v>0.31046400000000002</v>
      </c>
      <c r="F115" s="139">
        <f>_xlfn.XLOOKUP(CalibrationLog[[#This Row],[Date]], 'Daily Summary'!A:A, 'Daily Summary'!H:H, "n/a")</f>
        <v>0.5529641111111111</v>
      </c>
      <c r="G115" s="140">
        <f>_xlfn.XLOOKUP(CalibrationLog[[#This Row],[Date]], 'Daily Summary'!A:A, 'Daily Summary'!K:K, "n/a")</f>
        <v>0.12669717222222221</v>
      </c>
      <c r="H115" s="141" t="str">
        <f>IF(CalibrationLog[[#This Row],[Date]]="", "", IF(CalibrationLog[[#This Row],[World Error]]&lt;CalibrationLog[[#This Row],[World Error (Avg.)]], "Yes", "No"))</f>
        <v>No</v>
      </c>
      <c r="I115" s="142" t="str">
        <f>IF(CalibrationLog[[#This Row],[Date]]="", "", IF(CalibrationLog[[#This Row],[Image Error]]&lt;G115, "Yes", "No"))</f>
        <v>No</v>
      </c>
    </row>
    <row r="116" spans="1:9" x14ac:dyDescent="0.25">
      <c r="A116" s="6">
        <v>46235</v>
      </c>
      <c r="B116" s="26" t="s">
        <v>20</v>
      </c>
      <c r="C116" s="7">
        <v>2700</v>
      </c>
      <c r="D116" s="23">
        <v>0.81003099999999995</v>
      </c>
      <c r="E116" s="24">
        <v>0.169795</v>
      </c>
      <c r="F116" s="139">
        <f>_xlfn.XLOOKUP(CalibrationLog[[#This Row],[Date]], 'Daily Summary'!A:A, 'Daily Summary'!H:H, "n/a")</f>
        <v>0.5529641111111111</v>
      </c>
      <c r="G116" s="140">
        <f>_xlfn.XLOOKUP(CalibrationLog[[#This Row],[Date]], 'Daily Summary'!A:A, 'Daily Summary'!K:K, "n/a")</f>
        <v>0.12669717222222221</v>
      </c>
      <c r="H116" s="141" t="str">
        <f>IF(CalibrationLog[[#This Row],[Date]]="", "", IF(CalibrationLog[[#This Row],[World Error]]&lt;CalibrationLog[[#This Row],[World Error (Avg.)]], "Yes", "No"))</f>
        <v>No</v>
      </c>
      <c r="I116" s="142" t="str">
        <f>IF(CalibrationLog[[#This Row],[Date]]="", "", IF(CalibrationLog[[#This Row],[Image Error]]&lt;G116, "Yes", "No"))</f>
        <v>No</v>
      </c>
    </row>
    <row r="117" spans="1:9" x14ac:dyDescent="0.25">
      <c r="A117" s="6">
        <v>46235</v>
      </c>
      <c r="B117" s="26" t="s">
        <v>46</v>
      </c>
      <c r="C117" s="7">
        <v>1503</v>
      </c>
      <c r="D117" s="23">
        <v>0.204627</v>
      </c>
      <c r="E117" s="24">
        <v>6.2046299999999999E-2</v>
      </c>
      <c r="F117" s="139">
        <f>_xlfn.XLOOKUP(CalibrationLog[[#This Row],[Date]], 'Daily Summary'!A:A, 'Daily Summary'!H:H, "n/a")</f>
        <v>0.5529641111111111</v>
      </c>
      <c r="G117" s="140">
        <f>_xlfn.XLOOKUP(CalibrationLog[[#This Row],[Date]], 'Daily Summary'!A:A, 'Daily Summary'!K:K, "n/a")</f>
        <v>0.12669717222222221</v>
      </c>
      <c r="H117" s="141" t="str">
        <f>IF(CalibrationLog[[#This Row],[Date]]="", "", IF(CalibrationLog[[#This Row],[World Error]]&lt;CalibrationLog[[#This Row],[World Error (Avg.)]], "Yes", "No"))</f>
        <v>Yes</v>
      </c>
      <c r="I117" s="142" t="str">
        <f>IF(CalibrationLog[[#This Row],[Date]]="", "", IF(CalibrationLog[[#This Row],[Image Error]]&lt;G117, "Yes", "No"))</f>
        <v>Yes</v>
      </c>
    </row>
    <row r="118" spans="1:9" x14ac:dyDescent="0.25">
      <c r="A118" s="6">
        <v>46235</v>
      </c>
      <c r="B118" s="26" t="s">
        <v>21</v>
      </c>
      <c r="C118" s="7">
        <v>3742</v>
      </c>
      <c r="D118" s="23">
        <v>1.2650600000000001</v>
      </c>
      <c r="E118" s="24">
        <v>0.246172</v>
      </c>
      <c r="F118" s="139">
        <f>_xlfn.XLOOKUP(CalibrationLog[[#This Row],[Date]], 'Daily Summary'!A:A, 'Daily Summary'!H:H, "n/a")</f>
        <v>0.5529641111111111</v>
      </c>
      <c r="G118" s="140">
        <f>_xlfn.XLOOKUP(CalibrationLog[[#This Row],[Date]], 'Daily Summary'!A:A, 'Daily Summary'!K:K, "n/a")</f>
        <v>0.12669717222222221</v>
      </c>
      <c r="H118" s="141" t="str">
        <f>IF(CalibrationLog[[#This Row],[Date]]="", "", IF(CalibrationLog[[#This Row],[World Error]]&lt;CalibrationLog[[#This Row],[World Error (Avg.)]], "Yes", "No"))</f>
        <v>No</v>
      </c>
      <c r="I118" s="142" t="str">
        <f>IF(CalibrationLog[[#This Row],[Date]]="", "", IF(CalibrationLog[[#This Row],[Image Error]]&lt;G118, "Yes", "No"))</f>
        <v>No</v>
      </c>
    </row>
    <row r="119" spans="1:9" x14ac:dyDescent="0.25">
      <c r="A119" s="6">
        <v>46235</v>
      </c>
      <c r="B119" s="26" t="s">
        <v>22</v>
      </c>
      <c r="C119" s="7">
        <v>2339</v>
      </c>
      <c r="D119" s="23">
        <v>0.37946099999999999</v>
      </c>
      <c r="E119" s="24">
        <v>0.10304000000000001</v>
      </c>
      <c r="F119" s="139">
        <f>_xlfn.XLOOKUP(CalibrationLog[[#This Row],[Date]], 'Daily Summary'!A:A, 'Daily Summary'!H:H, "n/a")</f>
        <v>0.5529641111111111</v>
      </c>
      <c r="G119" s="140">
        <f>_xlfn.XLOOKUP(CalibrationLog[[#This Row],[Date]], 'Daily Summary'!A:A, 'Daily Summary'!K:K, "n/a")</f>
        <v>0.12669717222222221</v>
      </c>
      <c r="H119" s="141" t="str">
        <f>IF(CalibrationLog[[#This Row],[Date]]="", "", IF(CalibrationLog[[#This Row],[World Error]]&lt;CalibrationLog[[#This Row],[World Error (Avg.)]], "Yes", "No"))</f>
        <v>Yes</v>
      </c>
      <c r="I119" s="142" t="str">
        <f>IF(CalibrationLog[[#This Row],[Date]]="", "", IF(CalibrationLog[[#This Row],[Image Error]]&lt;G119, "Yes", "No"))</f>
        <v>Yes</v>
      </c>
    </row>
    <row r="120" spans="1:9" x14ac:dyDescent="0.25">
      <c r="A120" s="6">
        <v>46235</v>
      </c>
      <c r="B120" s="26" t="s">
        <v>23</v>
      </c>
      <c r="C120" s="7">
        <v>1576</v>
      </c>
      <c r="D120" s="23">
        <v>0.21701799999999999</v>
      </c>
      <c r="E120" s="24">
        <v>7.1269700000000005E-2</v>
      </c>
      <c r="F120" s="139">
        <f>_xlfn.XLOOKUP(CalibrationLog[[#This Row],[Date]], 'Daily Summary'!A:A, 'Daily Summary'!H:H, "n/a")</f>
        <v>0.5529641111111111</v>
      </c>
      <c r="G120" s="140">
        <f>_xlfn.XLOOKUP(CalibrationLog[[#This Row],[Date]], 'Daily Summary'!A:A, 'Daily Summary'!K:K, "n/a")</f>
        <v>0.12669717222222221</v>
      </c>
      <c r="H120" s="141" t="str">
        <f>IF(CalibrationLog[[#This Row],[Date]]="", "", IF(CalibrationLog[[#This Row],[World Error]]&lt;CalibrationLog[[#This Row],[World Error (Avg.)]], "Yes", "No"))</f>
        <v>Yes</v>
      </c>
      <c r="I120" s="142" t="str">
        <f>IF(CalibrationLog[[#This Row],[Date]]="", "", IF(CalibrationLog[[#This Row],[Image Error]]&lt;G120, "Yes", "No"))</f>
        <v>Yes</v>
      </c>
    </row>
    <row r="121" spans="1:9" x14ac:dyDescent="0.25">
      <c r="A121" s="6">
        <v>46235</v>
      </c>
      <c r="B121" s="26" t="s">
        <v>24</v>
      </c>
      <c r="C121" s="7">
        <v>2915</v>
      </c>
      <c r="D121" s="23">
        <v>0.22855900000000001</v>
      </c>
      <c r="E121" s="24">
        <v>7.0344799999999999E-2</v>
      </c>
      <c r="F121" s="139">
        <f>_xlfn.XLOOKUP(CalibrationLog[[#This Row],[Date]], 'Daily Summary'!A:A, 'Daily Summary'!H:H, "n/a")</f>
        <v>0.5529641111111111</v>
      </c>
      <c r="G121" s="140">
        <f>_xlfn.XLOOKUP(CalibrationLog[[#This Row],[Date]], 'Daily Summary'!A:A, 'Daily Summary'!K:K, "n/a")</f>
        <v>0.12669717222222221</v>
      </c>
      <c r="H121" s="141" t="str">
        <f>IF(CalibrationLog[[#This Row],[Date]]="", "", IF(CalibrationLog[[#This Row],[World Error]]&lt;CalibrationLog[[#This Row],[World Error (Avg.)]], "Yes", "No"))</f>
        <v>Yes</v>
      </c>
      <c r="I121" s="142" t="str">
        <f>IF(CalibrationLog[[#This Row],[Date]]="", "", IF(CalibrationLog[[#This Row],[Image Error]]&lt;G121, "Yes", "No"))</f>
        <v>Yes</v>
      </c>
    </row>
    <row r="122" spans="1:9" x14ac:dyDescent="0.25">
      <c r="A122" s="6">
        <v>46235</v>
      </c>
      <c r="B122" s="26" t="s">
        <v>25</v>
      </c>
      <c r="C122" s="7">
        <v>1546</v>
      </c>
      <c r="D122" s="23">
        <v>0.228106</v>
      </c>
      <c r="E122" s="24">
        <v>5.4853300000000001E-2</v>
      </c>
      <c r="F122" s="139">
        <f>_xlfn.XLOOKUP(CalibrationLog[[#This Row],[Date]], 'Daily Summary'!A:A, 'Daily Summary'!H:H, "n/a")</f>
        <v>0.5529641111111111</v>
      </c>
      <c r="G122" s="140">
        <f>_xlfn.XLOOKUP(CalibrationLog[[#This Row],[Date]], 'Daily Summary'!A:A, 'Daily Summary'!K:K, "n/a")</f>
        <v>0.12669717222222221</v>
      </c>
      <c r="H122" s="141" t="str">
        <f>IF(CalibrationLog[[#This Row],[Date]]="", "", IF(CalibrationLog[[#This Row],[World Error]]&lt;CalibrationLog[[#This Row],[World Error (Avg.)]], "Yes", "No"))</f>
        <v>Yes</v>
      </c>
      <c r="I122" s="142" t="str">
        <f>IF(CalibrationLog[[#This Row],[Date]]="", "", IF(CalibrationLog[[#This Row],[Image Error]]&lt;G122, "Yes", "No"))</f>
        <v>Yes</v>
      </c>
    </row>
    <row r="123" spans="1:9" x14ac:dyDescent="0.25">
      <c r="A123" s="6">
        <v>46235</v>
      </c>
      <c r="B123" s="26" t="s">
        <v>26</v>
      </c>
      <c r="C123" s="7">
        <v>2440</v>
      </c>
      <c r="D123" s="23">
        <v>0.24538699999999999</v>
      </c>
      <c r="E123" s="24">
        <v>7.8953300000000004E-2</v>
      </c>
      <c r="F123" s="139">
        <f>_xlfn.XLOOKUP(CalibrationLog[[#This Row],[Date]], 'Daily Summary'!A:A, 'Daily Summary'!H:H, "n/a")</f>
        <v>0.5529641111111111</v>
      </c>
      <c r="G123" s="140">
        <f>_xlfn.XLOOKUP(CalibrationLog[[#This Row],[Date]], 'Daily Summary'!A:A, 'Daily Summary'!K:K, "n/a")</f>
        <v>0.12669717222222221</v>
      </c>
      <c r="H123" s="141" t="str">
        <f>IF(CalibrationLog[[#This Row],[Date]]="", "", IF(CalibrationLog[[#This Row],[World Error]]&lt;CalibrationLog[[#This Row],[World Error (Avg.)]], "Yes", "No"))</f>
        <v>Yes</v>
      </c>
      <c r="I123" s="142" t="str">
        <f>IF(CalibrationLog[[#This Row],[Date]]="", "", IF(CalibrationLog[[#This Row],[Image Error]]&lt;G123, "Yes", "No"))</f>
        <v>Yes</v>
      </c>
    </row>
    <row r="124" spans="1:9" x14ac:dyDescent="0.25">
      <c r="A124" s="6">
        <v>46235</v>
      </c>
      <c r="B124" s="26" t="s">
        <v>27</v>
      </c>
      <c r="C124" s="7">
        <v>1812</v>
      </c>
      <c r="D124" s="23">
        <v>0.716615</v>
      </c>
      <c r="E124" s="24">
        <v>0.16242100000000001</v>
      </c>
      <c r="F124" s="139">
        <f>_xlfn.XLOOKUP(CalibrationLog[[#This Row],[Date]], 'Daily Summary'!A:A, 'Daily Summary'!H:H, "n/a")</f>
        <v>0.5529641111111111</v>
      </c>
      <c r="G124" s="140">
        <f>_xlfn.XLOOKUP(CalibrationLog[[#This Row],[Date]], 'Daily Summary'!A:A, 'Daily Summary'!K:K, "n/a")</f>
        <v>0.12669717222222221</v>
      </c>
      <c r="H124" s="141" t="str">
        <f>IF(CalibrationLog[[#This Row],[Date]]="", "", IF(CalibrationLog[[#This Row],[World Error]]&lt;CalibrationLog[[#This Row],[World Error (Avg.)]], "Yes", "No"))</f>
        <v>No</v>
      </c>
      <c r="I124" s="142" t="str">
        <f>IF(CalibrationLog[[#This Row],[Date]]="", "", IF(CalibrationLog[[#This Row],[Image Error]]&lt;G124, "Yes", "No"))</f>
        <v>No</v>
      </c>
    </row>
    <row r="125" spans="1:9" x14ac:dyDescent="0.25">
      <c r="A125" s="6">
        <v>46235</v>
      </c>
      <c r="B125" s="26" t="s">
        <v>28</v>
      </c>
      <c r="C125" s="7">
        <v>1530</v>
      </c>
      <c r="D125" s="23">
        <v>0.38388800000000001</v>
      </c>
      <c r="E125" s="24">
        <v>8.6132899999999998E-2</v>
      </c>
      <c r="F125" s="139">
        <f>_xlfn.XLOOKUP(CalibrationLog[[#This Row],[Date]], 'Daily Summary'!A:A, 'Daily Summary'!H:H, "n/a")</f>
        <v>0.5529641111111111</v>
      </c>
      <c r="G125" s="140">
        <f>_xlfn.XLOOKUP(CalibrationLog[[#This Row],[Date]], 'Daily Summary'!A:A, 'Daily Summary'!K:K, "n/a")</f>
        <v>0.12669717222222221</v>
      </c>
      <c r="H125" s="141" t="str">
        <f>IF(CalibrationLog[[#This Row],[Date]]="", "", IF(CalibrationLog[[#This Row],[World Error]]&lt;CalibrationLog[[#This Row],[World Error (Avg.)]], "Yes", "No"))</f>
        <v>Yes</v>
      </c>
      <c r="I125" s="142" t="str">
        <f>IF(CalibrationLog[[#This Row],[Date]]="", "", IF(CalibrationLog[[#This Row],[Image Error]]&lt;G125, "Yes", "No"))</f>
        <v>Yes</v>
      </c>
    </row>
    <row r="126" spans="1:9" x14ac:dyDescent="0.25">
      <c r="A126" s="6">
        <v>46235</v>
      </c>
      <c r="B126" s="26" t="s">
        <v>29</v>
      </c>
      <c r="C126" s="7">
        <v>2305</v>
      </c>
      <c r="D126" s="23">
        <v>1.05867</v>
      </c>
      <c r="E126" s="24">
        <v>0.22051299999999999</v>
      </c>
      <c r="F126" s="139">
        <f>_xlfn.XLOOKUP(CalibrationLog[[#This Row],[Date]], 'Daily Summary'!A:A, 'Daily Summary'!H:H, "n/a")</f>
        <v>0.5529641111111111</v>
      </c>
      <c r="G126" s="140">
        <f>_xlfn.XLOOKUP(CalibrationLog[[#This Row],[Date]], 'Daily Summary'!A:A, 'Daily Summary'!K:K, "n/a")</f>
        <v>0.12669717222222221</v>
      </c>
      <c r="H126" s="141" t="str">
        <f>IF(CalibrationLog[[#This Row],[Date]]="", "", IF(CalibrationLog[[#This Row],[World Error]]&lt;CalibrationLog[[#This Row],[World Error (Avg.)]], "Yes", "No"))</f>
        <v>No</v>
      </c>
      <c r="I126" s="142" t="str">
        <f>IF(CalibrationLog[[#This Row],[Date]]="", "", IF(CalibrationLog[[#This Row],[Image Error]]&lt;G126, "Yes", "No"))</f>
        <v>No</v>
      </c>
    </row>
    <row r="127" spans="1:9" x14ac:dyDescent="0.25">
      <c r="A127" s="6">
        <v>46235</v>
      </c>
      <c r="B127" s="26" t="s">
        <v>30</v>
      </c>
      <c r="C127" s="7">
        <v>2080</v>
      </c>
      <c r="D127" s="23">
        <v>0.47212599999999999</v>
      </c>
      <c r="E127" s="24">
        <v>9.48576E-2</v>
      </c>
      <c r="F127" s="139">
        <f>_xlfn.XLOOKUP(CalibrationLog[[#This Row],[Date]], 'Daily Summary'!A:A, 'Daily Summary'!H:H, "n/a")</f>
        <v>0.5529641111111111</v>
      </c>
      <c r="G127" s="140">
        <f>_xlfn.XLOOKUP(CalibrationLog[[#This Row],[Date]], 'Daily Summary'!A:A, 'Daily Summary'!K:K, "n/a")</f>
        <v>0.12669717222222221</v>
      </c>
      <c r="H127" s="141" t="str">
        <f>IF(CalibrationLog[[#This Row],[Date]]="", "", IF(CalibrationLog[[#This Row],[World Error]]&lt;CalibrationLog[[#This Row],[World Error (Avg.)]], "Yes", "No"))</f>
        <v>Yes</v>
      </c>
      <c r="I127" s="142" t="str">
        <f>IF(CalibrationLog[[#This Row],[Date]]="", "", IF(CalibrationLog[[#This Row],[Image Error]]&lt;G127, "Yes", "No"))</f>
        <v>Yes</v>
      </c>
    </row>
    <row r="128" spans="1:9" x14ac:dyDescent="0.25">
      <c r="A128" s="6">
        <v>46237</v>
      </c>
      <c r="B128" s="26" t="s">
        <v>14</v>
      </c>
      <c r="C128" s="7">
        <v>2303</v>
      </c>
      <c r="D128" s="23">
        <v>0.18865100000000001</v>
      </c>
      <c r="E128" s="24">
        <v>5.7477100000000003E-2</v>
      </c>
      <c r="F128" s="139">
        <f>_xlfn.XLOOKUP(CalibrationLog[[#This Row],[Date]], 'Daily Summary'!A:A, 'Daily Summary'!H:H, "n/a")</f>
        <v>0.37600283333333329</v>
      </c>
      <c r="G128" s="140">
        <f>_xlfn.XLOOKUP(CalibrationLog[[#This Row],[Date]], 'Daily Summary'!A:A, 'Daily Summary'!K:K, "n/a")</f>
        <v>9.034650000000001E-2</v>
      </c>
      <c r="H128" s="141" t="str">
        <f>IF(CalibrationLog[[#This Row],[Date]]="", "", IF(CalibrationLog[[#This Row],[World Error]]&lt;CalibrationLog[[#This Row],[World Error (Avg.)]], "Yes", "No"))</f>
        <v>Yes</v>
      </c>
      <c r="I128" s="142" t="str">
        <f>IF(CalibrationLog[[#This Row],[Date]]="", "", IF(CalibrationLog[[#This Row],[Image Error]]&lt;G128, "Yes", "No"))</f>
        <v>Yes</v>
      </c>
    </row>
    <row r="129" spans="1:9" x14ac:dyDescent="0.25">
      <c r="A129" s="6">
        <v>46237</v>
      </c>
      <c r="B129" s="26" t="s">
        <v>15</v>
      </c>
      <c r="C129" s="7">
        <v>2379</v>
      </c>
      <c r="D129" s="23">
        <v>0.37706499999999998</v>
      </c>
      <c r="E129" s="24">
        <v>0.10617699999999999</v>
      </c>
      <c r="F129" s="139">
        <f>_xlfn.XLOOKUP(CalibrationLog[[#This Row],[Date]], 'Daily Summary'!A:A, 'Daily Summary'!H:H, "n/a")</f>
        <v>0.37600283333333329</v>
      </c>
      <c r="G129" s="140">
        <f>_xlfn.XLOOKUP(CalibrationLog[[#This Row],[Date]], 'Daily Summary'!A:A, 'Daily Summary'!K:K, "n/a")</f>
        <v>9.034650000000001E-2</v>
      </c>
      <c r="H129" s="141" t="str">
        <f>IF(CalibrationLog[[#This Row],[Date]]="", "", IF(CalibrationLog[[#This Row],[World Error]]&lt;CalibrationLog[[#This Row],[World Error (Avg.)]], "Yes", "No"))</f>
        <v>No</v>
      </c>
      <c r="I129" s="142" t="str">
        <f>IF(CalibrationLog[[#This Row],[Date]]="", "", IF(CalibrationLog[[#This Row],[Image Error]]&lt;G129, "Yes", "No"))</f>
        <v>No</v>
      </c>
    </row>
    <row r="130" spans="1:9" x14ac:dyDescent="0.25">
      <c r="A130" s="6">
        <v>46237</v>
      </c>
      <c r="B130" s="26" t="s">
        <v>16</v>
      </c>
      <c r="C130" s="7">
        <v>2183</v>
      </c>
      <c r="D130" s="23">
        <v>0.47255399999999997</v>
      </c>
      <c r="E130" s="24">
        <v>0.118227</v>
      </c>
      <c r="F130" s="139">
        <f>_xlfn.XLOOKUP(CalibrationLog[[#This Row],[Date]], 'Daily Summary'!A:A, 'Daily Summary'!H:H, "n/a")</f>
        <v>0.37600283333333329</v>
      </c>
      <c r="G130" s="140">
        <f>_xlfn.XLOOKUP(CalibrationLog[[#This Row],[Date]], 'Daily Summary'!A:A, 'Daily Summary'!K:K, "n/a")</f>
        <v>9.034650000000001E-2</v>
      </c>
      <c r="H130" s="141" t="str">
        <f>IF(CalibrationLog[[#This Row],[Date]]="", "", IF(CalibrationLog[[#This Row],[World Error]]&lt;CalibrationLog[[#This Row],[World Error (Avg.)]], "Yes", "No"))</f>
        <v>No</v>
      </c>
      <c r="I130" s="142" t="str">
        <f>IF(CalibrationLog[[#This Row],[Date]]="", "", IF(CalibrationLog[[#This Row],[Image Error]]&lt;G130, "Yes", "No"))</f>
        <v>No</v>
      </c>
    </row>
    <row r="131" spans="1:9" x14ac:dyDescent="0.25">
      <c r="A131" s="6">
        <v>46237</v>
      </c>
      <c r="B131" s="26" t="s">
        <v>17</v>
      </c>
      <c r="C131" s="7">
        <v>2342</v>
      </c>
      <c r="D131" s="23">
        <v>0.44384499999999999</v>
      </c>
      <c r="E131" s="24">
        <v>9.0625700000000003E-2</v>
      </c>
      <c r="F131" s="139">
        <f>_xlfn.XLOOKUP(CalibrationLog[[#This Row],[Date]], 'Daily Summary'!A:A, 'Daily Summary'!H:H, "n/a")</f>
        <v>0.37600283333333329</v>
      </c>
      <c r="G131" s="140">
        <f>_xlfn.XLOOKUP(CalibrationLog[[#This Row],[Date]], 'Daily Summary'!A:A, 'Daily Summary'!K:K, "n/a")</f>
        <v>9.034650000000001E-2</v>
      </c>
      <c r="H131" s="141" t="str">
        <f>IF(CalibrationLog[[#This Row],[Date]]="", "", IF(CalibrationLog[[#This Row],[World Error]]&lt;CalibrationLog[[#This Row],[World Error (Avg.)]], "Yes", "No"))</f>
        <v>No</v>
      </c>
      <c r="I131" s="142" t="str">
        <f>IF(CalibrationLog[[#This Row],[Date]]="", "", IF(CalibrationLog[[#This Row],[Image Error]]&lt;G131, "Yes", "No"))</f>
        <v>No</v>
      </c>
    </row>
    <row r="132" spans="1:9" x14ac:dyDescent="0.25">
      <c r="A132" s="6">
        <v>46237</v>
      </c>
      <c r="B132" s="26" t="s">
        <v>18</v>
      </c>
      <c r="C132" s="7">
        <v>2076</v>
      </c>
      <c r="D132" s="23">
        <v>0.28808499999999998</v>
      </c>
      <c r="E132" s="24">
        <v>7.16387E-2</v>
      </c>
      <c r="F132" s="139">
        <f>_xlfn.XLOOKUP(CalibrationLog[[#This Row],[Date]], 'Daily Summary'!A:A, 'Daily Summary'!H:H, "n/a")</f>
        <v>0.37600283333333329</v>
      </c>
      <c r="G132" s="140">
        <f>_xlfn.XLOOKUP(CalibrationLog[[#This Row],[Date]], 'Daily Summary'!A:A, 'Daily Summary'!K:K, "n/a")</f>
        <v>9.034650000000001E-2</v>
      </c>
      <c r="H132" s="141" t="str">
        <f>IF(CalibrationLog[[#This Row],[Date]]="", "", IF(CalibrationLog[[#This Row],[World Error]]&lt;CalibrationLog[[#This Row],[World Error (Avg.)]], "Yes", "No"))</f>
        <v>Yes</v>
      </c>
      <c r="I132" s="142" t="str">
        <f>IF(CalibrationLog[[#This Row],[Date]]="", "", IF(CalibrationLog[[#This Row],[Image Error]]&lt;G132, "Yes", "No"))</f>
        <v>Yes</v>
      </c>
    </row>
    <row r="133" spans="1:9" x14ac:dyDescent="0.25">
      <c r="A133" s="6">
        <v>46237</v>
      </c>
      <c r="B133" s="26" t="s">
        <v>19</v>
      </c>
      <c r="C133" s="7">
        <v>2133</v>
      </c>
      <c r="D133" s="23">
        <v>0.44758999999999999</v>
      </c>
      <c r="E133" s="24">
        <v>9.6034400000000006E-2</v>
      </c>
      <c r="F133" s="139">
        <f>_xlfn.XLOOKUP(CalibrationLog[[#This Row],[Date]], 'Daily Summary'!A:A, 'Daily Summary'!H:H, "n/a")</f>
        <v>0.37600283333333329</v>
      </c>
      <c r="G133" s="140">
        <f>_xlfn.XLOOKUP(CalibrationLog[[#This Row],[Date]], 'Daily Summary'!A:A, 'Daily Summary'!K:K, "n/a")</f>
        <v>9.034650000000001E-2</v>
      </c>
      <c r="H133" s="141" t="str">
        <f>IF(CalibrationLog[[#This Row],[Date]]="", "", IF(CalibrationLog[[#This Row],[World Error]]&lt;CalibrationLog[[#This Row],[World Error (Avg.)]], "Yes", "No"))</f>
        <v>No</v>
      </c>
      <c r="I133" s="142" t="str">
        <f>IF(CalibrationLog[[#This Row],[Date]]="", "", IF(CalibrationLog[[#This Row],[Image Error]]&lt;G133, "Yes", "No"))</f>
        <v>No</v>
      </c>
    </row>
    <row r="134" spans="1:9" x14ac:dyDescent="0.25">
      <c r="A134" s="6">
        <v>46237</v>
      </c>
      <c r="B134" s="26" t="s">
        <v>20</v>
      </c>
      <c r="C134" s="7">
        <v>2387</v>
      </c>
      <c r="D134" s="23">
        <v>0.48196299999999997</v>
      </c>
      <c r="E134" s="24">
        <v>0.10152</v>
      </c>
      <c r="F134" s="139">
        <f>_xlfn.XLOOKUP(CalibrationLog[[#This Row],[Date]], 'Daily Summary'!A:A, 'Daily Summary'!H:H, "n/a")</f>
        <v>0.37600283333333329</v>
      </c>
      <c r="G134" s="140">
        <f>_xlfn.XLOOKUP(CalibrationLog[[#This Row],[Date]], 'Daily Summary'!A:A, 'Daily Summary'!K:K, "n/a")</f>
        <v>9.034650000000001E-2</v>
      </c>
      <c r="H134" s="141" t="str">
        <f>IF(CalibrationLog[[#This Row],[Date]]="", "", IF(CalibrationLog[[#This Row],[World Error]]&lt;CalibrationLog[[#This Row],[World Error (Avg.)]], "Yes", "No"))</f>
        <v>No</v>
      </c>
      <c r="I134" s="142" t="str">
        <f>IF(CalibrationLog[[#This Row],[Date]]="", "", IF(CalibrationLog[[#This Row],[Image Error]]&lt;G134, "Yes", "No"))</f>
        <v>No</v>
      </c>
    </row>
    <row r="135" spans="1:9" x14ac:dyDescent="0.25">
      <c r="A135" s="6">
        <v>46237</v>
      </c>
      <c r="B135" s="26" t="s">
        <v>46</v>
      </c>
      <c r="C135" s="7">
        <v>1147</v>
      </c>
      <c r="D135" s="23">
        <v>0.29599300000000001</v>
      </c>
      <c r="E135" s="24">
        <v>8.7792800000000004E-2</v>
      </c>
      <c r="F135" s="139">
        <f>_xlfn.XLOOKUP(CalibrationLog[[#This Row],[Date]], 'Daily Summary'!A:A, 'Daily Summary'!H:H, "n/a")</f>
        <v>0.37600283333333329</v>
      </c>
      <c r="G135" s="140">
        <f>_xlfn.XLOOKUP(CalibrationLog[[#This Row],[Date]], 'Daily Summary'!A:A, 'Daily Summary'!K:K, "n/a")</f>
        <v>9.034650000000001E-2</v>
      </c>
      <c r="H135" s="141" t="str">
        <f>IF(CalibrationLog[[#This Row],[Date]]="", "", IF(CalibrationLog[[#This Row],[World Error]]&lt;CalibrationLog[[#This Row],[World Error (Avg.)]], "Yes", "No"))</f>
        <v>Yes</v>
      </c>
      <c r="I135" s="142" t="str">
        <f>IF(CalibrationLog[[#This Row],[Date]]="", "", IF(CalibrationLog[[#This Row],[Image Error]]&lt;G135, "Yes", "No"))</f>
        <v>Yes</v>
      </c>
    </row>
    <row r="136" spans="1:9" x14ac:dyDescent="0.25">
      <c r="A136" s="6">
        <v>46237</v>
      </c>
      <c r="B136" s="26" t="s">
        <v>21</v>
      </c>
      <c r="C136" s="7">
        <v>3654</v>
      </c>
      <c r="D136" s="23">
        <v>0.40145799999999998</v>
      </c>
      <c r="E136" s="24">
        <v>7.6540499999999997E-2</v>
      </c>
      <c r="F136" s="139">
        <f>_xlfn.XLOOKUP(CalibrationLog[[#This Row],[Date]], 'Daily Summary'!A:A, 'Daily Summary'!H:H, "n/a")</f>
        <v>0.37600283333333329</v>
      </c>
      <c r="G136" s="140">
        <f>_xlfn.XLOOKUP(CalibrationLog[[#This Row],[Date]], 'Daily Summary'!A:A, 'Daily Summary'!K:K, "n/a")</f>
        <v>9.034650000000001E-2</v>
      </c>
      <c r="H136" s="141" t="str">
        <f>IF(CalibrationLog[[#This Row],[Date]]="", "", IF(CalibrationLog[[#This Row],[World Error]]&lt;CalibrationLog[[#This Row],[World Error (Avg.)]], "Yes", "No"))</f>
        <v>No</v>
      </c>
      <c r="I136" s="142" t="str">
        <f>IF(CalibrationLog[[#This Row],[Date]]="", "", IF(CalibrationLog[[#This Row],[Image Error]]&lt;G136, "Yes", "No"))</f>
        <v>Yes</v>
      </c>
    </row>
    <row r="137" spans="1:9" x14ac:dyDescent="0.25">
      <c r="A137" s="6">
        <v>46237</v>
      </c>
      <c r="B137" s="26" t="s">
        <v>22</v>
      </c>
      <c r="C137" s="7">
        <v>2570</v>
      </c>
      <c r="D137" s="23">
        <v>0.32884799999999997</v>
      </c>
      <c r="E137" s="24">
        <v>8.3027799999999999E-2</v>
      </c>
      <c r="F137" s="139">
        <f>_xlfn.XLOOKUP(CalibrationLog[[#This Row],[Date]], 'Daily Summary'!A:A, 'Daily Summary'!H:H, "n/a")</f>
        <v>0.37600283333333329</v>
      </c>
      <c r="G137" s="140">
        <f>_xlfn.XLOOKUP(CalibrationLog[[#This Row],[Date]], 'Daily Summary'!A:A, 'Daily Summary'!K:K, "n/a")</f>
        <v>9.034650000000001E-2</v>
      </c>
      <c r="H137" s="141" t="str">
        <f>IF(CalibrationLog[[#This Row],[Date]]="", "", IF(CalibrationLog[[#This Row],[World Error]]&lt;CalibrationLog[[#This Row],[World Error (Avg.)]], "Yes", "No"))</f>
        <v>Yes</v>
      </c>
      <c r="I137" s="142" t="str">
        <f>IF(CalibrationLog[[#This Row],[Date]]="", "", IF(CalibrationLog[[#This Row],[Image Error]]&lt;G137, "Yes", "No"))</f>
        <v>Yes</v>
      </c>
    </row>
    <row r="138" spans="1:9" x14ac:dyDescent="0.25">
      <c r="A138" s="6">
        <v>46237</v>
      </c>
      <c r="B138" s="26" t="s">
        <v>23</v>
      </c>
      <c r="C138" s="7">
        <v>1090</v>
      </c>
      <c r="D138" s="23">
        <v>0.27263700000000002</v>
      </c>
      <c r="E138" s="24">
        <v>9.6549800000000005E-2</v>
      </c>
      <c r="F138" s="139">
        <f>_xlfn.XLOOKUP(CalibrationLog[[#This Row],[Date]], 'Daily Summary'!A:A, 'Daily Summary'!H:H, "n/a")</f>
        <v>0.37600283333333329</v>
      </c>
      <c r="G138" s="140">
        <f>_xlfn.XLOOKUP(CalibrationLog[[#This Row],[Date]], 'Daily Summary'!A:A, 'Daily Summary'!K:K, "n/a")</f>
        <v>9.034650000000001E-2</v>
      </c>
      <c r="H138" s="141" t="str">
        <f>IF(CalibrationLog[[#This Row],[Date]]="", "", IF(CalibrationLog[[#This Row],[World Error]]&lt;CalibrationLog[[#This Row],[World Error (Avg.)]], "Yes", "No"))</f>
        <v>Yes</v>
      </c>
      <c r="I138" s="142" t="str">
        <f>IF(CalibrationLog[[#This Row],[Date]]="", "", IF(CalibrationLog[[#This Row],[Image Error]]&lt;G138, "Yes", "No"))</f>
        <v>No</v>
      </c>
    </row>
    <row r="139" spans="1:9" x14ac:dyDescent="0.25">
      <c r="A139" s="6">
        <v>46237</v>
      </c>
      <c r="B139" s="26" t="s">
        <v>24</v>
      </c>
      <c r="C139" s="7">
        <v>2661</v>
      </c>
      <c r="D139" s="23">
        <v>0.389735</v>
      </c>
      <c r="E139" s="24">
        <v>0.12311800000000001</v>
      </c>
      <c r="F139" s="139">
        <f>_xlfn.XLOOKUP(CalibrationLog[[#This Row],[Date]], 'Daily Summary'!A:A, 'Daily Summary'!H:H, "n/a")</f>
        <v>0.37600283333333329</v>
      </c>
      <c r="G139" s="140">
        <f>_xlfn.XLOOKUP(CalibrationLog[[#This Row],[Date]], 'Daily Summary'!A:A, 'Daily Summary'!K:K, "n/a")</f>
        <v>9.034650000000001E-2</v>
      </c>
      <c r="H139" s="141" t="str">
        <f>IF(CalibrationLog[[#This Row],[Date]]="", "", IF(CalibrationLog[[#This Row],[World Error]]&lt;CalibrationLog[[#This Row],[World Error (Avg.)]], "Yes", "No"))</f>
        <v>No</v>
      </c>
      <c r="I139" s="142" t="str">
        <f>IF(CalibrationLog[[#This Row],[Date]]="", "", IF(CalibrationLog[[#This Row],[Image Error]]&lt;G139, "Yes", "No"))</f>
        <v>No</v>
      </c>
    </row>
    <row r="140" spans="1:9" x14ac:dyDescent="0.25">
      <c r="A140" s="6">
        <v>46237</v>
      </c>
      <c r="B140" s="26" t="s">
        <v>25</v>
      </c>
      <c r="C140" s="7">
        <v>1004</v>
      </c>
      <c r="D140" s="23">
        <v>0.179206</v>
      </c>
      <c r="E140" s="24">
        <v>4.2684399999999997E-2</v>
      </c>
      <c r="F140" s="139">
        <f>_xlfn.XLOOKUP(CalibrationLog[[#This Row],[Date]], 'Daily Summary'!A:A, 'Daily Summary'!H:H, "n/a")</f>
        <v>0.37600283333333329</v>
      </c>
      <c r="G140" s="140">
        <f>_xlfn.XLOOKUP(CalibrationLog[[#This Row],[Date]], 'Daily Summary'!A:A, 'Daily Summary'!K:K, "n/a")</f>
        <v>9.034650000000001E-2</v>
      </c>
      <c r="H140" s="141" t="str">
        <f>IF(CalibrationLog[[#This Row],[Date]]="", "", IF(CalibrationLog[[#This Row],[World Error]]&lt;CalibrationLog[[#This Row],[World Error (Avg.)]], "Yes", "No"))</f>
        <v>Yes</v>
      </c>
      <c r="I140" s="142" t="str">
        <f>IF(CalibrationLog[[#This Row],[Date]]="", "", IF(CalibrationLog[[#This Row],[Image Error]]&lt;G140, "Yes", "No"))</f>
        <v>Yes</v>
      </c>
    </row>
    <row r="141" spans="1:9" x14ac:dyDescent="0.25">
      <c r="A141" s="6">
        <v>46237</v>
      </c>
      <c r="B141" s="26" t="s">
        <v>26</v>
      </c>
      <c r="C141" s="7">
        <v>2844</v>
      </c>
      <c r="D141" s="23">
        <v>0.230881</v>
      </c>
      <c r="E141" s="24">
        <v>6.9537399999999999E-2</v>
      </c>
      <c r="F141" s="139">
        <f>_xlfn.XLOOKUP(CalibrationLog[[#This Row],[Date]], 'Daily Summary'!A:A, 'Daily Summary'!H:H, "n/a")</f>
        <v>0.37600283333333329</v>
      </c>
      <c r="G141" s="140">
        <f>_xlfn.XLOOKUP(CalibrationLog[[#This Row],[Date]], 'Daily Summary'!A:A, 'Daily Summary'!K:K, "n/a")</f>
        <v>9.034650000000001E-2</v>
      </c>
      <c r="H141" s="141" t="str">
        <f>IF(CalibrationLog[[#This Row],[Date]]="", "", IF(CalibrationLog[[#This Row],[World Error]]&lt;CalibrationLog[[#This Row],[World Error (Avg.)]], "Yes", "No"))</f>
        <v>Yes</v>
      </c>
      <c r="I141" s="142" t="str">
        <f>IF(CalibrationLog[[#This Row],[Date]]="", "", IF(CalibrationLog[[#This Row],[Image Error]]&lt;G141, "Yes", "No"))</f>
        <v>Yes</v>
      </c>
    </row>
    <row r="142" spans="1:9" x14ac:dyDescent="0.25">
      <c r="A142" s="6">
        <v>46237</v>
      </c>
      <c r="B142" s="26" t="s">
        <v>27</v>
      </c>
      <c r="C142" s="7">
        <v>2740</v>
      </c>
      <c r="D142" s="23">
        <v>0.37662899999999999</v>
      </c>
      <c r="E142" s="24">
        <v>8.2053500000000001E-2</v>
      </c>
      <c r="F142" s="139">
        <f>_xlfn.XLOOKUP(CalibrationLog[[#This Row],[Date]], 'Daily Summary'!A:A, 'Daily Summary'!H:H, "n/a")</f>
        <v>0.37600283333333329</v>
      </c>
      <c r="G142" s="140">
        <f>_xlfn.XLOOKUP(CalibrationLog[[#This Row],[Date]], 'Daily Summary'!A:A, 'Daily Summary'!K:K, "n/a")</f>
        <v>9.034650000000001E-2</v>
      </c>
      <c r="H142" s="141" t="str">
        <f>IF(CalibrationLog[[#This Row],[Date]]="", "", IF(CalibrationLog[[#This Row],[World Error]]&lt;CalibrationLog[[#This Row],[World Error (Avg.)]], "Yes", "No"))</f>
        <v>No</v>
      </c>
      <c r="I142" s="142" t="str">
        <f>IF(CalibrationLog[[#This Row],[Date]]="", "", IF(CalibrationLog[[#This Row],[Image Error]]&lt;G142, "Yes", "No"))</f>
        <v>Yes</v>
      </c>
    </row>
    <row r="143" spans="1:9" x14ac:dyDescent="0.25">
      <c r="A143" s="6">
        <v>46237</v>
      </c>
      <c r="B143" s="26" t="s">
        <v>28</v>
      </c>
      <c r="C143" s="7">
        <v>1675</v>
      </c>
      <c r="D143" s="23">
        <v>0.451706</v>
      </c>
      <c r="E143" s="24">
        <v>9.5755999999999994E-2</v>
      </c>
      <c r="F143" s="139">
        <f>_xlfn.XLOOKUP(CalibrationLog[[#This Row],[Date]], 'Daily Summary'!A:A, 'Daily Summary'!H:H, "n/a")</f>
        <v>0.37600283333333329</v>
      </c>
      <c r="G143" s="140">
        <f>_xlfn.XLOOKUP(CalibrationLog[[#This Row],[Date]], 'Daily Summary'!A:A, 'Daily Summary'!K:K, "n/a")</f>
        <v>9.034650000000001E-2</v>
      </c>
      <c r="H143" s="141" t="str">
        <f>IF(CalibrationLog[[#This Row],[Date]]="", "", IF(CalibrationLog[[#This Row],[World Error]]&lt;CalibrationLog[[#This Row],[World Error (Avg.)]], "Yes", "No"))</f>
        <v>No</v>
      </c>
      <c r="I143" s="142" t="str">
        <f>IF(CalibrationLog[[#This Row],[Date]]="", "", IF(CalibrationLog[[#This Row],[Image Error]]&lt;G143, "Yes", "No"))</f>
        <v>No</v>
      </c>
    </row>
    <row r="144" spans="1:9" x14ac:dyDescent="0.25">
      <c r="A144" s="6">
        <v>46237</v>
      </c>
      <c r="B144" s="26" t="s">
        <v>29</v>
      </c>
      <c r="C144" s="7">
        <v>1654</v>
      </c>
      <c r="D144" s="23">
        <v>0.34387499999999999</v>
      </c>
      <c r="E144" s="24">
        <v>7.5786900000000004E-2</v>
      </c>
      <c r="F144" s="139">
        <f>_xlfn.XLOOKUP(CalibrationLog[[#This Row],[Date]], 'Daily Summary'!A:A, 'Daily Summary'!H:H, "n/a")</f>
        <v>0.37600283333333329</v>
      </c>
      <c r="G144" s="140">
        <f>_xlfn.XLOOKUP(CalibrationLog[[#This Row],[Date]], 'Daily Summary'!A:A, 'Daily Summary'!K:K, "n/a")</f>
        <v>9.034650000000001E-2</v>
      </c>
      <c r="H144" s="141" t="str">
        <f>IF(CalibrationLog[[#This Row],[Date]]="", "", IF(CalibrationLog[[#This Row],[World Error]]&lt;CalibrationLog[[#This Row],[World Error (Avg.)]], "Yes", "No"))</f>
        <v>Yes</v>
      </c>
      <c r="I144" s="142" t="str">
        <f>IF(CalibrationLog[[#This Row],[Date]]="", "", IF(CalibrationLog[[#This Row],[Image Error]]&lt;G144, "Yes", "No"))</f>
        <v>Yes</v>
      </c>
    </row>
    <row r="145" spans="1:9" x14ac:dyDescent="0.25">
      <c r="A145" s="6">
        <v>46237</v>
      </c>
      <c r="B145" s="26" t="s">
        <v>30</v>
      </c>
      <c r="C145" s="7">
        <v>1257</v>
      </c>
      <c r="D145" s="23">
        <v>0.79732999999999998</v>
      </c>
      <c r="E145" s="24">
        <v>0.15168999999999999</v>
      </c>
      <c r="F145" s="139">
        <f>_xlfn.XLOOKUP(CalibrationLog[[#This Row],[Date]], 'Daily Summary'!A:A, 'Daily Summary'!H:H, "n/a")</f>
        <v>0.37600283333333329</v>
      </c>
      <c r="G145" s="140">
        <f>_xlfn.XLOOKUP(CalibrationLog[[#This Row],[Date]], 'Daily Summary'!A:A, 'Daily Summary'!K:K, "n/a")</f>
        <v>9.034650000000001E-2</v>
      </c>
      <c r="H145" s="141" t="str">
        <f>IF(CalibrationLog[[#This Row],[Date]]="", "", IF(CalibrationLog[[#This Row],[World Error]]&lt;CalibrationLog[[#This Row],[World Error (Avg.)]], "Yes", "No"))</f>
        <v>No</v>
      </c>
      <c r="I145" s="142" t="str">
        <f>IF(CalibrationLog[[#This Row],[Date]]="", "", IF(CalibrationLog[[#This Row],[Image Error]]&lt;G145, "Yes", "No"))</f>
        <v>No</v>
      </c>
    </row>
    <row r="146" spans="1:9" x14ac:dyDescent="0.25">
      <c r="A146" s="6"/>
      <c r="B146" s="26"/>
      <c r="C146" s="7"/>
      <c r="D146" s="23"/>
      <c r="E146" s="24"/>
      <c r="F146" s="139" t="str">
        <f>_xlfn.XLOOKUP(CalibrationLog[[#This Row],[Date]], 'Daily Summary'!A:A, 'Daily Summary'!H:H, "n/a")</f>
        <v>WE Average</v>
      </c>
      <c r="G146" s="140" t="str">
        <f>_xlfn.XLOOKUP(CalibrationLog[[#This Row],[Date]], 'Daily Summary'!A:A, 'Daily Summary'!K:K, "n/a")</f>
        <v>IE Average</v>
      </c>
      <c r="H146" s="141" t="str">
        <f>IF(CalibrationLog[[#This Row],[Date]]="", "", IF(CalibrationLog[[#This Row],[World Error]]&lt;CalibrationLog[[#This Row],[World Error (Avg.)]], "Yes", "No"))</f>
        <v/>
      </c>
      <c r="I146" s="142" t="str">
        <f>IF(CalibrationLog[[#This Row],[Date]]="", "", IF(CalibrationLog[[#This Row],[Image Error]]&lt;G146, "Yes", "No"))</f>
        <v/>
      </c>
    </row>
    <row r="147" spans="1:9" x14ac:dyDescent="0.25">
      <c r="A147" s="6"/>
      <c r="B147" s="26"/>
      <c r="C147" s="7"/>
      <c r="D147" s="23"/>
      <c r="E147" s="24"/>
      <c r="F147" s="139" t="str">
        <f>_xlfn.XLOOKUP(CalibrationLog[[#This Row],[Date]], 'Daily Summary'!A:A, 'Daily Summary'!H:H, "n/a")</f>
        <v>WE Average</v>
      </c>
      <c r="G147" s="140" t="str">
        <f>_xlfn.XLOOKUP(CalibrationLog[[#This Row],[Date]], 'Daily Summary'!A:A, 'Daily Summary'!K:K, "n/a")</f>
        <v>IE Average</v>
      </c>
      <c r="H147" s="141" t="str">
        <f>IF(CalibrationLog[[#This Row],[Date]]="", "", IF(CalibrationLog[[#This Row],[World Error]]&lt;CalibrationLog[[#This Row],[World Error (Avg.)]], "Yes", "No"))</f>
        <v/>
      </c>
      <c r="I147" s="142" t="str">
        <f>IF(CalibrationLog[[#This Row],[Date]]="", "", IF(CalibrationLog[[#This Row],[Image Error]]&lt;G147, "Yes", "No"))</f>
        <v/>
      </c>
    </row>
    <row r="148" spans="1:9" x14ac:dyDescent="0.25">
      <c r="A148" s="6"/>
      <c r="B148" s="26"/>
      <c r="C148" s="7"/>
      <c r="D148" s="23"/>
      <c r="E148" s="24"/>
      <c r="F148" s="139" t="str">
        <f>_xlfn.XLOOKUP(CalibrationLog[[#This Row],[Date]], 'Daily Summary'!A:A, 'Daily Summary'!H:H, "n/a")</f>
        <v>WE Average</v>
      </c>
      <c r="G148" s="140" t="str">
        <f>_xlfn.XLOOKUP(CalibrationLog[[#This Row],[Date]], 'Daily Summary'!A:A, 'Daily Summary'!K:K, "n/a")</f>
        <v>IE Average</v>
      </c>
      <c r="H148" s="141" t="str">
        <f>IF(CalibrationLog[[#This Row],[Date]]="", "", IF(CalibrationLog[[#This Row],[World Error]]&lt;CalibrationLog[[#This Row],[World Error (Avg.)]], "Yes", "No"))</f>
        <v/>
      </c>
      <c r="I148" s="142" t="str">
        <f>IF(CalibrationLog[[#This Row],[Date]]="", "", IF(CalibrationLog[[#This Row],[Image Error]]&lt;G148, "Yes", "No"))</f>
        <v/>
      </c>
    </row>
    <row r="149" spans="1:9" x14ac:dyDescent="0.25">
      <c r="A149" s="6"/>
      <c r="B149" s="26"/>
      <c r="C149" s="7"/>
      <c r="D149" s="23"/>
      <c r="E149" s="24"/>
      <c r="F149" s="139" t="str">
        <f>_xlfn.XLOOKUP(CalibrationLog[[#This Row],[Date]], 'Daily Summary'!A:A, 'Daily Summary'!H:H, "n/a")</f>
        <v>WE Average</v>
      </c>
      <c r="G149" s="140" t="str">
        <f>_xlfn.XLOOKUP(CalibrationLog[[#This Row],[Date]], 'Daily Summary'!A:A, 'Daily Summary'!K:K, "n/a")</f>
        <v>IE Average</v>
      </c>
      <c r="H149" s="141" t="str">
        <f>IF(CalibrationLog[[#This Row],[Date]]="", "", IF(CalibrationLog[[#This Row],[World Error]]&lt;CalibrationLog[[#This Row],[World Error (Avg.)]], "Yes", "No"))</f>
        <v/>
      </c>
      <c r="I149" s="142" t="str">
        <f>IF(CalibrationLog[[#This Row],[Date]]="", "", IF(CalibrationLog[[#This Row],[Image Error]]&lt;G149, "Yes", "No"))</f>
        <v/>
      </c>
    </row>
    <row r="150" spans="1:9" x14ac:dyDescent="0.25">
      <c r="A150" s="6"/>
      <c r="B150" s="26"/>
      <c r="C150" s="7"/>
      <c r="D150" s="23"/>
      <c r="E150" s="24"/>
      <c r="F150" s="139" t="str">
        <f>_xlfn.XLOOKUP(CalibrationLog[[#This Row],[Date]], 'Daily Summary'!A:A, 'Daily Summary'!H:H, "n/a")</f>
        <v>WE Average</v>
      </c>
      <c r="G150" s="140" t="str">
        <f>_xlfn.XLOOKUP(CalibrationLog[[#This Row],[Date]], 'Daily Summary'!A:A, 'Daily Summary'!K:K, "n/a")</f>
        <v>IE Average</v>
      </c>
      <c r="H150" s="141" t="str">
        <f>IF(CalibrationLog[[#This Row],[Date]]="", "", IF(CalibrationLog[[#This Row],[World Error]]&lt;CalibrationLog[[#This Row],[World Error (Avg.)]], "Yes", "No"))</f>
        <v/>
      </c>
      <c r="I150" s="142" t="str">
        <f>IF(CalibrationLog[[#This Row],[Date]]="", "", IF(CalibrationLog[[#This Row],[Image Error]]&lt;G150, "Yes", "No"))</f>
        <v/>
      </c>
    </row>
    <row r="151" spans="1:9" x14ac:dyDescent="0.25">
      <c r="A151" s="6"/>
      <c r="B151" s="26"/>
      <c r="C151" s="7"/>
      <c r="D151" s="23"/>
      <c r="E151" s="24"/>
      <c r="F151" s="139" t="str">
        <f>_xlfn.XLOOKUP(CalibrationLog[[#This Row],[Date]], 'Daily Summary'!A:A, 'Daily Summary'!H:H, "n/a")</f>
        <v>WE Average</v>
      </c>
      <c r="G151" s="140" t="str">
        <f>_xlfn.XLOOKUP(CalibrationLog[[#This Row],[Date]], 'Daily Summary'!A:A, 'Daily Summary'!K:K, "n/a")</f>
        <v>IE Average</v>
      </c>
      <c r="H151" s="141" t="str">
        <f>IF(CalibrationLog[[#This Row],[Date]]="", "", IF(CalibrationLog[[#This Row],[World Error]]&lt;CalibrationLog[[#This Row],[World Error (Avg.)]], "Yes", "No"))</f>
        <v/>
      </c>
      <c r="I151" s="142" t="str">
        <f>IF(CalibrationLog[[#This Row],[Date]]="", "", IF(CalibrationLog[[#This Row],[Image Error]]&lt;G151, "Yes", "No"))</f>
        <v/>
      </c>
    </row>
    <row r="152" spans="1:9" x14ac:dyDescent="0.25">
      <c r="A152" s="6"/>
      <c r="B152" s="26"/>
      <c r="C152" s="7"/>
      <c r="D152" s="23"/>
      <c r="E152" s="24"/>
      <c r="F152" s="139" t="str">
        <f>_xlfn.XLOOKUP(CalibrationLog[[#This Row],[Date]], 'Daily Summary'!A:A, 'Daily Summary'!H:H, "n/a")</f>
        <v>WE Average</v>
      </c>
      <c r="G152" s="140" t="str">
        <f>_xlfn.XLOOKUP(CalibrationLog[[#This Row],[Date]], 'Daily Summary'!A:A, 'Daily Summary'!K:K, "n/a")</f>
        <v>IE Average</v>
      </c>
      <c r="H152" s="141" t="str">
        <f>IF(CalibrationLog[[#This Row],[Date]]="", "", IF(CalibrationLog[[#This Row],[World Error]]&lt;CalibrationLog[[#This Row],[World Error (Avg.)]], "Yes", "No"))</f>
        <v/>
      </c>
      <c r="I152" s="142" t="str">
        <f>IF(CalibrationLog[[#This Row],[Date]]="", "", IF(CalibrationLog[[#This Row],[Image Error]]&lt;G152, "Yes", "No"))</f>
        <v/>
      </c>
    </row>
    <row r="153" spans="1:9" x14ac:dyDescent="0.25">
      <c r="A153" s="6"/>
      <c r="B153" s="26"/>
      <c r="C153" s="7"/>
      <c r="D153" s="23"/>
      <c r="E153" s="24"/>
      <c r="F153" s="139" t="str">
        <f>_xlfn.XLOOKUP(CalibrationLog[[#This Row],[Date]], 'Daily Summary'!A:A, 'Daily Summary'!H:H, "n/a")</f>
        <v>WE Average</v>
      </c>
      <c r="G153" s="140" t="str">
        <f>_xlfn.XLOOKUP(CalibrationLog[[#This Row],[Date]], 'Daily Summary'!A:A, 'Daily Summary'!K:K, "n/a")</f>
        <v>IE Average</v>
      </c>
      <c r="H153" s="141" t="str">
        <f>IF(CalibrationLog[[#This Row],[Date]]="", "", IF(CalibrationLog[[#This Row],[World Error]]&lt;CalibrationLog[[#This Row],[World Error (Avg.)]], "Yes", "No"))</f>
        <v/>
      </c>
      <c r="I153" s="142" t="str">
        <f>IF(CalibrationLog[[#This Row],[Date]]="", "", IF(CalibrationLog[[#This Row],[Image Error]]&lt;G153, "Yes", "No"))</f>
        <v/>
      </c>
    </row>
    <row r="154" spans="1:9" x14ac:dyDescent="0.25">
      <c r="A154" s="6"/>
      <c r="B154" s="26"/>
      <c r="C154" s="7"/>
      <c r="D154" s="23"/>
      <c r="E154" s="24"/>
      <c r="F154" s="139" t="str">
        <f>_xlfn.XLOOKUP(CalibrationLog[[#This Row],[Date]], 'Daily Summary'!A:A, 'Daily Summary'!H:H, "n/a")</f>
        <v>WE Average</v>
      </c>
      <c r="G154" s="140" t="str">
        <f>_xlfn.XLOOKUP(CalibrationLog[[#This Row],[Date]], 'Daily Summary'!A:A, 'Daily Summary'!K:K, "n/a")</f>
        <v>IE Average</v>
      </c>
      <c r="H154" s="141" t="str">
        <f>IF(CalibrationLog[[#This Row],[Date]]="", "", IF(CalibrationLog[[#This Row],[World Error]]&lt;CalibrationLog[[#This Row],[World Error (Avg.)]], "Yes", "No"))</f>
        <v/>
      </c>
      <c r="I154" s="142" t="str">
        <f>IF(CalibrationLog[[#This Row],[Date]]="", "", IF(CalibrationLog[[#This Row],[Image Error]]&lt;G154, "Yes", "No"))</f>
        <v/>
      </c>
    </row>
    <row r="155" spans="1:9" x14ac:dyDescent="0.25">
      <c r="A155" s="6"/>
      <c r="B155" s="26"/>
      <c r="C155" s="7"/>
      <c r="D155" s="23"/>
      <c r="E155" s="24"/>
      <c r="F155" s="139" t="str">
        <f>_xlfn.XLOOKUP(CalibrationLog[[#This Row],[Date]], 'Daily Summary'!A:A, 'Daily Summary'!H:H, "n/a")</f>
        <v>WE Average</v>
      </c>
      <c r="G155" s="140" t="str">
        <f>_xlfn.XLOOKUP(CalibrationLog[[#This Row],[Date]], 'Daily Summary'!A:A, 'Daily Summary'!K:K, "n/a")</f>
        <v>IE Average</v>
      </c>
      <c r="H155" s="141" t="str">
        <f>IF(CalibrationLog[[#This Row],[Date]]="", "", IF(CalibrationLog[[#This Row],[World Error]]&lt;CalibrationLog[[#This Row],[World Error (Avg.)]], "Yes", "No"))</f>
        <v/>
      </c>
      <c r="I155" s="142" t="str">
        <f>IF(CalibrationLog[[#This Row],[Date]]="", "", IF(CalibrationLog[[#This Row],[Image Error]]&lt;G155, "Yes", "No"))</f>
        <v/>
      </c>
    </row>
    <row r="156" spans="1:9" x14ac:dyDescent="0.25">
      <c r="A156" s="6"/>
      <c r="B156" s="26"/>
      <c r="C156" s="7"/>
      <c r="D156" s="23"/>
      <c r="E156" s="24"/>
      <c r="F156" s="139" t="str">
        <f>_xlfn.XLOOKUP(CalibrationLog[[#This Row],[Date]], 'Daily Summary'!A:A, 'Daily Summary'!H:H, "n/a")</f>
        <v>WE Average</v>
      </c>
      <c r="G156" s="140" t="str">
        <f>_xlfn.XLOOKUP(CalibrationLog[[#This Row],[Date]], 'Daily Summary'!A:A, 'Daily Summary'!K:K, "n/a")</f>
        <v>IE Average</v>
      </c>
      <c r="H156" s="141" t="str">
        <f>IF(CalibrationLog[[#This Row],[Date]]="", "", IF(CalibrationLog[[#This Row],[World Error]]&lt;CalibrationLog[[#This Row],[World Error (Avg.)]], "Yes", "No"))</f>
        <v/>
      </c>
      <c r="I156" s="142" t="str">
        <f>IF(CalibrationLog[[#This Row],[Date]]="", "", IF(CalibrationLog[[#This Row],[Image Error]]&lt;G156, "Yes", "No"))</f>
        <v/>
      </c>
    </row>
    <row r="157" spans="1:9" x14ac:dyDescent="0.25">
      <c r="A157" s="6"/>
      <c r="B157" s="26"/>
      <c r="C157" s="7"/>
      <c r="D157" s="23"/>
      <c r="E157" s="24"/>
      <c r="F157" s="139" t="str">
        <f>_xlfn.XLOOKUP(CalibrationLog[[#This Row],[Date]], 'Daily Summary'!A:A, 'Daily Summary'!H:H, "n/a")</f>
        <v>WE Average</v>
      </c>
      <c r="G157" s="140" t="str">
        <f>_xlfn.XLOOKUP(CalibrationLog[[#This Row],[Date]], 'Daily Summary'!A:A, 'Daily Summary'!K:K, "n/a")</f>
        <v>IE Average</v>
      </c>
      <c r="H157" s="141" t="str">
        <f>IF(CalibrationLog[[#This Row],[Date]]="", "", IF(CalibrationLog[[#This Row],[World Error]]&lt;CalibrationLog[[#This Row],[World Error (Avg.)]], "Yes", "No"))</f>
        <v/>
      </c>
      <c r="I157" s="142" t="str">
        <f>IF(CalibrationLog[[#This Row],[Date]]="", "", IF(CalibrationLog[[#This Row],[Image Error]]&lt;G157, "Yes", "No"))</f>
        <v/>
      </c>
    </row>
    <row r="158" spans="1:9" x14ac:dyDescent="0.25">
      <c r="A158" s="6"/>
      <c r="B158" s="26"/>
      <c r="C158" s="7"/>
      <c r="D158" s="23"/>
      <c r="E158" s="24"/>
      <c r="F158" s="139" t="str">
        <f>_xlfn.XLOOKUP(CalibrationLog[[#This Row],[Date]], 'Daily Summary'!A:A, 'Daily Summary'!H:H, "n/a")</f>
        <v>WE Average</v>
      </c>
      <c r="G158" s="140" t="str">
        <f>_xlfn.XLOOKUP(CalibrationLog[[#This Row],[Date]], 'Daily Summary'!A:A, 'Daily Summary'!K:K, "n/a")</f>
        <v>IE Average</v>
      </c>
      <c r="H158" s="141" t="str">
        <f>IF(CalibrationLog[[#This Row],[Date]]="", "", IF(CalibrationLog[[#This Row],[World Error]]&lt;CalibrationLog[[#This Row],[World Error (Avg.)]], "Yes", "No"))</f>
        <v/>
      </c>
      <c r="I158" s="142" t="str">
        <f>IF(CalibrationLog[[#This Row],[Date]]="", "", IF(CalibrationLog[[#This Row],[Image Error]]&lt;G158, "Yes", "No"))</f>
        <v/>
      </c>
    </row>
    <row r="159" spans="1:9" x14ac:dyDescent="0.25">
      <c r="A159" s="6"/>
      <c r="B159" s="26"/>
      <c r="C159" s="7"/>
      <c r="D159" s="23"/>
      <c r="E159" s="24"/>
      <c r="F159" s="139" t="str">
        <f>_xlfn.XLOOKUP(CalibrationLog[[#This Row],[Date]], 'Daily Summary'!A:A, 'Daily Summary'!H:H, "n/a")</f>
        <v>WE Average</v>
      </c>
      <c r="G159" s="140" t="str">
        <f>_xlfn.XLOOKUP(CalibrationLog[[#This Row],[Date]], 'Daily Summary'!A:A, 'Daily Summary'!K:K, "n/a")</f>
        <v>IE Average</v>
      </c>
      <c r="H159" s="141" t="str">
        <f>IF(CalibrationLog[[#This Row],[Date]]="", "", IF(CalibrationLog[[#This Row],[World Error]]&lt;CalibrationLog[[#This Row],[World Error (Avg.)]], "Yes", "No"))</f>
        <v/>
      </c>
      <c r="I159" s="142" t="str">
        <f>IF(CalibrationLog[[#This Row],[Date]]="", "", IF(CalibrationLog[[#This Row],[Image Error]]&lt;G159, "Yes", "No"))</f>
        <v/>
      </c>
    </row>
    <row r="160" spans="1:9" x14ac:dyDescent="0.25">
      <c r="A160" s="6"/>
      <c r="B160" s="26"/>
      <c r="C160" s="7"/>
      <c r="D160" s="23"/>
      <c r="E160" s="24"/>
      <c r="F160" s="139" t="str">
        <f>_xlfn.XLOOKUP(CalibrationLog[[#This Row],[Date]], 'Daily Summary'!A:A, 'Daily Summary'!H:H, "n/a")</f>
        <v>WE Average</v>
      </c>
      <c r="G160" s="140" t="str">
        <f>_xlfn.XLOOKUP(CalibrationLog[[#This Row],[Date]], 'Daily Summary'!A:A, 'Daily Summary'!K:K, "n/a")</f>
        <v>IE Average</v>
      </c>
      <c r="H160" s="141" t="str">
        <f>IF(CalibrationLog[[#This Row],[Date]]="", "", IF(CalibrationLog[[#This Row],[World Error]]&lt;CalibrationLog[[#This Row],[World Error (Avg.)]], "Yes", "No"))</f>
        <v/>
      </c>
      <c r="I160" s="142" t="str">
        <f>IF(CalibrationLog[[#This Row],[Date]]="", "", IF(CalibrationLog[[#This Row],[Image Error]]&lt;G160, "Yes", "No"))</f>
        <v/>
      </c>
    </row>
    <row r="161" spans="1:9" x14ac:dyDescent="0.25">
      <c r="A161" s="6"/>
      <c r="B161" s="26"/>
      <c r="C161" s="7"/>
      <c r="D161" s="23"/>
      <c r="E161" s="24"/>
      <c r="F161" s="139" t="str">
        <f>_xlfn.XLOOKUP(CalibrationLog[[#This Row],[Date]], 'Daily Summary'!A:A, 'Daily Summary'!H:H, "n/a")</f>
        <v>WE Average</v>
      </c>
      <c r="G161" s="140" t="str">
        <f>_xlfn.XLOOKUP(CalibrationLog[[#This Row],[Date]], 'Daily Summary'!A:A, 'Daily Summary'!K:K, "n/a")</f>
        <v>IE Average</v>
      </c>
      <c r="H161" s="141" t="str">
        <f>IF(CalibrationLog[[#This Row],[Date]]="", "", IF(CalibrationLog[[#This Row],[World Error]]&lt;CalibrationLog[[#This Row],[World Error (Avg.)]], "Yes", "No"))</f>
        <v/>
      </c>
      <c r="I161" s="142" t="str">
        <f>IF(CalibrationLog[[#This Row],[Date]]="", "", IF(CalibrationLog[[#This Row],[Image Error]]&lt;G161, "Yes", "No"))</f>
        <v/>
      </c>
    </row>
    <row r="162" spans="1:9" x14ac:dyDescent="0.25">
      <c r="A162" s="6"/>
      <c r="B162" s="26"/>
      <c r="C162" s="7"/>
      <c r="D162" s="23"/>
      <c r="E162" s="24"/>
      <c r="F162" s="139" t="str">
        <f>_xlfn.XLOOKUP(CalibrationLog[[#This Row],[Date]], 'Daily Summary'!A:A, 'Daily Summary'!H:H, "n/a")</f>
        <v>WE Average</v>
      </c>
      <c r="G162" s="140" t="str">
        <f>_xlfn.XLOOKUP(CalibrationLog[[#This Row],[Date]], 'Daily Summary'!A:A, 'Daily Summary'!K:K, "n/a")</f>
        <v>IE Average</v>
      </c>
      <c r="H162" s="141" t="str">
        <f>IF(CalibrationLog[[#This Row],[Date]]="", "", IF(CalibrationLog[[#This Row],[World Error]]&lt;CalibrationLog[[#This Row],[World Error (Avg.)]], "Yes", "No"))</f>
        <v/>
      </c>
      <c r="I162" s="142" t="str">
        <f>IF(CalibrationLog[[#This Row],[Date]]="", "", IF(CalibrationLog[[#This Row],[Image Error]]&lt;G162, "Yes", "No"))</f>
        <v/>
      </c>
    </row>
    <row r="163" spans="1:9" x14ac:dyDescent="0.25">
      <c r="A163" s="6"/>
      <c r="B163" s="26"/>
      <c r="C163" s="7"/>
      <c r="D163" s="23"/>
      <c r="E163" s="24"/>
      <c r="F163" s="139" t="str">
        <f>_xlfn.XLOOKUP(CalibrationLog[[#This Row],[Date]], 'Daily Summary'!A:A, 'Daily Summary'!H:H, "n/a")</f>
        <v>WE Average</v>
      </c>
      <c r="G163" s="140" t="str">
        <f>_xlfn.XLOOKUP(CalibrationLog[[#This Row],[Date]], 'Daily Summary'!A:A, 'Daily Summary'!K:K, "n/a")</f>
        <v>IE Average</v>
      </c>
      <c r="H163" s="141" t="str">
        <f>IF(CalibrationLog[[#This Row],[Date]]="", "", IF(CalibrationLog[[#This Row],[World Error]]&lt;CalibrationLog[[#This Row],[World Error (Avg.)]], "Yes", "No"))</f>
        <v/>
      </c>
      <c r="I163" s="142" t="str">
        <f>IF(CalibrationLog[[#This Row],[Date]]="", "", IF(CalibrationLog[[#This Row],[Image Error]]&lt;G163, "Yes", "No"))</f>
        <v/>
      </c>
    </row>
    <row r="164" spans="1:9" x14ac:dyDescent="0.25">
      <c r="A164" s="6"/>
      <c r="B164" s="26"/>
      <c r="C164" s="7"/>
      <c r="D164" s="23"/>
      <c r="E164" s="24"/>
      <c r="F164" s="139" t="str">
        <f>_xlfn.XLOOKUP(CalibrationLog[[#This Row],[Date]], 'Daily Summary'!A:A, 'Daily Summary'!H:H, "n/a")</f>
        <v>WE Average</v>
      </c>
      <c r="G164" s="140" t="str">
        <f>_xlfn.XLOOKUP(CalibrationLog[[#This Row],[Date]], 'Daily Summary'!A:A, 'Daily Summary'!K:K, "n/a")</f>
        <v>IE Average</v>
      </c>
      <c r="H164" s="141" t="str">
        <f>IF(CalibrationLog[[#This Row],[Date]]="", "", IF(CalibrationLog[[#This Row],[World Error]]&lt;CalibrationLog[[#This Row],[World Error (Avg.)]], "Yes", "No"))</f>
        <v/>
      </c>
      <c r="I164" s="142" t="str">
        <f>IF(CalibrationLog[[#This Row],[Date]]="", "", IF(CalibrationLog[[#This Row],[Image Error]]&lt;G164, "Yes", "No"))</f>
        <v/>
      </c>
    </row>
    <row r="165" spans="1:9" x14ac:dyDescent="0.25">
      <c r="A165" s="6"/>
      <c r="B165" s="26"/>
      <c r="C165" s="7"/>
      <c r="D165" s="23"/>
      <c r="E165" s="24"/>
      <c r="F165" s="139" t="str">
        <f>_xlfn.XLOOKUP(CalibrationLog[[#This Row],[Date]], 'Daily Summary'!A:A, 'Daily Summary'!H:H, "n/a")</f>
        <v>WE Average</v>
      </c>
      <c r="G165" s="140" t="str">
        <f>_xlfn.XLOOKUP(CalibrationLog[[#This Row],[Date]], 'Daily Summary'!A:A, 'Daily Summary'!K:K, "n/a")</f>
        <v>IE Average</v>
      </c>
      <c r="H165" s="141" t="str">
        <f>IF(CalibrationLog[[#This Row],[Date]]="", "", IF(CalibrationLog[[#This Row],[World Error]]&lt;CalibrationLog[[#This Row],[World Error (Avg.)]], "Yes", "No"))</f>
        <v/>
      </c>
      <c r="I165" s="142" t="str">
        <f>IF(CalibrationLog[[#This Row],[Date]]="", "", IF(CalibrationLog[[#This Row],[Image Error]]&lt;G165, "Yes", "No"))</f>
        <v/>
      </c>
    </row>
    <row r="166" spans="1:9" x14ac:dyDescent="0.25">
      <c r="A166" s="6"/>
      <c r="B166" s="26"/>
      <c r="C166" s="7"/>
      <c r="D166" s="23"/>
      <c r="E166" s="24"/>
      <c r="F166" s="139" t="str">
        <f>_xlfn.XLOOKUP(CalibrationLog[[#This Row],[Date]], 'Daily Summary'!A:A, 'Daily Summary'!H:H, "n/a")</f>
        <v>WE Average</v>
      </c>
      <c r="G166" s="140" t="str">
        <f>_xlfn.XLOOKUP(CalibrationLog[[#This Row],[Date]], 'Daily Summary'!A:A, 'Daily Summary'!K:K, "n/a")</f>
        <v>IE Average</v>
      </c>
      <c r="H166" s="141" t="str">
        <f>IF(CalibrationLog[[#This Row],[Date]]="", "", IF(CalibrationLog[[#This Row],[World Error]]&lt;CalibrationLog[[#This Row],[World Error (Avg.)]], "Yes", "No"))</f>
        <v/>
      </c>
      <c r="I166" s="142" t="str">
        <f>IF(CalibrationLog[[#This Row],[Date]]="", "", IF(CalibrationLog[[#This Row],[Image Error]]&lt;G166, "Yes", "No"))</f>
        <v/>
      </c>
    </row>
    <row r="167" spans="1:9" x14ac:dyDescent="0.25">
      <c r="A167" s="6"/>
      <c r="B167" s="26"/>
      <c r="C167" s="7"/>
      <c r="D167" s="23"/>
      <c r="E167" s="24"/>
      <c r="F167" s="139" t="str">
        <f>_xlfn.XLOOKUP(CalibrationLog[[#This Row],[Date]], 'Daily Summary'!A:A, 'Daily Summary'!H:H, "n/a")</f>
        <v>WE Average</v>
      </c>
      <c r="G167" s="140" t="str">
        <f>_xlfn.XLOOKUP(CalibrationLog[[#This Row],[Date]], 'Daily Summary'!A:A, 'Daily Summary'!K:K, "n/a")</f>
        <v>IE Average</v>
      </c>
      <c r="H167" s="141" t="str">
        <f>IF(CalibrationLog[[#This Row],[Date]]="", "", IF(CalibrationLog[[#This Row],[World Error]]&lt;CalibrationLog[[#This Row],[World Error (Avg.)]], "Yes", "No"))</f>
        <v/>
      </c>
      <c r="I167" s="142" t="str">
        <f>IF(CalibrationLog[[#This Row],[Date]]="", "", IF(CalibrationLog[[#This Row],[Image Error]]&lt;G167, "Yes", "No"))</f>
        <v/>
      </c>
    </row>
    <row r="168" spans="1:9" x14ac:dyDescent="0.25">
      <c r="A168" s="6"/>
      <c r="B168" s="26"/>
      <c r="C168" s="7"/>
      <c r="D168" s="23"/>
      <c r="E168" s="24"/>
      <c r="F168" s="139" t="str">
        <f>_xlfn.XLOOKUP(CalibrationLog[[#This Row],[Date]], 'Daily Summary'!A:A, 'Daily Summary'!H:H, "n/a")</f>
        <v>WE Average</v>
      </c>
      <c r="G168" s="140" t="str">
        <f>_xlfn.XLOOKUP(CalibrationLog[[#This Row],[Date]], 'Daily Summary'!A:A, 'Daily Summary'!K:K, "n/a")</f>
        <v>IE Average</v>
      </c>
      <c r="H168" s="141" t="str">
        <f>IF(CalibrationLog[[#This Row],[Date]]="", "", IF(CalibrationLog[[#This Row],[World Error]]&lt;CalibrationLog[[#This Row],[World Error (Avg.)]], "Yes", "No"))</f>
        <v/>
      </c>
      <c r="I168" s="142" t="str">
        <f>IF(CalibrationLog[[#This Row],[Date]]="", "", IF(CalibrationLog[[#This Row],[Image Error]]&lt;G168, "Yes", "No"))</f>
        <v/>
      </c>
    </row>
    <row r="169" spans="1:9" x14ac:dyDescent="0.25">
      <c r="A169" s="6"/>
      <c r="B169" s="26"/>
      <c r="C169" s="7"/>
      <c r="D169" s="23"/>
      <c r="E169" s="24"/>
      <c r="F169" s="139" t="str">
        <f>_xlfn.XLOOKUP(CalibrationLog[[#This Row],[Date]], 'Daily Summary'!A:A, 'Daily Summary'!H:H, "n/a")</f>
        <v>WE Average</v>
      </c>
      <c r="G169" s="140" t="str">
        <f>_xlfn.XLOOKUP(CalibrationLog[[#This Row],[Date]], 'Daily Summary'!A:A, 'Daily Summary'!K:K, "n/a")</f>
        <v>IE Average</v>
      </c>
      <c r="H169" s="141" t="str">
        <f>IF(CalibrationLog[[#This Row],[Date]]="", "", IF(CalibrationLog[[#This Row],[World Error]]&lt;CalibrationLog[[#This Row],[World Error (Avg.)]], "Yes", "No"))</f>
        <v/>
      </c>
      <c r="I169" s="142" t="str">
        <f>IF(CalibrationLog[[#This Row],[Date]]="", "", IF(CalibrationLog[[#This Row],[Image Error]]&lt;G169, "Yes", "No"))</f>
        <v/>
      </c>
    </row>
    <row r="170" spans="1:9" x14ac:dyDescent="0.25">
      <c r="A170" s="6"/>
      <c r="B170" s="26"/>
      <c r="C170" s="7"/>
      <c r="D170" s="23"/>
      <c r="E170" s="24"/>
      <c r="F170" s="139" t="str">
        <f>_xlfn.XLOOKUP(CalibrationLog[[#This Row],[Date]], 'Daily Summary'!A:A, 'Daily Summary'!H:H, "n/a")</f>
        <v>WE Average</v>
      </c>
      <c r="G170" s="140" t="str">
        <f>_xlfn.XLOOKUP(CalibrationLog[[#This Row],[Date]], 'Daily Summary'!A:A, 'Daily Summary'!K:K, "n/a")</f>
        <v>IE Average</v>
      </c>
      <c r="H170" s="141" t="str">
        <f>IF(CalibrationLog[[#This Row],[Date]]="", "", IF(CalibrationLog[[#This Row],[World Error]]&lt;CalibrationLog[[#This Row],[World Error (Avg.)]], "Yes", "No"))</f>
        <v/>
      </c>
      <c r="I170" s="142" t="str">
        <f>IF(CalibrationLog[[#This Row],[Date]]="", "", IF(CalibrationLog[[#This Row],[Image Error]]&lt;G170, "Yes", "No"))</f>
        <v/>
      </c>
    </row>
    <row r="171" spans="1:9" x14ac:dyDescent="0.25">
      <c r="A171" s="6"/>
      <c r="B171" s="26"/>
      <c r="C171" s="7"/>
      <c r="D171" s="23"/>
      <c r="E171" s="24"/>
      <c r="F171" s="139" t="str">
        <f>_xlfn.XLOOKUP(CalibrationLog[[#This Row],[Date]], 'Daily Summary'!A:A, 'Daily Summary'!H:H, "n/a")</f>
        <v>WE Average</v>
      </c>
      <c r="G171" s="140" t="str">
        <f>_xlfn.XLOOKUP(CalibrationLog[[#This Row],[Date]], 'Daily Summary'!A:A, 'Daily Summary'!K:K, "n/a")</f>
        <v>IE Average</v>
      </c>
      <c r="H171" s="141" t="str">
        <f>IF(CalibrationLog[[#This Row],[Date]]="", "", IF(CalibrationLog[[#This Row],[World Error]]&lt;CalibrationLog[[#This Row],[World Error (Avg.)]], "Yes", "No"))</f>
        <v/>
      </c>
      <c r="I171" s="142" t="str">
        <f>IF(CalibrationLog[[#This Row],[Date]]="", "", IF(CalibrationLog[[#This Row],[Image Error]]&lt;G171, "Yes", "No"))</f>
        <v/>
      </c>
    </row>
    <row r="172" spans="1:9" x14ac:dyDescent="0.25">
      <c r="A172" s="6"/>
      <c r="B172" s="26"/>
      <c r="C172" s="7"/>
      <c r="D172" s="23"/>
      <c r="E172" s="24"/>
      <c r="F172" s="139" t="str">
        <f>_xlfn.XLOOKUP(CalibrationLog[[#This Row],[Date]], 'Daily Summary'!A:A, 'Daily Summary'!H:H, "n/a")</f>
        <v>WE Average</v>
      </c>
      <c r="G172" s="140" t="str">
        <f>_xlfn.XLOOKUP(CalibrationLog[[#This Row],[Date]], 'Daily Summary'!A:A, 'Daily Summary'!K:K, "n/a")</f>
        <v>IE Average</v>
      </c>
      <c r="H172" s="141" t="str">
        <f>IF(CalibrationLog[[#This Row],[Date]]="", "", IF(CalibrationLog[[#This Row],[World Error]]&lt;CalibrationLog[[#This Row],[World Error (Avg.)]], "Yes", "No"))</f>
        <v/>
      </c>
      <c r="I172" s="142" t="str">
        <f>IF(CalibrationLog[[#This Row],[Date]]="", "", IF(CalibrationLog[[#This Row],[Image Error]]&lt;G172, "Yes", "No"))</f>
        <v/>
      </c>
    </row>
    <row r="173" spans="1:9" x14ac:dyDescent="0.25">
      <c r="A173" s="6"/>
      <c r="B173" s="26"/>
      <c r="C173" s="7"/>
      <c r="D173" s="23"/>
      <c r="E173" s="24"/>
      <c r="F173" s="139" t="str">
        <f>_xlfn.XLOOKUP(CalibrationLog[[#This Row],[Date]], 'Daily Summary'!A:A, 'Daily Summary'!H:H, "n/a")</f>
        <v>WE Average</v>
      </c>
      <c r="G173" s="140" t="str">
        <f>_xlfn.XLOOKUP(CalibrationLog[[#This Row],[Date]], 'Daily Summary'!A:A, 'Daily Summary'!K:K, "n/a")</f>
        <v>IE Average</v>
      </c>
      <c r="H173" s="141" t="str">
        <f>IF(CalibrationLog[[#This Row],[Date]]="", "", IF(CalibrationLog[[#This Row],[World Error]]&lt;CalibrationLog[[#This Row],[World Error (Avg.)]], "Yes", "No"))</f>
        <v/>
      </c>
      <c r="I173" s="142" t="str">
        <f>IF(CalibrationLog[[#This Row],[Date]]="", "", IF(CalibrationLog[[#This Row],[Image Error]]&lt;G173, "Yes", "No"))</f>
        <v/>
      </c>
    </row>
    <row r="174" spans="1:9" x14ac:dyDescent="0.25">
      <c r="A174" s="6"/>
      <c r="B174" s="26"/>
      <c r="C174" s="7"/>
      <c r="D174" s="23"/>
      <c r="E174" s="24"/>
      <c r="F174" s="139" t="str">
        <f>_xlfn.XLOOKUP(CalibrationLog[[#This Row],[Date]], 'Daily Summary'!A:A, 'Daily Summary'!H:H, "n/a")</f>
        <v>WE Average</v>
      </c>
      <c r="G174" s="140" t="str">
        <f>_xlfn.XLOOKUP(CalibrationLog[[#This Row],[Date]], 'Daily Summary'!A:A, 'Daily Summary'!K:K, "n/a")</f>
        <v>IE Average</v>
      </c>
      <c r="H174" s="141" t="str">
        <f>IF(CalibrationLog[[#This Row],[Date]]="", "", IF(CalibrationLog[[#This Row],[World Error]]&lt;CalibrationLog[[#This Row],[World Error (Avg.)]], "Yes", "No"))</f>
        <v/>
      </c>
      <c r="I174" s="142" t="str">
        <f>IF(CalibrationLog[[#This Row],[Date]]="", "", IF(CalibrationLog[[#This Row],[Image Error]]&lt;G174, "Yes", "No"))</f>
        <v/>
      </c>
    </row>
    <row r="175" spans="1:9" x14ac:dyDescent="0.25">
      <c r="A175" s="6"/>
      <c r="B175" s="26"/>
      <c r="C175" s="7"/>
      <c r="D175" s="23"/>
      <c r="E175" s="24"/>
      <c r="F175" s="139" t="str">
        <f>_xlfn.XLOOKUP(CalibrationLog[[#This Row],[Date]], 'Daily Summary'!A:A, 'Daily Summary'!H:H, "n/a")</f>
        <v>WE Average</v>
      </c>
      <c r="G175" s="140" t="str">
        <f>_xlfn.XLOOKUP(CalibrationLog[[#This Row],[Date]], 'Daily Summary'!A:A, 'Daily Summary'!K:K, "n/a")</f>
        <v>IE Average</v>
      </c>
      <c r="H175" s="141" t="str">
        <f>IF(CalibrationLog[[#This Row],[Date]]="", "", IF(CalibrationLog[[#This Row],[World Error]]&lt;CalibrationLog[[#This Row],[World Error (Avg.)]], "Yes", "No"))</f>
        <v/>
      </c>
      <c r="I175" s="142" t="str">
        <f>IF(CalibrationLog[[#This Row],[Date]]="", "", IF(CalibrationLog[[#This Row],[Image Error]]&lt;G175, "Yes", "No"))</f>
        <v/>
      </c>
    </row>
    <row r="176" spans="1:9" x14ac:dyDescent="0.25">
      <c r="A176" s="6"/>
      <c r="B176" s="26"/>
      <c r="C176" s="7"/>
      <c r="D176" s="23"/>
      <c r="E176" s="24"/>
      <c r="F176" s="139" t="str">
        <f>_xlfn.XLOOKUP(CalibrationLog[[#This Row],[Date]], 'Daily Summary'!A:A, 'Daily Summary'!H:H, "n/a")</f>
        <v>WE Average</v>
      </c>
      <c r="G176" s="140" t="str">
        <f>_xlfn.XLOOKUP(CalibrationLog[[#This Row],[Date]], 'Daily Summary'!A:A, 'Daily Summary'!K:K, "n/a")</f>
        <v>IE Average</v>
      </c>
      <c r="H176" s="141" t="str">
        <f>IF(CalibrationLog[[#This Row],[Date]]="", "", IF(CalibrationLog[[#This Row],[World Error]]&lt;CalibrationLog[[#This Row],[World Error (Avg.)]], "Yes", "No"))</f>
        <v/>
      </c>
      <c r="I176" s="142" t="str">
        <f>IF(CalibrationLog[[#This Row],[Date]]="", "", IF(CalibrationLog[[#This Row],[Image Error]]&lt;G176, "Yes", "No"))</f>
        <v/>
      </c>
    </row>
    <row r="177" spans="1:9" x14ac:dyDescent="0.25">
      <c r="A177" s="6"/>
      <c r="B177" s="26"/>
      <c r="C177" s="7"/>
      <c r="D177" s="23"/>
      <c r="E177" s="24"/>
      <c r="F177" s="139" t="str">
        <f>_xlfn.XLOOKUP(CalibrationLog[[#This Row],[Date]], 'Daily Summary'!A:A, 'Daily Summary'!H:H, "n/a")</f>
        <v>WE Average</v>
      </c>
      <c r="G177" s="140" t="str">
        <f>_xlfn.XLOOKUP(CalibrationLog[[#This Row],[Date]], 'Daily Summary'!A:A, 'Daily Summary'!K:K, "n/a")</f>
        <v>IE Average</v>
      </c>
      <c r="H177" s="141" t="str">
        <f>IF(CalibrationLog[[#This Row],[Date]]="", "", IF(CalibrationLog[[#This Row],[World Error]]&lt;CalibrationLog[[#This Row],[World Error (Avg.)]], "Yes", "No"))</f>
        <v/>
      </c>
      <c r="I177" s="142" t="str">
        <f>IF(CalibrationLog[[#This Row],[Date]]="", "", IF(CalibrationLog[[#This Row],[Image Error]]&lt;G177, "Yes", "No"))</f>
        <v/>
      </c>
    </row>
    <row r="178" spans="1:9" x14ac:dyDescent="0.25">
      <c r="A178" s="6"/>
      <c r="B178" s="26"/>
      <c r="C178" s="7"/>
      <c r="D178" s="23"/>
      <c r="E178" s="24"/>
      <c r="F178" s="139" t="str">
        <f>_xlfn.XLOOKUP(CalibrationLog[[#This Row],[Date]], 'Daily Summary'!A:A, 'Daily Summary'!H:H, "n/a")</f>
        <v>WE Average</v>
      </c>
      <c r="G178" s="140" t="str">
        <f>_xlfn.XLOOKUP(CalibrationLog[[#This Row],[Date]], 'Daily Summary'!A:A, 'Daily Summary'!K:K, "n/a")</f>
        <v>IE Average</v>
      </c>
      <c r="H178" s="141" t="str">
        <f>IF(CalibrationLog[[#This Row],[Date]]="", "", IF(CalibrationLog[[#This Row],[World Error]]&lt;CalibrationLog[[#This Row],[World Error (Avg.)]], "Yes", "No"))</f>
        <v/>
      </c>
      <c r="I178" s="142" t="str">
        <f>IF(CalibrationLog[[#This Row],[Date]]="", "", IF(CalibrationLog[[#This Row],[Image Error]]&lt;G178, "Yes", "No"))</f>
        <v/>
      </c>
    </row>
    <row r="179" spans="1:9" x14ac:dyDescent="0.25">
      <c r="A179" s="6"/>
      <c r="B179" s="26"/>
      <c r="C179" s="7"/>
      <c r="D179" s="23"/>
      <c r="E179" s="24"/>
      <c r="F179" s="139" t="str">
        <f>_xlfn.XLOOKUP(CalibrationLog[[#This Row],[Date]], 'Daily Summary'!A:A, 'Daily Summary'!H:H, "n/a")</f>
        <v>WE Average</v>
      </c>
      <c r="G179" s="140" t="str">
        <f>_xlfn.XLOOKUP(CalibrationLog[[#This Row],[Date]], 'Daily Summary'!A:A, 'Daily Summary'!K:K, "n/a")</f>
        <v>IE Average</v>
      </c>
      <c r="H179" s="141" t="str">
        <f>IF(CalibrationLog[[#This Row],[Date]]="", "", IF(CalibrationLog[[#This Row],[World Error]]&lt;CalibrationLog[[#This Row],[World Error (Avg.)]], "Yes", "No"))</f>
        <v/>
      </c>
      <c r="I179" s="142" t="str">
        <f>IF(CalibrationLog[[#This Row],[Date]]="", "", IF(CalibrationLog[[#This Row],[Image Error]]&lt;G179, "Yes", "No"))</f>
        <v/>
      </c>
    </row>
    <row r="180" spans="1:9" x14ac:dyDescent="0.25">
      <c r="A180" s="6"/>
      <c r="B180" s="26"/>
      <c r="C180" s="7"/>
      <c r="D180" s="23"/>
      <c r="E180" s="24"/>
      <c r="F180" s="139" t="str">
        <f>_xlfn.XLOOKUP(CalibrationLog[[#This Row],[Date]], 'Daily Summary'!A:A, 'Daily Summary'!H:H, "n/a")</f>
        <v>WE Average</v>
      </c>
      <c r="G180" s="140" t="str">
        <f>_xlfn.XLOOKUP(CalibrationLog[[#This Row],[Date]], 'Daily Summary'!A:A, 'Daily Summary'!K:K, "n/a")</f>
        <v>IE Average</v>
      </c>
      <c r="H180" s="141" t="str">
        <f>IF(CalibrationLog[[#This Row],[Date]]="", "", IF(CalibrationLog[[#This Row],[World Error]]&lt;CalibrationLog[[#This Row],[World Error (Avg.)]], "Yes", "No"))</f>
        <v/>
      </c>
      <c r="I180" s="142" t="str">
        <f>IF(CalibrationLog[[#This Row],[Date]]="", "", IF(CalibrationLog[[#This Row],[Image Error]]&lt;G180, "Yes", "No"))</f>
        <v/>
      </c>
    </row>
    <row r="181" spans="1:9" x14ac:dyDescent="0.25">
      <c r="A181" s="6"/>
      <c r="B181" s="26"/>
      <c r="C181" s="7"/>
      <c r="D181" s="23"/>
      <c r="E181" s="24"/>
      <c r="F181" s="139" t="str">
        <f>_xlfn.XLOOKUP(CalibrationLog[[#This Row],[Date]], 'Daily Summary'!A:A, 'Daily Summary'!H:H, "n/a")</f>
        <v>WE Average</v>
      </c>
      <c r="G181" s="140" t="str">
        <f>_xlfn.XLOOKUP(CalibrationLog[[#This Row],[Date]], 'Daily Summary'!A:A, 'Daily Summary'!K:K, "n/a")</f>
        <v>IE Average</v>
      </c>
      <c r="H181" s="141" t="str">
        <f>IF(CalibrationLog[[#This Row],[Date]]="", "", IF(CalibrationLog[[#This Row],[World Error]]&lt;CalibrationLog[[#This Row],[World Error (Avg.)]], "Yes", "No"))</f>
        <v/>
      </c>
      <c r="I181" s="142" t="str">
        <f>IF(CalibrationLog[[#This Row],[Date]]="", "", IF(CalibrationLog[[#This Row],[Image Error]]&lt;G181, "Yes", "No"))</f>
        <v/>
      </c>
    </row>
    <row r="182" spans="1:9" x14ac:dyDescent="0.25">
      <c r="A182" s="6"/>
      <c r="B182" s="26"/>
      <c r="C182" s="7"/>
      <c r="D182" s="23"/>
      <c r="E182" s="24"/>
      <c r="F182" s="139" t="str">
        <f>_xlfn.XLOOKUP(CalibrationLog[[#This Row],[Date]], 'Daily Summary'!A:A, 'Daily Summary'!H:H, "n/a")</f>
        <v>WE Average</v>
      </c>
      <c r="G182" s="140" t="str">
        <f>_xlfn.XLOOKUP(CalibrationLog[[#This Row],[Date]], 'Daily Summary'!A:A, 'Daily Summary'!K:K, "n/a")</f>
        <v>IE Average</v>
      </c>
      <c r="H182" s="141" t="str">
        <f>IF(CalibrationLog[[#This Row],[Date]]="", "", IF(CalibrationLog[[#This Row],[World Error]]&lt;CalibrationLog[[#This Row],[World Error (Avg.)]], "Yes", "No"))</f>
        <v/>
      </c>
      <c r="I182" s="142" t="str">
        <f>IF(CalibrationLog[[#This Row],[Date]]="", "", IF(CalibrationLog[[#This Row],[Image Error]]&lt;G182, "Yes", "No"))</f>
        <v/>
      </c>
    </row>
    <row r="183" spans="1:9" x14ac:dyDescent="0.25">
      <c r="A183" s="6"/>
      <c r="B183" s="26"/>
      <c r="C183" s="7"/>
      <c r="D183" s="23"/>
      <c r="E183" s="24"/>
      <c r="F183" s="139" t="str">
        <f>_xlfn.XLOOKUP(CalibrationLog[[#This Row],[Date]], 'Daily Summary'!A:A, 'Daily Summary'!H:H, "n/a")</f>
        <v>WE Average</v>
      </c>
      <c r="G183" s="140" t="str">
        <f>_xlfn.XLOOKUP(CalibrationLog[[#This Row],[Date]], 'Daily Summary'!A:A, 'Daily Summary'!K:K, "n/a")</f>
        <v>IE Average</v>
      </c>
      <c r="H183" s="141" t="str">
        <f>IF(CalibrationLog[[#This Row],[Date]]="", "", IF(CalibrationLog[[#This Row],[World Error]]&lt;CalibrationLog[[#This Row],[World Error (Avg.)]], "Yes", "No"))</f>
        <v/>
      </c>
      <c r="I183" s="142" t="str">
        <f>IF(CalibrationLog[[#This Row],[Date]]="", "", IF(CalibrationLog[[#This Row],[Image Error]]&lt;G183, "Yes", "No"))</f>
        <v/>
      </c>
    </row>
    <row r="184" spans="1:9" x14ac:dyDescent="0.25">
      <c r="A184" s="6"/>
      <c r="B184" s="26"/>
      <c r="C184" s="7"/>
      <c r="D184" s="23"/>
      <c r="E184" s="24"/>
      <c r="F184" s="139" t="str">
        <f>_xlfn.XLOOKUP(CalibrationLog[[#This Row],[Date]], 'Daily Summary'!A:A, 'Daily Summary'!H:H, "n/a")</f>
        <v>WE Average</v>
      </c>
      <c r="G184" s="140" t="str">
        <f>_xlfn.XLOOKUP(CalibrationLog[[#This Row],[Date]], 'Daily Summary'!A:A, 'Daily Summary'!K:K, "n/a")</f>
        <v>IE Average</v>
      </c>
      <c r="H184" s="141" t="str">
        <f>IF(CalibrationLog[[#This Row],[Date]]="", "", IF(CalibrationLog[[#This Row],[World Error]]&lt;CalibrationLog[[#This Row],[World Error (Avg.)]], "Yes", "No"))</f>
        <v/>
      </c>
      <c r="I184" s="142" t="str">
        <f>IF(CalibrationLog[[#This Row],[Date]]="", "", IF(CalibrationLog[[#This Row],[Image Error]]&lt;G184, "Yes", "No"))</f>
        <v/>
      </c>
    </row>
    <row r="185" spans="1:9" x14ac:dyDescent="0.25">
      <c r="A185" s="6"/>
      <c r="B185" s="26"/>
      <c r="C185" s="7"/>
      <c r="D185" s="23"/>
      <c r="E185" s="24"/>
      <c r="F185" s="139" t="str">
        <f>_xlfn.XLOOKUP(CalibrationLog[[#This Row],[Date]], 'Daily Summary'!A:A, 'Daily Summary'!H:H, "n/a")</f>
        <v>WE Average</v>
      </c>
      <c r="G185" s="140" t="str">
        <f>_xlfn.XLOOKUP(CalibrationLog[[#This Row],[Date]], 'Daily Summary'!A:A, 'Daily Summary'!K:K, "n/a")</f>
        <v>IE Average</v>
      </c>
      <c r="H185" s="141" t="str">
        <f>IF(CalibrationLog[[#This Row],[Date]]="", "", IF(CalibrationLog[[#This Row],[World Error]]&lt;CalibrationLog[[#This Row],[World Error (Avg.)]], "Yes", "No"))</f>
        <v/>
      </c>
      <c r="I185" s="142" t="str">
        <f>IF(CalibrationLog[[#This Row],[Date]]="", "", IF(CalibrationLog[[#This Row],[Image Error]]&lt;G185, "Yes", "No"))</f>
        <v/>
      </c>
    </row>
    <row r="186" spans="1:9" x14ac:dyDescent="0.25">
      <c r="A186" s="6"/>
      <c r="B186" s="26"/>
      <c r="C186" s="7"/>
      <c r="D186" s="23"/>
      <c r="E186" s="24"/>
      <c r="F186" s="139" t="str">
        <f>_xlfn.XLOOKUP(CalibrationLog[[#This Row],[Date]], 'Daily Summary'!A:A, 'Daily Summary'!H:H, "n/a")</f>
        <v>WE Average</v>
      </c>
      <c r="G186" s="140" t="str">
        <f>_xlfn.XLOOKUP(CalibrationLog[[#This Row],[Date]], 'Daily Summary'!A:A, 'Daily Summary'!K:K, "n/a")</f>
        <v>IE Average</v>
      </c>
      <c r="H186" s="141" t="str">
        <f>IF(CalibrationLog[[#This Row],[Date]]="", "", IF(CalibrationLog[[#This Row],[World Error]]&lt;CalibrationLog[[#This Row],[World Error (Avg.)]], "Yes", "No"))</f>
        <v/>
      </c>
      <c r="I186" s="142" t="str">
        <f>IF(CalibrationLog[[#This Row],[Date]]="", "", IF(CalibrationLog[[#This Row],[Image Error]]&lt;G186, "Yes", "No"))</f>
        <v/>
      </c>
    </row>
    <row r="187" spans="1:9" x14ac:dyDescent="0.25">
      <c r="A187" s="6"/>
      <c r="B187" s="26"/>
      <c r="C187" s="7"/>
      <c r="D187" s="23"/>
      <c r="E187" s="24"/>
      <c r="F187" s="139" t="str">
        <f>_xlfn.XLOOKUP(CalibrationLog[[#This Row],[Date]], 'Daily Summary'!A:A, 'Daily Summary'!H:H, "n/a")</f>
        <v>WE Average</v>
      </c>
      <c r="G187" s="140" t="str">
        <f>_xlfn.XLOOKUP(CalibrationLog[[#This Row],[Date]], 'Daily Summary'!A:A, 'Daily Summary'!K:K, "n/a")</f>
        <v>IE Average</v>
      </c>
      <c r="H187" s="141" t="str">
        <f>IF(CalibrationLog[[#This Row],[Date]]="", "", IF(CalibrationLog[[#This Row],[World Error]]&lt;CalibrationLog[[#This Row],[World Error (Avg.)]], "Yes", "No"))</f>
        <v/>
      </c>
      <c r="I187" s="142" t="str">
        <f>IF(CalibrationLog[[#This Row],[Date]]="", "", IF(CalibrationLog[[#This Row],[Image Error]]&lt;G187, "Yes", "No"))</f>
        <v/>
      </c>
    </row>
    <row r="188" spans="1:9" x14ac:dyDescent="0.25">
      <c r="A188" s="6"/>
      <c r="B188" s="26"/>
      <c r="C188" s="7"/>
      <c r="D188" s="23"/>
      <c r="E188" s="24"/>
      <c r="F188" s="139" t="str">
        <f>_xlfn.XLOOKUP(CalibrationLog[[#This Row],[Date]], 'Daily Summary'!A:A, 'Daily Summary'!H:H, "n/a")</f>
        <v>WE Average</v>
      </c>
      <c r="G188" s="140" t="str">
        <f>_xlfn.XLOOKUP(CalibrationLog[[#This Row],[Date]], 'Daily Summary'!A:A, 'Daily Summary'!K:K, "n/a")</f>
        <v>IE Average</v>
      </c>
      <c r="H188" s="141" t="str">
        <f>IF(CalibrationLog[[#This Row],[Date]]="", "", IF(CalibrationLog[[#This Row],[World Error]]&lt;CalibrationLog[[#This Row],[World Error (Avg.)]], "Yes", "No"))</f>
        <v/>
      </c>
      <c r="I188" s="142" t="str">
        <f>IF(CalibrationLog[[#This Row],[Date]]="", "", IF(CalibrationLog[[#This Row],[Image Error]]&lt;G188, "Yes", "No"))</f>
        <v/>
      </c>
    </row>
    <row r="189" spans="1:9" x14ac:dyDescent="0.25">
      <c r="A189" s="6"/>
      <c r="B189" s="26"/>
      <c r="C189" s="7"/>
      <c r="D189" s="23"/>
      <c r="E189" s="24"/>
      <c r="F189" s="139" t="str">
        <f>_xlfn.XLOOKUP(CalibrationLog[[#This Row],[Date]], 'Daily Summary'!A:A, 'Daily Summary'!H:H, "n/a")</f>
        <v>WE Average</v>
      </c>
      <c r="G189" s="140" t="str">
        <f>_xlfn.XLOOKUP(CalibrationLog[[#This Row],[Date]], 'Daily Summary'!A:A, 'Daily Summary'!K:K, "n/a")</f>
        <v>IE Average</v>
      </c>
      <c r="H189" s="141" t="str">
        <f>IF(CalibrationLog[[#This Row],[Date]]="", "", IF(CalibrationLog[[#This Row],[World Error]]&lt;CalibrationLog[[#This Row],[World Error (Avg.)]], "Yes", "No"))</f>
        <v/>
      </c>
      <c r="I189" s="142" t="str">
        <f>IF(CalibrationLog[[#This Row],[Date]]="", "", IF(CalibrationLog[[#This Row],[Image Error]]&lt;G189, "Yes", "No"))</f>
        <v/>
      </c>
    </row>
    <row r="190" spans="1:9" x14ac:dyDescent="0.25">
      <c r="A190" s="6"/>
      <c r="B190" s="26"/>
      <c r="C190" s="7"/>
      <c r="D190" s="23"/>
      <c r="E190" s="24"/>
      <c r="F190" s="139" t="str">
        <f>_xlfn.XLOOKUP(CalibrationLog[[#This Row],[Date]], 'Daily Summary'!A:A, 'Daily Summary'!H:H, "n/a")</f>
        <v>WE Average</v>
      </c>
      <c r="G190" s="140" t="str">
        <f>_xlfn.XLOOKUP(CalibrationLog[[#This Row],[Date]], 'Daily Summary'!A:A, 'Daily Summary'!K:K, "n/a")</f>
        <v>IE Average</v>
      </c>
      <c r="H190" s="141" t="str">
        <f>IF(CalibrationLog[[#This Row],[Date]]="", "", IF(CalibrationLog[[#This Row],[World Error]]&lt;CalibrationLog[[#This Row],[World Error (Avg.)]], "Yes", "No"))</f>
        <v/>
      </c>
      <c r="I190" s="142" t="str">
        <f>IF(CalibrationLog[[#This Row],[Date]]="", "", IF(CalibrationLog[[#This Row],[Image Error]]&lt;G190, "Yes", "No"))</f>
        <v/>
      </c>
    </row>
    <row r="191" spans="1:9" x14ac:dyDescent="0.25">
      <c r="A191" s="6"/>
      <c r="B191" s="26"/>
      <c r="C191" s="7"/>
      <c r="D191" s="23"/>
      <c r="E191" s="24"/>
      <c r="F191" s="139" t="str">
        <f>_xlfn.XLOOKUP(CalibrationLog[[#This Row],[Date]], 'Daily Summary'!A:A, 'Daily Summary'!H:H, "n/a")</f>
        <v>WE Average</v>
      </c>
      <c r="G191" s="140" t="str">
        <f>_xlfn.XLOOKUP(CalibrationLog[[#This Row],[Date]], 'Daily Summary'!A:A, 'Daily Summary'!K:K, "n/a")</f>
        <v>IE Average</v>
      </c>
      <c r="H191" s="141" t="str">
        <f>IF(CalibrationLog[[#This Row],[Date]]="", "", IF(CalibrationLog[[#This Row],[World Error]]&lt;CalibrationLog[[#This Row],[World Error (Avg.)]], "Yes", "No"))</f>
        <v/>
      </c>
      <c r="I191" s="142" t="str">
        <f>IF(CalibrationLog[[#This Row],[Date]]="", "", IF(CalibrationLog[[#This Row],[Image Error]]&lt;G191, "Yes", "No"))</f>
        <v/>
      </c>
    </row>
    <row r="192" spans="1:9" x14ac:dyDescent="0.25">
      <c r="A192" s="6"/>
      <c r="B192" s="26"/>
      <c r="C192" s="7"/>
      <c r="D192" s="23"/>
      <c r="E192" s="24"/>
      <c r="F192" s="139" t="str">
        <f>_xlfn.XLOOKUP(CalibrationLog[[#This Row],[Date]], 'Daily Summary'!A:A, 'Daily Summary'!H:H, "n/a")</f>
        <v>WE Average</v>
      </c>
      <c r="G192" s="140" t="str">
        <f>_xlfn.XLOOKUP(CalibrationLog[[#This Row],[Date]], 'Daily Summary'!A:A, 'Daily Summary'!K:K, "n/a")</f>
        <v>IE Average</v>
      </c>
      <c r="H192" s="141" t="str">
        <f>IF(CalibrationLog[[#This Row],[Date]]="", "", IF(CalibrationLog[[#This Row],[World Error]]&lt;CalibrationLog[[#This Row],[World Error (Avg.)]], "Yes", "No"))</f>
        <v/>
      </c>
      <c r="I192" s="142" t="str">
        <f>IF(CalibrationLog[[#This Row],[Date]]="", "", IF(CalibrationLog[[#This Row],[Image Error]]&lt;G192, "Yes", "No"))</f>
        <v/>
      </c>
    </row>
    <row r="193" spans="1:9" x14ac:dyDescent="0.25">
      <c r="A193" s="6"/>
      <c r="B193" s="26"/>
      <c r="C193" s="7"/>
      <c r="D193" s="23"/>
      <c r="E193" s="24"/>
      <c r="F193" s="139" t="str">
        <f>_xlfn.XLOOKUP(CalibrationLog[[#This Row],[Date]], 'Daily Summary'!A:A, 'Daily Summary'!H:H, "n/a")</f>
        <v>WE Average</v>
      </c>
      <c r="G193" s="140" t="str">
        <f>_xlfn.XLOOKUP(CalibrationLog[[#This Row],[Date]], 'Daily Summary'!A:A, 'Daily Summary'!K:K, "n/a")</f>
        <v>IE Average</v>
      </c>
      <c r="H193" s="141" t="str">
        <f>IF(CalibrationLog[[#This Row],[Date]]="", "", IF(CalibrationLog[[#This Row],[World Error]]&lt;CalibrationLog[[#This Row],[World Error (Avg.)]], "Yes", "No"))</f>
        <v/>
      </c>
      <c r="I193" s="142" t="str">
        <f>IF(CalibrationLog[[#This Row],[Date]]="", "", IF(CalibrationLog[[#This Row],[Image Error]]&lt;G193, "Yes", "No"))</f>
        <v/>
      </c>
    </row>
    <row r="194" spans="1:9" x14ac:dyDescent="0.25">
      <c r="A194" s="6"/>
      <c r="B194" s="26"/>
      <c r="C194" s="7"/>
      <c r="D194" s="23"/>
      <c r="E194" s="24"/>
      <c r="F194" s="139" t="str">
        <f>_xlfn.XLOOKUP(CalibrationLog[[#This Row],[Date]], 'Daily Summary'!A:A, 'Daily Summary'!H:H, "n/a")</f>
        <v>WE Average</v>
      </c>
      <c r="G194" s="140" t="str">
        <f>_xlfn.XLOOKUP(CalibrationLog[[#This Row],[Date]], 'Daily Summary'!A:A, 'Daily Summary'!K:K, "n/a")</f>
        <v>IE Average</v>
      </c>
      <c r="H194" s="141" t="str">
        <f>IF(CalibrationLog[[#This Row],[Date]]="", "", IF(CalibrationLog[[#This Row],[World Error]]&lt;CalibrationLog[[#This Row],[World Error (Avg.)]], "Yes", "No"))</f>
        <v/>
      </c>
      <c r="I194" s="142" t="str">
        <f>IF(CalibrationLog[[#This Row],[Date]]="", "", IF(CalibrationLog[[#This Row],[Image Error]]&lt;G194, "Yes", "No"))</f>
        <v/>
      </c>
    </row>
    <row r="195" spans="1:9" x14ac:dyDescent="0.25">
      <c r="A195" s="6"/>
      <c r="B195" s="26"/>
      <c r="C195" s="7"/>
      <c r="D195" s="23"/>
      <c r="E195" s="24"/>
      <c r="F195" s="139" t="str">
        <f>_xlfn.XLOOKUP(CalibrationLog[[#This Row],[Date]], 'Daily Summary'!A:A, 'Daily Summary'!H:H, "n/a")</f>
        <v>WE Average</v>
      </c>
      <c r="G195" s="140" t="str">
        <f>_xlfn.XLOOKUP(CalibrationLog[[#This Row],[Date]], 'Daily Summary'!A:A, 'Daily Summary'!K:K, "n/a")</f>
        <v>IE Average</v>
      </c>
      <c r="H195" s="141" t="str">
        <f>IF(CalibrationLog[[#This Row],[Date]]="", "", IF(CalibrationLog[[#This Row],[World Error]]&lt;CalibrationLog[[#This Row],[World Error (Avg.)]], "Yes", "No"))</f>
        <v/>
      </c>
      <c r="I195" s="142" t="str">
        <f>IF(CalibrationLog[[#This Row],[Date]]="", "", IF(CalibrationLog[[#This Row],[Image Error]]&lt;G195, "Yes", "No"))</f>
        <v/>
      </c>
    </row>
    <row r="196" spans="1:9" x14ac:dyDescent="0.25">
      <c r="A196" s="6"/>
      <c r="B196" s="26"/>
      <c r="C196" s="7"/>
      <c r="D196" s="23"/>
      <c r="E196" s="24"/>
      <c r="F196" s="139" t="str">
        <f>_xlfn.XLOOKUP(CalibrationLog[[#This Row],[Date]], 'Daily Summary'!A:A, 'Daily Summary'!H:H, "n/a")</f>
        <v>WE Average</v>
      </c>
      <c r="G196" s="140" t="str">
        <f>_xlfn.XLOOKUP(CalibrationLog[[#This Row],[Date]], 'Daily Summary'!A:A, 'Daily Summary'!K:K, "n/a")</f>
        <v>IE Average</v>
      </c>
      <c r="H196" s="141" t="str">
        <f>IF(CalibrationLog[[#This Row],[Date]]="", "", IF(CalibrationLog[[#This Row],[World Error]]&lt;CalibrationLog[[#This Row],[World Error (Avg.)]], "Yes", "No"))</f>
        <v/>
      </c>
      <c r="I196" s="142" t="str">
        <f>IF(CalibrationLog[[#This Row],[Date]]="", "", IF(CalibrationLog[[#This Row],[Image Error]]&lt;G196, "Yes", "No"))</f>
        <v/>
      </c>
    </row>
    <row r="197" spans="1:9" x14ac:dyDescent="0.25">
      <c r="A197" s="6"/>
      <c r="B197" s="26"/>
      <c r="C197" s="7"/>
      <c r="D197" s="23"/>
      <c r="E197" s="24"/>
      <c r="F197" s="139" t="str">
        <f>_xlfn.XLOOKUP(CalibrationLog[[#This Row],[Date]], 'Daily Summary'!A:A, 'Daily Summary'!H:H, "n/a")</f>
        <v>WE Average</v>
      </c>
      <c r="G197" s="140" t="str">
        <f>_xlfn.XLOOKUP(CalibrationLog[[#This Row],[Date]], 'Daily Summary'!A:A, 'Daily Summary'!K:K, "n/a")</f>
        <v>IE Average</v>
      </c>
      <c r="H197" s="141" t="str">
        <f>IF(CalibrationLog[[#This Row],[Date]]="", "", IF(CalibrationLog[[#This Row],[World Error]]&lt;CalibrationLog[[#This Row],[World Error (Avg.)]], "Yes", "No"))</f>
        <v/>
      </c>
      <c r="I197" s="142" t="str">
        <f>IF(CalibrationLog[[#This Row],[Date]]="", "", IF(CalibrationLog[[#This Row],[Image Error]]&lt;G197, "Yes", "No"))</f>
        <v/>
      </c>
    </row>
    <row r="198" spans="1:9" x14ac:dyDescent="0.25">
      <c r="A198" s="6"/>
      <c r="B198" s="26"/>
      <c r="C198" s="7"/>
      <c r="D198" s="23"/>
      <c r="E198" s="24"/>
      <c r="F198" s="139" t="str">
        <f>_xlfn.XLOOKUP(CalibrationLog[[#This Row],[Date]], 'Daily Summary'!A:A, 'Daily Summary'!H:H, "n/a")</f>
        <v>WE Average</v>
      </c>
      <c r="G198" s="140" t="str">
        <f>_xlfn.XLOOKUP(CalibrationLog[[#This Row],[Date]], 'Daily Summary'!A:A, 'Daily Summary'!K:K, "n/a")</f>
        <v>IE Average</v>
      </c>
      <c r="H198" s="141" t="str">
        <f>IF(CalibrationLog[[#This Row],[Date]]="", "", IF(CalibrationLog[[#This Row],[World Error]]&lt;CalibrationLog[[#This Row],[World Error (Avg.)]], "Yes", "No"))</f>
        <v/>
      </c>
      <c r="I198" s="142" t="str">
        <f>IF(CalibrationLog[[#This Row],[Date]]="", "", IF(CalibrationLog[[#This Row],[Image Error]]&lt;G198, "Yes", "No"))</f>
        <v/>
      </c>
    </row>
    <row r="199" spans="1:9" x14ac:dyDescent="0.25">
      <c r="A199" s="6"/>
      <c r="B199" s="26"/>
      <c r="C199" s="7"/>
      <c r="D199" s="23"/>
      <c r="E199" s="24"/>
      <c r="F199" s="139" t="str">
        <f>_xlfn.XLOOKUP(CalibrationLog[[#This Row],[Date]], 'Daily Summary'!A:A, 'Daily Summary'!H:H, "n/a")</f>
        <v>WE Average</v>
      </c>
      <c r="G199" s="140" t="str">
        <f>_xlfn.XLOOKUP(CalibrationLog[[#This Row],[Date]], 'Daily Summary'!A:A, 'Daily Summary'!K:K, "n/a")</f>
        <v>IE Average</v>
      </c>
      <c r="H199" s="141" t="str">
        <f>IF(CalibrationLog[[#This Row],[Date]]="", "", IF(CalibrationLog[[#This Row],[World Error]]&lt;CalibrationLog[[#This Row],[World Error (Avg.)]], "Yes", "No"))</f>
        <v/>
      </c>
      <c r="I199" s="142" t="str">
        <f>IF(CalibrationLog[[#This Row],[Date]]="", "", IF(CalibrationLog[[#This Row],[Image Error]]&lt;G199, "Yes", "No"))</f>
        <v/>
      </c>
    </row>
    <row r="200" spans="1:9" x14ac:dyDescent="0.25">
      <c r="A200" s="6"/>
      <c r="B200" s="26"/>
      <c r="C200" s="7"/>
      <c r="D200" s="23"/>
      <c r="E200" s="24"/>
      <c r="F200" s="139" t="str">
        <f>_xlfn.XLOOKUP(CalibrationLog[[#This Row],[Date]], 'Daily Summary'!A:A, 'Daily Summary'!H:H, "n/a")</f>
        <v>WE Average</v>
      </c>
      <c r="G200" s="140" t="str">
        <f>_xlfn.XLOOKUP(CalibrationLog[[#This Row],[Date]], 'Daily Summary'!A:A, 'Daily Summary'!K:K, "n/a")</f>
        <v>IE Average</v>
      </c>
      <c r="H200" s="141" t="str">
        <f>IF(CalibrationLog[[#This Row],[Date]]="", "", IF(CalibrationLog[[#This Row],[World Error]]&lt;CalibrationLog[[#This Row],[World Error (Avg.)]], "Yes", "No"))</f>
        <v/>
      </c>
      <c r="I200" s="142" t="str">
        <f>IF(CalibrationLog[[#This Row],[Date]]="", "", IF(CalibrationLog[[#This Row],[Image Error]]&lt;G200, "Yes", "No"))</f>
        <v/>
      </c>
    </row>
    <row r="201" spans="1:9" x14ac:dyDescent="0.25">
      <c r="A201" s="6"/>
      <c r="B201" s="26"/>
      <c r="C201" s="7"/>
      <c r="D201" s="23"/>
      <c r="E201" s="24"/>
      <c r="F201" s="139" t="str">
        <f>_xlfn.XLOOKUP(CalibrationLog[[#This Row],[Date]], 'Daily Summary'!A:A, 'Daily Summary'!H:H, "n/a")</f>
        <v>WE Average</v>
      </c>
      <c r="G201" s="140" t="str">
        <f>_xlfn.XLOOKUP(CalibrationLog[[#This Row],[Date]], 'Daily Summary'!A:A, 'Daily Summary'!K:K, "n/a")</f>
        <v>IE Average</v>
      </c>
      <c r="H201" s="141" t="str">
        <f>IF(CalibrationLog[[#This Row],[Date]]="", "", IF(CalibrationLog[[#This Row],[World Error]]&lt;CalibrationLog[[#This Row],[World Error (Avg.)]], "Yes", "No"))</f>
        <v/>
      </c>
      <c r="I201" s="142" t="str">
        <f>IF(CalibrationLog[[#This Row],[Date]]="", "", IF(CalibrationLog[[#This Row],[Image Error]]&lt;G201, "Yes", "No"))</f>
        <v/>
      </c>
    </row>
    <row r="202" spans="1:9" x14ac:dyDescent="0.25">
      <c r="A202" s="6"/>
      <c r="B202" s="26"/>
      <c r="C202" s="7"/>
      <c r="D202" s="23"/>
      <c r="E202" s="24"/>
      <c r="F202" s="139" t="str">
        <f>_xlfn.XLOOKUP(CalibrationLog[[#This Row],[Date]], 'Daily Summary'!A:A, 'Daily Summary'!H:H, "n/a")</f>
        <v>WE Average</v>
      </c>
      <c r="G202" s="140" t="str">
        <f>_xlfn.XLOOKUP(CalibrationLog[[#This Row],[Date]], 'Daily Summary'!A:A, 'Daily Summary'!K:K, "n/a")</f>
        <v>IE Average</v>
      </c>
      <c r="H202" s="141" t="str">
        <f>IF(CalibrationLog[[#This Row],[Date]]="", "", IF(CalibrationLog[[#This Row],[World Error]]&lt;CalibrationLog[[#This Row],[World Error (Avg.)]], "Yes", "No"))</f>
        <v/>
      </c>
      <c r="I202" s="142" t="str">
        <f>IF(CalibrationLog[[#This Row],[Date]]="", "", IF(CalibrationLog[[#This Row],[Image Error]]&lt;G202, "Yes", "No"))</f>
        <v/>
      </c>
    </row>
    <row r="203" spans="1:9" x14ac:dyDescent="0.25">
      <c r="A203" s="6"/>
      <c r="B203" s="26"/>
      <c r="C203" s="7"/>
      <c r="D203" s="23"/>
      <c r="E203" s="24"/>
      <c r="F203" s="139" t="str">
        <f>_xlfn.XLOOKUP(CalibrationLog[[#This Row],[Date]], 'Daily Summary'!A:A, 'Daily Summary'!H:H, "n/a")</f>
        <v>WE Average</v>
      </c>
      <c r="G203" s="140" t="str">
        <f>_xlfn.XLOOKUP(CalibrationLog[[#This Row],[Date]], 'Daily Summary'!A:A, 'Daily Summary'!K:K, "n/a")</f>
        <v>IE Average</v>
      </c>
      <c r="H203" s="141" t="str">
        <f>IF(CalibrationLog[[#This Row],[Date]]="", "", IF(CalibrationLog[[#This Row],[World Error]]&lt;CalibrationLog[[#This Row],[World Error (Avg.)]], "Yes", "No"))</f>
        <v/>
      </c>
      <c r="I203" s="142" t="str">
        <f>IF(CalibrationLog[[#This Row],[Date]]="", "", IF(CalibrationLog[[#This Row],[Image Error]]&lt;G203, "Yes", "No"))</f>
        <v/>
      </c>
    </row>
    <row r="204" spans="1:9" x14ac:dyDescent="0.25">
      <c r="A204" s="6"/>
      <c r="B204" s="26"/>
      <c r="C204" s="7"/>
      <c r="D204" s="23"/>
      <c r="E204" s="24"/>
      <c r="F204" s="139" t="str">
        <f>_xlfn.XLOOKUP(CalibrationLog[[#This Row],[Date]], 'Daily Summary'!A:A, 'Daily Summary'!H:H, "n/a")</f>
        <v>WE Average</v>
      </c>
      <c r="G204" s="140" t="str">
        <f>_xlfn.XLOOKUP(CalibrationLog[[#This Row],[Date]], 'Daily Summary'!A:A, 'Daily Summary'!K:K, "n/a")</f>
        <v>IE Average</v>
      </c>
      <c r="H204" s="141" t="str">
        <f>IF(CalibrationLog[[#This Row],[Date]]="", "", IF(CalibrationLog[[#This Row],[World Error]]&lt;CalibrationLog[[#This Row],[World Error (Avg.)]], "Yes", "No"))</f>
        <v/>
      </c>
      <c r="I204" s="142" t="str">
        <f>IF(CalibrationLog[[#This Row],[Date]]="", "", IF(CalibrationLog[[#This Row],[Image Error]]&lt;G204, "Yes", "No"))</f>
        <v/>
      </c>
    </row>
    <row r="205" spans="1:9" x14ac:dyDescent="0.25">
      <c r="A205" s="6"/>
      <c r="B205" s="26"/>
      <c r="C205" s="7"/>
      <c r="D205" s="23"/>
      <c r="E205" s="24"/>
      <c r="F205" s="139" t="str">
        <f>_xlfn.XLOOKUP(CalibrationLog[[#This Row],[Date]], 'Daily Summary'!A:A, 'Daily Summary'!H:H, "n/a")</f>
        <v>WE Average</v>
      </c>
      <c r="G205" s="140" t="str">
        <f>_xlfn.XLOOKUP(CalibrationLog[[#This Row],[Date]], 'Daily Summary'!A:A, 'Daily Summary'!K:K, "n/a")</f>
        <v>IE Average</v>
      </c>
      <c r="H205" s="141" t="str">
        <f>IF(CalibrationLog[[#This Row],[Date]]="", "", IF(CalibrationLog[[#This Row],[World Error]]&lt;CalibrationLog[[#This Row],[World Error (Avg.)]], "Yes", "No"))</f>
        <v/>
      </c>
      <c r="I205" s="142" t="str">
        <f>IF(CalibrationLog[[#This Row],[Date]]="", "", IF(CalibrationLog[[#This Row],[Image Error]]&lt;G205, "Yes", "No"))</f>
        <v/>
      </c>
    </row>
    <row r="206" spans="1:9" x14ac:dyDescent="0.25">
      <c r="A206" s="6"/>
      <c r="B206" s="26"/>
      <c r="C206" s="7"/>
      <c r="D206" s="23"/>
      <c r="E206" s="24"/>
      <c r="F206" s="139" t="str">
        <f>_xlfn.XLOOKUP(CalibrationLog[[#This Row],[Date]], 'Daily Summary'!A:A, 'Daily Summary'!H:H, "n/a")</f>
        <v>WE Average</v>
      </c>
      <c r="G206" s="140" t="str">
        <f>_xlfn.XLOOKUP(CalibrationLog[[#This Row],[Date]], 'Daily Summary'!A:A, 'Daily Summary'!K:K, "n/a")</f>
        <v>IE Average</v>
      </c>
      <c r="H206" s="141" t="str">
        <f>IF(CalibrationLog[[#This Row],[Date]]="", "", IF(CalibrationLog[[#This Row],[World Error]]&lt;CalibrationLog[[#This Row],[World Error (Avg.)]], "Yes", "No"))</f>
        <v/>
      </c>
      <c r="I206" s="142" t="str">
        <f>IF(CalibrationLog[[#This Row],[Date]]="", "", IF(CalibrationLog[[#This Row],[Image Error]]&lt;G206, "Yes", "No"))</f>
        <v/>
      </c>
    </row>
    <row r="207" spans="1:9" x14ac:dyDescent="0.25">
      <c r="A207" s="6"/>
      <c r="B207" s="26"/>
      <c r="C207" s="7"/>
      <c r="D207" s="23"/>
      <c r="E207" s="24"/>
      <c r="F207" s="139" t="str">
        <f>_xlfn.XLOOKUP(CalibrationLog[[#This Row],[Date]], 'Daily Summary'!A:A, 'Daily Summary'!H:H, "n/a")</f>
        <v>WE Average</v>
      </c>
      <c r="G207" s="140" t="str">
        <f>_xlfn.XLOOKUP(CalibrationLog[[#This Row],[Date]], 'Daily Summary'!A:A, 'Daily Summary'!K:K, "n/a")</f>
        <v>IE Average</v>
      </c>
      <c r="H207" s="141" t="str">
        <f>IF(CalibrationLog[[#This Row],[Date]]="", "", IF(CalibrationLog[[#This Row],[World Error]]&lt;CalibrationLog[[#This Row],[World Error (Avg.)]], "Yes", "No"))</f>
        <v/>
      </c>
      <c r="I207" s="142" t="str">
        <f>IF(CalibrationLog[[#This Row],[Date]]="", "", IF(CalibrationLog[[#This Row],[Image Error]]&lt;G207, "Yes", "No"))</f>
        <v/>
      </c>
    </row>
    <row r="208" spans="1:9" x14ac:dyDescent="0.25">
      <c r="A208" s="6"/>
      <c r="B208" s="26"/>
      <c r="C208" s="7"/>
      <c r="D208" s="23"/>
      <c r="E208" s="24"/>
      <c r="F208" s="139" t="str">
        <f>_xlfn.XLOOKUP(CalibrationLog[[#This Row],[Date]], 'Daily Summary'!A:A, 'Daily Summary'!H:H, "n/a")</f>
        <v>WE Average</v>
      </c>
      <c r="G208" s="140" t="str">
        <f>_xlfn.XLOOKUP(CalibrationLog[[#This Row],[Date]], 'Daily Summary'!A:A, 'Daily Summary'!K:K, "n/a")</f>
        <v>IE Average</v>
      </c>
      <c r="H208" s="141" t="str">
        <f>IF(CalibrationLog[[#This Row],[Date]]="", "", IF(CalibrationLog[[#This Row],[World Error]]&lt;CalibrationLog[[#This Row],[World Error (Avg.)]], "Yes", "No"))</f>
        <v/>
      </c>
      <c r="I208" s="142" t="str">
        <f>IF(CalibrationLog[[#This Row],[Date]]="", "", IF(CalibrationLog[[#This Row],[Image Error]]&lt;G208, "Yes", "No"))</f>
        <v/>
      </c>
    </row>
    <row r="209" spans="1:9" x14ac:dyDescent="0.25">
      <c r="A209" s="6"/>
      <c r="B209" s="26"/>
      <c r="C209" s="7"/>
      <c r="D209" s="23"/>
      <c r="E209" s="24"/>
      <c r="F209" s="139" t="str">
        <f>_xlfn.XLOOKUP(CalibrationLog[[#This Row],[Date]], 'Daily Summary'!A:A, 'Daily Summary'!H:H, "n/a")</f>
        <v>WE Average</v>
      </c>
      <c r="G209" s="140" t="str">
        <f>_xlfn.XLOOKUP(CalibrationLog[[#This Row],[Date]], 'Daily Summary'!A:A, 'Daily Summary'!K:K, "n/a")</f>
        <v>IE Average</v>
      </c>
      <c r="H209" s="141" t="str">
        <f>IF(CalibrationLog[[#This Row],[Date]]="", "", IF(CalibrationLog[[#This Row],[World Error]]&lt;CalibrationLog[[#This Row],[World Error (Avg.)]], "Yes", "No"))</f>
        <v/>
      </c>
      <c r="I209" s="142" t="str">
        <f>IF(CalibrationLog[[#This Row],[Date]]="", "", IF(CalibrationLog[[#This Row],[Image Error]]&lt;G209, "Yes", "No"))</f>
        <v/>
      </c>
    </row>
    <row r="210" spans="1:9" x14ac:dyDescent="0.25">
      <c r="A210" s="6"/>
      <c r="B210" s="26"/>
      <c r="C210" s="7"/>
      <c r="D210" s="23"/>
      <c r="E210" s="24"/>
      <c r="F210" s="139" t="str">
        <f>_xlfn.XLOOKUP(CalibrationLog[[#This Row],[Date]], 'Daily Summary'!A:A, 'Daily Summary'!H:H, "n/a")</f>
        <v>WE Average</v>
      </c>
      <c r="G210" s="140" t="str">
        <f>_xlfn.XLOOKUP(CalibrationLog[[#This Row],[Date]], 'Daily Summary'!A:A, 'Daily Summary'!K:K, "n/a")</f>
        <v>IE Average</v>
      </c>
      <c r="H210" s="141" t="str">
        <f>IF(CalibrationLog[[#This Row],[Date]]="", "", IF(CalibrationLog[[#This Row],[World Error]]&lt;CalibrationLog[[#This Row],[World Error (Avg.)]], "Yes", "No"))</f>
        <v/>
      </c>
      <c r="I210" s="142" t="str">
        <f>IF(CalibrationLog[[#This Row],[Date]]="", "", IF(CalibrationLog[[#This Row],[Image Error]]&lt;G210, "Yes", "No"))</f>
        <v/>
      </c>
    </row>
    <row r="211" spans="1:9" x14ac:dyDescent="0.25">
      <c r="A211" s="6"/>
      <c r="B211" s="26"/>
      <c r="C211" s="7"/>
      <c r="D211" s="23"/>
      <c r="E211" s="24"/>
      <c r="F211" s="139" t="str">
        <f>_xlfn.XLOOKUP(CalibrationLog[[#This Row],[Date]], 'Daily Summary'!A:A, 'Daily Summary'!H:H, "n/a")</f>
        <v>WE Average</v>
      </c>
      <c r="G211" s="140" t="str">
        <f>_xlfn.XLOOKUP(CalibrationLog[[#This Row],[Date]], 'Daily Summary'!A:A, 'Daily Summary'!K:K, "n/a")</f>
        <v>IE Average</v>
      </c>
      <c r="H211" s="141" t="str">
        <f>IF(CalibrationLog[[#This Row],[Date]]="", "", IF(CalibrationLog[[#This Row],[World Error]]&lt;CalibrationLog[[#This Row],[World Error (Avg.)]], "Yes", "No"))</f>
        <v/>
      </c>
      <c r="I211" s="142" t="str">
        <f>IF(CalibrationLog[[#This Row],[Date]]="", "", IF(CalibrationLog[[#This Row],[Image Error]]&lt;G211, "Yes", "No"))</f>
        <v/>
      </c>
    </row>
    <row r="212" spans="1:9" x14ac:dyDescent="0.25">
      <c r="A212" s="6"/>
      <c r="B212" s="26"/>
      <c r="C212" s="7"/>
      <c r="D212" s="23"/>
      <c r="E212" s="24"/>
      <c r="F212" s="139" t="str">
        <f>_xlfn.XLOOKUP(CalibrationLog[[#This Row],[Date]], 'Daily Summary'!A:A, 'Daily Summary'!H:H, "n/a")</f>
        <v>WE Average</v>
      </c>
      <c r="G212" s="140" t="str">
        <f>_xlfn.XLOOKUP(CalibrationLog[[#This Row],[Date]], 'Daily Summary'!A:A, 'Daily Summary'!K:K, "n/a")</f>
        <v>IE Average</v>
      </c>
      <c r="H212" s="141" t="str">
        <f>IF(CalibrationLog[[#This Row],[Date]]="", "", IF(CalibrationLog[[#This Row],[World Error]]&lt;CalibrationLog[[#This Row],[World Error (Avg.)]], "Yes", "No"))</f>
        <v/>
      </c>
      <c r="I212" s="142" t="str">
        <f>IF(CalibrationLog[[#This Row],[Date]]="", "", IF(CalibrationLog[[#This Row],[Image Error]]&lt;G212, "Yes", "No"))</f>
        <v/>
      </c>
    </row>
    <row r="213" spans="1:9" x14ac:dyDescent="0.25">
      <c r="A213" s="6"/>
      <c r="B213" s="26"/>
      <c r="C213" s="7"/>
      <c r="D213" s="23"/>
      <c r="E213" s="24"/>
      <c r="F213" s="139" t="str">
        <f>_xlfn.XLOOKUP(CalibrationLog[[#This Row],[Date]], 'Daily Summary'!A:A, 'Daily Summary'!H:H, "n/a")</f>
        <v>WE Average</v>
      </c>
      <c r="G213" s="140" t="str">
        <f>_xlfn.XLOOKUP(CalibrationLog[[#This Row],[Date]], 'Daily Summary'!A:A, 'Daily Summary'!K:K, "n/a")</f>
        <v>IE Average</v>
      </c>
      <c r="H213" s="141" t="str">
        <f>IF(CalibrationLog[[#This Row],[Date]]="", "", IF(CalibrationLog[[#This Row],[World Error]]&lt;CalibrationLog[[#This Row],[World Error (Avg.)]], "Yes", "No"))</f>
        <v/>
      </c>
      <c r="I213" s="142" t="str">
        <f>IF(CalibrationLog[[#This Row],[Date]]="", "", IF(CalibrationLog[[#This Row],[Image Error]]&lt;G213, "Yes", "No"))</f>
        <v/>
      </c>
    </row>
    <row r="214" spans="1:9" x14ac:dyDescent="0.25">
      <c r="A214" s="6"/>
      <c r="B214" s="26"/>
      <c r="C214" s="7"/>
      <c r="D214" s="23"/>
      <c r="E214" s="24"/>
      <c r="F214" s="139" t="str">
        <f>_xlfn.XLOOKUP(CalibrationLog[[#This Row],[Date]], 'Daily Summary'!A:A, 'Daily Summary'!H:H, "n/a")</f>
        <v>WE Average</v>
      </c>
      <c r="G214" s="140" t="str">
        <f>_xlfn.XLOOKUP(CalibrationLog[[#This Row],[Date]], 'Daily Summary'!A:A, 'Daily Summary'!K:K, "n/a")</f>
        <v>IE Average</v>
      </c>
      <c r="H214" s="141" t="str">
        <f>IF(CalibrationLog[[#This Row],[Date]]="", "", IF(CalibrationLog[[#This Row],[World Error]]&lt;CalibrationLog[[#This Row],[World Error (Avg.)]], "Yes", "No"))</f>
        <v/>
      </c>
      <c r="I214" s="142" t="str">
        <f>IF(CalibrationLog[[#This Row],[Date]]="", "", IF(CalibrationLog[[#This Row],[Image Error]]&lt;G214, "Yes", "No"))</f>
        <v/>
      </c>
    </row>
    <row r="215" spans="1:9" x14ac:dyDescent="0.25">
      <c r="A215" s="6"/>
      <c r="B215" s="26"/>
      <c r="C215" s="7"/>
      <c r="D215" s="23"/>
      <c r="E215" s="24"/>
      <c r="F215" s="139" t="str">
        <f>_xlfn.XLOOKUP(CalibrationLog[[#This Row],[Date]], 'Daily Summary'!A:A, 'Daily Summary'!H:H, "n/a")</f>
        <v>WE Average</v>
      </c>
      <c r="G215" s="140" t="str">
        <f>_xlfn.XLOOKUP(CalibrationLog[[#This Row],[Date]], 'Daily Summary'!A:A, 'Daily Summary'!K:K, "n/a")</f>
        <v>IE Average</v>
      </c>
      <c r="H215" s="141" t="str">
        <f>IF(CalibrationLog[[#This Row],[Date]]="", "", IF(CalibrationLog[[#This Row],[World Error]]&lt;CalibrationLog[[#This Row],[World Error (Avg.)]], "Yes", "No"))</f>
        <v/>
      </c>
      <c r="I215" s="142" t="str">
        <f>IF(CalibrationLog[[#This Row],[Date]]="", "", IF(CalibrationLog[[#This Row],[Image Error]]&lt;G215, "Yes", "No"))</f>
        <v/>
      </c>
    </row>
    <row r="216" spans="1:9" x14ac:dyDescent="0.25">
      <c r="A216" s="6"/>
      <c r="B216" s="26"/>
      <c r="C216" s="7"/>
      <c r="D216" s="23"/>
      <c r="E216" s="24"/>
      <c r="F216" s="139" t="str">
        <f>_xlfn.XLOOKUP(CalibrationLog[[#This Row],[Date]], 'Daily Summary'!A:A, 'Daily Summary'!H:H, "n/a")</f>
        <v>WE Average</v>
      </c>
      <c r="G216" s="140" t="str">
        <f>_xlfn.XLOOKUP(CalibrationLog[[#This Row],[Date]], 'Daily Summary'!A:A, 'Daily Summary'!K:K, "n/a")</f>
        <v>IE Average</v>
      </c>
      <c r="H216" s="141" t="str">
        <f>IF(CalibrationLog[[#This Row],[Date]]="", "", IF(CalibrationLog[[#This Row],[World Error]]&lt;CalibrationLog[[#This Row],[World Error (Avg.)]], "Yes", "No"))</f>
        <v/>
      </c>
      <c r="I216" s="142" t="str">
        <f>IF(CalibrationLog[[#This Row],[Date]]="", "", IF(CalibrationLog[[#This Row],[Image Error]]&lt;G216, "Yes", "No"))</f>
        <v/>
      </c>
    </row>
    <row r="217" spans="1:9" x14ac:dyDescent="0.25">
      <c r="A217" s="6"/>
      <c r="B217" s="26"/>
      <c r="C217" s="7"/>
      <c r="D217" s="23"/>
      <c r="E217" s="24"/>
      <c r="F217" s="139" t="str">
        <f>_xlfn.XLOOKUP(CalibrationLog[[#This Row],[Date]], 'Daily Summary'!A:A, 'Daily Summary'!H:H, "n/a")</f>
        <v>WE Average</v>
      </c>
      <c r="G217" s="140" t="str">
        <f>_xlfn.XLOOKUP(CalibrationLog[[#This Row],[Date]], 'Daily Summary'!A:A, 'Daily Summary'!K:K, "n/a")</f>
        <v>IE Average</v>
      </c>
      <c r="H217" s="141" t="str">
        <f>IF(CalibrationLog[[#This Row],[Date]]="", "", IF(CalibrationLog[[#This Row],[World Error]]&lt;CalibrationLog[[#This Row],[World Error (Avg.)]], "Yes", "No"))</f>
        <v/>
      </c>
      <c r="I217" s="142" t="str">
        <f>IF(CalibrationLog[[#This Row],[Date]]="", "", IF(CalibrationLog[[#This Row],[Image Error]]&lt;G217, "Yes", "No"))</f>
        <v/>
      </c>
    </row>
    <row r="218" spans="1:9" x14ac:dyDescent="0.25">
      <c r="A218" s="6"/>
      <c r="B218" s="26"/>
      <c r="C218" s="7"/>
      <c r="D218" s="23"/>
      <c r="E218" s="24"/>
      <c r="F218" s="139" t="str">
        <f>_xlfn.XLOOKUP(CalibrationLog[[#This Row],[Date]], 'Daily Summary'!A:A, 'Daily Summary'!H:H, "n/a")</f>
        <v>WE Average</v>
      </c>
      <c r="G218" s="140" t="str">
        <f>_xlfn.XLOOKUP(CalibrationLog[[#This Row],[Date]], 'Daily Summary'!A:A, 'Daily Summary'!K:K, "n/a")</f>
        <v>IE Average</v>
      </c>
      <c r="H218" s="141" t="str">
        <f>IF(CalibrationLog[[#This Row],[Date]]="", "", IF(CalibrationLog[[#This Row],[World Error]]&lt;CalibrationLog[[#This Row],[World Error (Avg.)]], "Yes", "No"))</f>
        <v/>
      </c>
      <c r="I218" s="142" t="str">
        <f>IF(CalibrationLog[[#This Row],[Date]]="", "", IF(CalibrationLog[[#This Row],[Image Error]]&lt;G218, "Yes", "No"))</f>
        <v/>
      </c>
    </row>
    <row r="219" spans="1:9" x14ac:dyDescent="0.25">
      <c r="A219" s="6"/>
      <c r="B219" s="26"/>
      <c r="C219" s="7"/>
      <c r="D219" s="23"/>
      <c r="E219" s="24"/>
      <c r="F219" s="139" t="str">
        <f>_xlfn.XLOOKUP(CalibrationLog[[#This Row],[Date]], 'Daily Summary'!A:A, 'Daily Summary'!H:H, "n/a")</f>
        <v>WE Average</v>
      </c>
      <c r="G219" s="140" t="str">
        <f>_xlfn.XLOOKUP(CalibrationLog[[#This Row],[Date]], 'Daily Summary'!A:A, 'Daily Summary'!K:K, "n/a")</f>
        <v>IE Average</v>
      </c>
      <c r="H219" s="141" t="str">
        <f>IF(CalibrationLog[[#This Row],[Date]]="", "", IF(CalibrationLog[[#This Row],[World Error]]&lt;CalibrationLog[[#This Row],[World Error (Avg.)]], "Yes", "No"))</f>
        <v/>
      </c>
      <c r="I219" s="142" t="str">
        <f>IF(CalibrationLog[[#This Row],[Date]]="", "", IF(CalibrationLog[[#This Row],[Image Error]]&lt;G219, "Yes", "No"))</f>
        <v/>
      </c>
    </row>
    <row r="220" spans="1:9" x14ac:dyDescent="0.25">
      <c r="A220" s="6"/>
      <c r="B220" s="26"/>
      <c r="C220" s="7"/>
      <c r="D220" s="23"/>
      <c r="E220" s="24"/>
      <c r="F220" s="139" t="str">
        <f>_xlfn.XLOOKUP(CalibrationLog[[#This Row],[Date]], 'Daily Summary'!A:A, 'Daily Summary'!H:H, "n/a")</f>
        <v>WE Average</v>
      </c>
      <c r="G220" s="140" t="str">
        <f>_xlfn.XLOOKUP(CalibrationLog[[#This Row],[Date]], 'Daily Summary'!A:A, 'Daily Summary'!K:K, "n/a")</f>
        <v>IE Average</v>
      </c>
      <c r="H220" s="141" t="str">
        <f>IF(CalibrationLog[[#This Row],[Date]]="", "", IF(CalibrationLog[[#This Row],[World Error]]&lt;CalibrationLog[[#This Row],[World Error (Avg.)]], "Yes", "No"))</f>
        <v/>
      </c>
      <c r="I220" s="142" t="str">
        <f>IF(CalibrationLog[[#This Row],[Date]]="", "", IF(CalibrationLog[[#This Row],[Image Error]]&lt;G220, "Yes", "No"))</f>
        <v/>
      </c>
    </row>
    <row r="221" spans="1:9" x14ac:dyDescent="0.25">
      <c r="A221" s="6"/>
      <c r="B221" s="26"/>
      <c r="C221" s="7"/>
      <c r="D221" s="23"/>
      <c r="E221" s="24"/>
      <c r="F221" s="139" t="str">
        <f>_xlfn.XLOOKUP(CalibrationLog[[#This Row],[Date]], 'Daily Summary'!A:A, 'Daily Summary'!H:H, "n/a")</f>
        <v>WE Average</v>
      </c>
      <c r="G221" s="140" t="str">
        <f>_xlfn.XLOOKUP(CalibrationLog[[#This Row],[Date]], 'Daily Summary'!A:A, 'Daily Summary'!K:K, "n/a")</f>
        <v>IE Average</v>
      </c>
      <c r="H221" s="141" t="str">
        <f>IF(CalibrationLog[[#This Row],[Date]]="", "", IF(CalibrationLog[[#This Row],[World Error]]&lt;CalibrationLog[[#This Row],[World Error (Avg.)]], "Yes", "No"))</f>
        <v/>
      </c>
      <c r="I221" s="142" t="str">
        <f>IF(CalibrationLog[[#This Row],[Date]]="", "", IF(CalibrationLog[[#This Row],[Image Error]]&lt;G221, "Yes", "No"))</f>
        <v/>
      </c>
    </row>
    <row r="222" spans="1:9" x14ac:dyDescent="0.25">
      <c r="A222" s="6"/>
      <c r="B222" s="26"/>
      <c r="C222" s="7"/>
      <c r="D222" s="23"/>
      <c r="E222" s="24"/>
      <c r="F222" s="139" t="str">
        <f>_xlfn.XLOOKUP(CalibrationLog[[#This Row],[Date]], 'Daily Summary'!A:A, 'Daily Summary'!H:H, "n/a")</f>
        <v>WE Average</v>
      </c>
      <c r="G222" s="140" t="str">
        <f>_xlfn.XLOOKUP(CalibrationLog[[#This Row],[Date]], 'Daily Summary'!A:A, 'Daily Summary'!K:K, "n/a")</f>
        <v>IE Average</v>
      </c>
      <c r="H222" s="141" t="str">
        <f>IF(CalibrationLog[[#This Row],[Date]]="", "", IF(CalibrationLog[[#This Row],[World Error]]&lt;CalibrationLog[[#This Row],[World Error (Avg.)]], "Yes", "No"))</f>
        <v/>
      </c>
      <c r="I222" s="142" t="str">
        <f>IF(CalibrationLog[[#This Row],[Date]]="", "", IF(CalibrationLog[[#This Row],[Image Error]]&lt;G222, "Yes", "No"))</f>
        <v/>
      </c>
    </row>
    <row r="223" spans="1:9" x14ac:dyDescent="0.25">
      <c r="A223" s="6"/>
      <c r="B223" s="26"/>
      <c r="C223" s="7"/>
      <c r="D223" s="23"/>
      <c r="E223" s="24"/>
      <c r="F223" s="139" t="str">
        <f>_xlfn.XLOOKUP(CalibrationLog[[#This Row],[Date]], 'Daily Summary'!A:A, 'Daily Summary'!H:H, "n/a")</f>
        <v>WE Average</v>
      </c>
      <c r="G223" s="140" t="str">
        <f>_xlfn.XLOOKUP(CalibrationLog[[#This Row],[Date]], 'Daily Summary'!A:A, 'Daily Summary'!K:K, "n/a")</f>
        <v>IE Average</v>
      </c>
      <c r="H223" s="141" t="str">
        <f>IF(CalibrationLog[[#This Row],[Date]]="", "", IF(CalibrationLog[[#This Row],[World Error]]&lt;CalibrationLog[[#This Row],[World Error (Avg.)]], "Yes", "No"))</f>
        <v/>
      </c>
      <c r="I223" s="142" t="str">
        <f>IF(CalibrationLog[[#This Row],[Date]]="", "", IF(CalibrationLog[[#This Row],[Image Error]]&lt;G223, "Yes", "No"))</f>
        <v/>
      </c>
    </row>
    <row r="224" spans="1:9" x14ac:dyDescent="0.25">
      <c r="A224" s="6"/>
      <c r="B224" s="26"/>
      <c r="C224" s="7"/>
      <c r="D224" s="23"/>
      <c r="E224" s="24"/>
      <c r="F224" s="139" t="str">
        <f>_xlfn.XLOOKUP(CalibrationLog[[#This Row],[Date]], 'Daily Summary'!A:A, 'Daily Summary'!H:H, "n/a")</f>
        <v>WE Average</v>
      </c>
      <c r="G224" s="140" t="str">
        <f>_xlfn.XLOOKUP(CalibrationLog[[#This Row],[Date]], 'Daily Summary'!A:A, 'Daily Summary'!K:K, "n/a")</f>
        <v>IE Average</v>
      </c>
      <c r="H224" s="141" t="str">
        <f>IF(CalibrationLog[[#This Row],[Date]]="", "", IF(CalibrationLog[[#This Row],[World Error]]&lt;CalibrationLog[[#This Row],[World Error (Avg.)]], "Yes", "No"))</f>
        <v/>
      </c>
      <c r="I224" s="142" t="str">
        <f>IF(CalibrationLog[[#This Row],[Date]]="", "", IF(CalibrationLog[[#This Row],[Image Error]]&lt;G224, "Yes", "No"))</f>
        <v/>
      </c>
    </row>
    <row r="225" spans="1:9" x14ac:dyDescent="0.25">
      <c r="A225" s="6"/>
      <c r="B225" s="26"/>
      <c r="C225" s="7"/>
      <c r="D225" s="23"/>
      <c r="E225" s="24"/>
      <c r="F225" s="139" t="str">
        <f>_xlfn.XLOOKUP(CalibrationLog[[#This Row],[Date]], 'Daily Summary'!A:A, 'Daily Summary'!H:H, "n/a")</f>
        <v>WE Average</v>
      </c>
      <c r="G225" s="140" t="str">
        <f>_xlfn.XLOOKUP(CalibrationLog[[#This Row],[Date]], 'Daily Summary'!A:A, 'Daily Summary'!K:K, "n/a")</f>
        <v>IE Average</v>
      </c>
      <c r="H225" s="141" t="str">
        <f>IF(CalibrationLog[[#This Row],[Date]]="", "", IF(CalibrationLog[[#This Row],[World Error]]&lt;CalibrationLog[[#This Row],[World Error (Avg.)]], "Yes", "No"))</f>
        <v/>
      </c>
      <c r="I225" s="142" t="str">
        <f>IF(CalibrationLog[[#This Row],[Date]]="", "", IF(CalibrationLog[[#This Row],[Image Error]]&lt;G225, "Yes", "No"))</f>
        <v/>
      </c>
    </row>
    <row r="226" spans="1:9" x14ac:dyDescent="0.25">
      <c r="A226" s="6"/>
      <c r="B226" s="26"/>
      <c r="C226" s="7"/>
      <c r="D226" s="23"/>
      <c r="E226" s="24"/>
      <c r="F226" s="139" t="str">
        <f>_xlfn.XLOOKUP(CalibrationLog[[#This Row],[Date]], 'Daily Summary'!A:A, 'Daily Summary'!H:H, "n/a")</f>
        <v>WE Average</v>
      </c>
      <c r="G226" s="140" t="str">
        <f>_xlfn.XLOOKUP(CalibrationLog[[#This Row],[Date]], 'Daily Summary'!A:A, 'Daily Summary'!K:K, "n/a")</f>
        <v>IE Average</v>
      </c>
      <c r="H226" s="141" t="str">
        <f>IF(CalibrationLog[[#This Row],[Date]]="", "", IF(CalibrationLog[[#This Row],[World Error]]&lt;CalibrationLog[[#This Row],[World Error (Avg.)]], "Yes", "No"))</f>
        <v/>
      </c>
      <c r="I226" s="142" t="str">
        <f>IF(CalibrationLog[[#This Row],[Date]]="", "", IF(CalibrationLog[[#This Row],[Image Error]]&lt;G226, "Yes", "No"))</f>
        <v/>
      </c>
    </row>
    <row r="227" spans="1:9" x14ac:dyDescent="0.25">
      <c r="A227" s="6"/>
      <c r="B227" s="26"/>
      <c r="C227" s="7"/>
      <c r="D227" s="23"/>
      <c r="E227" s="24"/>
      <c r="F227" s="139" t="str">
        <f>_xlfn.XLOOKUP(CalibrationLog[[#This Row],[Date]], 'Daily Summary'!A:A, 'Daily Summary'!H:H, "n/a")</f>
        <v>WE Average</v>
      </c>
      <c r="G227" s="140" t="str">
        <f>_xlfn.XLOOKUP(CalibrationLog[[#This Row],[Date]], 'Daily Summary'!A:A, 'Daily Summary'!K:K, "n/a")</f>
        <v>IE Average</v>
      </c>
      <c r="H227" s="141" t="str">
        <f>IF(CalibrationLog[[#This Row],[Date]]="", "", IF(CalibrationLog[[#This Row],[World Error]]&lt;CalibrationLog[[#This Row],[World Error (Avg.)]], "Yes", "No"))</f>
        <v/>
      </c>
      <c r="I227" s="142" t="str">
        <f>IF(CalibrationLog[[#This Row],[Date]]="", "", IF(CalibrationLog[[#This Row],[Image Error]]&lt;G227, "Yes", "No"))</f>
        <v/>
      </c>
    </row>
    <row r="228" spans="1:9" x14ac:dyDescent="0.25">
      <c r="A228" s="6"/>
      <c r="B228" s="26"/>
      <c r="C228" s="7"/>
      <c r="D228" s="23"/>
      <c r="E228" s="24"/>
      <c r="F228" s="139" t="str">
        <f>_xlfn.XLOOKUP(CalibrationLog[[#This Row],[Date]], 'Daily Summary'!A:A, 'Daily Summary'!H:H, "n/a")</f>
        <v>WE Average</v>
      </c>
      <c r="G228" s="140" t="str">
        <f>_xlfn.XLOOKUP(CalibrationLog[[#This Row],[Date]], 'Daily Summary'!A:A, 'Daily Summary'!K:K, "n/a")</f>
        <v>IE Average</v>
      </c>
      <c r="H228" s="141" t="str">
        <f>IF(CalibrationLog[[#This Row],[Date]]="", "", IF(CalibrationLog[[#This Row],[World Error]]&lt;CalibrationLog[[#This Row],[World Error (Avg.)]], "Yes", "No"))</f>
        <v/>
      </c>
      <c r="I228" s="142" t="str">
        <f>IF(CalibrationLog[[#This Row],[Date]]="", "", IF(CalibrationLog[[#This Row],[Image Error]]&lt;G228, "Yes", "No"))</f>
        <v/>
      </c>
    </row>
    <row r="229" spans="1:9" x14ac:dyDescent="0.25">
      <c r="A229" s="6"/>
      <c r="B229" s="26"/>
      <c r="C229" s="7"/>
      <c r="D229" s="23"/>
      <c r="E229" s="24"/>
      <c r="F229" s="139" t="str">
        <f>_xlfn.XLOOKUP(CalibrationLog[[#This Row],[Date]], 'Daily Summary'!A:A, 'Daily Summary'!H:H, "n/a")</f>
        <v>WE Average</v>
      </c>
      <c r="G229" s="140" t="str">
        <f>_xlfn.XLOOKUP(CalibrationLog[[#This Row],[Date]], 'Daily Summary'!A:A, 'Daily Summary'!K:K, "n/a")</f>
        <v>IE Average</v>
      </c>
      <c r="H229" s="141" t="str">
        <f>IF(CalibrationLog[[#This Row],[Date]]="", "", IF(CalibrationLog[[#This Row],[World Error]]&lt;CalibrationLog[[#This Row],[World Error (Avg.)]], "Yes", "No"))</f>
        <v/>
      </c>
      <c r="I229" s="142" t="str">
        <f>IF(CalibrationLog[[#This Row],[Date]]="", "", IF(CalibrationLog[[#This Row],[Image Error]]&lt;G229, "Yes", "No"))</f>
        <v/>
      </c>
    </row>
    <row r="231" spans="1:9" x14ac:dyDescent="0.25">
      <c r="A231" s="8"/>
    </row>
  </sheetData>
  <mergeCells count="4">
    <mergeCell ref="F1:G1"/>
    <mergeCell ref="D1:E1"/>
    <mergeCell ref="H1:I1"/>
    <mergeCell ref="A1:C1"/>
  </mergeCells>
  <conditionalFormatting sqref="H1:I1048576">
    <cfRule type="cellIs" dxfId="14" priority="1" operator="equal">
      <formula>"No"</formula>
    </cfRule>
    <cfRule type="cellIs" dxfId="13" priority="2" operator="equal">
      <formula>"Yes"</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errorTitle="Unknown camera" error="Pick a camera from the list (or add it on the Lists sheet)." xr:uid="{00000000-0002-0000-0200-000000000000}">
          <x14:formula1>
            <xm:f>Lists!$A$2:$A$19</xm:f>
          </x14:formula1>
          <x14:formula2>
            <xm:f>0</xm:f>
          </x14:formula2>
          <xm:sqref>B3:B127 B128:B1231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O62"/>
  <sheetViews>
    <sheetView showZeros="0" zoomScale="85" zoomScaleNormal="85" workbookViewId="0">
      <pane ySplit="2" topLeftCell="A3" activePane="bottomLeft" state="frozen"/>
      <selection pane="bottomLeft" activeCell="N12" sqref="N12"/>
    </sheetView>
  </sheetViews>
  <sheetFormatPr defaultColWidth="8.6640625" defaultRowHeight="13.8" x14ac:dyDescent="0.3"/>
  <cols>
    <col min="1" max="1" width="12" style="132" customWidth="1"/>
    <col min="2" max="2" width="15.77734375" style="134" customWidth="1"/>
    <col min="3" max="3" width="12.33203125" style="132" hidden="1" customWidth="1"/>
    <col min="4" max="4" width="12.77734375" style="151" customWidth="1"/>
    <col min="5" max="5" width="15.77734375" style="152" customWidth="1"/>
    <col min="6" max="6" width="15" style="132" customWidth="1"/>
    <col min="7" max="7" width="15" style="153" customWidth="1"/>
    <col min="8" max="13" width="15" style="132" customWidth="1"/>
    <col min="14" max="14" width="60.77734375" style="150" customWidth="1"/>
    <col min="15" max="16384" width="8.6640625" style="132"/>
  </cols>
  <sheetData>
    <row r="1" spans="1:15" ht="15.6" x14ac:dyDescent="0.3">
      <c r="A1" s="87" t="s">
        <v>31</v>
      </c>
      <c r="B1" s="89" t="s">
        <v>60</v>
      </c>
      <c r="C1" s="87" t="s">
        <v>35</v>
      </c>
      <c r="D1" s="89" t="s">
        <v>61</v>
      </c>
      <c r="E1" s="91" t="s">
        <v>88</v>
      </c>
      <c r="F1" s="87" t="s">
        <v>36</v>
      </c>
      <c r="G1" s="95" t="s">
        <v>89</v>
      </c>
      <c r="H1" s="94" t="s">
        <v>33</v>
      </c>
      <c r="I1" s="94"/>
      <c r="J1" s="94"/>
      <c r="K1" s="94" t="s">
        <v>34</v>
      </c>
      <c r="L1" s="94"/>
      <c r="M1" s="94"/>
      <c r="N1" s="146" t="s">
        <v>58</v>
      </c>
      <c r="O1" s="147"/>
    </row>
    <row r="2" spans="1:15" ht="14.4" thickBot="1" x14ac:dyDescent="0.35">
      <c r="A2" s="88"/>
      <c r="B2" s="90"/>
      <c r="C2" s="88"/>
      <c r="D2" s="90"/>
      <c r="E2" s="92"/>
      <c r="F2" s="88"/>
      <c r="G2" s="96"/>
      <c r="H2" s="84" t="s">
        <v>75</v>
      </c>
      <c r="I2" s="85" t="s">
        <v>76</v>
      </c>
      <c r="J2" s="86" t="s">
        <v>77</v>
      </c>
      <c r="K2" s="84" t="s">
        <v>78</v>
      </c>
      <c r="L2" s="85" t="s">
        <v>79</v>
      </c>
      <c r="M2" s="86" t="s">
        <v>80</v>
      </c>
      <c r="N2" s="148"/>
      <c r="O2" s="147"/>
    </row>
    <row r="3" spans="1:15" ht="26.4" x14ac:dyDescent="0.3">
      <c r="A3" s="10">
        <v>46228</v>
      </c>
      <c r="B3" s="59">
        <v>23.5</v>
      </c>
      <c r="C3" s="15">
        <f>COUNTIFS(Log!$A:$A,$A3)</f>
        <v>17</v>
      </c>
      <c r="D3" s="60">
        <v>0.85833333333333328</v>
      </c>
      <c r="E3" s="81">
        <v>1000</v>
      </c>
      <c r="F3" s="16">
        <f>IF(AND(A3&lt;&gt;"", B3&lt;&gt;""), IFERROR(AVERAGEIFS(Log!$C:$C,Log!$A:$A,$A3),""), "")</f>
        <v>2045.4117647058824</v>
      </c>
      <c r="G3" s="82">
        <f>IF(AND(F3&lt;&gt;"", E3&lt;&gt;""), F3/E3, "")</f>
        <v>2.0454117647058823</v>
      </c>
      <c r="H3" s="11">
        <f>IF(AND(A3&lt;&gt;"", B3&lt;&gt;""), IFERROR(AVERAGEIFS(Log!$D:$D,Log!$A:$A,$A3),""), "")</f>
        <v>0.3911837647058824</v>
      </c>
      <c r="I3" s="11">
        <f>IF(AND(A3&lt;&gt;"",B3&lt;&gt;""),IFERROR(_xlfn.MINIFS(Log!$D:$D,Log!$A:$A,$A3),""),"")</f>
        <v>0.13059299999999999</v>
      </c>
      <c r="J3" s="11">
        <f>IF(AND(A3&lt;&gt;"",B3&lt;&gt;""),IFERROR(_xlfn.MAXIFS(Log!$D:$D,Log!$A:$A,$A3),""),"")</f>
        <v>0.64795899999999995</v>
      </c>
      <c r="K3" s="11">
        <f>IF(AND(A3&lt;&gt;"", B3&lt;&gt;""),  IFERROR(AVERAGEIFS(Log!$E:$E,Log!$A:$A,$A3),""), "")</f>
        <v>9.2278499999999999E-2</v>
      </c>
      <c r="L3" s="11">
        <f>IF(AND(A3&lt;&gt;"", B3&lt;&gt;""), IFERROR(_xlfn.MINIFS(Log!$E:$E,Log!$A:$A,$A3),""), "")</f>
        <v>4.2415799999999997E-2</v>
      </c>
      <c r="M3" s="11">
        <f>IF(AND(A3&lt;&gt;"", B3&lt;&gt;""), IFERROR(_xlfn.MAXIFS(Log!$E:$E,Log!$A:$A,$A3),""), "")</f>
        <v>0.147318</v>
      </c>
      <c r="N3" s="149" t="s">
        <v>42</v>
      </c>
    </row>
    <row r="4" spans="1:15" hidden="1" x14ac:dyDescent="0.3">
      <c r="A4" s="10">
        <f t="shared" ref="A4:A8" si="0">A3+1</f>
        <v>46229</v>
      </c>
      <c r="B4" s="59"/>
      <c r="C4" s="15">
        <f>COUNTIFS(Log!$A:$A,$A4)</f>
        <v>0</v>
      </c>
      <c r="D4" s="60"/>
      <c r="E4" s="81"/>
      <c r="F4" s="16" t="str">
        <f>IF(AND(A4&lt;&gt;"", B4&lt;&gt;""), IFERROR(AVERAGEIFS(Log!$C:$C,Log!$A:$A,$A4),""), "")</f>
        <v/>
      </c>
      <c r="G4" s="82" t="str">
        <f t="shared" ref="G4:G62" si="1">IF(AND(F4&lt;&gt;"", E4&lt;&gt;""), F4/E4, "")</f>
        <v/>
      </c>
      <c r="H4" s="11" t="str">
        <f>IF(AND(A4&lt;&gt;"", B4&lt;&gt;""), IFERROR(AVERAGEIFS(Log!$D:$D,Log!$A:$A,$A4),""), "")</f>
        <v/>
      </c>
      <c r="I4" s="11" t="str">
        <f>IF(AND(A4&lt;&gt;"",B4&lt;&gt;""),IFERROR(_xlfn.MINIFS(Log!$D:$D,Log!$A:$A,$A4),""),"")</f>
        <v/>
      </c>
      <c r="J4" s="11" t="str">
        <f>IF(AND(A4&lt;&gt;"",B4&lt;&gt;""),IFERROR(_xlfn.MAXIFS(Log!$D:$D,Log!$A:$A,$A4),""),"")</f>
        <v/>
      </c>
      <c r="K4" s="11" t="str">
        <f>IF(AND(A4&lt;&gt;"", B4&lt;&gt;""),  IFERROR(AVERAGEIFS(Log!$E:$E,Log!$A:$A,$A4),""), "")</f>
        <v/>
      </c>
      <c r="L4" s="11" t="str">
        <f>IF(AND(A4&lt;&gt;"", B4&lt;&gt;""), IFERROR(_xlfn.MINIFS(Log!$E:$E,Log!$A:$A,$A4),""), "")</f>
        <v/>
      </c>
      <c r="M4" s="11" t="str">
        <f>IF(AND(A4&lt;&gt;"", B4&lt;&gt;""), IFERROR(_xlfn.MAXIFS(Log!$E:$E,Log!$A:$A,$A4),""), "")</f>
        <v/>
      </c>
    </row>
    <row r="5" spans="1:15" ht="27.6" x14ac:dyDescent="0.3">
      <c r="A5" s="10">
        <f t="shared" si="0"/>
        <v>46230</v>
      </c>
      <c r="B5" s="59">
        <v>23.5</v>
      </c>
      <c r="C5" s="15">
        <f>COUNTIFS(Log!$A:$A,$A5)</f>
        <v>18</v>
      </c>
      <c r="D5" s="60">
        <v>0.60138888888888886</v>
      </c>
      <c r="E5" s="81">
        <v>1000</v>
      </c>
      <c r="F5" s="16">
        <f>IF(AND(A5&lt;&gt;"", B5&lt;&gt;""), IFERROR(AVERAGEIFS(Log!$C:$C,Log!$A:$A,$A5),""), "")</f>
        <v>1582.8333333333333</v>
      </c>
      <c r="G5" s="82">
        <f t="shared" si="1"/>
        <v>1.5828333333333333</v>
      </c>
      <c r="H5" s="11">
        <f>IF(AND(A5&lt;&gt;"", B5&lt;&gt;""), IFERROR(AVERAGEIFS(Log!$D:$D,Log!$A:$A,$A5),""), "")</f>
        <v>0.3804177222222222</v>
      </c>
      <c r="I5" s="11">
        <f>IF(AND(A5&lt;&gt;"",B5&lt;&gt;""),IFERROR(_xlfn.MINIFS(Log!$D:$D,Log!$A:$A,$A5),""),"")</f>
        <v>0.162101</v>
      </c>
      <c r="J5" s="11">
        <f>IF(AND(A5&lt;&gt;"",B5&lt;&gt;""),IFERROR(_xlfn.MAXIFS(Log!$D:$D,Log!$A:$A,$A5),""),"")</f>
        <v>0.610344</v>
      </c>
      <c r="K5" s="11">
        <f>IF(AND(A5&lt;&gt;"", B5&lt;&gt;""),  IFERROR(AVERAGEIFS(Log!$E:$E,Log!$A:$A,$A5),""), "")</f>
        <v>9.1966633333333339E-2</v>
      </c>
      <c r="L5" s="11">
        <f>IF(AND(A5&lt;&gt;"", B5&lt;&gt;""), IFERROR(_xlfn.MINIFS(Log!$E:$E,Log!$A:$A,$A5),""), "")</f>
        <v>4.46854E-2</v>
      </c>
      <c r="M5" s="11">
        <f>IF(AND(A5&lt;&gt;"", B5&lt;&gt;""), IFERROR(_xlfn.MAXIFS(Log!$E:$E,Log!$A:$A,$A5),""), "")</f>
        <v>0.14344199999999999</v>
      </c>
      <c r="N5" s="150" t="s">
        <v>59</v>
      </c>
    </row>
    <row r="6" spans="1:15" ht="55.2" x14ac:dyDescent="0.3">
      <c r="A6" s="10">
        <f t="shared" si="0"/>
        <v>46231</v>
      </c>
      <c r="B6" s="59">
        <v>24.5</v>
      </c>
      <c r="C6" s="15">
        <f>COUNTIFS(Log!$A:$A,$A6)</f>
        <v>18</v>
      </c>
      <c r="D6" s="60">
        <v>0.50694444444444442</v>
      </c>
      <c r="E6" s="81">
        <v>1000</v>
      </c>
      <c r="F6" s="16">
        <f>IF(AND(A6&lt;&gt;"", B6&lt;&gt;""), IFERROR(AVERAGEIFS(Log!$C:$C,Log!$A:$A,$A6),""), "")</f>
        <v>1833.0555555555557</v>
      </c>
      <c r="G6" s="82">
        <f t="shared" si="1"/>
        <v>1.8330555555555557</v>
      </c>
      <c r="H6" s="11">
        <f>IF(AND(A6&lt;&gt;"", B6&lt;&gt;""), IFERROR(AVERAGEIFS(Log!$D:$D,Log!$A:$A,$A6),""), "")</f>
        <v>0.3508782777777778</v>
      </c>
      <c r="I6" s="11">
        <f>IF(AND(A6&lt;&gt;"",B6&lt;&gt;""),IFERROR(_xlfn.MINIFS(Log!$D:$D,Log!$A:$A,$A6),""),"")</f>
        <v>0.157855</v>
      </c>
      <c r="J6" s="11">
        <f>IF(AND(A6&lt;&gt;"",B6&lt;&gt;""),IFERROR(_xlfn.MAXIFS(Log!$D:$D,Log!$A:$A,$A6),""),"")</f>
        <v>0.55680700000000005</v>
      </c>
      <c r="K6" s="11">
        <f>IF(AND(A6&lt;&gt;"", B6&lt;&gt;""),  IFERROR(AVERAGEIFS(Log!$E:$E,Log!$A:$A,$A6),""), "")</f>
        <v>8.4730411111111126E-2</v>
      </c>
      <c r="L6" s="11">
        <f>IF(AND(A6&lt;&gt;"", B6&lt;&gt;""), IFERROR(_xlfn.MINIFS(Log!$E:$E,Log!$A:$A,$A6),""), "")</f>
        <v>4.7859600000000002E-2</v>
      </c>
      <c r="M6" s="11">
        <f>IF(AND(A6&lt;&gt;"", B6&lt;&gt;""), IFERROR(_xlfn.MAXIFS(Log!$E:$E,Log!$A:$A,$A6),""), "")</f>
        <v>0.14671400000000001</v>
      </c>
      <c r="N6" s="150" t="s">
        <v>63</v>
      </c>
    </row>
    <row r="7" spans="1:15" ht="55.2" x14ac:dyDescent="0.3">
      <c r="A7" s="10">
        <f t="shared" si="0"/>
        <v>46232</v>
      </c>
      <c r="B7" s="59">
        <v>25.5</v>
      </c>
      <c r="C7" s="15">
        <f>COUNTIFS(Log!$A:$A,$A7)</f>
        <v>18</v>
      </c>
      <c r="D7" s="60">
        <v>0.82291666666666663</v>
      </c>
      <c r="E7" s="81">
        <v>1000</v>
      </c>
      <c r="F7" s="16">
        <f>IF(AND(A7&lt;&gt;"", B7&lt;&gt;""), IFERROR(AVERAGEIFS(Log!$C:$C,Log!$A:$A,$A7),""), "")</f>
        <v>2014.2222222222222</v>
      </c>
      <c r="G7" s="82">
        <f t="shared" si="1"/>
        <v>2.0142222222222221</v>
      </c>
      <c r="H7" s="11">
        <f>IF(AND(A7&lt;&gt;"", B7&lt;&gt;""), IFERROR(AVERAGEIFS(Log!$D:$D,Log!$A:$A,$A7),""), "")</f>
        <v>0.36980916666666658</v>
      </c>
      <c r="I7" s="11">
        <f>IF(AND(A7&lt;&gt;"",B7&lt;&gt;""),IFERROR(_xlfn.MINIFS(Log!$D:$D,Log!$A:$A,$A7),""),"")</f>
        <v>0.18460799999999999</v>
      </c>
      <c r="J7" s="11">
        <f>IF(AND(A7&lt;&gt;"",B7&lt;&gt;""),IFERROR(_xlfn.MAXIFS(Log!$D:$D,Log!$A:$A,$A7),""),"")</f>
        <v>0.56917399999999996</v>
      </c>
      <c r="K7" s="11">
        <f>IF(AND(A7&lt;&gt;"", B7&lt;&gt;""),  IFERROR(AVERAGEIFS(Log!$E:$E,Log!$A:$A,$A7),""), "")</f>
        <v>8.8881683333333336E-2</v>
      </c>
      <c r="L7" s="11">
        <f>IF(AND(A7&lt;&gt;"", B7&lt;&gt;""), IFERROR(_xlfn.MINIFS(Log!$E:$E,Log!$A:$A,$A7),""), "")</f>
        <v>5.9381200000000002E-2</v>
      </c>
      <c r="M7" s="11">
        <f>IF(AND(A7&lt;&gt;"", B7&lt;&gt;""), IFERROR(_xlfn.MAXIFS(Log!$E:$E,Log!$A:$A,$A7),""), "")</f>
        <v>0.136459</v>
      </c>
      <c r="N7" s="150" t="s">
        <v>73</v>
      </c>
    </row>
    <row r="8" spans="1:15" ht="27.6" x14ac:dyDescent="0.3">
      <c r="A8" s="10">
        <f t="shared" si="0"/>
        <v>46233</v>
      </c>
      <c r="B8" s="59">
        <v>24.5</v>
      </c>
      <c r="C8" s="15">
        <f>COUNTIFS(Log!$A:$A,$A8)</f>
        <v>18</v>
      </c>
      <c r="D8" s="60">
        <v>0.53333333333333333</v>
      </c>
      <c r="E8" s="81">
        <v>1000</v>
      </c>
      <c r="F8" s="16">
        <f>IF(AND(A8&lt;&gt;"", B8&lt;&gt;""), IFERROR(AVERAGEIFS(Log!$C:$C,Log!$A:$A,$A8),""), "")</f>
        <v>1931.5555555555557</v>
      </c>
      <c r="G8" s="82">
        <f t="shared" si="1"/>
        <v>1.9315555555555557</v>
      </c>
      <c r="H8" s="11">
        <f>IF(AND(A8&lt;&gt;"", B8&lt;&gt;""), IFERROR(AVERAGEIFS(Log!$D:$D,Log!$A:$A,$A8),""), "")</f>
        <v>0.32767977777777779</v>
      </c>
      <c r="I8" s="11">
        <f>IF(AND(A8&lt;&gt;"",B8&lt;&gt;""),IFERROR(_xlfn.MINIFS(Log!$D:$D,Log!$A:$A,$A8),""),"")</f>
        <v>0.21171599999999999</v>
      </c>
      <c r="J8" s="11">
        <f>IF(AND(A8&lt;&gt;"",B8&lt;&gt;""),IFERROR(_xlfn.MAXIFS(Log!$D:$D,Log!$A:$A,$A8),""),"")</f>
        <v>0.45406200000000002</v>
      </c>
      <c r="K8" s="11">
        <f>IF(AND(A8&lt;&gt;"", B8&lt;&gt;""),  IFERROR(AVERAGEIFS(Log!$E:$E,Log!$A:$A,$A8),""), "")</f>
        <v>7.9198327777777758E-2</v>
      </c>
      <c r="L8" s="11">
        <f>IF(AND(A8&lt;&gt;"", B8&lt;&gt;""), IFERROR(_xlfn.MINIFS(Log!$E:$E,Log!$A:$A,$A8),""), "")</f>
        <v>5.0948300000000002E-2</v>
      </c>
      <c r="M8" s="11">
        <f>IF(AND(A8&lt;&gt;"", B8&lt;&gt;""), IFERROR(_xlfn.MAXIFS(Log!$E:$E,Log!$A:$A,$A8),""), "")</f>
        <v>0.12241299999999999</v>
      </c>
      <c r="N8" s="150" t="s">
        <v>84</v>
      </c>
    </row>
    <row r="9" spans="1:15" ht="96.6" x14ac:dyDescent="0.3">
      <c r="A9" s="10">
        <v>46234</v>
      </c>
      <c r="B9" s="59">
        <v>24.5</v>
      </c>
      <c r="C9" s="15">
        <f>COUNTIFS(Log!$A:$A,#REF!)</f>
        <v>0</v>
      </c>
      <c r="D9" s="60">
        <v>0.58333333333333337</v>
      </c>
      <c r="E9" s="81">
        <v>1500</v>
      </c>
      <c r="F9" s="16">
        <f>IF(AND(A9&lt;&gt;"", B9&lt;&gt;""), IFERROR(AVERAGEIFS(Log!$C:$C,Log!$A:$A,$A9),""), "")</f>
        <v>2650.3888888888887</v>
      </c>
      <c r="G9" s="82">
        <f t="shared" si="1"/>
        <v>1.7669259259259258</v>
      </c>
      <c r="H9" s="11">
        <f>IF(AND(A9&lt;&gt;"", B9&lt;&gt;""), IFERROR(AVERAGEIFS(Log!$D:$D,Log!$A:$A,$A9),""), "")</f>
        <v>0.39170800000000006</v>
      </c>
      <c r="I9" s="11">
        <f>IF(AND(A9&lt;&gt;"",B9&lt;&gt;""),IFERROR(_xlfn.MINIFS(Log!$D:$D,Log!$A:$A,$A9),""),"")</f>
        <v>0.163774</v>
      </c>
      <c r="J9" s="11">
        <f>IF(AND(A9&lt;&gt;"",B9&lt;&gt;""),IFERROR(_xlfn.MAXIFS(Log!$D:$D,Log!$A:$A,$A9),""),"")</f>
        <v>0.61609199999999997</v>
      </c>
      <c r="K9" s="11">
        <f>IF(AND(A9&lt;&gt;"", B9&lt;&gt;""),  IFERROR(AVERAGEIFS(Log!$E:$E,Log!$A:$A,$A9),""), "")</f>
        <v>9.6186149999999998E-2</v>
      </c>
      <c r="L9" s="11">
        <f>IF(AND(A9&lt;&gt;"", B9&lt;&gt;""), IFERROR(_xlfn.MINIFS(Log!$E:$E,Log!$A:$A,$A9),""), "")</f>
        <v>5.20276E-2</v>
      </c>
      <c r="M9" s="11">
        <f>IF(AND(A9&lt;&gt;"", B9&lt;&gt;""), IFERROR(_xlfn.MAXIFS(Log!$E:$E,Log!$A:$A,$A9),""), "")</f>
        <v>0.202345</v>
      </c>
      <c r="N9" s="150" t="s">
        <v>96</v>
      </c>
    </row>
    <row r="10" spans="1:15" ht="55.2" x14ac:dyDescent="0.3">
      <c r="A10" s="10">
        <v>46235</v>
      </c>
      <c r="B10" s="59">
        <v>24</v>
      </c>
      <c r="C10" s="15">
        <f>COUNTIFS(Log!$A:$A,$A10)</f>
        <v>18</v>
      </c>
      <c r="D10" s="60">
        <v>0.74097222222222225</v>
      </c>
      <c r="E10" s="81">
        <v>1500</v>
      </c>
      <c r="F10" s="16">
        <f>IF(AND(A10&lt;&gt;"", B10&lt;&gt;""), IFERROR(AVERAGEIFS(Log!$C:$C,Log!$A:$A,$A10),""), "")</f>
        <v>2360.4444444444443</v>
      </c>
      <c r="G10" s="82">
        <f t="shared" si="1"/>
        <v>1.5736296296296295</v>
      </c>
      <c r="H10" s="11">
        <f>IF(AND(A10&lt;&gt;"", B10&lt;&gt;""), IFERROR(AVERAGEIFS(Log!$D:$D,Log!$A:$A,$A10),""), "")</f>
        <v>0.5529641111111111</v>
      </c>
      <c r="I10" s="11">
        <f>IF(AND(A10&lt;&gt;"",B10&lt;&gt;""),IFERROR(_xlfn.MINIFS(Log!$D:$D,Log!$A:$A,$A10),""),"")</f>
        <v>0.204627</v>
      </c>
      <c r="J10" s="11">
        <f>IF(AND(A10&lt;&gt;"",B10&lt;&gt;""),IFERROR(_xlfn.MAXIFS(Log!$D:$D,Log!$A:$A,$A10),""),"")</f>
        <v>1.47159</v>
      </c>
      <c r="K10" s="11">
        <f>IF(AND(A10&lt;&gt;"", B10&lt;&gt;""),  IFERROR(AVERAGEIFS(Log!$E:$E,Log!$A:$A,$A10),""), "")</f>
        <v>0.12669717222222221</v>
      </c>
      <c r="L10" s="11">
        <f>IF(AND(A10&lt;&gt;"", B10&lt;&gt;""), IFERROR(_xlfn.MINIFS(Log!$E:$E,Log!$A:$A,$A10),""), "")</f>
        <v>5.4853300000000001E-2</v>
      </c>
      <c r="M10" s="11">
        <f>IF(AND(A10&lt;&gt;"", B10&lt;&gt;""), IFERROR(_xlfn.MAXIFS(Log!$E:$E,Log!$A:$A,$A10),""), "")</f>
        <v>0.31046400000000002</v>
      </c>
      <c r="N10" s="150" t="s">
        <v>90</v>
      </c>
    </row>
    <row r="11" spans="1:15" ht="41.4" x14ac:dyDescent="0.3">
      <c r="A11" s="10">
        <v>46237</v>
      </c>
      <c r="B11" s="59">
        <v>24</v>
      </c>
      <c r="C11" s="15">
        <f>COUNTIFS(Log!$A:$A,$A11)</f>
        <v>18</v>
      </c>
      <c r="D11" s="151">
        <v>0.46597222222222223</v>
      </c>
      <c r="E11" s="81">
        <v>1000</v>
      </c>
      <c r="F11" s="16">
        <f>IF(AND(A11&lt;&gt;"", B11&lt;&gt;""), IFERROR(AVERAGEIFS(Log!$C:$C,Log!$A:$A,$A11),""), "")</f>
        <v>2116.6111111111113</v>
      </c>
      <c r="G11" s="82">
        <f t="shared" si="1"/>
        <v>2.1166111111111112</v>
      </c>
      <c r="H11" s="11">
        <f>IF(AND(A11&lt;&gt;"", B11&lt;&gt;""), IFERROR(AVERAGEIFS(Log!$D:$D,Log!$A:$A,$A11),""), "")</f>
        <v>0.37600283333333329</v>
      </c>
      <c r="I11" s="11">
        <f>IF(AND(A11&lt;&gt;"",B11&lt;&gt;""),IFERROR(_xlfn.MINIFS(Log!$D:$D,Log!$A:$A,$A11),""),"")</f>
        <v>0.179206</v>
      </c>
      <c r="J11" s="11">
        <f>IF(AND(A11&lt;&gt;"",B11&lt;&gt;""),IFERROR(_xlfn.MAXIFS(Log!$D:$D,Log!$A:$A,$A11),""),"")</f>
        <v>0.79732999999999998</v>
      </c>
      <c r="K11" s="11">
        <f>IF(AND(A11&lt;&gt;"", B11&lt;&gt;""),  IFERROR(AVERAGEIFS(Log!$E:$E,Log!$A:$A,$A11),""), "")</f>
        <v>9.034650000000001E-2</v>
      </c>
      <c r="L11" s="11">
        <f>IF(AND(A11&lt;&gt;"", B11&lt;&gt;""), IFERROR(_xlfn.MINIFS(Log!$E:$E,Log!$A:$A,$A11),""), "")</f>
        <v>4.2684399999999997E-2</v>
      </c>
      <c r="M11" s="11">
        <f>IF(AND(A11&lt;&gt;"", B11&lt;&gt;""), IFERROR(_xlfn.MAXIFS(Log!$E:$E,Log!$A:$A,$A11),""), "")</f>
        <v>0.15168999999999999</v>
      </c>
      <c r="N11" s="154" t="s">
        <v>97</v>
      </c>
    </row>
    <row r="12" spans="1:15" x14ac:dyDescent="0.3">
      <c r="A12" s="10"/>
      <c r="B12" s="59"/>
      <c r="C12" s="15">
        <f>COUNTIFS(Log!$A:$A,$A12)</f>
        <v>0</v>
      </c>
      <c r="D12" s="60"/>
      <c r="E12" s="81"/>
      <c r="F12" s="16" t="str">
        <f>IF(AND(A12&lt;&gt;"", B12&lt;&gt;""), IFERROR(AVERAGEIFS(Log!$C:$C,Log!$A:$A,$A12),""), "")</f>
        <v/>
      </c>
      <c r="G12" s="82" t="str">
        <f t="shared" si="1"/>
        <v/>
      </c>
      <c r="H12" s="11" t="str">
        <f>IF(AND(A12&lt;&gt;"", B12&lt;&gt;""), IFERROR(AVERAGEIFS(Log!$D:$D,Log!$A:$A,$A12),""), "")</f>
        <v/>
      </c>
      <c r="I12" s="11" t="str">
        <f>IF(AND(A12&lt;&gt;"",B12&lt;&gt;""),IFERROR(_xlfn.MINIFS(Log!$D:$D,Log!$A:$A,$A12),""),"")</f>
        <v/>
      </c>
      <c r="J12" s="11" t="str">
        <f>IF(AND(A12&lt;&gt;"",B12&lt;&gt;""),IFERROR(_xlfn.MAXIFS(Log!$D:$D,Log!$A:$A,$A12),""),"")</f>
        <v/>
      </c>
      <c r="K12" s="11" t="str">
        <f>IF(AND(A12&lt;&gt;"", B12&lt;&gt;""),  IFERROR(AVERAGEIFS(Log!$E:$E,Log!$A:$A,$A12),""), "")</f>
        <v/>
      </c>
      <c r="L12" s="11" t="str">
        <f>IF(AND(A12&lt;&gt;"", B12&lt;&gt;""), IFERROR(_xlfn.MINIFS(Log!$E:$E,Log!$A:$A,$A12),""), "")</f>
        <v/>
      </c>
      <c r="M12" s="11" t="str">
        <f>IF(AND(A12&lt;&gt;"", B12&lt;&gt;""), IFERROR(_xlfn.MAXIFS(Log!$E:$E,Log!$A:$A,$A12),""), "")</f>
        <v/>
      </c>
    </row>
    <row r="13" spans="1:15" x14ac:dyDescent="0.3">
      <c r="A13" s="10"/>
      <c r="B13" s="59"/>
      <c r="C13" s="15">
        <f>COUNTIFS(Log!$A:$A,$A13)</f>
        <v>0</v>
      </c>
      <c r="D13" s="60"/>
      <c r="E13" s="81"/>
      <c r="F13" s="16" t="str">
        <f>IF(AND(A13&lt;&gt;"", B13&lt;&gt;""), IFERROR(AVERAGEIFS(Log!$C:$C,Log!$A:$A,$A13),""), "")</f>
        <v/>
      </c>
      <c r="G13" s="82" t="str">
        <f t="shared" si="1"/>
        <v/>
      </c>
      <c r="H13" s="11" t="str">
        <f>IF(AND(A13&lt;&gt;"", B13&lt;&gt;""), IFERROR(AVERAGEIFS(Log!$D:$D,Log!$A:$A,$A13),""), "")</f>
        <v/>
      </c>
      <c r="I13" s="11" t="str">
        <f>IF(AND(A13&lt;&gt;"",B13&lt;&gt;""),IFERROR(_xlfn.MINIFS(Log!$D:$D,Log!$A:$A,$A13),""),"")</f>
        <v/>
      </c>
      <c r="J13" s="11" t="str">
        <f>IF(AND(A13&lt;&gt;"",B13&lt;&gt;""),IFERROR(_xlfn.MAXIFS(Log!$D:$D,Log!$A:$A,$A13),""),"")</f>
        <v/>
      </c>
      <c r="K13" s="11" t="str">
        <f>IF(AND(A13&lt;&gt;"", B13&lt;&gt;""),  IFERROR(AVERAGEIFS(Log!$E:$E,Log!$A:$A,$A13),""), "")</f>
        <v/>
      </c>
      <c r="L13" s="11" t="str">
        <f>IF(AND(A13&lt;&gt;"", B13&lt;&gt;""), IFERROR(_xlfn.MINIFS(Log!$E:$E,Log!$A:$A,$A13),""), "")</f>
        <v/>
      </c>
      <c r="M13" s="11" t="str">
        <f>IF(AND(A13&lt;&gt;"", B13&lt;&gt;""), IFERROR(_xlfn.MAXIFS(Log!$E:$E,Log!$A:$A,$A13),""), "")</f>
        <v/>
      </c>
    </row>
    <row r="14" spans="1:15" x14ac:dyDescent="0.3">
      <c r="A14" s="10"/>
      <c r="B14" s="59"/>
      <c r="C14" s="15">
        <f>COUNTIFS(Log!$A:$A,$A14)</f>
        <v>0</v>
      </c>
      <c r="D14" s="60"/>
      <c r="E14" s="81"/>
      <c r="F14" s="16" t="str">
        <f>IF(AND(A14&lt;&gt;"", B14&lt;&gt;""), IFERROR(AVERAGEIFS(Log!$C:$C,Log!$A:$A,$A14),""), "")</f>
        <v/>
      </c>
      <c r="G14" s="82" t="str">
        <f t="shared" si="1"/>
        <v/>
      </c>
      <c r="H14" s="11" t="str">
        <f>IF(AND(A14&lt;&gt;"", B14&lt;&gt;""), IFERROR(AVERAGEIFS(Log!$D:$D,Log!$A:$A,$A14),""), "")</f>
        <v/>
      </c>
      <c r="I14" s="11" t="str">
        <f>IF(AND(A14&lt;&gt;"",B14&lt;&gt;""),IFERROR(_xlfn.MINIFS(Log!$D:$D,Log!$A:$A,$A14),""),"")</f>
        <v/>
      </c>
      <c r="J14" s="11"/>
      <c r="K14" s="11" t="str">
        <f>IF(AND(A14&lt;&gt;"", B14&lt;&gt;""),  IFERROR(AVERAGEIFS(Log!$E:$E,Log!$A:$A,$A14),""), "")</f>
        <v/>
      </c>
      <c r="L14" s="11" t="str">
        <f>IF(AND(A14&lt;&gt;"", B14&lt;&gt;""), IFERROR(_xlfn.MINIFS(Log!$E:$E,Log!$A:$A,$A14),""), "")</f>
        <v/>
      </c>
      <c r="M14" s="11" t="str">
        <f>IF(AND(A14&lt;&gt;"", B14&lt;&gt;""), IFERROR(_xlfn.MAXIFS(Log!$E:$E,Log!$A:$A,$A14),""), "")</f>
        <v/>
      </c>
    </row>
    <row r="15" spans="1:15" x14ac:dyDescent="0.3">
      <c r="A15" s="10"/>
      <c r="B15" s="59"/>
      <c r="C15" s="15">
        <f>COUNTIFS(Log!$A:$A,$A15)</f>
        <v>0</v>
      </c>
      <c r="D15" s="60"/>
      <c r="E15" s="81"/>
      <c r="F15" s="16" t="str">
        <f>IF(AND(A15&lt;&gt;"", B15&lt;&gt;""), IFERROR(AVERAGEIFS(Log!$C:$C,Log!$A:$A,$A15),""), "")</f>
        <v/>
      </c>
      <c r="G15" s="82" t="str">
        <f t="shared" si="1"/>
        <v/>
      </c>
      <c r="H15" s="11" t="str">
        <f>IF(AND(A15&lt;&gt;"", B15&lt;&gt;""), IFERROR(AVERAGEIFS(Log!$D:$D,Log!$A:$A,$A15),""), "")</f>
        <v/>
      </c>
      <c r="I15" s="11" t="str">
        <f>IF(AND(A15&lt;&gt;"",B15&lt;&gt;""),IFERROR(_xlfn.MINIFS(Log!$D:$D,Log!$A:$A,$A15),""),"")</f>
        <v/>
      </c>
      <c r="J15" s="11" t="str">
        <f>IF(AND(A15&lt;&gt;"",B15&lt;&gt;""),IFERROR(_xlfn.MAXIFS(Log!$D:$D,Log!$A:$A,$A15),""),"")</f>
        <v/>
      </c>
      <c r="K15" s="11" t="str">
        <f>IF(AND(A15&lt;&gt;"", B15&lt;&gt;""),  IFERROR(AVERAGEIFS(Log!$E:$E,Log!$A:$A,$A15),""), "")</f>
        <v/>
      </c>
      <c r="L15" s="11" t="str">
        <f>IF(AND(A15&lt;&gt;"", B15&lt;&gt;""), IFERROR(_xlfn.MINIFS(Log!$E:$E,Log!$A:$A,$A15),""), "")</f>
        <v/>
      </c>
      <c r="M15" s="11" t="str">
        <f>IF(AND(A15&lt;&gt;"", B15&lt;&gt;""), IFERROR(_xlfn.MAXIFS(Log!$E:$E,Log!$A:$A,$A15),""), "")</f>
        <v/>
      </c>
    </row>
    <row r="16" spans="1:15" x14ac:dyDescent="0.3">
      <c r="A16" s="10"/>
      <c r="B16" s="59"/>
      <c r="C16" s="15">
        <f>COUNTIFS(Log!$A:$A,$A16)</f>
        <v>0</v>
      </c>
      <c r="D16" s="60"/>
      <c r="E16" s="81"/>
      <c r="F16" s="16" t="str">
        <f>IF(AND(A16&lt;&gt;"", B16&lt;&gt;""), IFERROR(AVERAGEIFS(Log!$C:$C,Log!$A:$A,$A16),""), "")</f>
        <v/>
      </c>
      <c r="G16" s="82" t="str">
        <f t="shared" si="1"/>
        <v/>
      </c>
      <c r="H16" s="11" t="str">
        <f>IF(AND(A16&lt;&gt;"", B16&lt;&gt;""), IFERROR(AVERAGEIFS(Log!$D:$D,Log!$A:$A,$A16),""), "")</f>
        <v/>
      </c>
      <c r="I16" s="11" t="str">
        <f>IF(AND(A16&lt;&gt;"",B16&lt;&gt;""),IFERROR(_xlfn.MINIFS(Log!$D:$D,Log!$A:$A,$A16),""),"")</f>
        <v/>
      </c>
      <c r="J16" s="11" t="str">
        <f>IF(AND(A16&lt;&gt;"",B16&lt;&gt;""),IFERROR(_xlfn.MAXIFS(Log!$D:$D,Log!$A:$A,$A16),""),"")</f>
        <v/>
      </c>
      <c r="K16" s="11" t="str">
        <f>IF(AND(A16&lt;&gt;"", B16&lt;&gt;""),  IFERROR(AVERAGEIFS(Log!$E:$E,Log!$A:$A,$A16),""), "")</f>
        <v/>
      </c>
      <c r="L16" s="11" t="str">
        <f>IF(AND(A16&lt;&gt;"", B16&lt;&gt;""), IFERROR(_xlfn.MINIFS(Log!$E:$E,Log!$A:$A,$A16),""), "")</f>
        <v/>
      </c>
      <c r="M16" s="11" t="str">
        <f>IF(AND(A16&lt;&gt;"", B16&lt;&gt;""), IFERROR(_xlfn.MAXIFS(Log!$E:$E,Log!$A:$A,$A16),""), "")</f>
        <v/>
      </c>
    </row>
    <row r="17" spans="1:13" x14ac:dyDescent="0.3">
      <c r="A17" s="10"/>
      <c r="B17" s="59"/>
      <c r="C17" s="15">
        <f>COUNTIFS(Log!$A:$A,$A17)</f>
        <v>0</v>
      </c>
      <c r="D17" s="60"/>
      <c r="E17" s="81"/>
      <c r="F17" s="16" t="str">
        <f>IF(AND(A17&lt;&gt;"", B17&lt;&gt;""), IFERROR(AVERAGEIFS(Log!$C:$C,Log!$A:$A,$A17),""), "")</f>
        <v/>
      </c>
      <c r="G17" s="82" t="str">
        <f t="shared" si="1"/>
        <v/>
      </c>
      <c r="H17" s="11" t="str">
        <f>IF(AND(A17&lt;&gt;"", B17&lt;&gt;""), IFERROR(AVERAGEIFS(Log!$D:$D,Log!$A:$A,$A17),""), "")</f>
        <v/>
      </c>
      <c r="I17" s="11" t="str">
        <f>IF(AND(A17&lt;&gt;"",B17&lt;&gt;""),IFERROR(_xlfn.MINIFS(Log!$D:$D,Log!$A:$A,$A17),""),"")</f>
        <v/>
      </c>
      <c r="J17" s="11" t="str">
        <f>IF(AND(A17&lt;&gt;"",B17&lt;&gt;""),IFERROR(_xlfn.MAXIFS(Log!$D:$D,Log!$A:$A,$A17),""),"")</f>
        <v/>
      </c>
      <c r="K17" s="11" t="str">
        <f>IF(AND(A17&lt;&gt;"", B17&lt;&gt;""),  IFERROR(AVERAGEIFS(Log!$E:$E,Log!$A:$A,$A17),""), "")</f>
        <v/>
      </c>
      <c r="L17" s="11" t="str">
        <f>IF(AND(A17&lt;&gt;"", B17&lt;&gt;""), IFERROR(_xlfn.MINIFS(Log!$E:$E,Log!$A:$A,$A17),""), "")</f>
        <v/>
      </c>
      <c r="M17" s="11" t="str">
        <f>IF(AND(A17&lt;&gt;"", B17&lt;&gt;""), IFERROR(_xlfn.MAXIFS(Log!$E:$E,Log!$A:$A,$A17),""), "")</f>
        <v/>
      </c>
    </row>
    <row r="18" spans="1:13" x14ac:dyDescent="0.3">
      <c r="A18" s="10"/>
      <c r="B18" s="59"/>
      <c r="C18" s="15">
        <f>COUNTIFS(Log!$A:$A,$A18)</f>
        <v>0</v>
      </c>
      <c r="D18" s="60"/>
      <c r="E18" s="81"/>
      <c r="F18" s="16" t="str">
        <f>IF(AND(A18&lt;&gt;"", B18&lt;&gt;""), IFERROR(AVERAGEIFS(Log!$C:$C,Log!$A:$A,$A18),""), "")</f>
        <v/>
      </c>
      <c r="G18" s="82" t="str">
        <f t="shared" si="1"/>
        <v/>
      </c>
      <c r="H18" s="11" t="str">
        <f>IF(AND(A18&lt;&gt;"", B18&lt;&gt;""), IFERROR(AVERAGEIFS(Log!$D:$D,Log!$A:$A,$A18),""), "")</f>
        <v/>
      </c>
      <c r="I18" s="11" t="str">
        <f>IF(AND(A18&lt;&gt;"",B18&lt;&gt;""),IFERROR(_xlfn.MINIFS(Log!$D:$D,Log!$A:$A,$A18),""),"")</f>
        <v/>
      </c>
      <c r="J18" s="11" t="str">
        <f>IF(AND(A18&lt;&gt;"",B18&lt;&gt;""),IFERROR(_xlfn.MAXIFS(Log!$D:$D,Log!$A:$A,$A18),""),"")</f>
        <v/>
      </c>
      <c r="K18" s="11" t="str">
        <f>IF(AND(A18&lt;&gt;"", B18&lt;&gt;""),  IFERROR(AVERAGEIFS(Log!$E:$E,Log!$A:$A,$A18),""), "")</f>
        <v/>
      </c>
      <c r="L18" s="11" t="str">
        <f>IF(AND(A18&lt;&gt;"", B18&lt;&gt;""), IFERROR(_xlfn.MINIFS(Log!$E:$E,Log!$A:$A,$A18),""), "")</f>
        <v/>
      </c>
      <c r="M18" s="11" t="str">
        <f>IF(AND(A18&lt;&gt;"", B18&lt;&gt;""), IFERROR(_xlfn.MAXIFS(Log!$E:$E,Log!$A:$A,$A18),""), "")</f>
        <v/>
      </c>
    </row>
    <row r="19" spans="1:13" x14ac:dyDescent="0.3">
      <c r="A19" s="10"/>
      <c r="B19" s="59"/>
      <c r="C19" s="15">
        <f>COUNTIFS(Log!$A:$A,$A19)</f>
        <v>0</v>
      </c>
      <c r="D19" s="60"/>
      <c r="E19" s="81"/>
      <c r="F19" s="16" t="str">
        <f>IF(AND(A19&lt;&gt;"", B19&lt;&gt;""), IFERROR(AVERAGEIFS(Log!$C:$C,Log!$A:$A,$A19),""), "")</f>
        <v/>
      </c>
      <c r="G19" s="82" t="str">
        <f t="shared" si="1"/>
        <v/>
      </c>
      <c r="H19" s="11" t="str">
        <f>IF(AND(A19&lt;&gt;"", B19&lt;&gt;""), IFERROR(AVERAGEIFS(Log!$D:$D,Log!$A:$A,$A19),""), "")</f>
        <v/>
      </c>
      <c r="I19" s="11" t="str">
        <f>IF(AND(A19&lt;&gt;"",B19&lt;&gt;""),IFERROR(_xlfn.MINIFS(Log!$D:$D,Log!$A:$A,$A19),""),"")</f>
        <v/>
      </c>
      <c r="J19" s="11" t="str">
        <f>IF(AND(A19&lt;&gt;"",B19&lt;&gt;""),IFERROR(_xlfn.MAXIFS(Log!$D:$D,Log!$A:$A,$A19),""),"")</f>
        <v/>
      </c>
      <c r="K19" s="11" t="str">
        <f>IF(AND(A19&lt;&gt;"", B19&lt;&gt;""),  IFERROR(AVERAGEIFS(Log!$E:$E,Log!$A:$A,$A19),""), "")</f>
        <v/>
      </c>
      <c r="L19" s="11" t="str">
        <f>IF(AND(A19&lt;&gt;"", B19&lt;&gt;""), IFERROR(_xlfn.MINIFS(Log!$E:$E,Log!$A:$A,$A19),""), "")</f>
        <v/>
      </c>
      <c r="M19" s="11" t="str">
        <f>IF(AND(A19&lt;&gt;"", B19&lt;&gt;""), IFERROR(_xlfn.MAXIFS(Log!$E:$E,Log!$A:$A,$A19),""), "")</f>
        <v/>
      </c>
    </row>
    <row r="20" spans="1:13" x14ac:dyDescent="0.3">
      <c r="A20" s="10"/>
      <c r="B20" s="59"/>
      <c r="C20" s="15">
        <f>COUNTIFS(Log!$A:$A,$A20)</f>
        <v>0</v>
      </c>
      <c r="D20" s="60"/>
      <c r="E20" s="81"/>
      <c r="F20" s="16" t="str">
        <f>IF(AND(A20&lt;&gt;"", B20&lt;&gt;""), IFERROR(AVERAGEIFS(Log!$C:$C,Log!$A:$A,$A20),""), "")</f>
        <v/>
      </c>
      <c r="G20" s="82" t="str">
        <f t="shared" si="1"/>
        <v/>
      </c>
      <c r="H20" s="11" t="str">
        <f>IF(AND(A20&lt;&gt;"", B20&lt;&gt;""), IFERROR(AVERAGEIFS(Log!$D:$D,Log!$A:$A,$A20),""), "")</f>
        <v/>
      </c>
      <c r="I20" s="11" t="str">
        <f>IF(AND(A20&lt;&gt;"",B20&lt;&gt;""),IFERROR(_xlfn.MINIFS(Log!$D:$D,Log!$A:$A,$A20),""),"")</f>
        <v/>
      </c>
      <c r="J20" s="11" t="str">
        <f>IF(AND(A20&lt;&gt;"",B20&lt;&gt;""),IFERROR(_xlfn.MAXIFS(Log!$D:$D,Log!$A:$A,$A20),""),"")</f>
        <v/>
      </c>
      <c r="K20" s="11" t="str">
        <f>IF(AND(A20&lt;&gt;"", B20&lt;&gt;""),  IFERROR(AVERAGEIFS(Log!$E:$E,Log!$A:$A,$A20),""), "")</f>
        <v/>
      </c>
      <c r="L20" s="11" t="str">
        <f>IF(AND(A20&lt;&gt;"", B20&lt;&gt;""), IFERROR(_xlfn.MINIFS(Log!$E:$E,Log!$A:$A,$A20),""), "")</f>
        <v/>
      </c>
      <c r="M20" s="11" t="str">
        <f>IF(AND(A20&lt;&gt;"", B20&lt;&gt;""), IFERROR(_xlfn.MAXIFS(Log!$E:$E,Log!$A:$A,$A20),""), "")</f>
        <v/>
      </c>
    </row>
    <row r="21" spans="1:13" x14ac:dyDescent="0.3">
      <c r="A21" s="10"/>
      <c r="B21" s="59"/>
      <c r="C21" s="15">
        <f>COUNTIFS(Log!$A:$A,$A21)</f>
        <v>0</v>
      </c>
      <c r="D21" s="60"/>
      <c r="E21" s="81"/>
      <c r="F21" s="16" t="str">
        <f>IF(AND(A21&lt;&gt;"", B21&lt;&gt;""), IFERROR(AVERAGEIFS(Log!$C:$C,Log!$A:$A,$A21),""), "")</f>
        <v/>
      </c>
      <c r="G21" s="82" t="str">
        <f t="shared" si="1"/>
        <v/>
      </c>
      <c r="H21" s="11" t="str">
        <f>IF(AND(A21&lt;&gt;"", B21&lt;&gt;""), IFERROR(AVERAGEIFS(Log!$D:$D,Log!$A:$A,$A21),""), "")</f>
        <v/>
      </c>
      <c r="I21" s="11" t="str">
        <f>IF(AND(A21&lt;&gt;"",B21&lt;&gt;""),IFERROR(_xlfn.MINIFS(Log!$D:$D,Log!$A:$A,$A21),""),"")</f>
        <v/>
      </c>
      <c r="J21" s="11" t="str">
        <f>IF(AND(A21&lt;&gt;"",B21&lt;&gt;""),IFERROR(_xlfn.MAXIFS(Log!$D:$D,Log!$A:$A,$A21),""),"")</f>
        <v/>
      </c>
      <c r="K21" s="11" t="str">
        <f>IF(AND(A21&lt;&gt;"", B21&lt;&gt;""),  IFERROR(AVERAGEIFS(Log!$E:$E,Log!$A:$A,$A21),""), "")</f>
        <v/>
      </c>
      <c r="L21" s="11" t="str">
        <f>IF(AND(A21&lt;&gt;"", B21&lt;&gt;""), IFERROR(_xlfn.MINIFS(Log!$E:$E,Log!$A:$A,$A21),""), "")</f>
        <v/>
      </c>
      <c r="M21" s="11" t="str">
        <f>IF(AND(A21&lt;&gt;"", B21&lt;&gt;""), IFERROR(_xlfn.MAXIFS(Log!$E:$E,Log!$A:$A,$A21),""), "")</f>
        <v/>
      </c>
    </row>
    <row r="22" spans="1:13" x14ac:dyDescent="0.3">
      <c r="A22" s="10"/>
      <c r="B22" s="59"/>
      <c r="C22" s="15">
        <f>COUNTIFS(Log!$A:$A,$A22)</f>
        <v>0</v>
      </c>
      <c r="D22" s="60"/>
      <c r="E22" s="81"/>
      <c r="F22" s="16" t="str">
        <f>IF(AND(A22&lt;&gt;"", B22&lt;&gt;""), IFERROR(AVERAGEIFS(Log!$C:$C,Log!$A:$A,$A22),""), "")</f>
        <v/>
      </c>
      <c r="G22" s="82" t="str">
        <f t="shared" si="1"/>
        <v/>
      </c>
      <c r="H22" s="11" t="str">
        <f>IF(AND(A22&lt;&gt;"", B22&lt;&gt;""), IFERROR(AVERAGEIFS(Log!$D:$D,Log!$A:$A,$A22),""), "")</f>
        <v/>
      </c>
      <c r="I22" s="11" t="str">
        <f>IF(AND(A22&lt;&gt;"",B22&lt;&gt;""),IFERROR(_xlfn.MINIFS(Log!$D:$D,Log!$A:$A,$A22),""),"")</f>
        <v/>
      </c>
      <c r="J22" s="11" t="str">
        <f>IF(AND(A22&lt;&gt;"",B22&lt;&gt;""),IFERROR(_xlfn.MAXIFS(Log!$D:$D,Log!$A:$A,$A22),""),"")</f>
        <v/>
      </c>
      <c r="K22" s="11" t="str">
        <f>IF(AND(A22&lt;&gt;"", B22&lt;&gt;""),  IFERROR(AVERAGEIFS(Log!$E:$E,Log!$A:$A,$A22),""), "")</f>
        <v/>
      </c>
      <c r="L22" s="11" t="str">
        <f>IF(AND(A22&lt;&gt;"", B22&lt;&gt;""), IFERROR(_xlfn.MINIFS(Log!$E:$E,Log!$A:$A,$A22),""), "")</f>
        <v/>
      </c>
      <c r="M22" s="11" t="str">
        <f>IF(AND(A22&lt;&gt;"", B22&lt;&gt;""), IFERROR(_xlfn.MAXIFS(Log!$E:$E,Log!$A:$A,$A22),""), "")</f>
        <v/>
      </c>
    </row>
    <row r="23" spans="1:13" x14ac:dyDescent="0.3">
      <c r="A23" s="10"/>
      <c r="B23" s="59"/>
      <c r="C23" s="15">
        <f>COUNTIFS(Log!$A:$A,$A23)</f>
        <v>0</v>
      </c>
      <c r="D23" s="60"/>
      <c r="E23" s="81"/>
      <c r="F23" s="16" t="str">
        <f>IF(AND(A23&lt;&gt;"", B23&lt;&gt;""), IFERROR(AVERAGEIFS(Log!$C:$C,Log!$A:$A,$A23),""), "")</f>
        <v/>
      </c>
      <c r="G23" s="82" t="str">
        <f t="shared" si="1"/>
        <v/>
      </c>
      <c r="H23" s="11" t="str">
        <f>IF(AND(A23&lt;&gt;"", B23&lt;&gt;""), IFERROR(AVERAGEIFS(Log!$D:$D,Log!$A:$A,$A23),""), "")</f>
        <v/>
      </c>
      <c r="I23" s="11" t="str">
        <f>IF(AND(A23&lt;&gt;"",B23&lt;&gt;""),IFERROR(_xlfn.MINIFS(Log!$D:$D,Log!$A:$A,$A23),""),"")</f>
        <v/>
      </c>
      <c r="J23" s="11" t="str">
        <f>IF(AND(A23&lt;&gt;"",B23&lt;&gt;""),IFERROR(_xlfn.MAXIFS(Log!$D:$D,Log!$A:$A,$A23),""),"")</f>
        <v/>
      </c>
      <c r="K23" s="11" t="str">
        <f>IF(AND(A23&lt;&gt;"", B23&lt;&gt;""),  IFERROR(AVERAGEIFS(Log!$E:$E,Log!$A:$A,$A23),""), "")</f>
        <v/>
      </c>
      <c r="L23" s="11" t="str">
        <f>IF(AND(A23&lt;&gt;"", B23&lt;&gt;""), IFERROR(_xlfn.MINIFS(Log!$E:$E,Log!$A:$A,$A23),""), "")</f>
        <v/>
      </c>
      <c r="M23" s="11" t="str">
        <f>IF(AND(A23&lt;&gt;"", B23&lt;&gt;""), IFERROR(_xlfn.MAXIFS(Log!$E:$E,Log!$A:$A,$A23),""), "")</f>
        <v/>
      </c>
    </row>
    <row r="24" spans="1:13" x14ac:dyDescent="0.3">
      <c r="A24" s="10"/>
      <c r="B24" s="59"/>
      <c r="C24" s="15">
        <f>COUNTIFS(Log!$A:$A,$A24)</f>
        <v>0</v>
      </c>
      <c r="D24" s="60"/>
      <c r="E24" s="81"/>
      <c r="F24" s="16" t="str">
        <f>IF(AND(A24&lt;&gt;"", B24&lt;&gt;""), IFERROR(AVERAGEIFS(Log!$C:$C,Log!$A:$A,$A24),""), "")</f>
        <v/>
      </c>
      <c r="G24" s="82" t="str">
        <f t="shared" si="1"/>
        <v/>
      </c>
      <c r="H24" s="11" t="str">
        <f>IF(AND(A24&lt;&gt;"", B24&lt;&gt;""), IFERROR(AVERAGEIFS(Log!$D:$D,Log!$A:$A,$A24),""), "")</f>
        <v/>
      </c>
      <c r="I24" s="11" t="str">
        <f>IF(AND(A24&lt;&gt;"",B24&lt;&gt;""),IFERROR(_xlfn.MINIFS(Log!$D:$D,Log!$A:$A,$A24),""),"")</f>
        <v/>
      </c>
      <c r="J24" s="11" t="str">
        <f>IF(AND(A24&lt;&gt;"",B24&lt;&gt;""),IFERROR(_xlfn.MAXIFS(Log!$D:$D,Log!$A:$A,$A24),""),"")</f>
        <v/>
      </c>
      <c r="K24" s="11" t="str">
        <f>IF(AND(A24&lt;&gt;"", B24&lt;&gt;""),  IFERROR(AVERAGEIFS(Log!$E:$E,Log!$A:$A,$A24),""), "")</f>
        <v/>
      </c>
      <c r="L24" s="11" t="str">
        <f>IF(AND(A24&lt;&gt;"", B24&lt;&gt;""), IFERROR(_xlfn.MINIFS(Log!$E:$E,Log!$A:$A,$A24),""), "")</f>
        <v/>
      </c>
      <c r="M24" s="11" t="str">
        <f>IF(AND(A24&lt;&gt;"", B24&lt;&gt;""), IFERROR(_xlfn.MAXIFS(Log!$E:$E,Log!$A:$A,$A24),""), "")</f>
        <v/>
      </c>
    </row>
    <row r="25" spans="1:13" x14ac:dyDescent="0.3">
      <c r="A25" s="10"/>
      <c r="B25" s="59"/>
      <c r="C25" s="15">
        <f>COUNTIFS(Log!$A:$A,$A25)</f>
        <v>0</v>
      </c>
      <c r="D25" s="60"/>
      <c r="E25" s="81"/>
      <c r="F25" s="16" t="str">
        <f>IF(AND(A25&lt;&gt;"", B25&lt;&gt;""), IFERROR(AVERAGEIFS(Log!$C:$C,Log!$A:$A,$A25),""), "")</f>
        <v/>
      </c>
      <c r="G25" s="82" t="str">
        <f t="shared" si="1"/>
        <v/>
      </c>
      <c r="H25" s="11" t="str">
        <f>IF(AND(A25&lt;&gt;"", B25&lt;&gt;""), IFERROR(AVERAGEIFS(Log!$D:$D,Log!$A:$A,$A25),""), "")</f>
        <v/>
      </c>
      <c r="I25" s="11" t="str">
        <f>IF(AND(A25&lt;&gt;"",B25&lt;&gt;""),IFERROR(_xlfn.MINIFS(Log!$D:$D,Log!$A:$A,$A25),""),"")</f>
        <v/>
      </c>
      <c r="J25" s="11" t="str">
        <f>IF(AND(A25&lt;&gt;"",B25&lt;&gt;""),IFERROR(_xlfn.MAXIFS(Log!$D:$D,Log!$A:$A,$A25),""),"")</f>
        <v/>
      </c>
      <c r="K25" s="11" t="str">
        <f>IF(AND(A25&lt;&gt;"", B25&lt;&gt;""),  IFERROR(AVERAGEIFS(Log!$E:$E,Log!$A:$A,$A25),""), "")</f>
        <v/>
      </c>
      <c r="L25" s="11" t="str">
        <f>IF(AND(A25&lt;&gt;"", B25&lt;&gt;""), IFERROR(_xlfn.MINIFS(Log!$E:$E,Log!$A:$A,$A25),""), "")</f>
        <v/>
      </c>
      <c r="M25" s="11" t="str">
        <f>IF(AND(A25&lt;&gt;"", B25&lt;&gt;""), IFERROR(_xlfn.MAXIFS(Log!$E:$E,Log!$A:$A,$A25),""), "")</f>
        <v/>
      </c>
    </row>
    <row r="26" spans="1:13" x14ac:dyDescent="0.3">
      <c r="A26" s="10"/>
      <c r="B26" s="59"/>
      <c r="C26" s="15">
        <f>COUNTIFS(Log!$A:$A,$A26)</f>
        <v>0</v>
      </c>
      <c r="D26" s="60"/>
      <c r="E26" s="81"/>
      <c r="F26" s="16" t="str">
        <f>IF(AND(A26&lt;&gt;"", B26&lt;&gt;""), IFERROR(AVERAGEIFS(Log!$C:$C,Log!$A:$A,$A26),""), "")</f>
        <v/>
      </c>
      <c r="G26" s="82" t="str">
        <f t="shared" si="1"/>
        <v/>
      </c>
      <c r="H26" s="11" t="str">
        <f>IF(AND(A26&lt;&gt;"", B26&lt;&gt;""), IFERROR(AVERAGEIFS(Log!$D:$D,Log!$A:$A,$A26),""), "")</f>
        <v/>
      </c>
      <c r="I26" s="11" t="str">
        <f>IF(AND(A26&lt;&gt;"",B26&lt;&gt;""),IFERROR(_xlfn.MINIFS(Log!$D:$D,Log!$A:$A,$A26),""),"")</f>
        <v/>
      </c>
      <c r="J26" s="11" t="str">
        <f>IF(AND(A26&lt;&gt;"",B26&lt;&gt;""),IFERROR(_xlfn.MAXIFS(Log!$D:$D,Log!$A:$A,$A26),""),"")</f>
        <v/>
      </c>
      <c r="K26" s="11" t="str">
        <f>IF(AND(A26&lt;&gt;"", B26&lt;&gt;""),  IFERROR(AVERAGEIFS(Log!$E:$E,Log!$A:$A,$A26),""), "")</f>
        <v/>
      </c>
      <c r="L26" s="11" t="str">
        <f>IF(AND(A26&lt;&gt;"", B26&lt;&gt;""), IFERROR(_xlfn.MINIFS(Log!$E:$E,Log!$A:$A,$A26),""), "")</f>
        <v/>
      </c>
      <c r="M26" s="11" t="str">
        <f>IF(AND(A26&lt;&gt;"", B26&lt;&gt;""), IFERROR(_xlfn.MAXIFS(Log!$E:$E,Log!$A:$A,$A26),""), "")</f>
        <v/>
      </c>
    </row>
    <row r="27" spans="1:13" x14ac:dyDescent="0.3">
      <c r="A27" s="10"/>
      <c r="B27" s="59"/>
      <c r="C27" s="15">
        <f>COUNTIFS(Log!$A:$A,$A27)</f>
        <v>0</v>
      </c>
      <c r="D27" s="60"/>
      <c r="E27" s="81"/>
      <c r="F27" s="16" t="str">
        <f>IF(AND(A27&lt;&gt;"", B27&lt;&gt;""), IFERROR(AVERAGEIFS(Log!$C:$C,Log!$A:$A,$A27),""), "")</f>
        <v/>
      </c>
      <c r="G27" s="82" t="str">
        <f t="shared" si="1"/>
        <v/>
      </c>
      <c r="H27" s="11" t="str">
        <f>IF(AND(A27&lt;&gt;"", B27&lt;&gt;""), IFERROR(AVERAGEIFS(Log!$D:$D,Log!$A:$A,$A27),""), "")</f>
        <v/>
      </c>
      <c r="I27" s="11" t="str">
        <f>IF(AND(A27&lt;&gt;"",B27&lt;&gt;""),IFERROR(_xlfn.MINIFS(Log!$D:$D,Log!$A:$A,$A27),""),"")</f>
        <v/>
      </c>
      <c r="J27" s="11" t="str">
        <f>IF(AND(A27&lt;&gt;"",B27&lt;&gt;""),IFERROR(_xlfn.MAXIFS(Log!$D:$D,Log!$A:$A,$A27),""),"")</f>
        <v/>
      </c>
      <c r="K27" s="11" t="str">
        <f>IF(AND(A27&lt;&gt;"", B27&lt;&gt;""),  IFERROR(AVERAGEIFS(Log!$E:$E,Log!$A:$A,$A27),""), "")</f>
        <v/>
      </c>
      <c r="L27" s="11" t="str">
        <f>IF(AND(A27&lt;&gt;"", B27&lt;&gt;""), IFERROR(_xlfn.MINIFS(Log!$E:$E,Log!$A:$A,$A27),""), "")</f>
        <v/>
      </c>
      <c r="M27" s="11" t="str">
        <f>IF(AND(A27&lt;&gt;"", B27&lt;&gt;""), IFERROR(_xlfn.MAXIFS(Log!$E:$E,Log!$A:$A,$A27),""), "")</f>
        <v/>
      </c>
    </row>
    <row r="28" spans="1:13" x14ac:dyDescent="0.3">
      <c r="A28" s="10"/>
      <c r="B28" s="59"/>
      <c r="C28" s="15">
        <f>COUNTIFS(Log!$A:$A,$A28)</f>
        <v>0</v>
      </c>
      <c r="D28" s="60"/>
      <c r="E28" s="81"/>
      <c r="F28" s="16" t="str">
        <f>IF(AND(A28&lt;&gt;"", B28&lt;&gt;""), IFERROR(AVERAGEIFS(Log!$C:$C,Log!$A:$A,$A28),""), "")</f>
        <v/>
      </c>
      <c r="G28" s="82" t="str">
        <f t="shared" si="1"/>
        <v/>
      </c>
      <c r="H28" s="11" t="str">
        <f>IF(AND(A28&lt;&gt;"", B28&lt;&gt;""), IFERROR(AVERAGEIFS(Log!$D:$D,Log!$A:$A,$A28),""), "")</f>
        <v/>
      </c>
      <c r="I28" s="11" t="str">
        <f>IF(AND(A28&lt;&gt;"",B28&lt;&gt;""),IFERROR(_xlfn.MINIFS(Log!$D:$D,Log!$A:$A,$A28),""),"")</f>
        <v/>
      </c>
      <c r="J28" s="11" t="str">
        <f>IF(AND(A28&lt;&gt;"",B28&lt;&gt;""),IFERROR(_xlfn.MAXIFS(Log!$D:$D,Log!$A:$A,$A28),""),"")</f>
        <v/>
      </c>
      <c r="K28" s="11" t="str">
        <f>IF(AND(A28&lt;&gt;"", B28&lt;&gt;""),  IFERROR(AVERAGEIFS(Log!$E:$E,Log!$A:$A,$A28),""), "")</f>
        <v/>
      </c>
      <c r="L28" s="11" t="str">
        <f>IF(AND(A28&lt;&gt;"", B28&lt;&gt;""), IFERROR(_xlfn.MINIFS(Log!$E:$E,Log!$A:$A,$A28),""), "")</f>
        <v/>
      </c>
      <c r="M28" s="11" t="str">
        <f>IF(AND(A28&lt;&gt;"", B28&lt;&gt;""), IFERROR(_xlfn.MAXIFS(Log!$E:$E,Log!$A:$A,$A28),""), "")</f>
        <v/>
      </c>
    </row>
    <row r="29" spans="1:13" x14ac:dyDescent="0.3">
      <c r="A29" s="10"/>
      <c r="B29" s="59"/>
      <c r="C29" s="15">
        <f>COUNTIFS(Log!$A:$A,$A29)</f>
        <v>0</v>
      </c>
      <c r="D29" s="60"/>
      <c r="E29" s="81"/>
      <c r="F29" s="16" t="str">
        <f>IF(AND(A29&lt;&gt;"", B29&lt;&gt;""), IFERROR(AVERAGEIFS(Log!$C:$C,Log!$A:$A,$A29),""), "")</f>
        <v/>
      </c>
      <c r="G29" s="82" t="str">
        <f t="shared" si="1"/>
        <v/>
      </c>
      <c r="H29" s="11" t="str">
        <f>IF(AND(A29&lt;&gt;"", B29&lt;&gt;""), IFERROR(AVERAGEIFS(Log!$D:$D,Log!$A:$A,$A29),""), "")</f>
        <v/>
      </c>
      <c r="I29" s="11" t="str">
        <f>IF(AND(A29&lt;&gt;"",B29&lt;&gt;""),IFERROR(_xlfn.MINIFS(Log!$D:$D,Log!$A:$A,$A29),""),"")</f>
        <v/>
      </c>
      <c r="J29" s="11" t="str">
        <f>IF(AND(A29&lt;&gt;"",B29&lt;&gt;""),IFERROR(_xlfn.MAXIFS(Log!$D:$D,Log!$A:$A,$A29),""),"")</f>
        <v/>
      </c>
      <c r="K29" s="11" t="str">
        <f>IF(AND(A29&lt;&gt;"", B29&lt;&gt;""),  IFERROR(AVERAGEIFS(Log!$E:$E,Log!$A:$A,$A29),""), "")</f>
        <v/>
      </c>
      <c r="L29" s="11" t="str">
        <f>IF(AND(A29&lt;&gt;"", B29&lt;&gt;""), IFERROR(_xlfn.MINIFS(Log!$E:$E,Log!$A:$A,$A29),""), "")</f>
        <v/>
      </c>
      <c r="M29" s="11" t="str">
        <f>IF(AND(A29&lt;&gt;"", B29&lt;&gt;""), IFERROR(_xlfn.MAXIFS(Log!$E:$E,Log!$A:$A,$A29),""), "")</f>
        <v/>
      </c>
    </row>
    <row r="30" spans="1:13" x14ac:dyDescent="0.3">
      <c r="A30" s="10"/>
      <c r="B30" s="59"/>
      <c r="C30" s="15">
        <f>COUNTIFS(Log!$A:$A,$A30)</f>
        <v>0</v>
      </c>
      <c r="D30" s="60"/>
      <c r="E30" s="81"/>
      <c r="F30" s="16" t="str">
        <f>IF(AND(A30&lt;&gt;"", B30&lt;&gt;""), IFERROR(AVERAGEIFS(Log!$C:$C,Log!$A:$A,$A30),""), "")</f>
        <v/>
      </c>
      <c r="G30" s="82" t="str">
        <f t="shared" si="1"/>
        <v/>
      </c>
      <c r="H30" s="11" t="str">
        <f>IF(AND(A30&lt;&gt;"", B30&lt;&gt;""), IFERROR(AVERAGEIFS(Log!$D:$D,Log!$A:$A,$A30),""), "")</f>
        <v/>
      </c>
      <c r="I30" s="11" t="str">
        <f>IF(AND(A30&lt;&gt;"",B30&lt;&gt;""),IFERROR(_xlfn.MINIFS(Log!$D:$D,Log!$A:$A,$A30),""),"")</f>
        <v/>
      </c>
      <c r="J30" s="11" t="str">
        <f>IF(AND(A30&lt;&gt;"",B30&lt;&gt;""),IFERROR(_xlfn.MAXIFS(Log!$D:$D,Log!$A:$A,$A30),""),"")</f>
        <v/>
      </c>
      <c r="K30" s="11" t="str">
        <f>IF(AND(A30&lt;&gt;"", B30&lt;&gt;""),  IFERROR(AVERAGEIFS(Log!$E:$E,Log!$A:$A,$A30),""), "")</f>
        <v/>
      </c>
      <c r="L30" s="11" t="str">
        <f>IF(AND(A30&lt;&gt;"", B30&lt;&gt;""), IFERROR(_xlfn.MINIFS(Log!$E:$E,Log!$A:$A,$A30),""), "")</f>
        <v/>
      </c>
      <c r="M30" s="11" t="str">
        <f>IF(AND(A30&lt;&gt;"", B30&lt;&gt;""), IFERROR(_xlfn.MAXIFS(Log!$E:$E,Log!$A:$A,$A30),""), "")</f>
        <v/>
      </c>
    </row>
    <row r="31" spans="1:13" x14ac:dyDescent="0.3">
      <c r="A31" s="10"/>
      <c r="B31" s="59"/>
      <c r="C31" s="15">
        <f>COUNTIFS(Log!$A:$A,$A31)</f>
        <v>0</v>
      </c>
      <c r="D31" s="60"/>
      <c r="E31" s="81"/>
      <c r="F31" s="16" t="str">
        <f>IF(AND(A31&lt;&gt;"", B31&lt;&gt;""), IFERROR(AVERAGEIFS(Log!$C:$C,Log!$A:$A,$A31),""), "")</f>
        <v/>
      </c>
      <c r="G31" s="82" t="str">
        <f t="shared" si="1"/>
        <v/>
      </c>
      <c r="H31" s="11" t="str">
        <f>IF(AND(A31&lt;&gt;"", B31&lt;&gt;""), IFERROR(AVERAGEIFS(Log!$D:$D,Log!$A:$A,$A31),""), "")</f>
        <v/>
      </c>
      <c r="I31" s="11" t="str">
        <f>IF(AND(A31&lt;&gt;"",B31&lt;&gt;""),IFERROR(_xlfn.MINIFS(Log!$D:$D,Log!$A:$A,$A31),""),"")</f>
        <v/>
      </c>
      <c r="J31" s="11" t="str">
        <f>IF(AND(A31&lt;&gt;"",B31&lt;&gt;""),IFERROR(_xlfn.MAXIFS(Log!$D:$D,Log!$A:$A,$A31),""),"")</f>
        <v/>
      </c>
      <c r="K31" s="11" t="str">
        <f>IF(AND(A31&lt;&gt;"", B31&lt;&gt;""),  IFERROR(AVERAGEIFS(Log!$E:$E,Log!$A:$A,$A31),""), "")</f>
        <v/>
      </c>
      <c r="L31" s="11" t="str">
        <f>IF(AND(A31&lt;&gt;"", B31&lt;&gt;""), IFERROR(_xlfn.MINIFS(Log!$E:$E,Log!$A:$A,$A31),""), "")</f>
        <v/>
      </c>
      <c r="M31" s="11" t="str">
        <f>IF(AND(A31&lt;&gt;"", B31&lt;&gt;""), IFERROR(_xlfn.MAXIFS(Log!$E:$E,Log!$A:$A,$A31),""), "")</f>
        <v/>
      </c>
    </row>
    <row r="32" spans="1:13" x14ac:dyDescent="0.3">
      <c r="A32" s="10"/>
      <c r="B32" s="59"/>
      <c r="C32" s="15">
        <f>COUNTIFS(Log!$A:$A,$A32)</f>
        <v>0</v>
      </c>
      <c r="D32" s="60"/>
      <c r="E32" s="81"/>
      <c r="F32" s="16" t="str">
        <f>IF(AND(A32&lt;&gt;"", B32&lt;&gt;""), IFERROR(AVERAGEIFS(Log!$C:$C,Log!$A:$A,$A32),""), "")</f>
        <v/>
      </c>
      <c r="G32" s="82" t="str">
        <f t="shared" si="1"/>
        <v/>
      </c>
      <c r="H32" s="11" t="str">
        <f>IF(AND(A32&lt;&gt;"", B32&lt;&gt;""), IFERROR(AVERAGEIFS(Log!$D:$D,Log!$A:$A,$A32),""), "")</f>
        <v/>
      </c>
      <c r="I32" s="11" t="str">
        <f>IF(AND(A32&lt;&gt;"",B32&lt;&gt;""),IFERROR(_xlfn.MINIFS(Log!$D:$D,Log!$A:$A,$A32),""),"")</f>
        <v/>
      </c>
      <c r="J32" s="11" t="str">
        <f>IF(AND(A32&lt;&gt;"",B32&lt;&gt;""),IFERROR(_xlfn.MAXIFS(Log!$D:$D,Log!$A:$A,$A32),""),"")</f>
        <v/>
      </c>
      <c r="K32" s="11" t="str">
        <f>IF(AND(A32&lt;&gt;"", B32&lt;&gt;""),  IFERROR(AVERAGEIFS(Log!$E:$E,Log!$A:$A,$A32),""), "")</f>
        <v/>
      </c>
      <c r="L32" s="11" t="str">
        <f>IF(AND(A32&lt;&gt;"", B32&lt;&gt;""), IFERROR(_xlfn.MINIFS(Log!$E:$E,Log!$A:$A,$A32),""), "")</f>
        <v/>
      </c>
      <c r="M32" s="11" t="str">
        <f>IF(AND(A32&lt;&gt;"", B32&lt;&gt;""), IFERROR(_xlfn.MAXIFS(Log!$E:$E,Log!$A:$A,$A32),""), "")</f>
        <v/>
      </c>
    </row>
    <row r="33" spans="1:13" x14ac:dyDescent="0.3">
      <c r="A33" s="10"/>
      <c r="B33" s="59"/>
      <c r="C33" s="15">
        <f>COUNTIFS(Log!$A:$A,$A33)</f>
        <v>0</v>
      </c>
      <c r="D33" s="60"/>
      <c r="E33" s="81"/>
      <c r="F33" s="16" t="str">
        <f>IF(AND(A33&lt;&gt;"", B33&lt;&gt;""), IFERROR(AVERAGEIFS(Log!$C:$C,Log!$A:$A,$A33),""), "")</f>
        <v/>
      </c>
      <c r="G33" s="82" t="str">
        <f t="shared" si="1"/>
        <v/>
      </c>
      <c r="H33" s="11" t="str">
        <f>IF(AND(A33&lt;&gt;"", B33&lt;&gt;""), IFERROR(AVERAGEIFS(Log!$D:$D,Log!$A:$A,$A33),""), "")</f>
        <v/>
      </c>
      <c r="I33" s="11" t="str">
        <f>IF(AND(A33&lt;&gt;"",B33&lt;&gt;""),IFERROR(_xlfn.MINIFS(Log!$D:$D,Log!$A:$A,$A33),""),"")</f>
        <v/>
      </c>
      <c r="J33" s="11" t="str">
        <f>IF(AND(A33&lt;&gt;"",B33&lt;&gt;""),IFERROR(_xlfn.MAXIFS(Log!$D:$D,Log!$A:$A,$A33),""),"")</f>
        <v/>
      </c>
      <c r="K33" s="11" t="str">
        <f>IF(AND(A33&lt;&gt;"", B33&lt;&gt;""),  IFERROR(AVERAGEIFS(Log!$E:$E,Log!$A:$A,$A33),""), "")</f>
        <v/>
      </c>
      <c r="L33" s="11" t="str">
        <f>IF(AND(A33&lt;&gt;"", B33&lt;&gt;""), IFERROR(_xlfn.MINIFS(Log!$E:$E,Log!$A:$A,$A33),""), "")</f>
        <v/>
      </c>
      <c r="M33" s="11" t="str">
        <f>IF(AND(A33&lt;&gt;"", B33&lt;&gt;""), IFERROR(_xlfn.MAXIFS(Log!$E:$E,Log!$A:$A,$A33),""), "")</f>
        <v/>
      </c>
    </row>
    <row r="34" spans="1:13" x14ac:dyDescent="0.3">
      <c r="A34" s="10"/>
      <c r="B34" s="59"/>
      <c r="C34" s="15">
        <f>COUNTIFS(Log!$A:$A,$A34)</f>
        <v>0</v>
      </c>
      <c r="D34" s="60"/>
      <c r="E34" s="81"/>
      <c r="F34" s="16" t="str">
        <f>IF(AND(A34&lt;&gt;"", B34&lt;&gt;""), IFERROR(AVERAGEIFS(Log!$C:$C,Log!$A:$A,$A34),""), "")</f>
        <v/>
      </c>
      <c r="G34" s="82" t="str">
        <f t="shared" si="1"/>
        <v/>
      </c>
      <c r="H34" s="11" t="str">
        <f>IF(AND(A34&lt;&gt;"", B34&lt;&gt;""), IFERROR(AVERAGEIFS(Log!$D:$D,Log!$A:$A,$A34),""), "")</f>
        <v/>
      </c>
      <c r="I34" s="11" t="str">
        <f>IF(AND(A34&lt;&gt;"",B34&lt;&gt;""),IFERROR(_xlfn.MINIFS(Log!$D:$D,Log!$A:$A,$A34),""),"")</f>
        <v/>
      </c>
      <c r="J34" s="11" t="str">
        <f>IF(AND(A34&lt;&gt;"",B34&lt;&gt;""),IFERROR(_xlfn.MAXIFS(Log!$D:$D,Log!$A:$A,$A34),""),"")</f>
        <v/>
      </c>
      <c r="K34" s="11" t="str">
        <f>IF(AND(A34&lt;&gt;"", B34&lt;&gt;""),  IFERROR(AVERAGEIFS(Log!$E:$E,Log!$A:$A,$A34),""), "")</f>
        <v/>
      </c>
      <c r="L34" s="11" t="str">
        <f>IF(AND(A34&lt;&gt;"", B34&lt;&gt;""), IFERROR(_xlfn.MINIFS(Log!$E:$E,Log!$A:$A,$A34),""), "")</f>
        <v/>
      </c>
      <c r="M34" s="11" t="str">
        <f>IF(AND(A34&lt;&gt;"", B34&lt;&gt;""), IFERROR(_xlfn.MAXIFS(Log!$E:$E,Log!$A:$A,$A34),""), "")</f>
        <v/>
      </c>
    </row>
    <row r="35" spans="1:13" x14ac:dyDescent="0.3">
      <c r="A35" s="10"/>
      <c r="B35" s="59"/>
      <c r="C35" s="15">
        <f>COUNTIFS(Log!$A:$A,$A35)</f>
        <v>0</v>
      </c>
      <c r="D35" s="60"/>
      <c r="E35" s="81"/>
      <c r="F35" s="16" t="str">
        <f>IF(AND(A35&lt;&gt;"", B35&lt;&gt;""), IFERROR(AVERAGEIFS(Log!$C:$C,Log!$A:$A,$A35),""), "")</f>
        <v/>
      </c>
      <c r="G35" s="82" t="str">
        <f t="shared" si="1"/>
        <v/>
      </c>
      <c r="H35" s="11" t="str">
        <f>IF(AND(A35&lt;&gt;"", B35&lt;&gt;""), IFERROR(AVERAGEIFS(Log!$D:$D,Log!$A:$A,$A35),""), "")</f>
        <v/>
      </c>
      <c r="I35" s="11" t="str">
        <f>IF(AND(A35&lt;&gt;"",B35&lt;&gt;""),IFERROR(_xlfn.MINIFS(Log!$D:$D,Log!$A:$A,$A35),""),"")</f>
        <v/>
      </c>
      <c r="J35" s="11" t="str">
        <f>IF(AND(A35&lt;&gt;"",B35&lt;&gt;""),IFERROR(_xlfn.MAXIFS(Log!$D:$D,Log!$A:$A,$A35),""),"")</f>
        <v/>
      </c>
      <c r="K35" s="11" t="str">
        <f>IF(AND(A35&lt;&gt;"", B35&lt;&gt;""),  IFERROR(AVERAGEIFS(Log!$E:$E,Log!$A:$A,$A35),""), "")</f>
        <v/>
      </c>
      <c r="L35" s="11" t="str">
        <f>IF(AND(A35&lt;&gt;"", B35&lt;&gt;""), IFERROR(_xlfn.MINIFS(Log!$E:$E,Log!$A:$A,$A35),""), "")</f>
        <v/>
      </c>
      <c r="M35" s="11" t="str">
        <f>IF(AND(A35&lt;&gt;"", B35&lt;&gt;""), IFERROR(_xlfn.MAXIFS(Log!$E:$E,Log!$A:$A,$A35),""), "")</f>
        <v/>
      </c>
    </row>
    <row r="36" spans="1:13" x14ac:dyDescent="0.3">
      <c r="A36" s="10"/>
      <c r="B36" s="59"/>
      <c r="C36" s="15">
        <f>COUNTIFS(Log!$A:$A,$A36)</f>
        <v>0</v>
      </c>
      <c r="D36" s="60"/>
      <c r="E36" s="81"/>
      <c r="F36" s="16" t="str">
        <f>IF(AND(A36&lt;&gt;"", B36&lt;&gt;""), IFERROR(AVERAGEIFS(Log!$C:$C,Log!$A:$A,$A36),""), "")</f>
        <v/>
      </c>
      <c r="G36" s="82" t="str">
        <f t="shared" si="1"/>
        <v/>
      </c>
      <c r="H36" s="11" t="str">
        <f>IF(AND(A36&lt;&gt;"", B36&lt;&gt;""), IFERROR(AVERAGEIFS(Log!$D:$D,Log!$A:$A,$A36),""), "")</f>
        <v/>
      </c>
      <c r="I36" s="11" t="str">
        <f>IF(AND(A36&lt;&gt;"",B36&lt;&gt;""),IFERROR(_xlfn.MINIFS(Log!$D:$D,Log!$A:$A,$A36),""),"")</f>
        <v/>
      </c>
      <c r="J36" s="11" t="str">
        <f>IF(AND(A36&lt;&gt;"",B36&lt;&gt;""),IFERROR(_xlfn.MAXIFS(Log!$D:$D,Log!$A:$A,$A36),""),"")</f>
        <v/>
      </c>
      <c r="K36" s="11" t="str">
        <f>IF(AND(A36&lt;&gt;"", B36&lt;&gt;""),  IFERROR(AVERAGEIFS(Log!$E:$E,Log!$A:$A,$A36),""), "")</f>
        <v/>
      </c>
      <c r="L36" s="11" t="str">
        <f>IF(AND(A36&lt;&gt;"", B36&lt;&gt;""), IFERROR(_xlfn.MINIFS(Log!$E:$E,Log!$A:$A,$A36),""), "")</f>
        <v/>
      </c>
      <c r="M36" s="11" t="str">
        <f>IF(AND(A36&lt;&gt;"", B36&lt;&gt;""), IFERROR(_xlfn.MAXIFS(Log!$E:$E,Log!$A:$A,$A36),""), "")</f>
        <v/>
      </c>
    </row>
    <row r="37" spans="1:13" x14ac:dyDescent="0.3">
      <c r="A37" s="10"/>
      <c r="B37" s="59"/>
      <c r="C37" s="15">
        <f>COUNTIFS(Log!$A:$A,$A37)</f>
        <v>0</v>
      </c>
      <c r="D37" s="60"/>
      <c r="E37" s="81"/>
      <c r="F37" s="16" t="str">
        <f>IF(AND(A37&lt;&gt;"", B37&lt;&gt;""), IFERROR(AVERAGEIFS(Log!$C:$C,Log!$A:$A,$A37),""), "")</f>
        <v/>
      </c>
      <c r="G37" s="82" t="str">
        <f t="shared" si="1"/>
        <v/>
      </c>
      <c r="H37" s="11" t="str">
        <f>IF(AND(A37&lt;&gt;"", B37&lt;&gt;""), IFERROR(AVERAGEIFS(Log!$D:$D,Log!$A:$A,$A37),""), "")</f>
        <v/>
      </c>
      <c r="I37" s="11" t="str">
        <f>IF(AND(A37&lt;&gt;"",B37&lt;&gt;""),IFERROR(_xlfn.MINIFS(Log!$D:$D,Log!$A:$A,$A37),""),"")</f>
        <v/>
      </c>
      <c r="J37" s="11" t="str">
        <f>IF(AND(A37&lt;&gt;"",B37&lt;&gt;""),IFERROR(_xlfn.MAXIFS(Log!$D:$D,Log!$A:$A,$A37),""),"")</f>
        <v/>
      </c>
      <c r="K37" s="11" t="str">
        <f>IF(AND(A37&lt;&gt;"", B37&lt;&gt;""),  IFERROR(AVERAGEIFS(Log!$E:$E,Log!$A:$A,$A37),""), "")</f>
        <v/>
      </c>
      <c r="L37" s="11" t="str">
        <f>IF(AND(A37&lt;&gt;"", B37&lt;&gt;""), IFERROR(_xlfn.MINIFS(Log!$E:$E,Log!$A:$A,$A37),""), "")</f>
        <v/>
      </c>
      <c r="M37" s="11" t="str">
        <f>IF(AND(A37&lt;&gt;"", B37&lt;&gt;""), IFERROR(_xlfn.MAXIFS(Log!$E:$E,Log!$A:$A,$A37),""), "")</f>
        <v/>
      </c>
    </row>
    <row r="38" spans="1:13" x14ac:dyDescent="0.3">
      <c r="A38" s="10"/>
      <c r="B38" s="59"/>
      <c r="C38" s="15">
        <f>COUNTIFS(Log!$A:$A,$A38)</f>
        <v>0</v>
      </c>
      <c r="D38" s="60"/>
      <c r="E38" s="81"/>
      <c r="F38" s="16" t="str">
        <f>IF(AND(A38&lt;&gt;"", B38&lt;&gt;""), IFERROR(AVERAGEIFS(Log!$C:$C,Log!$A:$A,$A38),""), "")</f>
        <v/>
      </c>
      <c r="G38" s="82" t="str">
        <f t="shared" si="1"/>
        <v/>
      </c>
      <c r="H38" s="11" t="str">
        <f>IF(AND(A38&lt;&gt;"", B38&lt;&gt;""), IFERROR(AVERAGEIFS(Log!$D:$D,Log!$A:$A,$A38),""), "")</f>
        <v/>
      </c>
      <c r="I38" s="11" t="str">
        <f>IF(AND(A38&lt;&gt;"",B38&lt;&gt;""),IFERROR(_xlfn.MINIFS(Log!$D:$D,Log!$A:$A,$A38),""),"")</f>
        <v/>
      </c>
      <c r="J38" s="11" t="str">
        <f>IF(AND(A38&lt;&gt;"",B38&lt;&gt;""),IFERROR(_xlfn.MAXIFS(Log!$D:$D,Log!$A:$A,$A38),""),"")</f>
        <v/>
      </c>
      <c r="K38" s="11" t="str">
        <f>IF(AND(A38&lt;&gt;"", B38&lt;&gt;""),  IFERROR(AVERAGEIFS(Log!$E:$E,Log!$A:$A,$A38),""), "")</f>
        <v/>
      </c>
      <c r="L38" s="11" t="str">
        <f>IF(AND(A38&lt;&gt;"", B38&lt;&gt;""), IFERROR(_xlfn.MINIFS(Log!$E:$E,Log!$A:$A,$A38),""), "")</f>
        <v/>
      </c>
      <c r="M38" s="11" t="str">
        <f>IF(AND(A38&lt;&gt;"", B38&lt;&gt;""), IFERROR(_xlfn.MAXIFS(Log!$E:$E,Log!$A:$A,$A38),""), "")</f>
        <v/>
      </c>
    </row>
    <row r="39" spans="1:13" x14ac:dyDescent="0.3">
      <c r="A39" s="10"/>
      <c r="B39" s="59"/>
      <c r="C39" s="15">
        <f>COUNTIFS(Log!$A:$A,$A39)</f>
        <v>0</v>
      </c>
      <c r="D39" s="60"/>
      <c r="E39" s="81"/>
      <c r="F39" s="16" t="str">
        <f>IF(AND(A39&lt;&gt;"", B39&lt;&gt;""), IFERROR(AVERAGEIFS(Log!$C:$C,Log!$A:$A,$A39),""), "")</f>
        <v/>
      </c>
      <c r="G39" s="82" t="str">
        <f t="shared" si="1"/>
        <v/>
      </c>
      <c r="H39" s="11" t="str">
        <f>IF(AND(A39&lt;&gt;"", B39&lt;&gt;""), IFERROR(AVERAGEIFS(Log!$D:$D,Log!$A:$A,$A39),""), "")</f>
        <v/>
      </c>
      <c r="I39" s="11" t="str">
        <f>IF(AND(A39&lt;&gt;"",B39&lt;&gt;""),IFERROR(_xlfn.MINIFS(Log!$D:$D,Log!$A:$A,$A39),""),"")</f>
        <v/>
      </c>
      <c r="J39" s="11" t="str">
        <f>IF(AND(A39&lt;&gt;"",B39&lt;&gt;""),IFERROR(_xlfn.MAXIFS(Log!$D:$D,Log!$A:$A,$A39),""),"")</f>
        <v/>
      </c>
      <c r="K39" s="11" t="str">
        <f>IF(AND(A39&lt;&gt;"", B39&lt;&gt;""),  IFERROR(AVERAGEIFS(Log!$E:$E,Log!$A:$A,$A39),""), "")</f>
        <v/>
      </c>
      <c r="L39" s="11" t="str">
        <f>IF(AND(A39&lt;&gt;"", B39&lt;&gt;""), IFERROR(_xlfn.MINIFS(Log!$E:$E,Log!$A:$A,$A39),""), "")</f>
        <v/>
      </c>
      <c r="M39" s="11" t="str">
        <f>IF(AND(A39&lt;&gt;"", B39&lt;&gt;""), IFERROR(_xlfn.MAXIFS(Log!$E:$E,Log!$A:$A,$A39),""), "")</f>
        <v/>
      </c>
    </row>
    <row r="40" spans="1:13" x14ac:dyDescent="0.3">
      <c r="A40" s="10"/>
      <c r="B40" s="59"/>
      <c r="C40" s="15">
        <f>COUNTIFS(Log!$A:$A,$A40)</f>
        <v>0</v>
      </c>
      <c r="D40" s="60"/>
      <c r="E40" s="81"/>
      <c r="F40" s="16" t="str">
        <f>IF(AND(A40&lt;&gt;"", B40&lt;&gt;""), IFERROR(AVERAGEIFS(Log!$C:$C,Log!$A:$A,$A40),""), "")</f>
        <v/>
      </c>
      <c r="G40" s="82" t="str">
        <f t="shared" si="1"/>
        <v/>
      </c>
      <c r="H40" s="11" t="str">
        <f>IF(AND(A40&lt;&gt;"", B40&lt;&gt;""), IFERROR(AVERAGEIFS(Log!$D:$D,Log!$A:$A,$A40),""), "")</f>
        <v/>
      </c>
      <c r="I40" s="11" t="str">
        <f>IF(AND(A40&lt;&gt;"",B40&lt;&gt;""),IFERROR(_xlfn.MINIFS(Log!$D:$D,Log!$A:$A,$A40),""),"")</f>
        <v/>
      </c>
      <c r="J40" s="11" t="str">
        <f>IF(AND(A40&lt;&gt;"",B40&lt;&gt;""),IFERROR(_xlfn.MAXIFS(Log!$D:$D,Log!$A:$A,$A40),""),"")</f>
        <v/>
      </c>
      <c r="K40" s="11" t="str">
        <f>IF(AND(A40&lt;&gt;"", B40&lt;&gt;""),  IFERROR(AVERAGEIFS(Log!$E:$E,Log!$A:$A,$A40),""), "")</f>
        <v/>
      </c>
      <c r="L40" s="11" t="str">
        <f>IF(AND(A40&lt;&gt;"", B40&lt;&gt;""), IFERROR(_xlfn.MINIFS(Log!$E:$E,Log!$A:$A,$A40),""), "")</f>
        <v/>
      </c>
      <c r="M40" s="11" t="str">
        <f>IF(AND(A40&lt;&gt;"", B40&lt;&gt;""), IFERROR(_xlfn.MAXIFS(Log!$E:$E,Log!$A:$A,$A40),""), "")</f>
        <v/>
      </c>
    </row>
    <row r="41" spans="1:13" x14ac:dyDescent="0.3">
      <c r="A41" s="10"/>
      <c r="B41" s="59"/>
      <c r="C41" s="15">
        <f>COUNTIFS(Log!$A:$A,$A41)</f>
        <v>0</v>
      </c>
      <c r="D41" s="60"/>
      <c r="E41" s="81"/>
      <c r="F41" s="16" t="str">
        <f>IF(AND(A41&lt;&gt;"", B41&lt;&gt;""), IFERROR(AVERAGEIFS(Log!$C:$C,Log!$A:$A,$A41),""), "")</f>
        <v/>
      </c>
      <c r="G41" s="82" t="str">
        <f t="shared" si="1"/>
        <v/>
      </c>
      <c r="H41" s="11" t="str">
        <f>IF(AND(A41&lt;&gt;"", B41&lt;&gt;""), IFERROR(AVERAGEIFS(Log!$D:$D,Log!$A:$A,$A41),""), "")</f>
        <v/>
      </c>
      <c r="I41" s="11" t="str">
        <f>IF(AND(A41&lt;&gt;"",B41&lt;&gt;""),IFERROR(_xlfn.MINIFS(Log!$D:$D,Log!$A:$A,$A41),""),"")</f>
        <v/>
      </c>
      <c r="J41" s="11" t="str">
        <f>IF(AND(A41&lt;&gt;"",B41&lt;&gt;""),IFERROR(_xlfn.MAXIFS(Log!$D:$D,Log!$A:$A,$A41),""),"")</f>
        <v/>
      </c>
      <c r="K41" s="11" t="str">
        <f>IF(AND(A41&lt;&gt;"", B41&lt;&gt;""),  IFERROR(AVERAGEIFS(Log!$E:$E,Log!$A:$A,$A41),""), "")</f>
        <v/>
      </c>
      <c r="L41" s="11" t="str">
        <f>IF(AND(A41&lt;&gt;"", B41&lt;&gt;""), IFERROR(_xlfn.MINIFS(Log!$E:$E,Log!$A:$A,$A41),""), "")</f>
        <v/>
      </c>
      <c r="M41" s="11" t="str">
        <f>IF(AND(A41&lt;&gt;"", B41&lt;&gt;""), IFERROR(_xlfn.MAXIFS(Log!$E:$E,Log!$A:$A,$A41),""), "")</f>
        <v/>
      </c>
    </row>
    <row r="42" spans="1:13" x14ac:dyDescent="0.3">
      <c r="A42" s="10"/>
      <c r="B42" s="59"/>
      <c r="C42" s="15">
        <f>COUNTIFS(Log!$A:$A,$A42)</f>
        <v>0</v>
      </c>
      <c r="D42" s="60"/>
      <c r="E42" s="81"/>
      <c r="F42" s="16" t="str">
        <f>IF(AND(A42&lt;&gt;"", B42&lt;&gt;""), IFERROR(AVERAGEIFS(Log!$C:$C,Log!$A:$A,$A42),""), "")</f>
        <v/>
      </c>
      <c r="G42" s="82" t="str">
        <f t="shared" si="1"/>
        <v/>
      </c>
      <c r="H42" s="11" t="str">
        <f>IF(AND(A42&lt;&gt;"", B42&lt;&gt;""), IFERROR(AVERAGEIFS(Log!$D:$D,Log!$A:$A,$A42),""), "")</f>
        <v/>
      </c>
      <c r="I42" s="11" t="str">
        <f>IF(AND(A42&lt;&gt;"",B42&lt;&gt;""),IFERROR(_xlfn.MINIFS(Log!$D:$D,Log!$A:$A,$A42),""),"")</f>
        <v/>
      </c>
      <c r="J42" s="11" t="str">
        <f>IF(AND(A42&lt;&gt;"",B42&lt;&gt;""),IFERROR(_xlfn.MAXIFS(Log!$D:$D,Log!$A:$A,$A42),""),"")</f>
        <v/>
      </c>
      <c r="K42" s="11" t="str">
        <f>IF(AND(A42&lt;&gt;"", B42&lt;&gt;""),  IFERROR(AVERAGEIFS(Log!$E:$E,Log!$A:$A,$A42),""), "")</f>
        <v/>
      </c>
      <c r="L42" s="11" t="str">
        <f>IF(AND(A42&lt;&gt;"", B42&lt;&gt;""), IFERROR(_xlfn.MINIFS(Log!$E:$E,Log!$A:$A,$A42),""), "")</f>
        <v/>
      </c>
      <c r="M42" s="11" t="str">
        <f>IF(AND(A42&lt;&gt;"", B42&lt;&gt;""), IFERROR(_xlfn.MAXIFS(Log!$E:$E,Log!$A:$A,$A42),""), "")</f>
        <v/>
      </c>
    </row>
    <row r="43" spans="1:13" x14ac:dyDescent="0.3">
      <c r="A43" s="10"/>
      <c r="B43" s="59"/>
      <c r="C43" s="15">
        <f>COUNTIFS(Log!$A:$A,$A43)</f>
        <v>0</v>
      </c>
      <c r="D43" s="60"/>
      <c r="E43" s="81"/>
      <c r="F43" s="16" t="str">
        <f>IF(AND(A43&lt;&gt;"", B43&lt;&gt;""), IFERROR(AVERAGEIFS(Log!$C:$C,Log!$A:$A,$A43),""), "")</f>
        <v/>
      </c>
      <c r="G43" s="82" t="str">
        <f t="shared" si="1"/>
        <v/>
      </c>
      <c r="H43" s="11" t="str">
        <f>IF(AND(A43&lt;&gt;"", B43&lt;&gt;""), IFERROR(AVERAGEIFS(Log!$D:$D,Log!$A:$A,$A43),""), "")</f>
        <v/>
      </c>
      <c r="I43" s="11" t="str">
        <f>IF(AND(A43&lt;&gt;"",B43&lt;&gt;""),IFERROR(_xlfn.MINIFS(Log!$D:$D,Log!$A:$A,$A43),""),"")</f>
        <v/>
      </c>
      <c r="J43" s="11" t="str">
        <f>IF(AND(A43&lt;&gt;"",B43&lt;&gt;""),IFERROR(_xlfn.MAXIFS(Log!$D:$D,Log!$A:$A,$A43),""),"")</f>
        <v/>
      </c>
      <c r="K43" s="11" t="str">
        <f>IF(AND(A43&lt;&gt;"", B43&lt;&gt;""),  IFERROR(AVERAGEIFS(Log!$E:$E,Log!$A:$A,$A43),""), "")</f>
        <v/>
      </c>
      <c r="L43" s="11" t="str">
        <f>IF(AND(A43&lt;&gt;"", B43&lt;&gt;""), IFERROR(_xlfn.MINIFS(Log!$E:$E,Log!$A:$A,$A43),""), "")</f>
        <v/>
      </c>
      <c r="M43" s="11" t="str">
        <f>IF(AND(A43&lt;&gt;"", B43&lt;&gt;""), IFERROR(_xlfn.MAXIFS(Log!$E:$E,Log!$A:$A,$A43),""), "")</f>
        <v/>
      </c>
    </row>
    <row r="44" spans="1:13" x14ac:dyDescent="0.3">
      <c r="A44" s="10"/>
      <c r="B44" s="59"/>
      <c r="C44" s="15">
        <f>COUNTIFS(Log!$A:$A,$A44)</f>
        <v>0</v>
      </c>
      <c r="D44" s="60"/>
      <c r="E44" s="81"/>
      <c r="F44" s="16" t="str">
        <f>IF(AND(A44&lt;&gt;"", B44&lt;&gt;""), IFERROR(AVERAGEIFS(Log!$C:$C,Log!$A:$A,$A44),""), "")</f>
        <v/>
      </c>
      <c r="G44" s="82" t="str">
        <f t="shared" si="1"/>
        <v/>
      </c>
      <c r="H44" s="11" t="str">
        <f>IF(AND(A44&lt;&gt;"", B44&lt;&gt;""), IFERROR(AVERAGEIFS(Log!$D:$D,Log!$A:$A,$A44),""), "")</f>
        <v/>
      </c>
      <c r="I44" s="11" t="str">
        <f>IF(AND(A44&lt;&gt;"",B44&lt;&gt;""),IFERROR(_xlfn.MINIFS(Log!$D:$D,Log!$A:$A,$A44),""),"")</f>
        <v/>
      </c>
      <c r="J44" s="11" t="str">
        <f>IF(AND(A44&lt;&gt;"",B44&lt;&gt;""),IFERROR(_xlfn.MAXIFS(Log!$D:$D,Log!$A:$A,$A44),""),"")</f>
        <v/>
      </c>
      <c r="K44" s="11" t="str">
        <f>IF(AND(A44&lt;&gt;"", B44&lt;&gt;""),  IFERROR(AVERAGEIFS(Log!$E:$E,Log!$A:$A,$A44),""), "")</f>
        <v/>
      </c>
      <c r="L44" s="11" t="str">
        <f>IF(AND(A44&lt;&gt;"", B44&lt;&gt;""), IFERROR(_xlfn.MINIFS(Log!$E:$E,Log!$A:$A,$A44),""), "")</f>
        <v/>
      </c>
      <c r="M44" s="11" t="str">
        <f>IF(AND(A44&lt;&gt;"", B44&lt;&gt;""), IFERROR(_xlfn.MAXIFS(Log!$E:$E,Log!$A:$A,$A44),""), "")</f>
        <v/>
      </c>
    </row>
    <row r="45" spans="1:13" x14ac:dyDescent="0.3">
      <c r="A45" s="10"/>
      <c r="B45" s="59"/>
      <c r="C45" s="15">
        <f>COUNTIFS(Log!$A:$A,$A45)</f>
        <v>0</v>
      </c>
      <c r="D45" s="60"/>
      <c r="E45" s="81"/>
      <c r="F45" s="16" t="str">
        <f>IF(AND(A45&lt;&gt;"", B45&lt;&gt;""), IFERROR(AVERAGEIFS(Log!$C:$C,Log!$A:$A,$A45),""), "")</f>
        <v/>
      </c>
      <c r="G45" s="82" t="str">
        <f t="shared" si="1"/>
        <v/>
      </c>
      <c r="H45" s="11" t="str">
        <f>IF(AND(A45&lt;&gt;"", B45&lt;&gt;""), IFERROR(AVERAGEIFS(Log!$D:$D,Log!$A:$A,$A45),""), "")</f>
        <v/>
      </c>
      <c r="I45" s="11" t="str">
        <f>IF(AND(A45&lt;&gt;"",B45&lt;&gt;""),IFERROR(_xlfn.MINIFS(Log!$D:$D,Log!$A:$A,$A45),""),"")</f>
        <v/>
      </c>
      <c r="J45" s="11" t="str">
        <f>IF(AND(A45&lt;&gt;"",B45&lt;&gt;""),IFERROR(_xlfn.MAXIFS(Log!$D:$D,Log!$A:$A,$A45),""),"")</f>
        <v/>
      </c>
      <c r="K45" s="11" t="str">
        <f>IF(AND(A45&lt;&gt;"", B45&lt;&gt;""),  IFERROR(AVERAGEIFS(Log!$E:$E,Log!$A:$A,$A45),""), "")</f>
        <v/>
      </c>
      <c r="L45" s="11" t="str">
        <f>IF(AND(A45&lt;&gt;"", B45&lt;&gt;""), IFERROR(_xlfn.MINIFS(Log!$E:$E,Log!$A:$A,$A45),""), "")</f>
        <v/>
      </c>
      <c r="M45" s="11" t="str">
        <f>IF(AND(A45&lt;&gt;"", B45&lt;&gt;""), IFERROR(_xlfn.MAXIFS(Log!$E:$E,Log!$A:$A,$A45),""), "")</f>
        <v/>
      </c>
    </row>
    <row r="46" spans="1:13" x14ac:dyDescent="0.3">
      <c r="A46" s="10"/>
      <c r="B46" s="59"/>
      <c r="C46" s="15">
        <f>COUNTIFS(Log!$A:$A,$A46)</f>
        <v>0</v>
      </c>
      <c r="D46" s="60"/>
      <c r="E46" s="81"/>
      <c r="F46" s="16" t="str">
        <f>IF(AND(A46&lt;&gt;"", B46&lt;&gt;""), IFERROR(AVERAGEIFS(Log!$C:$C,Log!$A:$A,$A46),""), "")</f>
        <v/>
      </c>
      <c r="G46" s="82" t="str">
        <f t="shared" si="1"/>
        <v/>
      </c>
      <c r="H46" s="11" t="str">
        <f>IF(AND(A46&lt;&gt;"", B46&lt;&gt;""), IFERROR(AVERAGEIFS(Log!$D:$D,Log!$A:$A,$A46),""), "")</f>
        <v/>
      </c>
      <c r="I46" s="11" t="str">
        <f>IF(AND(A46&lt;&gt;"",B46&lt;&gt;""),IFERROR(_xlfn.MINIFS(Log!$D:$D,Log!$A:$A,$A46),""),"")</f>
        <v/>
      </c>
      <c r="J46" s="11" t="str">
        <f>IF(AND(A46&lt;&gt;"",B46&lt;&gt;""),IFERROR(_xlfn.MAXIFS(Log!$D:$D,Log!$A:$A,$A46),""),"")</f>
        <v/>
      </c>
      <c r="K46" s="11" t="str">
        <f>IF(AND(A46&lt;&gt;"", B46&lt;&gt;""),  IFERROR(AVERAGEIFS(Log!$E:$E,Log!$A:$A,$A46),""), "")</f>
        <v/>
      </c>
      <c r="L46" s="11" t="str">
        <f>IF(AND(A46&lt;&gt;"", B46&lt;&gt;""), IFERROR(_xlfn.MINIFS(Log!$E:$E,Log!$A:$A,$A46),""), "")</f>
        <v/>
      </c>
      <c r="M46" s="11" t="str">
        <f>IF(AND(A46&lt;&gt;"", B46&lt;&gt;""), IFERROR(_xlfn.MAXIFS(Log!$E:$E,Log!$A:$A,$A46),""), "")</f>
        <v/>
      </c>
    </row>
    <row r="47" spans="1:13" x14ac:dyDescent="0.3">
      <c r="A47" s="10"/>
      <c r="B47" s="59"/>
      <c r="C47" s="15">
        <f>COUNTIFS(Log!$A:$A,$A47)</f>
        <v>0</v>
      </c>
      <c r="D47" s="60"/>
      <c r="E47" s="81"/>
      <c r="F47" s="16" t="str">
        <f>IF(AND(A47&lt;&gt;"", B47&lt;&gt;""), IFERROR(AVERAGEIFS(Log!$C:$C,Log!$A:$A,$A47),""), "")</f>
        <v/>
      </c>
      <c r="G47" s="82" t="str">
        <f t="shared" si="1"/>
        <v/>
      </c>
      <c r="H47" s="11" t="str">
        <f>IF(AND(A47&lt;&gt;"", B47&lt;&gt;""), IFERROR(AVERAGEIFS(Log!$D:$D,Log!$A:$A,$A47),""), "")</f>
        <v/>
      </c>
      <c r="I47" s="11" t="str">
        <f>IF(AND(A47&lt;&gt;"",B47&lt;&gt;""),IFERROR(_xlfn.MINIFS(Log!$D:$D,Log!$A:$A,$A47),""),"")</f>
        <v/>
      </c>
      <c r="J47" s="11" t="str">
        <f>IF(AND(A47&lt;&gt;"",B47&lt;&gt;""),IFERROR(_xlfn.MAXIFS(Log!$D:$D,Log!$A:$A,$A47),""),"")</f>
        <v/>
      </c>
      <c r="K47" s="11" t="str">
        <f>IF(AND(A47&lt;&gt;"", B47&lt;&gt;""),  IFERROR(AVERAGEIFS(Log!$E:$E,Log!$A:$A,$A47),""), "")</f>
        <v/>
      </c>
      <c r="L47" s="11" t="str">
        <f>IF(AND(A47&lt;&gt;"", B47&lt;&gt;""), IFERROR(_xlfn.MINIFS(Log!$E:$E,Log!$A:$A,$A47),""), "")</f>
        <v/>
      </c>
      <c r="M47" s="11" t="str">
        <f>IF(AND(A47&lt;&gt;"", B47&lt;&gt;""), IFERROR(_xlfn.MAXIFS(Log!$E:$E,Log!$A:$A,$A47),""), "")</f>
        <v/>
      </c>
    </row>
    <row r="48" spans="1:13" x14ac:dyDescent="0.3">
      <c r="A48" s="10"/>
      <c r="B48" s="59"/>
      <c r="C48" s="15">
        <f>COUNTIFS(Log!$A:$A,$A48)</f>
        <v>0</v>
      </c>
      <c r="D48" s="60"/>
      <c r="E48" s="81"/>
      <c r="F48" s="16" t="str">
        <f>IF(AND(A48&lt;&gt;"", B48&lt;&gt;""), IFERROR(AVERAGEIFS(Log!$C:$C,Log!$A:$A,$A48),""), "")</f>
        <v/>
      </c>
      <c r="G48" s="82" t="str">
        <f t="shared" si="1"/>
        <v/>
      </c>
      <c r="H48" s="11" t="str">
        <f>IF(AND(A48&lt;&gt;"", B48&lt;&gt;""), IFERROR(AVERAGEIFS(Log!$D:$D,Log!$A:$A,$A48),""), "")</f>
        <v/>
      </c>
      <c r="I48" s="11" t="str">
        <f>IF(AND(A48&lt;&gt;"",B48&lt;&gt;""),IFERROR(_xlfn.MINIFS(Log!$D:$D,Log!$A:$A,$A48),""),"")</f>
        <v/>
      </c>
      <c r="J48" s="11" t="str">
        <f>IF(AND(A48&lt;&gt;"",B48&lt;&gt;""),IFERROR(_xlfn.MAXIFS(Log!$D:$D,Log!$A:$A,$A48),""),"")</f>
        <v/>
      </c>
      <c r="K48" s="11" t="str">
        <f>IF(AND(A48&lt;&gt;"", B48&lt;&gt;""),  IFERROR(AVERAGEIFS(Log!$E:$E,Log!$A:$A,$A48),""), "")</f>
        <v/>
      </c>
      <c r="L48" s="11" t="str">
        <f>IF(AND(A48&lt;&gt;"", B48&lt;&gt;""), IFERROR(_xlfn.MINIFS(Log!$E:$E,Log!$A:$A,$A48),""), "")</f>
        <v/>
      </c>
      <c r="M48" s="11" t="str">
        <f>IF(AND(A48&lt;&gt;"", B48&lt;&gt;""), IFERROR(_xlfn.MAXIFS(Log!$E:$E,Log!$A:$A,$A48),""), "")</f>
        <v/>
      </c>
    </row>
    <row r="49" spans="1:13" x14ac:dyDescent="0.3">
      <c r="A49" s="10"/>
      <c r="B49" s="59"/>
      <c r="C49" s="15">
        <f>COUNTIFS(Log!$A:$A,$A49)</f>
        <v>0</v>
      </c>
      <c r="D49" s="60"/>
      <c r="E49" s="81"/>
      <c r="F49" s="16" t="str">
        <f>IF(AND(A49&lt;&gt;"", B49&lt;&gt;""), IFERROR(AVERAGEIFS(Log!$C:$C,Log!$A:$A,$A49),""), "")</f>
        <v/>
      </c>
      <c r="G49" s="82" t="str">
        <f t="shared" si="1"/>
        <v/>
      </c>
      <c r="H49" s="11" t="str">
        <f>IF(AND(A49&lt;&gt;"", B49&lt;&gt;""), IFERROR(AVERAGEIFS(Log!$D:$D,Log!$A:$A,$A49),""), "")</f>
        <v/>
      </c>
      <c r="I49" s="11" t="str">
        <f>IF(AND(A49&lt;&gt;"",B49&lt;&gt;""),IFERROR(_xlfn.MINIFS(Log!$D:$D,Log!$A:$A,$A49),""),"")</f>
        <v/>
      </c>
      <c r="J49" s="11" t="str">
        <f>IF(AND(A49&lt;&gt;"",B49&lt;&gt;""),IFERROR(_xlfn.MAXIFS(Log!$D:$D,Log!$A:$A,$A49),""),"")</f>
        <v/>
      </c>
      <c r="K49" s="11" t="str">
        <f>IF(AND(A49&lt;&gt;"", B49&lt;&gt;""),  IFERROR(AVERAGEIFS(Log!$E:$E,Log!$A:$A,$A49),""), "")</f>
        <v/>
      </c>
      <c r="L49" s="11" t="str">
        <f>IF(AND(A49&lt;&gt;"", B49&lt;&gt;""), IFERROR(_xlfn.MINIFS(Log!$E:$E,Log!$A:$A,$A49),""), "")</f>
        <v/>
      </c>
      <c r="M49" s="11" t="str">
        <f>IF(AND(A49&lt;&gt;"", B49&lt;&gt;""), IFERROR(_xlfn.MAXIFS(Log!$E:$E,Log!$A:$A,$A49),""), "")</f>
        <v/>
      </c>
    </row>
    <row r="50" spans="1:13" x14ac:dyDescent="0.3">
      <c r="A50" s="10"/>
      <c r="B50" s="59"/>
      <c r="C50" s="15">
        <f>COUNTIFS(Log!$A:$A,$A50)</f>
        <v>0</v>
      </c>
      <c r="D50" s="60"/>
      <c r="E50" s="81"/>
      <c r="F50" s="16" t="str">
        <f>IF(AND(A50&lt;&gt;"", B50&lt;&gt;""), IFERROR(AVERAGEIFS(Log!$C:$C,Log!$A:$A,$A50),""), "")</f>
        <v/>
      </c>
      <c r="G50" s="82" t="str">
        <f t="shared" si="1"/>
        <v/>
      </c>
      <c r="H50" s="11" t="str">
        <f>IF(AND(A50&lt;&gt;"", B50&lt;&gt;""), IFERROR(AVERAGEIFS(Log!$D:$D,Log!$A:$A,$A50),""), "")</f>
        <v/>
      </c>
      <c r="I50" s="11" t="str">
        <f>IF(AND(A50&lt;&gt;"",B50&lt;&gt;""),IFERROR(_xlfn.MINIFS(Log!$D:$D,Log!$A:$A,$A50),""),"")</f>
        <v/>
      </c>
      <c r="J50" s="11" t="str">
        <f>IF(AND(A50&lt;&gt;"",B50&lt;&gt;""),IFERROR(_xlfn.MAXIFS(Log!$D:$D,Log!$A:$A,$A50),""),"")</f>
        <v/>
      </c>
      <c r="K50" s="11" t="str">
        <f>IF(AND(A50&lt;&gt;"", B50&lt;&gt;""),  IFERROR(AVERAGEIFS(Log!$E:$E,Log!$A:$A,$A50),""), "")</f>
        <v/>
      </c>
      <c r="L50" s="11" t="str">
        <f>IF(AND(A50&lt;&gt;"", B50&lt;&gt;""), IFERROR(_xlfn.MINIFS(Log!$E:$E,Log!$A:$A,$A50),""), "")</f>
        <v/>
      </c>
      <c r="M50" s="11" t="str">
        <f>IF(AND(A50&lt;&gt;"", B50&lt;&gt;""), IFERROR(_xlfn.MAXIFS(Log!$E:$E,Log!$A:$A,$A50),""), "")</f>
        <v/>
      </c>
    </row>
    <row r="51" spans="1:13" x14ac:dyDescent="0.3">
      <c r="A51" s="10"/>
      <c r="B51" s="59"/>
      <c r="C51" s="15">
        <f>COUNTIFS(Log!$A:$A,$A51)</f>
        <v>0</v>
      </c>
      <c r="D51" s="60"/>
      <c r="E51" s="81"/>
      <c r="F51" s="16" t="str">
        <f>IF(AND(A51&lt;&gt;"", B51&lt;&gt;""), IFERROR(AVERAGEIFS(Log!$C:$C,Log!$A:$A,$A51),""), "")</f>
        <v/>
      </c>
      <c r="G51" s="82" t="str">
        <f t="shared" si="1"/>
        <v/>
      </c>
      <c r="H51" s="11" t="str">
        <f>IF(AND(A51&lt;&gt;"", B51&lt;&gt;""), IFERROR(AVERAGEIFS(Log!$D:$D,Log!$A:$A,$A51),""), "")</f>
        <v/>
      </c>
      <c r="I51" s="11" t="str">
        <f>IF(AND(A51&lt;&gt;"",B51&lt;&gt;""),IFERROR(_xlfn.MINIFS(Log!$D:$D,Log!$A:$A,$A51),""),"")</f>
        <v/>
      </c>
      <c r="J51" s="11" t="str">
        <f>IF(AND(A51&lt;&gt;"",B51&lt;&gt;""),IFERROR(_xlfn.MAXIFS(Log!$D:$D,Log!$A:$A,$A51),""),"")</f>
        <v/>
      </c>
      <c r="K51" s="11" t="str">
        <f>IF(AND(A51&lt;&gt;"", B51&lt;&gt;""),  IFERROR(AVERAGEIFS(Log!$E:$E,Log!$A:$A,$A51),""), "")</f>
        <v/>
      </c>
      <c r="L51" s="11" t="str">
        <f>IF(AND(A51&lt;&gt;"", B51&lt;&gt;""), IFERROR(_xlfn.MINIFS(Log!$E:$E,Log!$A:$A,$A51),""), "")</f>
        <v/>
      </c>
      <c r="M51" s="11" t="str">
        <f>IF(AND(A51&lt;&gt;"", B51&lt;&gt;""), IFERROR(_xlfn.MAXIFS(Log!$E:$E,Log!$A:$A,$A51),""), "")</f>
        <v/>
      </c>
    </row>
    <row r="52" spans="1:13" x14ac:dyDescent="0.3">
      <c r="A52" s="10"/>
      <c r="B52" s="59"/>
      <c r="C52" s="15">
        <f>COUNTIFS(Log!$A:$A,$A52)</f>
        <v>0</v>
      </c>
      <c r="D52" s="60"/>
      <c r="E52" s="81"/>
      <c r="F52" s="16" t="str">
        <f>IF(AND(A52&lt;&gt;"", B52&lt;&gt;""), IFERROR(AVERAGEIFS(Log!$C:$C,Log!$A:$A,$A52),""), "")</f>
        <v/>
      </c>
      <c r="G52" s="82" t="str">
        <f t="shared" si="1"/>
        <v/>
      </c>
      <c r="H52" s="11" t="str">
        <f>IF(AND(A52&lt;&gt;"", B52&lt;&gt;""), IFERROR(AVERAGEIFS(Log!$D:$D,Log!$A:$A,$A52),""), "")</f>
        <v/>
      </c>
      <c r="I52" s="11" t="str">
        <f>IF(AND(A52&lt;&gt;"",B52&lt;&gt;""),IFERROR(_xlfn.MINIFS(Log!$D:$D,Log!$A:$A,$A52),""),"")</f>
        <v/>
      </c>
      <c r="J52" s="11" t="str">
        <f>IF(AND(A52&lt;&gt;"",B52&lt;&gt;""),IFERROR(_xlfn.MAXIFS(Log!$D:$D,Log!$A:$A,$A52),""),"")</f>
        <v/>
      </c>
      <c r="K52" s="11" t="str">
        <f>IF(AND(A52&lt;&gt;"", B52&lt;&gt;""),  IFERROR(AVERAGEIFS(Log!$E:$E,Log!$A:$A,$A52),""), "")</f>
        <v/>
      </c>
      <c r="L52" s="11" t="str">
        <f>IF(AND(A52&lt;&gt;"", B52&lt;&gt;""), IFERROR(_xlfn.MINIFS(Log!$E:$E,Log!$A:$A,$A52),""), "")</f>
        <v/>
      </c>
      <c r="M52" s="11" t="str">
        <f>IF(AND(A52&lt;&gt;"", B52&lt;&gt;""), IFERROR(_xlfn.MAXIFS(Log!$E:$E,Log!$A:$A,$A52),""), "")</f>
        <v/>
      </c>
    </row>
    <row r="53" spans="1:13" x14ac:dyDescent="0.3">
      <c r="A53" s="10"/>
      <c r="B53" s="59"/>
      <c r="C53" s="15">
        <f>COUNTIFS(Log!$A:$A,$A53)</f>
        <v>0</v>
      </c>
      <c r="D53" s="60"/>
      <c r="E53" s="81"/>
      <c r="F53" s="16" t="str">
        <f>IF(AND(A53&lt;&gt;"", B53&lt;&gt;""), IFERROR(AVERAGEIFS(Log!$C:$C,Log!$A:$A,$A53),""), "")</f>
        <v/>
      </c>
      <c r="G53" s="82" t="str">
        <f t="shared" si="1"/>
        <v/>
      </c>
      <c r="H53" s="11" t="str">
        <f>IF(AND(A53&lt;&gt;"", B53&lt;&gt;""), IFERROR(AVERAGEIFS(Log!$D:$D,Log!$A:$A,$A53),""), "")</f>
        <v/>
      </c>
      <c r="I53" s="11" t="str">
        <f>IF(AND(A53&lt;&gt;"",B53&lt;&gt;""),IFERROR(_xlfn.MINIFS(Log!$D:$D,Log!$A:$A,$A53),""),"")</f>
        <v/>
      </c>
      <c r="J53" s="11" t="str">
        <f>IF(AND(A53&lt;&gt;"",B53&lt;&gt;""),IFERROR(_xlfn.MAXIFS(Log!$D:$D,Log!$A:$A,$A53),""),"")</f>
        <v/>
      </c>
      <c r="K53" s="11" t="str">
        <f>IF(AND(A53&lt;&gt;"", B53&lt;&gt;""),  IFERROR(AVERAGEIFS(Log!$E:$E,Log!$A:$A,$A53),""), "")</f>
        <v/>
      </c>
      <c r="L53" s="11" t="str">
        <f>IF(AND(A53&lt;&gt;"", B53&lt;&gt;""), IFERROR(_xlfn.MINIFS(Log!$E:$E,Log!$A:$A,$A53),""), "")</f>
        <v/>
      </c>
      <c r="M53" s="11" t="str">
        <f>IF(AND(A53&lt;&gt;"", B53&lt;&gt;""), IFERROR(_xlfn.MAXIFS(Log!$E:$E,Log!$A:$A,$A53),""), "")</f>
        <v/>
      </c>
    </row>
    <row r="54" spans="1:13" x14ac:dyDescent="0.3">
      <c r="A54" s="10"/>
      <c r="B54" s="59"/>
      <c r="C54" s="15">
        <f>COUNTIFS(Log!$A:$A,$A54)</f>
        <v>0</v>
      </c>
      <c r="D54" s="60"/>
      <c r="E54" s="81"/>
      <c r="F54" s="16" t="str">
        <f>IF(AND(A54&lt;&gt;"", B54&lt;&gt;""), IFERROR(AVERAGEIFS(Log!$C:$C,Log!$A:$A,$A54),""), "")</f>
        <v/>
      </c>
      <c r="G54" s="82" t="str">
        <f t="shared" si="1"/>
        <v/>
      </c>
      <c r="H54" s="11" t="str">
        <f>IF(AND(A54&lt;&gt;"", B54&lt;&gt;""), IFERROR(AVERAGEIFS(Log!$D:$D,Log!$A:$A,$A54),""), "")</f>
        <v/>
      </c>
      <c r="I54" s="11" t="str">
        <f>IF(AND(A54&lt;&gt;"",B54&lt;&gt;""),IFERROR(_xlfn.MINIFS(Log!$D:$D,Log!$A:$A,$A54),""),"")</f>
        <v/>
      </c>
      <c r="J54" s="11" t="str">
        <f>IF(AND(A54&lt;&gt;"",B54&lt;&gt;""),IFERROR(_xlfn.MAXIFS(Log!$D:$D,Log!$A:$A,$A54),""),"")</f>
        <v/>
      </c>
      <c r="K54" s="11" t="str">
        <f>IF(AND(A54&lt;&gt;"", B54&lt;&gt;""),  IFERROR(AVERAGEIFS(Log!$E:$E,Log!$A:$A,$A54),""), "")</f>
        <v/>
      </c>
      <c r="L54" s="11" t="str">
        <f>IF(AND(A54&lt;&gt;"", B54&lt;&gt;""), IFERROR(_xlfn.MINIFS(Log!$E:$E,Log!$A:$A,$A54),""), "")</f>
        <v/>
      </c>
      <c r="M54" s="11" t="str">
        <f>IF(AND(A54&lt;&gt;"", B54&lt;&gt;""), IFERROR(_xlfn.MAXIFS(Log!$E:$E,Log!$A:$A,$A54),""), "")</f>
        <v/>
      </c>
    </row>
    <row r="55" spans="1:13" x14ac:dyDescent="0.3">
      <c r="A55" s="10"/>
      <c r="B55" s="59"/>
      <c r="C55" s="15">
        <f>COUNTIFS(Log!$A:$A,$A55)</f>
        <v>0</v>
      </c>
      <c r="D55" s="60"/>
      <c r="E55" s="81"/>
      <c r="F55" s="16" t="str">
        <f>IF(AND(A55&lt;&gt;"", B55&lt;&gt;""), IFERROR(AVERAGEIFS(Log!$C:$C,Log!$A:$A,$A55),""), "")</f>
        <v/>
      </c>
      <c r="G55" s="82" t="str">
        <f t="shared" si="1"/>
        <v/>
      </c>
      <c r="H55" s="11" t="str">
        <f>IF(AND(A55&lt;&gt;"", B55&lt;&gt;""), IFERROR(AVERAGEIFS(Log!$D:$D,Log!$A:$A,$A55),""), "")</f>
        <v/>
      </c>
      <c r="I55" s="11" t="str">
        <f>IF(AND(A55&lt;&gt;"",B55&lt;&gt;""),IFERROR(_xlfn.MINIFS(Log!$D:$D,Log!$A:$A,$A55),""),"")</f>
        <v/>
      </c>
      <c r="J55" s="11" t="str">
        <f>IF(AND(A55&lt;&gt;"",B55&lt;&gt;""),IFERROR(_xlfn.MAXIFS(Log!$D:$D,Log!$A:$A,$A55),""),"")</f>
        <v/>
      </c>
      <c r="K55" s="11" t="str">
        <f>IF(AND(A55&lt;&gt;"", B55&lt;&gt;""),  IFERROR(AVERAGEIFS(Log!$E:$E,Log!$A:$A,$A55),""), "")</f>
        <v/>
      </c>
      <c r="L55" s="11" t="str">
        <f>IF(AND(A55&lt;&gt;"", B55&lt;&gt;""), IFERROR(_xlfn.MINIFS(Log!$E:$E,Log!$A:$A,$A55),""), "")</f>
        <v/>
      </c>
      <c r="M55" s="11" t="str">
        <f>IF(AND(A55&lt;&gt;"", B55&lt;&gt;""), IFERROR(_xlfn.MAXIFS(Log!$E:$E,Log!$A:$A,$A55),""), "")</f>
        <v/>
      </c>
    </row>
    <row r="56" spans="1:13" x14ac:dyDescent="0.3">
      <c r="A56" s="10"/>
      <c r="B56" s="59"/>
      <c r="C56" s="15">
        <f>COUNTIFS(Log!$A:$A,$A56)</f>
        <v>0</v>
      </c>
      <c r="D56" s="60"/>
      <c r="E56" s="81"/>
      <c r="F56" s="16" t="str">
        <f>IF(AND(A56&lt;&gt;"", B56&lt;&gt;""), IFERROR(AVERAGEIFS(Log!$C:$C,Log!$A:$A,$A56),""), "")</f>
        <v/>
      </c>
      <c r="G56" s="82" t="str">
        <f t="shared" si="1"/>
        <v/>
      </c>
      <c r="H56" s="11" t="str">
        <f>IF(AND(A56&lt;&gt;"", B56&lt;&gt;""), IFERROR(AVERAGEIFS(Log!$D:$D,Log!$A:$A,$A56),""), "")</f>
        <v/>
      </c>
      <c r="I56" s="11" t="str">
        <f>IF(AND(A56&lt;&gt;"",B56&lt;&gt;""),IFERROR(_xlfn.MINIFS(Log!$D:$D,Log!$A:$A,$A56),""),"")</f>
        <v/>
      </c>
      <c r="J56" s="11" t="str">
        <f>IF(AND(A56&lt;&gt;"",B56&lt;&gt;""),IFERROR(_xlfn.MAXIFS(Log!$D:$D,Log!$A:$A,$A56),""),"")</f>
        <v/>
      </c>
      <c r="K56" s="11" t="str">
        <f>IF(AND(A56&lt;&gt;"", B56&lt;&gt;""),  IFERROR(AVERAGEIFS(Log!$E:$E,Log!$A:$A,$A56),""), "")</f>
        <v/>
      </c>
      <c r="L56" s="11" t="str">
        <f>IF(AND(A56&lt;&gt;"", B56&lt;&gt;""), IFERROR(_xlfn.MINIFS(Log!$E:$E,Log!$A:$A,$A56),""), "")</f>
        <v/>
      </c>
      <c r="M56" s="11" t="str">
        <f>IF(AND(A56&lt;&gt;"", B56&lt;&gt;""), IFERROR(_xlfn.MAXIFS(Log!$E:$E,Log!$A:$A,$A56),""), "")</f>
        <v/>
      </c>
    </row>
    <row r="57" spans="1:13" x14ac:dyDescent="0.3">
      <c r="A57" s="10"/>
      <c r="B57" s="59"/>
      <c r="C57" s="15">
        <f>COUNTIFS(Log!$A:$A,$A57)</f>
        <v>0</v>
      </c>
      <c r="D57" s="60"/>
      <c r="E57" s="81"/>
      <c r="F57" s="16" t="str">
        <f>IF(AND(A57&lt;&gt;"", B57&lt;&gt;""), IFERROR(AVERAGEIFS(Log!$C:$C,Log!$A:$A,$A57),""), "")</f>
        <v/>
      </c>
      <c r="G57" s="82" t="str">
        <f t="shared" si="1"/>
        <v/>
      </c>
      <c r="H57" s="11" t="str">
        <f>IF(AND(A57&lt;&gt;"", B57&lt;&gt;""), IFERROR(AVERAGEIFS(Log!$D:$D,Log!$A:$A,$A57),""), "")</f>
        <v/>
      </c>
      <c r="I57" s="11" t="str">
        <f>IF(AND(A57&lt;&gt;"",B57&lt;&gt;""),IFERROR(_xlfn.MINIFS(Log!$D:$D,Log!$A:$A,$A57),""),"")</f>
        <v/>
      </c>
      <c r="J57" s="11" t="str">
        <f>IF(AND(A57&lt;&gt;"",B57&lt;&gt;""),IFERROR(_xlfn.MAXIFS(Log!$D:$D,Log!$A:$A,$A57),""),"")</f>
        <v/>
      </c>
      <c r="K57" s="11" t="str">
        <f>IF(AND(A57&lt;&gt;"", B57&lt;&gt;""),  IFERROR(AVERAGEIFS(Log!$E:$E,Log!$A:$A,$A57),""), "")</f>
        <v/>
      </c>
      <c r="L57" s="11" t="str">
        <f>IF(AND(A57&lt;&gt;"", B57&lt;&gt;""), IFERROR(_xlfn.MINIFS(Log!$E:$E,Log!$A:$A,$A57),""), "")</f>
        <v/>
      </c>
      <c r="M57" s="11" t="str">
        <f>IF(AND(A57&lt;&gt;"", B57&lt;&gt;""), IFERROR(_xlfn.MAXIFS(Log!$E:$E,Log!$A:$A,$A57),""), "")</f>
        <v/>
      </c>
    </row>
    <row r="58" spans="1:13" x14ac:dyDescent="0.3">
      <c r="F58" s="16" t="str">
        <f>IF(AND(A58&lt;&gt;"", B58&lt;&gt;""), IFERROR(AVERAGEIFS(Log!$C:$C,Log!$A:$A,$A58),""), "")</f>
        <v/>
      </c>
      <c r="G58" s="82" t="str">
        <f t="shared" si="1"/>
        <v/>
      </c>
      <c r="H58" s="11" t="str">
        <f>IF(AND(A58&lt;&gt;"", B58&lt;&gt;""), IFERROR(AVERAGEIFS(Log!$D:$D,Log!$A:$A,$A58),""), "")</f>
        <v/>
      </c>
      <c r="I58" s="11" t="str">
        <f>IF(AND(A58&lt;&gt;"",B58&lt;&gt;""),IFERROR(_xlfn.MINIFS(Log!$D:$D,Log!$A:$A,$A58),""),"")</f>
        <v/>
      </c>
      <c r="J58" s="11" t="str">
        <f>IF(AND(A58&lt;&gt;"",B58&lt;&gt;""),IFERROR(_xlfn.MAXIFS(Log!$D:$D,Log!$A:$A,$A58),""),"")</f>
        <v/>
      </c>
      <c r="K58" s="11" t="str">
        <f>IF(AND(A58&lt;&gt;"", B58&lt;&gt;""),  IFERROR(AVERAGEIFS(Log!$E:$E,Log!$A:$A,$A58),""), "")</f>
        <v/>
      </c>
      <c r="L58" s="11" t="str">
        <f>IF(AND(A58&lt;&gt;"", B58&lt;&gt;""), IFERROR(_xlfn.MINIFS(Log!$E:$E,Log!$A:$A,$A58),""), "")</f>
        <v/>
      </c>
      <c r="M58" s="11" t="str">
        <f>IF(AND(A58&lt;&gt;"", B58&lt;&gt;""), IFERROR(_xlfn.MAXIFS(Log!$E:$E,Log!$A:$A,$A58),""), "")</f>
        <v/>
      </c>
    </row>
    <row r="59" spans="1:13" x14ac:dyDescent="0.3">
      <c r="F59" s="16" t="str">
        <f>IF(AND(A59&lt;&gt;"", B59&lt;&gt;""), IFERROR(AVERAGEIFS(Log!$C:$C,Log!$A:$A,$A59),""), "")</f>
        <v/>
      </c>
      <c r="G59" s="82" t="str">
        <f t="shared" si="1"/>
        <v/>
      </c>
      <c r="H59" s="11" t="str">
        <f>IF(AND(A59&lt;&gt;"", B59&lt;&gt;""), IFERROR(AVERAGEIFS(Log!$D:$D,Log!$A:$A,$A59),""), "")</f>
        <v/>
      </c>
      <c r="I59" s="11" t="str">
        <f>IF(AND(A59&lt;&gt;"",B59&lt;&gt;""),IFERROR(_xlfn.MINIFS(Log!$D:$D,Log!$A:$A,$A59),""),"")</f>
        <v/>
      </c>
      <c r="J59" s="11" t="str">
        <f>IF(AND(A59&lt;&gt;"",B59&lt;&gt;""),IFERROR(_xlfn.MAXIFS(Log!$D:$D,Log!$A:$A,$A59),""),"")</f>
        <v/>
      </c>
      <c r="K59" s="11" t="str">
        <f>IF(AND(A59&lt;&gt;"", B59&lt;&gt;""),  IFERROR(AVERAGEIFS(Log!$E:$E,Log!$A:$A,$A59),""), "")</f>
        <v/>
      </c>
      <c r="L59" s="11" t="str">
        <f>IF(AND(A59&lt;&gt;"", B59&lt;&gt;""), IFERROR(_xlfn.MINIFS(Log!$E:$E,Log!$A:$A,$A59),""), "")</f>
        <v/>
      </c>
      <c r="M59" s="11" t="str">
        <f>IF(AND(A59&lt;&gt;"", B59&lt;&gt;""), IFERROR(_xlfn.MAXIFS(Log!$E:$E,Log!$A:$A,$A59),""), "")</f>
        <v/>
      </c>
    </row>
    <row r="60" spans="1:13" x14ac:dyDescent="0.3">
      <c r="F60" s="16" t="str">
        <f>IF(AND(A60&lt;&gt;"", B60&lt;&gt;""), IFERROR(AVERAGEIFS(Log!$C:$C,Log!$A:$A,$A60),""), "")</f>
        <v/>
      </c>
      <c r="G60" s="82" t="str">
        <f t="shared" si="1"/>
        <v/>
      </c>
      <c r="H60" s="11" t="str">
        <f>IF(AND(A60&lt;&gt;"", B60&lt;&gt;""), IFERROR(AVERAGEIFS(Log!$D:$D,Log!$A:$A,$A60),""), "")</f>
        <v/>
      </c>
      <c r="I60" s="11" t="str">
        <f>IF(AND(A60&lt;&gt;"",B60&lt;&gt;""),IFERROR(_xlfn.MINIFS(Log!$D:$D,Log!$A:$A,$A60),""),"")</f>
        <v/>
      </c>
      <c r="J60" s="11" t="str">
        <f>IF(AND(A60&lt;&gt;"",B60&lt;&gt;""),IFERROR(_xlfn.MAXIFS(Log!$D:$D,Log!$A:$A,$A60),""),"")</f>
        <v/>
      </c>
      <c r="K60" s="11" t="str">
        <f>IF(AND(A60&lt;&gt;"", B60&lt;&gt;""),  IFERROR(AVERAGEIFS(Log!$E:$E,Log!$A:$A,$A60),""), "")</f>
        <v/>
      </c>
      <c r="L60" s="11" t="str">
        <f>IF(AND(A60&lt;&gt;"", B60&lt;&gt;""), IFERROR(_xlfn.MINIFS(Log!$E:$E,Log!$A:$A,$A60),""), "")</f>
        <v/>
      </c>
      <c r="M60" s="11" t="str">
        <f>IF(AND(A60&lt;&gt;"", B60&lt;&gt;""), IFERROR(_xlfn.MAXIFS(Log!$E:$E,Log!$A:$A,$A60),""), "")</f>
        <v/>
      </c>
    </row>
    <row r="61" spans="1:13" x14ac:dyDescent="0.3">
      <c r="F61" s="16" t="str">
        <f>IF(AND(A61&lt;&gt;"", B61&lt;&gt;""), IFERROR(AVERAGEIFS(Log!$C:$C,Log!$A:$A,$A61),""), "")</f>
        <v/>
      </c>
      <c r="G61" s="82" t="str">
        <f t="shared" si="1"/>
        <v/>
      </c>
      <c r="H61" s="11" t="str">
        <f>IF(AND(A61&lt;&gt;"", B61&lt;&gt;""), IFERROR(AVERAGEIFS(Log!$D:$D,Log!$A:$A,$A61),""), "")</f>
        <v/>
      </c>
      <c r="I61" s="11" t="str">
        <f>IF(AND(A61&lt;&gt;"",B61&lt;&gt;""),IFERROR(_xlfn.MINIFS(Log!$D:$D,Log!$A:$A,$A61),""),"")</f>
        <v/>
      </c>
      <c r="J61" s="11" t="str">
        <f>IF(AND(A61&lt;&gt;"",B61&lt;&gt;""),IFERROR(_xlfn.MAXIFS(Log!$D:$D,Log!$A:$A,$A61),""),"")</f>
        <v/>
      </c>
      <c r="K61" s="11" t="str">
        <f>IF(AND(A61&lt;&gt;"", B61&lt;&gt;""),  IFERROR(AVERAGEIFS(Log!$E:$E,Log!$A:$A,$A61),""), "")</f>
        <v/>
      </c>
      <c r="L61" s="11" t="str">
        <f>IF(AND(A61&lt;&gt;"", B61&lt;&gt;""), IFERROR(_xlfn.MINIFS(Log!$E:$E,Log!$A:$A,$A61),""), "")</f>
        <v/>
      </c>
      <c r="M61" s="11" t="str">
        <f>IF(AND(A61&lt;&gt;"", B61&lt;&gt;""), IFERROR(_xlfn.MAXIFS(Log!$E:$E,Log!$A:$A,$A61),""), "")</f>
        <v/>
      </c>
    </row>
    <row r="62" spans="1:13" x14ac:dyDescent="0.3">
      <c r="F62" s="16" t="str">
        <f>IF(AND(A62&lt;&gt;"", B62&lt;&gt;""), IFERROR(AVERAGEIFS(Log!$C:$C,Log!$A:$A,$A62),""), "")</f>
        <v/>
      </c>
      <c r="G62" s="82" t="str">
        <f t="shared" si="1"/>
        <v/>
      </c>
      <c r="H62" s="11" t="str">
        <f>IF(AND(A62&lt;&gt;"", B62&lt;&gt;""), IFERROR(AVERAGEIFS(Log!$D:$D,Log!$A:$A,$A62),""), "")</f>
        <v/>
      </c>
      <c r="I62" s="11" t="str">
        <f>IF(AND(A62&lt;&gt;"",B62&lt;&gt;""),IFERROR(_xlfn.MINIFS(Log!$D:$D,Log!$A:$A,$A62),""),"")</f>
        <v/>
      </c>
      <c r="J62" s="11" t="str">
        <f>IF(AND(A62&lt;&gt;"",B62&lt;&gt;""),IFERROR(_xlfn.MAXIFS(Log!$D:$D,Log!$A:$A,$A62),""),"")</f>
        <v/>
      </c>
      <c r="K62" s="11" t="str">
        <f>IF(AND(A62&lt;&gt;"", B62&lt;&gt;""),  IFERROR(AVERAGEIFS(Log!$E:$E,Log!$A:$A,$A62),""), "")</f>
        <v/>
      </c>
      <c r="L62" s="11" t="str">
        <f>IF(AND(A62&lt;&gt;"", B62&lt;&gt;""), IFERROR(_xlfn.MINIFS(Log!$E:$E,Log!$A:$A,$A62),""), "")</f>
        <v/>
      </c>
      <c r="M62" s="11" t="str">
        <f>IF(AND(A62&lt;&gt;"", B62&lt;&gt;""), IFERROR(_xlfn.MAXIFS(Log!$E:$E,Log!$A:$A,$A62),""), "")</f>
        <v/>
      </c>
    </row>
  </sheetData>
  <mergeCells count="10">
    <mergeCell ref="N1:N2"/>
    <mergeCell ref="C1:C2"/>
    <mergeCell ref="H1:J1"/>
    <mergeCell ref="K1:M1"/>
    <mergeCell ref="G1:G2"/>
    <mergeCell ref="A1:A2"/>
    <mergeCell ref="D1:D2"/>
    <mergeCell ref="B1:B2"/>
    <mergeCell ref="E1:E2"/>
    <mergeCell ref="F1:F2"/>
  </mergeCells>
  <conditionalFormatting sqref="F3:F1048576">
    <cfRule type="colorScale" priority="13">
      <colorScale>
        <cfvo type="min"/>
        <cfvo type="percentile" val="50"/>
        <cfvo type="max"/>
        <color rgb="FFF8696B"/>
        <color rgb="FFFFEB84"/>
        <color rgb="FF63BE7B"/>
      </colorScale>
    </cfRule>
  </conditionalFormatting>
  <conditionalFormatting sqref="G1:G1048576">
    <cfRule type="colorScale" priority="5">
      <colorScale>
        <cfvo type="min"/>
        <cfvo type="max"/>
        <color rgb="FFFF7128"/>
        <color rgb="FFFFEF9C"/>
      </colorScale>
    </cfRule>
  </conditionalFormatting>
  <conditionalFormatting sqref="H2:H1048576">
    <cfRule type="colorScale" priority="8">
      <colorScale>
        <cfvo type="min"/>
        <cfvo type="percentile" val="50"/>
        <cfvo type="max"/>
        <color rgb="FF63BE7B"/>
        <color rgb="FFFFEB84"/>
        <color rgb="FFF8696B"/>
      </colorScale>
    </cfRule>
  </conditionalFormatting>
  <conditionalFormatting sqref="I1:I1048576">
    <cfRule type="colorScale" priority="4">
      <colorScale>
        <cfvo type="min"/>
        <cfvo type="max"/>
        <color rgb="FFFFEF9C"/>
        <color rgb="FFFF7128"/>
      </colorScale>
    </cfRule>
  </conditionalFormatting>
  <conditionalFormatting sqref="J1:J1048576">
    <cfRule type="colorScale" priority="3">
      <colorScale>
        <cfvo type="min"/>
        <cfvo type="max"/>
        <color rgb="FFFFEF9C"/>
        <color rgb="FFFF7128"/>
      </colorScale>
    </cfRule>
  </conditionalFormatting>
  <conditionalFormatting sqref="K2:K1048576">
    <cfRule type="colorScale" priority="12">
      <colorScale>
        <cfvo type="min"/>
        <cfvo type="percentile" val="50"/>
        <cfvo type="max"/>
        <color rgb="FF63BE7B"/>
        <color rgb="FFFFEB84"/>
        <color rgb="FFF8696B"/>
      </colorScale>
    </cfRule>
  </conditionalFormatting>
  <conditionalFormatting sqref="L1:L1048576">
    <cfRule type="colorScale" priority="2">
      <colorScale>
        <cfvo type="min"/>
        <cfvo type="max"/>
        <color rgb="FFFFEF9C"/>
        <color rgb="FFFF7128"/>
      </colorScale>
    </cfRule>
  </conditionalFormatting>
  <conditionalFormatting sqref="M1:M1048576">
    <cfRule type="colorScale" priority="1">
      <colorScale>
        <cfvo type="min"/>
        <cfvo type="max"/>
        <color rgb="FFFFEF9C"/>
        <color rgb="FFFF7128"/>
      </colorScale>
    </cfRule>
  </conditionalFormatting>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M60"/>
  <sheetViews>
    <sheetView showZeros="0" tabSelected="1" zoomScaleNormal="100" workbookViewId="0">
      <pane ySplit="4" topLeftCell="A5" activePane="bottomLeft" state="frozen"/>
      <selection activeCell="B1" sqref="B1:C1"/>
      <selection pane="bottomLeft" activeCell="D20" sqref="D20"/>
    </sheetView>
  </sheetViews>
  <sheetFormatPr defaultColWidth="8.6640625" defaultRowHeight="14.4" x14ac:dyDescent="0.3"/>
  <cols>
    <col min="1" max="1" width="16.5546875" style="9" customWidth="1"/>
    <col min="2" max="2" width="8.6640625" style="9" hidden="1" customWidth="1"/>
    <col min="3" max="4" width="15.6640625" style="9" customWidth="1"/>
    <col min="5" max="6" width="15.77734375" customWidth="1"/>
    <col min="8" max="13" width="15.77734375" style="9" customWidth="1"/>
  </cols>
  <sheetData>
    <row r="1" spans="1:13" x14ac:dyDescent="0.3">
      <c r="A1" s="104" t="s">
        <v>37</v>
      </c>
      <c r="B1" s="105"/>
      <c r="C1" s="101" t="s">
        <v>17</v>
      </c>
      <c r="D1" s="102"/>
      <c r="H1" s="100" t="s">
        <v>100</v>
      </c>
      <c r="I1" s="100"/>
      <c r="J1" s="100" t="s">
        <v>98</v>
      </c>
      <c r="K1" s="100"/>
      <c r="L1" s="100" t="s">
        <v>101</v>
      </c>
      <c r="M1" s="100"/>
    </row>
    <row r="2" spans="1:13" x14ac:dyDescent="0.3">
      <c r="A2" s="106" t="s">
        <v>62</v>
      </c>
      <c r="B2" s="107"/>
      <c r="C2" s="107"/>
      <c r="D2" s="107"/>
      <c r="E2" s="107"/>
      <c r="F2" s="108"/>
      <c r="H2" s="46" t="s">
        <v>33</v>
      </c>
      <c r="I2" s="46" t="s">
        <v>34</v>
      </c>
      <c r="J2" s="46" t="s">
        <v>33</v>
      </c>
      <c r="K2" s="46" t="s">
        <v>34</v>
      </c>
      <c r="L2" s="46" t="s">
        <v>33</v>
      </c>
      <c r="M2" s="46" t="s">
        <v>34</v>
      </c>
    </row>
    <row r="3" spans="1:13" x14ac:dyDescent="0.3">
      <c r="A3" s="103" t="s">
        <v>31</v>
      </c>
      <c r="B3" s="103" t="s">
        <v>74</v>
      </c>
      <c r="C3" s="100" t="str">
        <f>_xlfn.CONCAT("Camera ", C1, " Error")</f>
        <v>Camera #4 (Vero v2.2) Error</v>
      </c>
      <c r="D3" s="100"/>
      <c r="E3" s="100" t="s">
        <v>99</v>
      </c>
      <c r="F3" s="100"/>
      <c r="H3" s="155">
        <f>IFERROR(AVERAGEIFS(Log!$D:$D, Log!$B:$B,$C$1),"")</f>
        <v>0.532553375</v>
      </c>
      <c r="I3" s="155">
        <f>IFERROR(AVERAGEIFS(Log!$E:$E, Log!$B:$B,$C$1),"")</f>
        <v>0.10561092499999999</v>
      </c>
      <c r="J3" s="156">
        <f>AVERAGE(Log!$D:$D)</f>
        <v>0.39259022377622393</v>
      </c>
      <c r="K3" s="156">
        <f>AVERAGE(Log!$E:$E)</f>
        <v>9.3796211888111922E-2</v>
      </c>
      <c r="L3" s="157">
        <f>J3/H3</f>
        <v>0.73718474467695172</v>
      </c>
      <c r="M3" s="157">
        <f>K3/I3</f>
        <v>0.88812982073693536</v>
      </c>
    </row>
    <row r="4" spans="1:13" x14ac:dyDescent="0.3">
      <c r="A4" s="103"/>
      <c r="B4" s="103"/>
      <c r="C4" s="46" t="s">
        <v>33</v>
      </c>
      <c r="D4" s="46" t="s">
        <v>34</v>
      </c>
      <c r="E4" s="46" t="s">
        <v>33</v>
      </c>
      <c r="F4" s="46" t="s">
        <v>34</v>
      </c>
    </row>
    <row r="5" spans="1:13" x14ac:dyDescent="0.3">
      <c r="A5" s="10">
        <v>46228</v>
      </c>
      <c r="B5" s="9">
        <f>_xlfn.XLOOKUP($A5, 'Daily Summary'!A:A, 'Daily Summary'!B:B)</f>
        <v>23.5</v>
      </c>
      <c r="C5" s="11">
        <f>IFERROR(AVERAGEIFS(Log!$D:$D,Log!$A:$A,$A5,Log!$B:$B,$C$1),"")</f>
        <v>0.62003600000000003</v>
      </c>
      <c r="D5" s="11">
        <f>IFERROR(AVERAGEIFS(Log!$E:$E,Log!$A:$A,$A5,Log!$B:$B,$C$1),"")</f>
        <v>0.12157900000000001</v>
      </c>
      <c r="E5">
        <f>'Daily Summary'!H3</f>
        <v>0.3911837647058824</v>
      </c>
      <c r="F5">
        <f>'Daily Summary'!K3</f>
        <v>9.2278499999999999E-2</v>
      </c>
    </row>
    <row r="6" spans="1:13" ht="14.4" hidden="1" customHeight="1" x14ac:dyDescent="0.3">
      <c r="A6" s="10">
        <f>A5+1</f>
        <v>46229</v>
      </c>
      <c r="B6" s="9">
        <f>_xlfn.XLOOKUP($A6, 'Daily Summary'!A:A, 'Daily Summary'!B:B)</f>
        <v>0</v>
      </c>
      <c r="C6" s="11" t="str">
        <f>IFERROR(AVERAGEIFS(Log!$D:$D,Log!$A:$A,$A6,Log!$B:$B,$C$1),"")</f>
        <v/>
      </c>
      <c r="D6" s="11" t="str">
        <f>IFERROR(AVERAGEIFS(Log!$E:$E,Log!$A:$A,$A6,Log!$B:$B,$C$1),"")</f>
        <v/>
      </c>
      <c r="E6" t="str">
        <f>'Daily Summary'!H4</f>
        <v/>
      </c>
      <c r="F6" t="str">
        <f>'Daily Summary'!K4</f>
        <v/>
      </c>
    </row>
    <row r="7" spans="1:13" x14ac:dyDescent="0.3">
      <c r="A7" s="10">
        <f>A6+1</f>
        <v>46230</v>
      </c>
      <c r="B7" s="9">
        <f>_xlfn.XLOOKUP($A7, 'Daily Summary'!A:A, 'Daily Summary'!B:B)</f>
        <v>23.5</v>
      </c>
      <c r="C7" s="11">
        <f>IFERROR(AVERAGEIFS(Log!$D:$D,Log!$A:$A,$A7,Log!$B:$B,$C$1),"")</f>
        <v>0.610344</v>
      </c>
      <c r="D7" s="11">
        <f>IFERROR(AVERAGEIFS(Log!$E:$E,Log!$A:$A,$A7,Log!$B:$B,$C$1),"")</f>
        <v>0.120907</v>
      </c>
      <c r="E7">
        <f>'Daily Summary'!H5</f>
        <v>0.3804177222222222</v>
      </c>
      <c r="F7">
        <f>'Daily Summary'!K5</f>
        <v>9.1966633333333339E-2</v>
      </c>
    </row>
    <row r="8" spans="1:13" x14ac:dyDescent="0.3">
      <c r="A8" s="10">
        <f t="shared" ref="A8:A11" si="0">A7+1</f>
        <v>46231</v>
      </c>
      <c r="B8" s="9">
        <f>_xlfn.XLOOKUP($A8, 'Daily Summary'!A:A, 'Daily Summary'!B:B)</f>
        <v>24.5</v>
      </c>
      <c r="C8" s="11">
        <f>IFERROR(AVERAGEIFS(Log!$D:$D,Log!$A:$A,$A8,Log!$B:$B,$C$1),"")</f>
        <v>0.55386500000000005</v>
      </c>
      <c r="D8" s="11">
        <f>IFERROR(AVERAGEIFS(Log!$E:$E,Log!$A:$A,$A8,Log!$B:$B,$C$1),"")</f>
        <v>0.109685</v>
      </c>
      <c r="E8">
        <f>'Daily Summary'!H6</f>
        <v>0.3508782777777778</v>
      </c>
      <c r="F8">
        <f>'Daily Summary'!K6</f>
        <v>8.4730411111111126E-2</v>
      </c>
    </row>
    <row r="9" spans="1:13" x14ac:dyDescent="0.3">
      <c r="A9" s="10">
        <f t="shared" si="0"/>
        <v>46232</v>
      </c>
      <c r="B9" s="9">
        <f>_xlfn.XLOOKUP($A9, 'Daily Summary'!A:A, 'Daily Summary'!B:B)</f>
        <v>25.5</v>
      </c>
      <c r="C9" s="11">
        <f>IFERROR(AVERAGEIFS(Log!$D:$D,Log!$A:$A,$A9,Log!$B:$B,$C$1),"")</f>
        <v>0.56917399999999996</v>
      </c>
      <c r="D9" s="11">
        <f>IFERROR(AVERAGEIFS(Log!$E:$E,Log!$A:$A,$A9,Log!$B:$B,$C$1),"")</f>
        <v>0.112651</v>
      </c>
      <c r="E9">
        <f>'Daily Summary'!H7</f>
        <v>0.36980916666666658</v>
      </c>
      <c r="F9">
        <f>'Daily Summary'!K7</f>
        <v>8.8881683333333336E-2</v>
      </c>
    </row>
    <row r="10" spans="1:13" x14ac:dyDescent="0.3">
      <c r="A10" s="10">
        <f t="shared" si="0"/>
        <v>46233</v>
      </c>
      <c r="B10" s="9">
        <f>_xlfn.XLOOKUP($A10, 'Daily Summary'!A:A, 'Daily Summary'!B:B)</f>
        <v>24.5</v>
      </c>
      <c r="C10" s="11">
        <f>IFERROR(AVERAGEIFS(Log!$D:$D,Log!$A:$A,$A10,Log!$B:$B,$C$1),"")</f>
        <v>0.45406200000000002</v>
      </c>
      <c r="D10" s="11">
        <f>IFERROR(AVERAGEIFS(Log!$E:$E,Log!$A:$A,$A10,Log!$B:$B,$C$1),"")</f>
        <v>8.9885099999999996E-2</v>
      </c>
      <c r="E10">
        <f>'Daily Summary'!H8</f>
        <v>0.32767977777777779</v>
      </c>
      <c r="F10">
        <f>'Daily Summary'!K8</f>
        <v>7.9198327777777758E-2</v>
      </c>
    </row>
    <row r="11" spans="1:13" x14ac:dyDescent="0.3">
      <c r="A11" s="10">
        <f t="shared" si="0"/>
        <v>46234</v>
      </c>
      <c r="B11" s="9">
        <f>_xlfn.XLOOKUP($A11, 'Daily Summary'!A:A, 'Daily Summary'!B:B)</f>
        <v>24.5</v>
      </c>
      <c r="C11" s="11">
        <f>IFERROR(AVERAGEIFS(Log!$D:$D,Log!$A:$A,$A11,Log!$B:$B,$C$1),"")</f>
        <v>0.53664000000000001</v>
      </c>
      <c r="D11" s="11">
        <f>IFERROR(AVERAGEIFS(Log!$E:$E,Log!$A:$A,$A11,Log!$B:$B,$C$1),"")</f>
        <v>0.106142</v>
      </c>
      <c r="E11">
        <f>'Daily Summary'!H9</f>
        <v>0.39170800000000006</v>
      </c>
      <c r="F11">
        <f>'Daily Summary'!K9</f>
        <v>9.6186149999999998E-2</v>
      </c>
    </row>
    <row r="12" spans="1:13" x14ac:dyDescent="0.3">
      <c r="A12" s="10"/>
      <c r="B12" s="9">
        <f>_xlfn.XLOOKUP($A12, 'Daily Summary'!A:A, 'Daily Summary'!B:B)</f>
        <v>0</v>
      </c>
      <c r="C12" s="11" t="str">
        <f>IFERROR(AVERAGEIFS(Log!$D:$D,Log!$A:$A,$A12,Log!$B:$B,$C$1),"")</f>
        <v/>
      </c>
      <c r="D12" s="11" t="str">
        <f>IFERROR(AVERAGEIFS(Log!$E:$E,Log!$A:$A,$A12,Log!$B:$B,$C$1),"")</f>
        <v/>
      </c>
      <c r="E12">
        <f>'Daily Summary'!H10</f>
        <v>0.5529641111111111</v>
      </c>
      <c r="F12">
        <f>'Daily Summary'!K10</f>
        <v>0.12669717222222221</v>
      </c>
    </row>
    <row r="13" spans="1:13" x14ac:dyDescent="0.3">
      <c r="A13" s="10"/>
      <c r="B13" s="9">
        <f>_xlfn.XLOOKUP($A13, 'Daily Summary'!A:A, 'Daily Summary'!B:B)</f>
        <v>0</v>
      </c>
      <c r="C13" s="11" t="str">
        <f>IFERROR(AVERAGEIFS(Log!$D:$D,Log!$A:$A,$A13,Log!$B:$B,$C$1),"")</f>
        <v/>
      </c>
      <c r="D13" s="11" t="str">
        <f>IFERROR(AVERAGEIFS(Log!$E:$E,Log!$A:$A,$A13,Log!$B:$B,$C$1),"")</f>
        <v/>
      </c>
      <c r="E13">
        <f>'Daily Summary'!H11</f>
        <v>0.37600283333333329</v>
      </c>
      <c r="F13">
        <f>'Daily Summary'!K11</f>
        <v>9.034650000000001E-2</v>
      </c>
    </row>
    <row r="14" spans="1:13" x14ac:dyDescent="0.3">
      <c r="A14" s="10"/>
      <c r="B14" s="9">
        <f>_xlfn.XLOOKUP($A14, 'Daily Summary'!A:A, 'Daily Summary'!B:B)</f>
        <v>0</v>
      </c>
      <c r="C14" s="11" t="str">
        <f>IFERROR(AVERAGEIFS(Log!$D:$D,Log!$A:$A,$A14,Log!$B:$B,$C$1),"")</f>
        <v/>
      </c>
      <c r="D14" s="11" t="str">
        <f>IFERROR(AVERAGEIFS(Log!$E:$E,Log!$A:$A,$A14,Log!$B:$B,$C$1),"")</f>
        <v/>
      </c>
      <c r="E14" t="str">
        <f>'Daily Summary'!H12</f>
        <v/>
      </c>
      <c r="F14" t="str">
        <f>'Daily Summary'!K12</f>
        <v/>
      </c>
    </row>
    <row r="15" spans="1:13" x14ac:dyDescent="0.3">
      <c r="A15" s="10"/>
      <c r="B15" s="9">
        <f>_xlfn.XLOOKUP($A15, 'Daily Summary'!A:A, 'Daily Summary'!B:B)</f>
        <v>0</v>
      </c>
      <c r="C15" s="11" t="str">
        <f>IFERROR(AVERAGEIFS(Log!$D:$D,Log!$A:$A,$A15,Log!$B:$B,$C$1),"")</f>
        <v/>
      </c>
      <c r="D15" s="11" t="str">
        <f>IFERROR(AVERAGEIFS(Log!$E:$E,Log!$A:$A,$A15,Log!$B:$B,$C$1),"")</f>
        <v/>
      </c>
      <c r="E15" t="str">
        <f>'Daily Summary'!H13</f>
        <v/>
      </c>
      <c r="F15" t="str">
        <f>'Daily Summary'!K13</f>
        <v/>
      </c>
    </row>
    <row r="16" spans="1:13" x14ac:dyDescent="0.3">
      <c r="A16" s="10"/>
      <c r="B16" s="9">
        <f>_xlfn.XLOOKUP($A16, 'Daily Summary'!A:A, 'Daily Summary'!B:B)</f>
        <v>0</v>
      </c>
      <c r="C16" s="11" t="str">
        <f>IFERROR(AVERAGEIFS(Log!$D:$D,Log!$A:$A,$A16,Log!$B:$B,$C$1),"")</f>
        <v/>
      </c>
      <c r="D16" s="11" t="str">
        <f>IFERROR(AVERAGEIFS(Log!$E:$E,Log!$A:$A,$A16,Log!$B:$B,$C$1),"")</f>
        <v/>
      </c>
      <c r="E16" t="str">
        <f>'Daily Summary'!H14</f>
        <v/>
      </c>
      <c r="F16" t="str">
        <f>'Daily Summary'!K14</f>
        <v/>
      </c>
    </row>
    <row r="17" spans="1:6" x14ac:dyDescent="0.3">
      <c r="A17" s="10"/>
      <c r="B17" s="9">
        <f>_xlfn.XLOOKUP($A17, 'Daily Summary'!A:A, 'Daily Summary'!B:B)</f>
        <v>0</v>
      </c>
      <c r="C17" s="11" t="str">
        <f>IFERROR(AVERAGEIFS(Log!$D:$D,Log!$A:$A,$A17,Log!$B:$B,$C$1),"")</f>
        <v/>
      </c>
      <c r="D17" s="11" t="str">
        <f>IFERROR(AVERAGEIFS(Log!$E:$E,Log!$A:$A,$A17,Log!$B:$B,$C$1),"")</f>
        <v/>
      </c>
      <c r="E17" t="str">
        <f>'Daily Summary'!H14</f>
        <v/>
      </c>
      <c r="F17" t="str">
        <f>'Daily Summary'!K14</f>
        <v/>
      </c>
    </row>
    <row r="18" spans="1:6" x14ac:dyDescent="0.3">
      <c r="A18" s="10"/>
      <c r="B18" s="9">
        <f>_xlfn.XLOOKUP($A18, 'Daily Summary'!A:A, 'Daily Summary'!B:B)</f>
        <v>0</v>
      </c>
      <c r="C18" s="11" t="str">
        <f>IFERROR(AVERAGEIFS(Log!$D:$D,Log!$A:$A,$A18,Log!$B:$B,$C$1),"")</f>
        <v/>
      </c>
      <c r="D18" s="11" t="str">
        <f>IFERROR(AVERAGEIFS(Log!$E:$E,Log!$A:$A,$A18,Log!$B:$B,$C$1),"")</f>
        <v/>
      </c>
      <c r="E18" t="str">
        <f>'Daily Summary'!H15</f>
        <v/>
      </c>
      <c r="F18" t="str">
        <f>'Daily Summary'!K15</f>
        <v/>
      </c>
    </row>
    <row r="19" spans="1:6" x14ac:dyDescent="0.3">
      <c r="A19" s="10"/>
      <c r="B19" s="9">
        <f>_xlfn.XLOOKUP($A19, 'Daily Summary'!A:A, 'Daily Summary'!B:B)</f>
        <v>0</v>
      </c>
      <c r="C19" s="11" t="str">
        <f>IFERROR(AVERAGEIFS(Log!$D:$D,Log!$A:$A,$A19,Log!$B:$B,$C$1),"")</f>
        <v/>
      </c>
      <c r="D19" s="11" t="str">
        <f>IFERROR(AVERAGEIFS(Log!$E:$E,Log!$A:$A,$A19,Log!$B:$B,$C$1),"")</f>
        <v/>
      </c>
      <c r="E19" t="str">
        <f>'Daily Summary'!H16</f>
        <v/>
      </c>
      <c r="F19" t="str">
        <f>'Daily Summary'!K16</f>
        <v/>
      </c>
    </row>
    <row r="20" spans="1:6" x14ac:dyDescent="0.3">
      <c r="A20" s="10"/>
      <c r="B20" s="9">
        <f>_xlfn.XLOOKUP($A20, 'Daily Summary'!A:A, 'Daily Summary'!B:B)</f>
        <v>0</v>
      </c>
      <c r="C20" s="11" t="str">
        <f>IFERROR(AVERAGEIFS(Log!$D:$D,Log!$A:$A,$A20,Log!$B:$B,$C$1),"")</f>
        <v/>
      </c>
      <c r="D20" s="11" t="str">
        <f>IFERROR(AVERAGEIFS(Log!$E:$E,Log!$A:$A,$A20,Log!$B:$B,$C$1),"")</f>
        <v/>
      </c>
      <c r="E20" t="str">
        <f>'Daily Summary'!H17</f>
        <v/>
      </c>
      <c r="F20" t="str">
        <f>'Daily Summary'!K17</f>
        <v/>
      </c>
    </row>
    <row r="21" spans="1:6" x14ac:dyDescent="0.3">
      <c r="A21" s="10"/>
      <c r="B21" s="9">
        <f>_xlfn.XLOOKUP($A21, 'Daily Summary'!A:A, 'Daily Summary'!B:B)</f>
        <v>0</v>
      </c>
      <c r="C21" s="11" t="str">
        <f>IFERROR(AVERAGEIFS(Log!$D:$D,Log!$A:$A,$A21,Log!$B:$B,$C$1),"")</f>
        <v/>
      </c>
      <c r="D21" s="11" t="str">
        <f>IFERROR(AVERAGEIFS(Log!$E:$E,Log!$A:$A,$A21,Log!$B:$B,$C$1),"")</f>
        <v/>
      </c>
      <c r="E21" t="str">
        <f>'Daily Summary'!H18</f>
        <v/>
      </c>
      <c r="F21" t="str">
        <f>'Daily Summary'!K18</f>
        <v/>
      </c>
    </row>
    <row r="22" spans="1:6" x14ac:dyDescent="0.3">
      <c r="A22" s="10"/>
      <c r="B22" s="9">
        <f>_xlfn.XLOOKUP($A22, 'Daily Summary'!A:A, 'Daily Summary'!B:B)</f>
        <v>0</v>
      </c>
      <c r="C22" s="11" t="str">
        <f>IFERROR(AVERAGEIFS(Log!$D:$D,Log!$A:$A,$A22,Log!$B:$B,$C$1),"")</f>
        <v/>
      </c>
      <c r="D22" s="11" t="str">
        <f>IFERROR(AVERAGEIFS(Log!$E:$E,Log!$A:$A,$A22,Log!$B:$B,$C$1),"")</f>
        <v/>
      </c>
      <c r="E22" t="str">
        <f>'Daily Summary'!H19</f>
        <v/>
      </c>
      <c r="F22" t="str">
        <f>'Daily Summary'!K19</f>
        <v/>
      </c>
    </row>
    <row r="23" spans="1:6" x14ac:dyDescent="0.3">
      <c r="A23" s="10"/>
      <c r="B23" s="9">
        <f>_xlfn.XLOOKUP($A23, 'Daily Summary'!A:A, 'Daily Summary'!B:B)</f>
        <v>0</v>
      </c>
      <c r="C23" s="11" t="str">
        <f>IFERROR(AVERAGEIFS(Log!$D:$D,Log!$A:$A,$A23,Log!$B:$B,$C$1),"")</f>
        <v/>
      </c>
      <c r="D23" s="11" t="str">
        <f>IFERROR(AVERAGEIFS(Log!$E:$E,Log!$A:$A,$A23,Log!$B:$B,$C$1),"")</f>
        <v/>
      </c>
      <c r="E23" t="str">
        <f>'Daily Summary'!H20</f>
        <v/>
      </c>
      <c r="F23" t="str">
        <f>'Daily Summary'!K20</f>
        <v/>
      </c>
    </row>
    <row r="24" spans="1:6" x14ac:dyDescent="0.3">
      <c r="A24" s="10"/>
      <c r="B24" s="9">
        <f>_xlfn.XLOOKUP($A24, 'Daily Summary'!A:A, 'Daily Summary'!B:B)</f>
        <v>0</v>
      </c>
      <c r="C24" s="11" t="str">
        <f>IFERROR(AVERAGEIFS(Log!$D:$D,Log!$A:$A,$A24,Log!$B:$B,$C$1),"")</f>
        <v/>
      </c>
      <c r="D24" s="11" t="str">
        <f>IFERROR(AVERAGEIFS(Log!$E:$E,Log!$A:$A,$A24,Log!$B:$B,$C$1),"")</f>
        <v/>
      </c>
      <c r="E24" t="str">
        <f>'Daily Summary'!H21</f>
        <v/>
      </c>
      <c r="F24" t="str">
        <f>'Daily Summary'!K21</f>
        <v/>
      </c>
    </row>
    <row r="25" spans="1:6" x14ac:dyDescent="0.3">
      <c r="A25" s="10"/>
      <c r="B25" s="9">
        <f>_xlfn.XLOOKUP($A25, 'Daily Summary'!A:A, 'Daily Summary'!B:B)</f>
        <v>0</v>
      </c>
      <c r="C25" s="11" t="str">
        <f>IFERROR(AVERAGEIFS(Log!$D:$D,Log!$A:$A,$A25,Log!$B:$B,$C$1),"")</f>
        <v/>
      </c>
      <c r="D25" s="11" t="str">
        <f>IFERROR(AVERAGEIFS(Log!$E:$E,Log!$A:$A,$A25,Log!$B:$B,$C$1),"")</f>
        <v/>
      </c>
      <c r="E25" t="str">
        <f>'Daily Summary'!H22</f>
        <v/>
      </c>
      <c r="F25" t="str">
        <f>'Daily Summary'!K22</f>
        <v/>
      </c>
    </row>
    <row r="26" spans="1:6" x14ac:dyDescent="0.3">
      <c r="A26" s="10"/>
      <c r="B26" s="9">
        <f>_xlfn.XLOOKUP($A26, 'Daily Summary'!A:A, 'Daily Summary'!B:B)</f>
        <v>0</v>
      </c>
      <c r="C26" s="11" t="str">
        <f>IFERROR(AVERAGEIFS(Log!$D:$D,Log!$A:$A,$A26,Log!$B:$B,$C$1),"")</f>
        <v/>
      </c>
      <c r="D26" s="11" t="str">
        <f>IFERROR(AVERAGEIFS(Log!$E:$E,Log!$A:$A,$A26,Log!$B:$B,$C$1),"")</f>
        <v/>
      </c>
      <c r="E26" t="str">
        <f>'Daily Summary'!H23</f>
        <v/>
      </c>
      <c r="F26" t="str">
        <f>'Daily Summary'!K23</f>
        <v/>
      </c>
    </row>
    <row r="27" spans="1:6" x14ac:dyDescent="0.3">
      <c r="A27" s="10"/>
      <c r="B27" s="9">
        <f>_xlfn.XLOOKUP($A27, 'Daily Summary'!A:A, 'Daily Summary'!B:B)</f>
        <v>0</v>
      </c>
      <c r="C27" s="11" t="str">
        <f>IFERROR(AVERAGEIFS(Log!$D:$D,Log!$A:$A,$A27,Log!$B:$B,$C$1),"")</f>
        <v/>
      </c>
      <c r="D27" s="11" t="str">
        <f>IFERROR(AVERAGEIFS(Log!$E:$E,Log!$A:$A,$A27,Log!$B:$B,$C$1),"")</f>
        <v/>
      </c>
      <c r="E27" t="str">
        <f>'Daily Summary'!H24</f>
        <v/>
      </c>
      <c r="F27" t="str">
        <f>'Daily Summary'!K24</f>
        <v/>
      </c>
    </row>
    <row r="28" spans="1:6" x14ac:dyDescent="0.3">
      <c r="A28" s="10"/>
      <c r="B28" s="9">
        <f>_xlfn.XLOOKUP($A28, 'Daily Summary'!A:A, 'Daily Summary'!B:B)</f>
        <v>0</v>
      </c>
      <c r="C28" s="11" t="str">
        <f>IFERROR(AVERAGEIFS(Log!$D:$D,Log!$A:$A,$A28,Log!$B:$B,$C$1),"")</f>
        <v/>
      </c>
      <c r="D28" s="11" t="str">
        <f>IFERROR(AVERAGEIFS(Log!$E:$E,Log!$A:$A,$A28,Log!$B:$B,$C$1),"")</f>
        <v/>
      </c>
      <c r="E28" t="str">
        <f>'Daily Summary'!H25</f>
        <v/>
      </c>
      <c r="F28" t="str">
        <f>'Daily Summary'!K25</f>
        <v/>
      </c>
    </row>
    <row r="29" spans="1:6" x14ac:dyDescent="0.3">
      <c r="A29" s="10"/>
      <c r="B29" s="9">
        <f>_xlfn.XLOOKUP($A29, 'Daily Summary'!A:A, 'Daily Summary'!B:B)</f>
        <v>0</v>
      </c>
      <c r="C29" s="11" t="str">
        <f>IFERROR(AVERAGEIFS(Log!$D:$D,Log!$A:$A,$A29,Log!$B:$B,$C$1),"")</f>
        <v/>
      </c>
      <c r="D29" s="11" t="str">
        <f>IFERROR(AVERAGEIFS(Log!$E:$E,Log!$A:$A,$A29,Log!$B:$B,$C$1),"")</f>
        <v/>
      </c>
      <c r="E29" t="str">
        <f>'Daily Summary'!H26</f>
        <v/>
      </c>
      <c r="F29" t="str">
        <f>'Daily Summary'!K26</f>
        <v/>
      </c>
    </row>
    <row r="30" spans="1:6" x14ac:dyDescent="0.3">
      <c r="A30" s="10"/>
      <c r="B30" s="9">
        <f>_xlfn.XLOOKUP($A30, 'Daily Summary'!A:A, 'Daily Summary'!B:B)</f>
        <v>0</v>
      </c>
      <c r="C30" s="11" t="str">
        <f>IFERROR(AVERAGEIFS(Log!$D:$D,Log!$A:$A,$A30,Log!$B:$B,$C$1),"")</f>
        <v/>
      </c>
      <c r="D30" s="11" t="str">
        <f>IFERROR(AVERAGEIFS(Log!$E:$E,Log!$A:$A,$A30,Log!$B:$B,$C$1),"")</f>
        <v/>
      </c>
      <c r="E30" t="str">
        <f>'Daily Summary'!H27</f>
        <v/>
      </c>
      <c r="F30" t="str">
        <f>'Daily Summary'!K27</f>
        <v/>
      </c>
    </row>
    <row r="31" spans="1:6" x14ac:dyDescent="0.3">
      <c r="A31" s="10"/>
      <c r="B31" s="9">
        <f>_xlfn.XLOOKUP($A31, 'Daily Summary'!A:A, 'Daily Summary'!B:B)</f>
        <v>0</v>
      </c>
      <c r="C31" s="11" t="str">
        <f>IFERROR(AVERAGEIFS(Log!$D:$D,Log!$A:$A,$A31,Log!$B:$B,$C$1),"")</f>
        <v/>
      </c>
      <c r="D31" s="11" t="str">
        <f>IFERROR(AVERAGEIFS(Log!$E:$E,Log!$A:$A,$A31,Log!$B:$B,$C$1),"")</f>
        <v/>
      </c>
      <c r="E31" t="str">
        <f>'Daily Summary'!H28</f>
        <v/>
      </c>
      <c r="F31" t="str">
        <f>'Daily Summary'!K28</f>
        <v/>
      </c>
    </row>
    <row r="32" spans="1:6" x14ac:dyDescent="0.3">
      <c r="A32" s="10"/>
      <c r="B32" s="9">
        <f>_xlfn.XLOOKUP($A32, 'Daily Summary'!A:A, 'Daily Summary'!B:B)</f>
        <v>0</v>
      </c>
      <c r="C32" s="11" t="str">
        <f>IFERROR(AVERAGEIFS(Log!$D:$D,Log!$A:$A,$A32,Log!$B:$B,$C$1),"")</f>
        <v/>
      </c>
      <c r="D32" s="11" t="str">
        <f>IFERROR(AVERAGEIFS(Log!$E:$E,Log!$A:$A,$A32,Log!$B:$B,$C$1),"")</f>
        <v/>
      </c>
      <c r="E32" t="str">
        <f>'Daily Summary'!H29</f>
        <v/>
      </c>
      <c r="F32" t="str">
        <f>'Daily Summary'!K29</f>
        <v/>
      </c>
    </row>
    <row r="33" spans="1:6" x14ac:dyDescent="0.3">
      <c r="A33" s="10"/>
      <c r="B33" s="9">
        <f>_xlfn.XLOOKUP($A33, 'Daily Summary'!A:A, 'Daily Summary'!B:B)</f>
        <v>0</v>
      </c>
      <c r="C33" s="11" t="str">
        <f>IFERROR(AVERAGEIFS(Log!$D:$D,Log!$A:$A,$A33,Log!$B:$B,$C$1),"")</f>
        <v/>
      </c>
      <c r="D33" s="11" t="str">
        <f>IFERROR(AVERAGEIFS(Log!$E:$E,Log!$A:$A,$A33,Log!$B:$B,$C$1),"")</f>
        <v/>
      </c>
      <c r="E33" t="str">
        <f>'Daily Summary'!H30</f>
        <v/>
      </c>
      <c r="F33" t="str">
        <f>'Daily Summary'!K30</f>
        <v/>
      </c>
    </row>
    <row r="34" spans="1:6" x14ac:dyDescent="0.3">
      <c r="A34" s="10"/>
      <c r="B34" s="9">
        <f>_xlfn.XLOOKUP($A34, 'Daily Summary'!A:A, 'Daily Summary'!B:B)</f>
        <v>0</v>
      </c>
      <c r="C34" s="11" t="str">
        <f>IFERROR(AVERAGEIFS(Log!$D:$D,Log!$A:$A,$A34,Log!$B:$B,$C$1),"")</f>
        <v/>
      </c>
      <c r="D34" s="11" t="str">
        <f>IFERROR(AVERAGEIFS(Log!$E:$E,Log!$A:$A,$A34,Log!$B:$B,$C$1),"")</f>
        <v/>
      </c>
      <c r="E34" t="str">
        <f>'Daily Summary'!H31</f>
        <v/>
      </c>
      <c r="F34" t="str">
        <f>'Daily Summary'!K31</f>
        <v/>
      </c>
    </row>
    <row r="35" spans="1:6" x14ac:dyDescent="0.3">
      <c r="A35" s="10"/>
      <c r="B35" s="9">
        <f>_xlfn.XLOOKUP($A35, 'Daily Summary'!A:A, 'Daily Summary'!B:B)</f>
        <v>0</v>
      </c>
      <c r="C35" s="11" t="str">
        <f>IFERROR(AVERAGEIFS(Log!$D:$D,Log!$A:$A,$A35,Log!$B:$B,$C$1),"")</f>
        <v/>
      </c>
      <c r="D35" s="11" t="str">
        <f>IFERROR(AVERAGEIFS(Log!$E:$E,Log!$A:$A,$A35,Log!$B:$B,$C$1),"")</f>
        <v/>
      </c>
      <c r="E35" t="str">
        <f>'Daily Summary'!H32</f>
        <v/>
      </c>
      <c r="F35" t="str">
        <f>'Daily Summary'!K32</f>
        <v/>
      </c>
    </row>
    <row r="36" spans="1:6" x14ac:dyDescent="0.3">
      <c r="A36" s="10"/>
      <c r="B36" s="9">
        <f>_xlfn.XLOOKUP($A36, 'Daily Summary'!A:A, 'Daily Summary'!B:B)</f>
        <v>0</v>
      </c>
      <c r="C36" s="11" t="str">
        <f>IFERROR(AVERAGEIFS(Log!$D:$D,Log!$A:$A,$A36,Log!$B:$B,$C$1),"")</f>
        <v/>
      </c>
      <c r="D36" s="11" t="str">
        <f>IFERROR(AVERAGEIFS(Log!$E:$E,Log!$A:$A,$A36,Log!$B:$B,$C$1),"")</f>
        <v/>
      </c>
      <c r="E36" t="str">
        <f>'Daily Summary'!H33</f>
        <v/>
      </c>
      <c r="F36" t="str">
        <f>'Daily Summary'!K33</f>
        <v/>
      </c>
    </row>
    <row r="37" spans="1:6" x14ac:dyDescent="0.3">
      <c r="A37" s="10"/>
      <c r="B37" s="9">
        <f>_xlfn.XLOOKUP($A37, 'Daily Summary'!A:A, 'Daily Summary'!B:B)</f>
        <v>0</v>
      </c>
      <c r="C37" s="11" t="str">
        <f>IFERROR(AVERAGEIFS(Log!$D:$D,Log!$A:$A,$A37,Log!$B:$B,$C$1),"")</f>
        <v/>
      </c>
      <c r="D37" s="11" t="str">
        <f>IFERROR(AVERAGEIFS(Log!$E:$E,Log!$A:$A,$A37,Log!$B:$B,$C$1),"")</f>
        <v/>
      </c>
      <c r="E37" t="str">
        <f>'Daily Summary'!H34</f>
        <v/>
      </c>
      <c r="F37" t="str">
        <f>'Daily Summary'!K34</f>
        <v/>
      </c>
    </row>
    <row r="38" spans="1:6" x14ac:dyDescent="0.3">
      <c r="A38" s="10"/>
      <c r="B38" s="9">
        <f>_xlfn.XLOOKUP($A38, 'Daily Summary'!A:A, 'Daily Summary'!B:B)</f>
        <v>0</v>
      </c>
      <c r="C38" s="11" t="str">
        <f>IFERROR(AVERAGEIFS(Log!$D:$D,Log!$A:$A,$A38,Log!$B:$B,$C$1),"")</f>
        <v/>
      </c>
      <c r="D38" s="11" t="str">
        <f>IFERROR(AVERAGEIFS(Log!$E:$E,Log!$A:$A,$A38,Log!$B:$B,$C$1),"")</f>
        <v/>
      </c>
      <c r="E38" t="str">
        <f>'Daily Summary'!H35</f>
        <v/>
      </c>
      <c r="F38" t="str">
        <f>'Daily Summary'!K35</f>
        <v/>
      </c>
    </row>
    <row r="39" spans="1:6" x14ac:dyDescent="0.3">
      <c r="A39" s="10"/>
      <c r="B39" s="9">
        <f>_xlfn.XLOOKUP($A39, 'Daily Summary'!A:A, 'Daily Summary'!B:B)</f>
        <v>0</v>
      </c>
      <c r="C39" s="11" t="str">
        <f>IFERROR(AVERAGEIFS(Log!$D:$D,Log!$A:$A,$A39,Log!$B:$B,$C$1),"")</f>
        <v/>
      </c>
      <c r="D39" s="11" t="str">
        <f>IFERROR(AVERAGEIFS(Log!$E:$E,Log!$A:$A,$A39,Log!$B:$B,$C$1),"")</f>
        <v/>
      </c>
      <c r="E39" t="str">
        <f>'Daily Summary'!H36</f>
        <v/>
      </c>
      <c r="F39" t="str">
        <f>'Daily Summary'!K36</f>
        <v/>
      </c>
    </row>
    <row r="40" spans="1:6" x14ac:dyDescent="0.3">
      <c r="A40" s="10"/>
      <c r="B40" s="9">
        <f>_xlfn.XLOOKUP($A40, 'Daily Summary'!A:A, 'Daily Summary'!B:B)</f>
        <v>0</v>
      </c>
      <c r="C40" s="11" t="str">
        <f>IFERROR(AVERAGEIFS(Log!$D:$D,Log!$A:$A,$A40,Log!$B:$B,$C$1),"")</f>
        <v/>
      </c>
      <c r="D40" s="11" t="str">
        <f>IFERROR(AVERAGEIFS(Log!$E:$E,Log!$A:$A,$A40,Log!$B:$B,$C$1),"")</f>
        <v/>
      </c>
      <c r="E40" t="str">
        <f>'Daily Summary'!H37</f>
        <v/>
      </c>
      <c r="F40" t="str">
        <f>'Daily Summary'!K37</f>
        <v/>
      </c>
    </row>
    <row r="41" spans="1:6" x14ac:dyDescent="0.3">
      <c r="A41" s="10"/>
      <c r="B41" s="9">
        <f>_xlfn.XLOOKUP($A41, 'Daily Summary'!A:A, 'Daily Summary'!B:B)</f>
        <v>0</v>
      </c>
      <c r="C41" s="11" t="str">
        <f>IFERROR(AVERAGEIFS(Log!$D:$D,Log!$A:$A,$A41,Log!$B:$B,$C$1),"")</f>
        <v/>
      </c>
      <c r="D41" s="11" t="str">
        <f>IFERROR(AVERAGEIFS(Log!$E:$E,Log!$A:$A,$A41,Log!$B:$B,$C$1),"")</f>
        <v/>
      </c>
      <c r="E41" t="str">
        <f>'Daily Summary'!H38</f>
        <v/>
      </c>
      <c r="F41" t="str">
        <f>'Daily Summary'!K38</f>
        <v/>
      </c>
    </row>
    <row r="42" spans="1:6" x14ac:dyDescent="0.3">
      <c r="A42" s="10"/>
      <c r="B42" s="9">
        <f>_xlfn.XLOOKUP($A42, 'Daily Summary'!A:A, 'Daily Summary'!B:B)</f>
        <v>0</v>
      </c>
      <c r="C42" s="11" t="str">
        <f>IFERROR(AVERAGEIFS(Log!$D:$D,Log!$A:$A,$A42,Log!$B:$B,$C$1),"")</f>
        <v/>
      </c>
      <c r="D42" s="11" t="str">
        <f>IFERROR(AVERAGEIFS(Log!$E:$E,Log!$A:$A,$A42,Log!$B:$B,$C$1),"")</f>
        <v/>
      </c>
      <c r="E42" t="str">
        <f>'Daily Summary'!H39</f>
        <v/>
      </c>
      <c r="F42" t="str">
        <f>'Daily Summary'!K39</f>
        <v/>
      </c>
    </row>
    <row r="43" spans="1:6" x14ac:dyDescent="0.3">
      <c r="A43" s="10"/>
      <c r="B43" s="9">
        <f>_xlfn.XLOOKUP($A43, 'Daily Summary'!A:A, 'Daily Summary'!B:B)</f>
        <v>0</v>
      </c>
      <c r="C43" s="11" t="str">
        <f>IFERROR(AVERAGEIFS(Log!$D:$D,Log!$A:$A,$A43,Log!$B:$B,$C$1),"")</f>
        <v/>
      </c>
      <c r="D43" s="11" t="str">
        <f>IFERROR(AVERAGEIFS(Log!$E:$E,Log!$A:$A,$A43,Log!$B:$B,$C$1),"")</f>
        <v/>
      </c>
      <c r="E43" t="str">
        <f>'Daily Summary'!H40</f>
        <v/>
      </c>
      <c r="F43" t="str">
        <f>'Daily Summary'!K40</f>
        <v/>
      </c>
    </row>
    <row r="44" spans="1:6" x14ac:dyDescent="0.3">
      <c r="A44" s="10"/>
      <c r="B44" s="9">
        <f>_xlfn.XLOOKUP($A44, 'Daily Summary'!A:A, 'Daily Summary'!B:B)</f>
        <v>0</v>
      </c>
      <c r="C44" s="11" t="str">
        <f>IFERROR(AVERAGEIFS(Log!$D:$D,Log!$A:$A,$A44,Log!$B:$B,$C$1),"")</f>
        <v/>
      </c>
      <c r="D44" s="11" t="str">
        <f>IFERROR(AVERAGEIFS(Log!$E:$E,Log!$A:$A,$A44,Log!$B:$B,$C$1),"")</f>
        <v/>
      </c>
      <c r="E44" t="str">
        <f>'Daily Summary'!H41</f>
        <v/>
      </c>
      <c r="F44" t="str">
        <f>'Daily Summary'!K41</f>
        <v/>
      </c>
    </row>
    <row r="45" spans="1:6" x14ac:dyDescent="0.3">
      <c r="A45" s="10"/>
      <c r="B45" s="9">
        <f>_xlfn.XLOOKUP($A45, 'Daily Summary'!A:A, 'Daily Summary'!B:B)</f>
        <v>0</v>
      </c>
      <c r="C45" s="11" t="str">
        <f>IFERROR(AVERAGEIFS(Log!$D:$D,Log!$A:$A,$A45,Log!$B:$B,$C$1),"")</f>
        <v/>
      </c>
      <c r="D45" s="11" t="str">
        <f>IFERROR(AVERAGEIFS(Log!$E:$E,Log!$A:$A,$A45,Log!$B:$B,$C$1),"")</f>
        <v/>
      </c>
      <c r="E45" t="str">
        <f>'Daily Summary'!H42</f>
        <v/>
      </c>
      <c r="F45" t="str">
        <f>'Daily Summary'!K42</f>
        <v/>
      </c>
    </row>
    <row r="46" spans="1:6" x14ac:dyDescent="0.3">
      <c r="A46" s="10"/>
      <c r="B46" s="9">
        <f>_xlfn.XLOOKUP($A46, 'Daily Summary'!A:A, 'Daily Summary'!B:B)</f>
        <v>0</v>
      </c>
      <c r="C46" s="11" t="str">
        <f>IFERROR(AVERAGEIFS(Log!$D:$D,Log!$A:$A,$A46,Log!$B:$B,$C$1),"")</f>
        <v/>
      </c>
      <c r="D46" s="11" t="str">
        <f>IFERROR(AVERAGEIFS(Log!$E:$E,Log!$A:$A,$A46,Log!$B:$B,$C$1),"")</f>
        <v/>
      </c>
      <c r="E46" t="str">
        <f>'Daily Summary'!H43</f>
        <v/>
      </c>
      <c r="F46" t="str">
        <f>'Daily Summary'!K43</f>
        <v/>
      </c>
    </row>
    <row r="47" spans="1:6" x14ac:dyDescent="0.3">
      <c r="A47" s="10"/>
      <c r="B47" s="9">
        <f>_xlfn.XLOOKUP($A47, 'Daily Summary'!A:A, 'Daily Summary'!B:B)</f>
        <v>0</v>
      </c>
      <c r="C47" s="11" t="str">
        <f>IFERROR(AVERAGEIFS(Log!$D:$D,Log!$A:$A,$A47,Log!$B:$B,$C$1),"")</f>
        <v/>
      </c>
      <c r="D47" s="11" t="str">
        <f>IFERROR(AVERAGEIFS(Log!$E:$E,Log!$A:$A,$A47,Log!$B:$B,$C$1),"")</f>
        <v/>
      </c>
      <c r="E47" t="str">
        <f>'Daily Summary'!H44</f>
        <v/>
      </c>
      <c r="F47" t="str">
        <f>'Daily Summary'!K44</f>
        <v/>
      </c>
    </row>
    <row r="48" spans="1:6" x14ac:dyDescent="0.3">
      <c r="A48" s="10"/>
      <c r="B48" s="9">
        <f>_xlfn.XLOOKUP($A48, 'Daily Summary'!A:A, 'Daily Summary'!B:B)</f>
        <v>0</v>
      </c>
      <c r="C48" s="11" t="str">
        <f>IFERROR(AVERAGEIFS(Log!$D:$D,Log!$A:$A,$A48,Log!$B:$B,$C$1),"")</f>
        <v/>
      </c>
      <c r="D48" s="11" t="str">
        <f>IFERROR(AVERAGEIFS(Log!$E:$E,Log!$A:$A,$A48,Log!$B:$B,$C$1),"")</f>
        <v/>
      </c>
      <c r="E48" t="str">
        <f>'Daily Summary'!H45</f>
        <v/>
      </c>
      <c r="F48" t="str">
        <f>'Daily Summary'!K45</f>
        <v/>
      </c>
    </row>
    <row r="49" spans="1:6" x14ac:dyDescent="0.3">
      <c r="A49" s="10"/>
      <c r="B49" s="9">
        <f>_xlfn.XLOOKUP($A49, 'Daily Summary'!A:A, 'Daily Summary'!B:B)</f>
        <v>0</v>
      </c>
      <c r="C49" s="11" t="str">
        <f>IFERROR(AVERAGEIFS(Log!$D:$D,Log!$A:$A,$A49,Log!$B:$B,$C$1),"")</f>
        <v/>
      </c>
      <c r="D49" s="11" t="str">
        <f>IFERROR(AVERAGEIFS(Log!$E:$E,Log!$A:$A,$A49,Log!$B:$B,$C$1),"")</f>
        <v/>
      </c>
      <c r="E49" t="str">
        <f>'Daily Summary'!H46</f>
        <v/>
      </c>
      <c r="F49" t="str">
        <f>'Daily Summary'!K46</f>
        <v/>
      </c>
    </row>
    <row r="50" spans="1:6" x14ac:dyDescent="0.3">
      <c r="A50" s="10"/>
      <c r="B50" s="9">
        <f>_xlfn.XLOOKUP($A50, 'Daily Summary'!A:A, 'Daily Summary'!B:B)</f>
        <v>0</v>
      </c>
      <c r="C50" s="11" t="str">
        <f>IFERROR(AVERAGEIFS(Log!$D:$D,Log!$A:$A,$A50,Log!$B:$B,$C$1),"")</f>
        <v/>
      </c>
      <c r="D50" s="11" t="str">
        <f>IFERROR(AVERAGEIFS(Log!$E:$E,Log!$A:$A,$A50,Log!$B:$B,$C$1),"")</f>
        <v/>
      </c>
      <c r="E50" t="str">
        <f>'Daily Summary'!H47</f>
        <v/>
      </c>
      <c r="F50" t="str">
        <f>'Daily Summary'!K47</f>
        <v/>
      </c>
    </row>
    <row r="51" spans="1:6" x14ac:dyDescent="0.3">
      <c r="A51" s="10"/>
      <c r="B51" s="9">
        <f>_xlfn.XLOOKUP($A51, 'Daily Summary'!A:A, 'Daily Summary'!B:B)</f>
        <v>0</v>
      </c>
      <c r="C51" s="11" t="str">
        <f>IFERROR(AVERAGEIFS(Log!$D:$D,Log!$A:$A,$A51,Log!$B:$B,$C$1),"")</f>
        <v/>
      </c>
      <c r="D51" s="11" t="str">
        <f>IFERROR(AVERAGEIFS(Log!$E:$E,Log!$A:$A,$A51,Log!$B:$B,$C$1),"")</f>
        <v/>
      </c>
      <c r="E51" t="str">
        <f>'Daily Summary'!H48</f>
        <v/>
      </c>
      <c r="F51" t="str">
        <f>'Daily Summary'!K48</f>
        <v/>
      </c>
    </row>
    <row r="52" spans="1:6" x14ac:dyDescent="0.3">
      <c r="A52" s="10"/>
      <c r="B52" s="9">
        <f>_xlfn.XLOOKUP($A52, 'Daily Summary'!A:A, 'Daily Summary'!B:B)</f>
        <v>0</v>
      </c>
      <c r="C52" s="11" t="str">
        <f>IFERROR(AVERAGEIFS(Log!$D:$D,Log!$A:$A,$A52,Log!$B:$B,$C$1),"")</f>
        <v/>
      </c>
      <c r="D52" s="11" t="str">
        <f>IFERROR(AVERAGEIFS(Log!$E:$E,Log!$A:$A,$A52,Log!$B:$B,$C$1),"")</f>
        <v/>
      </c>
      <c r="E52" t="str">
        <f>'Daily Summary'!H49</f>
        <v/>
      </c>
      <c r="F52" t="str">
        <f>'Daily Summary'!K49</f>
        <v/>
      </c>
    </row>
    <row r="53" spans="1:6" x14ac:dyDescent="0.3">
      <c r="A53" s="10"/>
      <c r="B53" s="9">
        <f>_xlfn.XLOOKUP($A53, 'Daily Summary'!A:A, 'Daily Summary'!B:B)</f>
        <v>0</v>
      </c>
      <c r="C53" s="11" t="str">
        <f>IFERROR(AVERAGEIFS(Log!$D:$D,Log!$A:$A,$A53,Log!$B:$B,$C$1),"")</f>
        <v/>
      </c>
      <c r="D53" s="11" t="str">
        <f>IFERROR(AVERAGEIFS(Log!$E:$E,Log!$A:$A,$A53,Log!$B:$B,$C$1),"")</f>
        <v/>
      </c>
      <c r="E53" t="str">
        <f>'Daily Summary'!H50</f>
        <v/>
      </c>
      <c r="F53" t="str">
        <f>'Daily Summary'!K50</f>
        <v/>
      </c>
    </row>
    <row r="54" spans="1:6" x14ac:dyDescent="0.3">
      <c r="A54" s="10"/>
      <c r="B54" s="9">
        <f>_xlfn.XLOOKUP($A54, 'Daily Summary'!A:A, 'Daily Summary'!B:B)</f>
        <v>0</v>
      </c>
      <c r="C54" s="11" t="str">
        <f>IFERROR(AVERAGEIFS(Log!$D:$D,Log!$A:$A,$A54,Log!$B:$B,$C$1),"")</f>
        <v/>
      </c>
      <c r="D54" s="11" t="str">
        <f>IFERROR(AVERAGEIFS(Log!$E:$E,Log!$A:$A,$A54,Log!$B:$B,$C$1),"")</f>
        <v/>
      </c>
      <c r="E54" t="str">
        <f>'Daily Summary'!H51</f>
        <v/>
      </c>
      <c r="F54" t="str">
        <f>'Daily Summary'!K51</f>
        <v/>
      </c>
    </row>
    <row r="55" spans="1:6" x14ac:dyDescent="0.3">
      <c r="A55" s="10"/>
      <c r="B55" s="9">
        <f>_xlfn.XLOOKUP($A55, 'Daily Summary'!A:A, 'Daily Summary'!B:B)</f>
        <v>0</v>
      </c>
      <c r="C55" s="11" t="str">
        <f>IFERROR(AVERAGEIFS(Log!$D:$D,Log!$A:$A,$A55,Log!$B:$B,$C$1),"")</f>
        <v/>
      </c>
      <c r="D55" s="11" t="str">
        <f>IFERROR(AVERAGEIFS(Log!$E:$E,Log!$A:$A,$A55,Log!$B:$B,$C$1),"")</f>
        <v/>
      </c>
      <c r="E55" t="str">
        <f>'Daily Summary'!H52</f>
        <v/>
      </c>
      <c r="F55" t="str">
        <f>'Daily Summary'!K52</f>
        <v/>
      </c>
    </row>
    <row r="56" spans="1:6" x14ac:dyDescent="0.3">
      <c r="A56" s="10"/>
      <c r="B56" s="9">
        <f>_xlfn.XLOOKUP($A56, 'Daily Summary'!A:A, 'Daily Summary'!B:B)</f>
        <v>0</v>
      </c>
      <c r="C56" s="11" t="str">
        <f>IFERROR(AVERAGEIFS(Log!$D:$D,Log!$A:$A,$A56,Log!$B:$B,$C$1),"")</f>
        <v/>
      </c>
      <c r="D56" s="11" t="str">
        <f>IFERROR(AVERAGEIFS(Log!$E:$E,Log!$A:$A,$A56,Log!$B:$B,$C$1),"")</f>
        <v/>
      </c>
      <c r="E56" t="str">
        <f>'Daily Summary'!H53</f>
        <v/>
      </c>
      <c r="F56" t="str">
        <f>'Daily Summary'!K53</f>
        <v/>
      </c>
    </row>
    <row r="57" spans="1:6" x14ac:dyDescent="0.3">
      <c r="A57" s="10"/>
      <c r="B57" s="9">
        <f>_xlfn.XLOOKUP($A57, 'Daily Summary'!A:A, 'Daily Summary'!B:B)</f>
        <v>0</v>
      </c>
      <c r="C57" s="11" t="str">
        <f>IFERROR(AVERAGEIFS(Log!$D:$D,Log!$A:$A,$A57,Log!$B:$B,$C$1),"")</f>
        <v/>
      </c>
      <c r="D57" s="11" t="str">
        <f>IFERROR(AVERAGEIFS(Log!$E:$E,Log!$A:$A,$A57,Log!$B:$B,$C$1),"")</f>
        <v/>
      </c>
      <c r="E57" t="str">
        <f>'Daily Summary'!H54</f>
        <v/>
      </c>
      <c r="F57" t="str">
        <f>'Daily Summary'!K54</f>
        <v/>
      </c>
    </row>
    <row r="58" spans="1:6" x14ac:dyDescent="0.3">
      <c r="A58" s="10"/>
      <c r="B58" s="9">
        <f>_xlfn.XLOOKUP($A58, 'Daily Summary'!A:A, 'Daily Summary'!B:B)</f>
        <v>0</v>
      </c>
      <c r="C58" s="11" t="str">
        <f>IFERROR(AVERAGEIFS(Log!$D:$D,Log!$A:$A,$A58,Log!$B:$B,$C$1),"")</f>
        <v/>
      </c>
      <c r="D58" s="11" t="str">
        <f>IFERROR(AVERAGEIFS(Log!$E:$E,Log!$A:$A,$A58,Log!$B:$B,$C$1),"")</f>
        <v/>
      </c>
      <c r="E58" t="str">
        <f>'Daily Summary'!H55</f>
        <v/>
      </c>
      <c r="F58" t="str">
        <f>'Daily Summary'!K55</f>
        <v/>
      </c>
    </row>
    <row r="59" spans="1:6" x14ac:dyDescent="0.3">
      <c r="A59" s="10"/>
      <c r="C59" s="11" t="str">
        <f>IFERROR(AVERAGEIFS(Log!$D:$D,Log!$A:$A,$A59,Log!$B:$B,$C$1),"")</f>
        <v/>
      </c>
      <c r="D59" s="11" t="str">
        <f>IFERROR(AVERAGEIFS(Log!$E:$E,Log!$A:$A,$A59,Log!$B:$B,$C$1),"")</f>
        <v/>
      </c>
      <c r="E59" t="str">
        <f>'Daily Summary'!H56</f>
        <v/>
      </c>
      <c r="F59" t="str">
        <f>'Daily Summary'!K56</f>
        <v/>
      </c>
    </row>
    <row r="60" spans="1:6" x14ac:dyDescent="0.3">
      <c r="A60" s="10"/>
      <c r="C60" s="11" t="str">
        <f>IFERROR(AVERAGEIFS(Log!$D:$D,Log!$A:$A,$A60,Log!$B:$B,$C$1),"")</f>
        <v/>
      </c>
      <c r="D60" s="11" t="str">
        <f>IFERROR(AVERAGEIFS(Log!$E:$E,Log!$A:$A,$A60,Log!$B:$B,$C$1),"")</f>
        <v/>
      </c>
      <c r="E60" t="str">
        <f>'Daily Summary'!H57</f>
        <v/>
      </c>
      <c r="F60" t="str">
        <f>'Daily Summary'!K57</f>
        <v/>
      </c>
    </row>
  </sheetData>
  <mergeCells count="10">
    <mergeCell ref="H1:I1"/>
    <mergeCell ref="J1:K1"/>
    <mergeCell ref="L1:M1"/>
    <mergeCell ref="C3:D3"/>
    <mergeCell ref="E3:F3"/>
    <mergeCell ref="C1:D1"/>
    <mergeCell ref="A3:A4"/>
    <mergeCell ref="A1:B1"/>
    <mergeCell ref="A2:F2"/>
    <mergeCell ref="B3:B4"/>
  </mergeCells>
  <conditionalFormatting sqref="C5:C60">
    <cfRule type="expression" dxfId="4" priority="4">
      <formula>AND($C5&lt;&gt;"",$E5&lt;&gt;"",$C5&gt;$E5)</formula>
    </cfRule>
    <cfRule type="expression" dxfId="3" priority="5">
      <formula>AND($C5&lt;&gt;"",$E5&lt;&gt;"",$C5&lt;$E5)</formula>
    </cfRule>
  </conditionalFormatting>
  <conditionalFormatting sqref="D5:D60">
    <cfRule type="expression" dxfId="2" priority="2">
      <formula>AND($D5&lt;&gt;"",$F5&lt;&gt;"",$D5&gt;$F5)</formula>
    </cfRule>
    <cfRule type="expression" dxfId="1" priority="3">
      <formula>AND($D5&lt;&gt;"",$F5&lt;&gt;"",$D5&lt;$F5)</formula>
    </cfRule>
  </conditionalFormatting>
  <conditionalFormatting sqref="L3:M3">
    <cfRule type="cellIs" dxfId="0" priority="1" operator="greaterThanOrEqual">
      <formula>100%</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xr:uid="{00000000-0002-0000-0400-000000000000}">
          <x14:formula1>
            <xm:f>Lists!$A$2:$A$19</xm:f>
          </x14:formula1>
          <x14:formula2>
            <xm:f>0</xm:f>
          </x14:formula2>
          <xm:sqref>C1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001A-36AA-43BD-AE26-2C8108444E03}">
  <sheetPr>
    <tabColor theme="9" tint="-0.249977111117893"/>
  </sheetPr>
  <dimension ref="A1:M60"/>
  <sheetViews>
    <sheetView zoomScaleNormal="85" workbookViewId="0">
      <pane ySplit="3" topLeftCell="A4" activePane="bottomLeft" state="frozen"/>
      <selection activeCell="B1" sqref="B1:C1"/>
      <selection pane="bottomLeft" activeCell="B1" sqref="B1:C1"/>
    </sheetView>
  </sheetViews>
  <sheetFormatPr defaultColWidth="8.6640625" defaultRowHeight="14.4" x14ac:dyDescent="0.3"/>
  <cols>
    <col min="1" max="1" width="21.88671875" style="9" customWidth="1"/>
    <col min="2" max="3" width="15.77734375" style="9" customWidth="1"/>
    <col min="4" max="5" width="17.33203125" style="9" customWidth="1"/>
    <col min="6" max="7" width="17.33203125" style="9" hidden="1" customWidth="1"/>
    <col min="8" max="9" width="17.33203125" style="9" customWidth="1"/>
    <col min="10" max="10" width="34.5546875" hidden="1" customWidth="1"/>
    <col min="11" max="11" width="10.5546875" bestFit="1" customWidth="1"/>
    <col min="12" max="13" width="25.88671875" customWidth="1"/>
  </cols>
  <sheetData>
    <row r="1" spans="1:13" s="63" customFormat="1" x14ac:dyDescent="0.3">
      <c r="A1" s="115" t="s">
        <v>13</v>
      </c>
      <c r="B1" s="112" t="s">
        <v>70</v>
      </c>
      <c r="C1" s="112"/>
      <c r="D1" s="112" t="s">
        <v>69</v>
      </c>
      <c r="E1" s="112"/>
      <c r="F1" s="112" t="s">
        <v>68</v>
      </c>
      <c r="G1" s="112"/>
      <c r="H1" s="112" t="s">
        <v>67</v>
      </c>
      <c r="I1" s="112"/>
      <c r="L1" s="110" t="s">
        <v>57</v>
      </c>
      <c r="M1" s="111"/>
    </row>
    <row r="2" spans="1:13" x14ac:dyDescent="0.3">
      <c r="A2" s="115"/>
      <c r="B2" s="119" t="s">
        <v>55</v>
      </c>
      <c r="C2" s="120"/>
      <c r="D2" s="100" t="s">
        <v>65</v>
      </c>
      <c r="E2" s="100"/>
      <c r="F2" s="117" t="s">
        <v>64</v>
      </c>
      <c r="G2" s="117"/>
      <c r="H2" s="118" t="s">
        <v>66</v>
      </c>
      <c r="I2" s="118"/>
      <c r="J2" s="113" t="s">
        <v>47</v>
      </c>
      <c r="L2" s="43" t="s">
        <v>33</v>
      </c>
      <c r="M2" s="43" t="s">
        <v>34</v>
      </c>
    </row>
    <row r="3" spans="1:13" x14ac:dyDescent="0.3">
      <c r="A3" s="116"/>
      <c r="B3" s="64" t="s">
        <v>33</v>
      </c>
      <c r="C3" s="65" t="s">
        <v>34</v>
      </c>
      <c r="D3" s="66" t="s">
        <v>33</v>
      </c>
      <c r="E3" s="67" t="s">
        <v>34</v>
      </c>
      <c r="F3" s="68" t="s">
        <v>33</v>
      </c>
      <c r="G3" s="68" t="s">
        <v>34</v>
      </c>
      <c r="H3" s="69" t="s">
        <v>33</v>
      </c>
      <c r="I3" s="69" t="s">
        <v>34</v>
      </c>
      <c r="J3" s="114"/>
      <c r="L3" s="47">
        <f>AVERAGE(B4:B21)</f>
        <v>0.39137705158730163</v>
      </c>
      <c r="M3" s="47">
        <f>AVERAGE(C4:C21)</f>
        <v>9.3601634027777769E-2</v>
      </c>
    </row>
    <row r="4" spans="1:13" x14ac:dyDescent="0.3">
      <c r="A4" s="37" t="s">
        <v>14</v>
      </c>
      <c r="B4" s="48">
        <f>_xlfn.LET(
  _xlpm.cam, $A4,
  _xlpm.errSum, SUMIFS(Log!$D:$D, Log!$B:$B, _xlpm.cam, Log!$D:$D, "&lt;&gt;"),
  _xlpm.errCount, COUNTIFS(Log!$B:$B, _xlpm.cam, Log!$D:$D, "&lt;&gt;"),
  IF(_xlpm.errCount=0, "", _xlpm.errSum/_xlpm.errCount)
)</f>
        <v>0.32408187500000002</v>
      </c>
      <c r="C4" s="49">
        <f>_xlfn.LET(
  _xlpm.cam, $A4,
  _xlpm.errSum, SUMIFS(Log!$E:$E, Log!$B:$B, _xlpm.cam, Log!$E:$E, "&lt;&gt;"),
  _xlpm.errCount, COUNTIFS(Log!$B:$B, _xlpm.cam, Log!$E:$E, "&lt;&gt;"),
  IF(_xlpm.errCount=0, "", _xlpm.errSum/_xlpm.errCount)
)</f>
        <v>9.1985325000000007E-2</v>
      </c>
      <c r="D4" s="30">
        <f>COUNTIFS(Log!$B:$B, $A4, Log!$H:$H, "Yes")</f>
        <v>6</v>
      </c>
      <c r="E4" s="31">
        <f>COUNTIFS(Log!$B:$B, $A4, Log!$I:$I, "Yes")</f>
        <v>5</v>
      </c>
      <c r="F4" s="28">
        <f>COUNTIFS(Log!$B:$B, $A4, Log!$H:$H, "No")</f>
        <v>2</v>
      </c>
      <c r="G4" s="29">
        <f>COUNTIFS(Log!$B:$B, $A4, Log!$I:$I, "No")</f>
        <v>3</v>
      </c>
      <c r="H4" s="61">
        <f>D4/COUNT(_xlfn.UNIQUE(Log!$A$3:$A$281))</f>
        <v>0.75</v>
      </c>
      <c r="I4" s="61">
        <f>E4/COUNT(_xlfn.UNIQUE(Log!$A$3:$A$281))</f>
        <v>0.625</v>
      </c>
      <c r="J4" s="41"/>
      <c r="K4" s="62"/>
      <c r="L4" s="62"/>
      <c r="M4" s="62"/>
    </row>
    <row r="5" spans="1:13" x14ac:dyDescent="0.3">
      <c r="A5" s="38" t="s">
        <v>15</v>
      </c>
      <c r="B5" s="48">
        <f>_xlfn.LET(
  _xlpm.cam, $A5,
  _xlpm.errSum, SUMIFS(Log!$D:$D, Log!$B:$B, _xlpm.cam, Log!$D:$D, "&lt;&gt;"),
  _xlpm.errCount, COUNTIFS(Log!$B:$B, _xlpm.cam, Log!$D:$D, "&lt;&gt;"),
  IF(_xlpm.errCount=0, "", _xlpm.errSum/_xlpm.errCount)
)</f>
        <v>0.43452299999999999</v>
      </c>
      <c r="C5" s="49">
        <f>_xlfn.LET(
  _xlpm.cam, $A5,
  _xlpm.errSum, SUMIFS(Log!$E:$E, Log!$B:$B, _xlpm.cam, Log!$E:$E, "&lt;&gt;"),
  _xlpm.errCount, COUNTIFS(Log!$B:$B, _xlpm.cam, Log!$E:$E, "&lt;&gt;"),
  IF(_xlpm.errCount=0, "", _xlpm.errSum/_xlpm.errCount)
)</f>
        <v>0.11552837499999999</v>
      </c>
      <c r="D5" s="30">
        <f>COUNTIFS(Log!$B:$B, $A5, Log!$H:$H, "Yes")</f>
        <v>1</v>
      </c>
      <c r="E5" s="31">
        <f>COUNTIFS(Log!$B:$B, $A5, Log!$I:$I, "Yes")</f>
        <v>0</v>
      </c>
      <c r="F5" s="28">
        <f>COUNTIFS(Log!$B:$B, $A5, Log!$H:$H, "No")</f>
        <v>7</v>
      </c>
      <c r="G5" s="29">
        <f>COUNTIFS(Log!$B:$B, $A5, Log!$I:$I, "No")</f>
        <v>8</v>
      </c>
      <c r="H5" s="61">
        <f>D5/COUNT(_xlfn.UNIQUE(Log!$A$3:$A$281))</f>
        <v>0.125</v>
      </c>
      <c r="I5" s="61">
        <f>E5/COUNT(_xlfn.UNIQUE(Log!$A$3:$A$281))</f>
        <v>0</v>
      </c>
      <c r="J5" s="41"/>
    </row>
    <row r="6" spans="1:13" x14ac:dyDescent="0.3">
      <c r="A6" s="37" t="s">
        <v>16</v>
      </c>
      <c r="B6" s="48">
        <f>_xlfn.LET(
  _xlpm.cam, $A6,
  _xlpm.errSum, SUMIFS(Log!$D:$D, Log!$B:$B, _xlpm.cam, Log!$D:$D, "&lt;&gt;"),
  _xlpm.errCount, COUNTIFS(Log!$B:$B, _xlpm.cam, Log!$D:$D, "&lt;&gt;"),
  IF(_xlpm.errCount=0, "", _xlpm.errSum/_xlpm.errCount)
)</f>
        <v>0.43415475000000003</v>
      </c>
      <c r="C6" s="49">
        <f>_xlfn.LET(
  _xlpm.cam, $A6,
  _xlpm.errSum, SUMIFS(Log!$E:$E, Log!$B:$B, _xlpm.cam, Log!$E:$E, "&lt;&gt;"),
  _xlpm.errCount, COUNTIFS(Log!$B:$B, _xlpm.cam, Log!$E:$E, "&lt;&gt;"),
  IF(_xlpm.errCount=0, "", _xlpm.errSum/_xlpm.errCount)
)</f>
        <v>0.10269323749999999</v>
      </c>
      <c r="D6" s="30">
        <f>COUNTIFS(Log!$B:$B, $A6, Log!$H:$H, "Yes")</f>
        <v>2</v>
      </c>
      <c r="E6" s="31">
        <f>COUNTIFS(Log!$B:$B, $A6, Log!$I:$I, "Yes")</f>
        <v>2</v>
      </c>
      <c r="F6" s="28">
        <f>COUNTIFS(Log!$B:$B, $A6, Log!$H:$H, "No")</f>
        <v>6</v>
      </c>
      <c r="G6" s="29">
        <f>COUNTIFS(Log!$B:$B, $A6, Log!$I:$I, "No")</f>
        <v>6</v>
      </c>
      <c r="H6" s="61">
        <f>D6/COUNT(_xlfn.UNIQUE(Log!$A$3:$A$281))</f>
        <v>0.25</v>
      </c>
      <c r="I6" s="61">
        <f>E6/COUNT(_xlfn.UNIQUE(Log!$A$3:$A$281))</f>
        <v>0.25</v>
      </c>
      <c r="J6" s="41"/>
    </row>
    <row r="7" spans="1:13" x14ac:dyDescent="0.3">
      <c r="A7" s="38" t="s">
        <v>17</v>
      </c>
      <c r="B7" s="48">
        <f>_xlfn.LET(
  _xlpm.cam, $A7,
  _xlpm.errSum, SUMIFS(Log!$D:$D, Log!$B:$B, _xlpm.cam, Log!$D:$D, "&lt;&gt;"),
  _xlpm.errCount, COUNTIFS(Log!$B:$B, _xlpm.cam, Log!$D:$D, "&lt;&gt;"),
  IF(_xlpm.errCount=0, "", _xlpm.errSum/_xlpm.errCount)
)</f>
        <v>0.532553375</v>
      </c>
      <c r="C7" s="49">
        <f>_xlfn.LET(
  _xlpm.cam, $A7,
  _xlpm.errSum, SUMIFS(Log!$E:$E, Log!$B:$B, _xlpm.cam, Log!$E:$E, "&lt;&gt;"),
  _xlpm.errCount, COUNTIFS(Log!$B:$B, _xlpm.cam, Log!$E:$E, "&lt;&gt;"),
  IF(_xlpm.errCount=0, "", _xlpm.errSum/_xlpm.errCount)
)</f>
        <v>0.10561092499999999</v>
      </c>
      <c r="D7" s="30">
        <f>COUNTIFS(Log!$B:$B, $A7, Log!$H:$H, "Yes")</f>
        <v>1</v>
      </c>
      <c r="E7" s="31">
        <f>COUNTIFS(Log!$B:$B, $A7, Log!$I:$I, "Yes")</f>
        <v>1</v>
      </c>
      <c r="F7" s="28">
        <f>COUNTIFS(Log!$B:$B, $A7, Log!$H:$H, "No")</f>
        <v>7</v>
      </c>
      <c r="G7" s="29">
        <f>COUNTIFS(Log!$B:$B, $A7, Log!$I:$I, "No")</f>
        <v>7</v>
      </c>
      <c r="H7" s="61">
        <f>D7/COUNT(_xlfn.UNIQUE(Log!$A$3:$A$281))</f>
        <v>0.125</v>
      </c>
      <c r="I7" s="61">
        <f>E7/COUNT(_xlfn.UNIQUE(Log!$A$3:$A$281))</f>
        <v>0.125</v>
      </c>
      <c r="J7" s="41"/>
    </row>
    <row r="8" spans="1:13" x14ac:dyDescent="0.3">
      <c r="A8" s="37" t="s">
        <v>18</v>
      </c>
      <c r="B8" s="48">
        <f>_xlfn.LET(
  _xlpm.cam, $A8,
  _xlpm.errSum, SUMIFS(Log!$D:$D, Log!$B:$B, _xlpm.cam, Log!$D:$D, "&lt;&gt;"),
  _xlpm.errCount, COUNTIFS(Log!$B:$B, _xlpm.cam, Log!$D:$D, "&lt;&gt;"),
  IF(_xlpm.errCount=0, "", _xlpm.errSum/_xlpm.errCount)
)</f>
        <v>0.27774037499999998</v>
      </c>
      <c r="C8" s="49">
        <f>_xlfn.LET(
  _xlpm.cam, $A8,
  _xlpm.errSum, SUMIFS(Log!$E:$E, Log!$B:$B, _xlpm.cam, Log!$E:$E, "&lt;&gt;"),
  _xlpm.errCount, COUNTIFS(Log!$B:$B, _xlpm.cam, Log!$E:$E, "&lt;&gt;"),
  IF(_xlpm.errCount=0, "", _xlpm.errSum/_xlpm.errCount)
)</f>
        <v>6.6344874999999998E-2</v>
      </c>
      <c r="D8" s="30">
        <f>COUNTIFS(Log!$B:$B, $A8, Log!$H:$H, "Yes")</f>
        <v>8</v>
      </c>
      <c r="E8" s="31">
        <f>COUNTIFS(Log!$B:$B, $A8, Log!$I:$I, "Yes")</f>
        <v>8</v>
      </c>
      <c r="F8" s="28">
        <f>COUNTIFS(Log!$B:$B, $A8, Log!$H:$H, "No")</f>
        <v>0</v>
      </c>
      <c r="G8" s="29">
        <f>COUNTIFS(Log!$B:$B, $A8, Log!$I:$I, "No")</f>
        <v>0</v>
      </c>
      <c r="H8" s="61">
        <f>D8/COUNT(_xlfn.UNIQUE(Log!$A$3:$A$281))</f>
        <v>1</v>
      </c>
      <c r="I8" s="61">
        <f>E8/COUNT(_xlfn.UNIQUE(Log!$A$3:$A$281))</f>
        <v>1</v>
      </c>
      <c r="J8" s="41"/>
    </row>
    <row r="9" spans="1:13" x14ac:dyDescent="0.3">
      <c r="A9" s="38" t="s">
        <v>19</v>
      </c>
      <c r="B9" s="48">
        <f>_xlfn.LET(
  _xlpm.cam, $A9,
  _xlpm.errSum, SUMIFS(Log!$D:$D, Log!$B:$B, _xlpm.cam, Log!$D:$D, "&lt;&gt;"),
  _xlpm.errCount, COUNTIFS(Log!$B:$B, _xlpm.cam, Log!$D:$D, "&lt;&gt;"),
  IF(_xlpm.errCount=0, "", _xlpm.errSum/_xlpm.errCount)
)</f>
        <v>0.52327425000000005</v>
      </c>
      <c r="C9" s="49">
        <f>_xlfn.LET(
  _xlpm.cam, $A9,
  _xlpm.errSum, SUMIFS(Log!$E:$E, Log!$B:$B, _xlpm.cam, Log!$E:$E, "&lt;&gt;"),
  _xlpm.errCount, COUNTIFS(Log!$B:$B, _xlpm.cam, Log!$E:$E, "&lt;&gt;"),
  IF(_xlpm.errCount=0, "", _xlpm.errSum/_xlpm.errCount)
)</f>
        <v>0.1100429</v>
      </c>
      <c r="D9" s="30">
        <f>COUNTIFS(Log!$B:$B, $A9, Log!$H:$H, "Yes")</f>
        <v>2</v>
      </c>
      <c r="E9" s="31">
        <f>COUNTIFS(Log!$B:$B, $A9, Log!$I:$I, "Yes")</f>
        <v>6</v>
      </c>
      <c r="F9" s="28">
        <f>COUNTIFS(Log!$B:$B, $A9, Log!$H:$H, "No")</f>
        <v>6</v>
      </c>
      <c r="G9" s="29">
        <f>COUNTIFS(Log!$B:$B, $A9, Log!$I:$I, "No")</f>
        <v>2</v>
      </c>
      <c r="H9" s="61">
        <f>D9/COUNT(_xlfn.UNIQUE(Log!$A$3:$A$281))</f>
        <v>0.25</v>
      </c>
      <c r="I9" s="61">
        <f>E9/COUNT(_xlfn.UNIQUE(Log!$A$3:$A$281))</f>
        <v>0.75</v>
      </c>
      <c r="J9" s="41"/>
    </row>
    <row r="10" spans="1:13" x14ac:dyDescent="0.3">
      <c r="A10" s="37" t="s">
        <v>20</v>
      </c>
      <c r="B10" s="48">
        <f>_xlfn.LET(
  _xlpm.cam, $A10,
  _xlpm.errSum, SUMIFS(Log!$D:$D, Log!$B:$B, _xlpm.cam, Log!$D:$D, "&lt;&gt;"),
  _xlpm.errCount, COUNTIFS(Log!$B:$B, _xlpm.cam, Log!$D:$D, "&lt;&gt;"),
  IF(_xlpm.errCount=0, "", _xlpm.errSum/_xlpm.errCount)
)</f>
        <v>0.46815687499999997</v>
      </c>
      <c r="C10" s="49">
        <f>_xlfn.LET(
  _xlpm.cam, $A10,
  _xlpm.errSum, SUMIFS(Log!$E:$E, Log!$B:$B, _xlpm.cam, Log!$E:$E, "&lt;&gt;"),
  _xlpm.errCount, COUNTIFS(Log!$B:$B, _xlpm.cam, Log!$E:$E, "&lt;&gt;"),
  IF(_xlpm.errCount=0, "", _xlpm.errSum/_xlpm.errCount)
)</f>
        <v>9.7598962499999997E-2</v>
      </c>
      <c r="D10" s="30">
        <f>COUNTIFS(Log!$B:$B, $A10, Log!$H:$H, "Yes")</f>
        <v>2</v>
      </c>
      <c r="E10" s="31">
        <f>COUNTIFS(Log!$B:$B, $A10, Log!$I:$I, "Yes")</f>
        <v>3</v>
      </c>
      <c r="F10" s="28">
        <f>COUNTIFS(Log!$B:$B, $A10, Log!$H:$H, "No")</f>
        <v>6</v>
      </c>
      <c r="G10" s="29">
        <f>COUNTIFS(Log!$B:$B, $A10, Log!$I:$I, "No")</f>
        <v>5</v>
      </c>
      <c r="H10" s="61">
        <f>D10/COUNT(_xlfn.UNIQUE(Log!$A$3:$A$281))</f>
        <v>0.25</v>
      </c>
      <c r="I10" s="61">
        <f>E10/COUNT(_xlfn.UNIQUE(Log!$A$3:$A$281))</f>
        <v>0.375</v>
      </c>
      <c r="J10" s="41"/>
    </row>
    <row r="11" spans="1:13" x14ac:dyDescent="0.3">
      <c r="A11" s="39" t="s">
        <v>46</v>
      </c>
      <c r="B11" s="48">
        <f>_xlfn.LET(
  _xlpm.cam, $A11,
  _xlpm.errSum, SUMIFS(Log!$D:$D, Log!$B:$B, _xlpm.cam, Log!$D:$D, "&lt;&gt;"),
  _xlpm.errCount, COUNTIFS(Log!$B:$B, _xlpm.cam, Log!$D:$D, "&lt;&gt;"),
  IF(_xlpm.errCount=0, "", _xlpm.errSum/_xlpm.errCount)
)</f>
        <v>0.2178934285714286</v>
      </c>
      <c r="C11" s="49">
        <f>_xlfn.LET(
  _xlpm.cam, $A11,
  _xlpm.errSum, SUMIFS(Log!$E:$E, Log!$B:$B, _xlpm.cam, Log!$E:$E, "&lt;&gt;"),
  _xlpm.errCount, COUNTIFS(Log!$B:$B, _xlpm.cam, Log!$E:$E, "&lt;&gt;"),
  IF(_xlpm.errCount=0, "", _xlpm.errSum/_xlpm.errCount)
)</f>
        <v>6.5777000000000002E-2</v>
      </c>
      <c r="D11" s="30">
        <f>COUNTIFS(Log!$B:$B, $A11, Log!$H:$H, "Yes")</f>
        <v>7</v>
      </c>
      <c r="E11" s="31">
        <f>COUNTIFS(Log!$B:$B, $A11, Log!$I:$I, "Yes")</f>
        <v>7</v>
      </c>
      <c r="F11" s="28">
        <f>COUNTIFS(Log!$B:$B, $A11, Log!$H:$H, "No")</f>
        <v>0</v>
      </c>
      <c r="G11" s="29">
        <f>COUNTIFS(Log!$B:$B, $A11, Log!$I:$I, "No")</f>
        <v>0</v>
      </c>
      <c r="H11" s="61">
        <f>D11/COUNT(_xlfn.UNIQUE(Log!$A$3:$A$281))</f>
        <v>0.875</v>
      </c>
      <c r="I11" s="61">
        <f>E11/COUNT(_xlfn.UNIQUE(Log!$A$3:$A$281))</f>
        <v>0.875</v>
      </c>
      <c r="J11" s="41"/>
      <c r="L11" s="70" t="s">
        <v>72</v>
      </c>
    </row>
    <row r="12" spans="1:13" x14ac:dyDescent="0.3">
      <c r="A12" s="37" t="s">
        <v>21</v>
      </c>
      <c r="B12" s="48">
        <f>_xlfn.LET(
  _xlpm.cam, $A12,
  _xlpm.errSum, SUMIFS(Log!$D:$D, Log!$B:$B, _xlpm.cam, Log!$D:$D, "&lt;&gt;"),
  _xlpm.errCount, COUNTIFS(Log!$B:$B, _xlpm.cam, Log!$D:$D, "&lt;&gt;"),
  IF(_xlpm.errCount=0, "", _xlpm.errSum/_xlpm.errCount)
)</f>
        <v>0.52183662500000005</v>
      </c>
      <c r="C12" s="49">
        <f>_xlfn.LET(
  _xlpm.cam, $A12,
  _xlpm.errSum, SUMIFS(Log!$E:$E, Log!$B:$B, _xlpm.cam, Log!$E:$E, "&lt;&gt;"),
  _xlpm.errCount, COUNTIFS(Log!$B:$B, _xlpm.cam, Log!$E:$E, "&lt;&gt;"),
  IF(_xlpm.errCount=0, "", _xlpm.errSum/_xlpm.errCount)
)</f>
        <v>0.10166336250000001</v>
      </c>
      <c r="D12" s="30">
        <f>COUNTIFS(Log!$B:$B, $A12, Log!$H:$H, "Yes")</f>
        <v>0</v>
      </c>
      <c r="E12" s="31">
        <f>COUNTIFS(Log!$B:$B, $A12, Log!$I:$I, "Yes")</f>
        <v>6</v>
      </c>
      <c r="F12" s="28">
        <f>COUNTIFS(Log!$B:$B, $A12, Log!$H:$H, "No")</f>
        <v>8</v>
      </c>
      <c r="G12" s="29">
        <f>COUNTIFS(Log!$B:$B, $A12, Log!$I:$I, "No")</f>
        <v>2</v>
      </c>
      <c r="H12" s="61">
        <f>D12/COUNT(_xlfn.UNIQUE(Log!$A$3:$A$281))</f>
        <v>0</v>
      </c>
      <c r="I12" s="61">
        <f>E12/COUNT(_xlfn.UNIQUE(Log!$A$3:$A$281))</f>
        <v>0.75</v>
      </c>
      <c r="J12" s="41"/>
    </row>
    <row r="13" spans="1:13" x14ac:dyDescent="0.3">
      <c r="A13" s="38" t="s">
        <v>22</v>
      </c>
      <c r="B13" s="48">
        <f>_xlfn.LET(
  _xlpm.cam, $A13,
  _xlpm.errSum, SUMIFS(Log!$D:$D, Log!$B:$B, _xlpm.cam, Log!$D:$D, "&lt;&gt;"),
  _xlpm.errCount, COUNTIFS(Log!$B:$B, _xlpm.cam, Log!$D:$D, "&lt;&gt;"),
  IF(_xlpm.errCount=0, "", _xlpm.errSum/_xlpm.errCount)
)</f>
        <v>0.43146162500000002</v>
      </c>
      <c r="C13" s="49">
        <f>_xlfn.LET(
  _xlpm.cam, $A13,
  _xlpm.errSum, SUMIFS(Log!$E:$E, Log!$B:$B, _xlpm.cam, Log!$E:$E, "&lt;&gt;"),
  _xlpm.errCount, COUNTIFS(Log!$B:$B, _xlpm.cam, Log!$E:$E, "&lt;&gt;"),
  IF(_xlpm.errCount=0, "", _xlpm.errSum/_xlpm.errCount)
)</f>
        <v>0.115976575</v>
      </c>
      <c r="D13" s="30">
        <f>COUNTIFS(Log!$B:$B, $A13, Log!$H:$H, "Yes")</f>
        <v>3</v>
      </c>
      <c r="E13" s="31">
        <f>COUNTIFS(Log!$B:$B, $A13, Log!$I:$I, "Yes")</f>
        <v>3</v>
      </c>
      <c r="F13" s="28">
        <f>COUNTIFS(Log!$B:$B, $A13, Log!$H:$H, "No")</f>
        <v>5</v>
      </c>
      <c r="G13" s="29">
        <f>COUNTIFS(Log!$B:$B, $A13, Log!$I:$I, "No")</f>
        <v>5</v>
      </c>
      <c r="H13" s="61">
        <f>D13/COUNT(_xlfn.UNIQUE(Log!$A$3:$A$281))</f>
        <v>0.375</v>
      </c>
      <c r="I13" s="61">
        <f>E13/COUNT(_xlfn.UNIQUE(Log!$A$3:$A$281))</f>
        <v>0.375</v>
      </c>
      <c r="J13" s="41"/>
    </row>
    <row r="14" spans="1:13" x14ac:dyDescent="0.3">
      <c r="A14" s="37" t="s">
        <v>23</v>
      </c>
      <c r="B14" s="48">
        <f>_xlfn.LET(
  _xlpm.cam, $A14,
  _xlpm.errSum, SUMIFS(Log!$D:$D, Log!$B:$B, _xlpm.cam, Log!$D:$D, "&lt;&gt;"),
  _xlpm.errCount, COUNTIFS(Log!$B:$B, _xlpm.cam, Log!$D:$D, "&lt;&gt;"),
  IF(_xlpm.errCount=0, "", _xlpm.errSum/_xlpm.errCount)
)</f>
        <v>0.35101187499999997</v>
      </c>
      <c r="C14" s="49">
        <f>_xlfn.LET(
  _xlpm.cam, $A14,
  _xlpm.errSum, SUMIFS(Log!$E:$E, Log!$B:$B, _xlpm.cam, Log!$E:$E, "&lt;&gt;"),
  _xlpm.errCount, COUNTIFS(Log!$B:$B, _xlpm.cam, Log!$E:$E, "&lt;&gt;"),
  IF(_xlpm.errCount=0, "", _xlpm.errSum/_xlpm.errCount)
)</f>
        <v>0.11641032500000001</v>
      </c>
      <c r="D14" s="30">
        <f>COUNTIFS(Log!$B:$B, $A14, Log!$H:$H, "Yes")</f>
        <v>3</v>
      </c>
      <c r="E14" s="31">
        <f>COUNTIFS(Log!$B:$B, $A14, Log!$I:$I, "Yes")</f>
        <v>2</v>
      </c>
      <c r="F14" s="28">
        <f>COUNTIFS(Log!$B:$B, $A14, Log!$H:$H, "No")</f>
        <v>5</v>
      </c>
      <c r="G14" s="29">
        <f>COUNTIFS(Log!$B:$B, $A14, Log!$I:$I, "No")</f>
        <v>6</v>
      </c>
      <c r="H14" s="61">
        <f>D14/COUNT(_xlfn.UNIQUE(Log!$A$3:$A$281))</f>
        <v>0.375</v>
      </c>
      <c r="I14" s="61">
        <f>E14/COUNT(_xlfn.UNIQUE(Log!$A$3:$A$281))</f>
        <v>0.25</v>
      </c>
      <c r="J14" s="41"/>
    </row>
    <row r="15" spans="1:13" x14ac:dyDescent="0.3">
      <c r="A15" s="38" t="s">
        <v>24</v>
      </c>
      <c r="B15" s="48">
        <f>_xlfn.LET(
  _xlpm.cam, $A15,
  _xlpm.errSum, SUMIFS(Log!$D:$D, Log!$B:$B, _xlpm.cam, Log!$D:$D, "&lt;&gt;"),
  _xlpm.errCount, COUNTIFS(Log!$B:$B, _xlpm.cam, Log!$D:$D, "&lt;&gt;"),
  IF(_xlpm.errCount=0, "", _xlpm.errSum/_xlpm.errCount)
)</f>
        <v>0.28560912500000002</v>
      </c>
      <c r="C15" s="49">
        <f>_xlfn.LET(
  _xlpm.cam, $A15,
  _xlpm.errSum, SUMIFS(Log!$E:$E, Log!$B:$B, _xlpm.cam, Log!$E:$E, "&lt;&gt;"),
  _xlpm.errCount, COUNTIFS(Log!$B:$B, _xlpm.cam, Log!$E:$E, "&lt;&gt;"),
  IF(_xlpm.errCount=0, "", _xlpm.errSum/_xlpm.errCount)
)</f>
        <v>8.9443887500000013E-2</v>
      </c>
      <c r="D15" s="30">
        <f>COUNTIFS(Log!$B:$B, $A15, Log!$H:$H, "Yes")</f>
        <v>6</v>
      </c>
      <c r="E15" s="31">
        <f>COUNTIFS(Log!$B:$B, $A15, Log!$I:$I, "Yes")</f>
        <v>4</v>
      </c>
      <c r="F15" s="28">
        <f>COUNTIFS(Log!$B:$B, $A15, Log!$H:$H, "No")</f>
        <v>2</v>
      </c>
      <c r="G15" s="29">
        <f>COUNTIFS(Log!$B:$B, $A15, Log!$I:$I, "No")</f>
        <v>4</v>
      </c>
      <c r="H15" s="61">
        <f>D15/COUNT(_xlfn.UNIQUE(Log!$A$3:$A$281))</f>
        <v>0.75</v>
      </c>
      <c r="I15" s="61">
        <f>E15/COUNT(_xlfn.UNIQUE(Log!$A$3:$A$281))</f>
        <v>0.5</v>
      </c>
      <c r="J15" s="41"/>
    </row>
    <row r="16" spans="1:13" x14ac:dyDescent="0.3">
      <c r="A16" s="37" t="s">
        <v>25</v>
      </c>
      <c r="B16" s="48">
        <f>_xlfn.LET(
  _xlpm.cam, $A16,
  _xlpm.errSum, SUMIFS(Log!$D:$D, Log!$B:$B, _xlpm.cam, Log!$D:$D, "&lt;&gt;"),
  _xlpm.errCount, COUNTIFS(Log!$B:$B, _xlpm.cam, Log!$D:$D, "&lt;&gt;"),
  IF(_xlpm.errCount=0, "", _xlpm.errSum/_xlpm.errCount)
)</f>
        <v>0.2117445</v>
      </c>
      <c r="C16" s="49">
        <f>_xlfn.LET(
  _xlpm.cam, $A16,
  _xlpm.errSum, SUMIFS(Log!$E:$E, Log!$B:$B, _xlpm.cam, Log!$E:$E, "&lt;&gt;"),
  _xlpm.errCount, COUNTIFS(Log!$B:$B, _xlpm.cam, Log!$E:$E, "&lt;&gt;"),
  IF(_xlpm.errCount=0, "", _xlpm.errSum/_xlpm.errCount)
)</f>
        <v>5.1126875000000002E-2</v>
      </c>
      <c r="D16" s="30">
        <f>COUNTIFS(Log!$B:$B, $A16, Log!$H:$H, "Yes")</f>
        <v>8</v>
      </c>
      <c r="E16" s="31">
        <f>COUNTIFS(Log!$B:$B, $A16, Log!$I:$I, "Yes")</f>
        <v>8</v>
      </c>
      <c r="F16" s="28">
        <f>COUNTIFS(Log!$B:$B, $A16, Log!$H:$H, "No")</f>
        <v>0</v>
      </c>
      <c r="G16" s="29">
        <f>COUNTIFS(Log!$B:$B, $A16, Log!$I:$I, "No")</f>
        <v>0</v>
      </c>
      <c r="H16" s="61">
        <f>D16/COUNT(_xlfn.UNIQUE(Log!$A$3:$A$281))</f>
        <v>1</v>
      </c>
      <c r="I16" s="61">
        <f>E16/COUNT(_xlfn.UNIQUE(Log!$A$3:$A$281))</f>
        <v>1</v>
      </c>
      <c r="J16" s="41"/>
    </row>
    <row r="17" spans="1:10" x14ac:dyDescent="0.3">
      <c r="A17" s="38" t="s">
        <v>26</v>
      </c>
      <c r="B17" s="48">
        <f>_xlfn.LET(
  _xlpm.cam, $A17,
  _xlpm.errSum, SUMIFS(Log!$D:$D, Log!$B:$B, _xlpm.cam, Log!$D:$D, "&lt;&gt;"),
  _xlpm.errCount, COUNTIFS(Log!$B:$B, _xlpm.cam, Log!$D:$D, "&lt;&gt;"),
  IF(_xlpm.errCount=0, "", _xlpm.errSum/_xlpm.errCount)
)</f>
        <v>0.203098</v>
      </c>
      <c r="C17" s="49">
        <f>_xlfn.LET(
  _xlpm.cam, $A17,
  _xlpm.errSum, SUMIFS(Log!$E:$E, Log!$B:$B, _xlpm.cam, Log!$E:$E, "&lt;&gt;"),
  _xlpm.errCount, COUNTIFS(Log!$B:$B, _xlpm.cam, Log!$E:$E, "&lt;&gt;"),
  IF(_xlpm.errCount=0, "", _xlpm.errSum/_xlpm.errCount)
)</f>
        <v>6.4404625000000007E-2</v>
      </c>
      <c r="D17" s="30">
        <f>COUNTIFS(Log!$B:$B, $A17, Log!$H:$H, "Yes")</f>
        <v>8</v>
      </c>
      <c r="E17" s="31">
        <f>COUNTIFS(Log!$B:$B, $A17, Log!$I:$I, "Yes")</f>
        <v>8</v>
      </c>
      <c r="F17" s="28">
        <f>COUNTIFS(Log!$B:$B, $A17, Log!$H:$H, "No")</f>
        <v>0</v>
      </c>
      <c r="G17" s="29">
        <f>COUNTIFS(Log!$B:$B, $A17, Log!$I:$I, "No")</f>
        <v>0</v>
      </c>
      <c r="H17" s="61">
        <f>D17/COUNT(_xlfn.UNIQUE(Log!$A$3:$A$281))</f>
        <v>1</v>
      </c>
      <c r="I17" s="61">
        <f>E17/COUNT(_xlfn.UNIQUE(Log!$A$3:$A$281))</f>
        <v>1</v>
      </c>
      <c r="J17" s="41"/>
    </row>
    <row r="18" spans="1:10" x14ac:dyDescent="0.3">
      <c r="A18" s="37" t="s">
        <v>27</v>
      </c>
      <c r="B18" s="48">
        <f>_xlfn.LET(
  _xlpm.cam, $A18,
  _xlpm.errSum, SUMIFS(Log!$D:$D, Log!$B:$B, _xlpm.cam, Log!$D:$D, "&lt;&gt;"),
  _xlpm.errCount, COUNTIFS(Log!$B:$B, _xlpm.cam, Log!$D:$D, "&lt;&gt;"),
  IF(_xlpm.errCount=0, "", _xlpm.errSum/_xlpm.errCount)
)</f>
        <v>0.43593374999999995</v>
      </c>
      <c r="C18" s="49">
        <f>_xlfn.LET(
  _xlpm.cam, $A18,
  _xlpm.errSum, SUMIFS(Log!$E:$E, Log!$B:$B, _xlpm.cam, Log!$E:$E, "&lt;&gt;"),
  _xlpm.errCount, COUNTIFS(Log!$B:$B, _xlpm.cam, Log!$E:$E, "&lt;&gt;"),
  IF(_xlpm.errCount=0, "", _xlpm.errSum/_xlpm.errCount)
)</f>
        <v>9.8867937500000003E-2</v>
      </c>
      <c r="D18" s="30">
        <f>COUNTIFS(Log!$B:$B, $A18, Log!$H:$H, "Yes")</f>
        <v>1</v>
      </c>
      <c r="E18" s="31">
        <f>COUNTIFS(Log!$B:$B, $A18, Log!$I:$I, "Yes")</f>
        <v>4</v>
      </c>
      <c r="F18" s="28">
        <f>COUNTIFS(Log!$B:$B, $A18, Log!$H:$H, "No")</f>
        <v>7</v>
      </c>
      <c r="G18" s="29">
        <f>COUNTIFS(Log!$B:$B, $A18, Log!$I:$I, "No")</f>
        <v>4</v>
      </c>
      <c r="H18" s="61">
        <f>D18/COUNT(_xlfn.UNIQUE(Log!$A$3:$A$281))</f>
        <v>0.125</v>
      </c>
      <c r="I18" s="61">
        <f>E18/COUNT(_xlfn.UNIQUE(Log!$A$3:$A$281))</f>
        <v>0.5</v>
      </c>
      <c r="J18" s="41"/>
    </row>
    <row r="19" spans="1:10" x14ac:dyDescent="0.3">
      <c r="A19" s="38" t="s">
        <v>28</v>
      </c>
      <c r="B19" s="48">
        <f>_xlfn.LET(
  _xlpm.cam, $A19,
  _xlpm.errSum, SUMIFS(Log!$D:$D, Log!$B:$B, _xlpm.cam, Log!$D:$D, "&lt;&gt;"),
  _xlpm.errCount, COUNTIFS(Log!$B:$B, _xlpm.cam, Log!$D:$D, "&lt;&gt;"),
  IF(_xlpm.errCount=0, "", _xlpm.errSum/_xlpm.errCount)
)</f>
        <v>0.40968999999999994</v>
      </c>
      <c r="C19" s="49">
        <f>_xlfn.LET(
  _xlpm.cam, $A19,
  _xlpm.errSum, SUMIFS(Log!$E:$E, Log!$B:$B, _xlpm.cam, Log!$E:$E, "&lt;&gt;"),
  _xlpm.errCount, COUNTIFS(Log!$B:$B, _xlpm.cam, Log!$E:$E, "&lt;&gt;"),
  IF(_xlpm.errCount=0, "", _xlpm.errSum/_xlpm.errCount)
)</f>
        <v>9.1514499999999985E-2</v>
      </c>
      <c r="D19" s="30">
        <f>COUNTIFS(Log!$B:$B, $A19, Log!$H:$H, "Yes")</f>
        <v>4</v>
      </c>
      <c r="E19" s="31">
        <f>COUNTIFS(Log!$B:$B, $A19, Log!$I:$I, "Yes")</f>
        <v>5</v>
      </c>
      <c r="F19" s="28">
        <f>COUNTIFS(Log!$B:$B, $A19, Log!$H:$H, "No")</f>
        <v>4</v>
      </c>
      <c r="G19" s="29">
        <f>COUNTIFS(Log!$B:$B, $A19, Log!$I:$I, "No")</f>
        <v>3</v>
      </c>
      <c r="H19" s="61">
        <f>D19/COUNT(_xlfn.UNIQUE(Log!$A$3:$A$281))</f>
        <v>0.5</v>
      </c>
      <c r="I19" s="61">
        <f>E19/COUNT(_xlfn.UNIQUE(Log!$A$3:$A$281))</f>
        <v>0.625</v>
      </c>
      <c r="J19" s="41"/>
    </row>
    <row r="20" spans="1:10" x14ac:dyDescent="0.3">
      <c r="A20" s="37" t="s">
        <v>29</v>
      </c>
      <c r="B20" s="48">
        <f>_xlfn.LET(
  _xlpm.cam, $A20,
  _xlpm.errSum, SUMIFS(Log!$D:$D, Log!$B:$B, _xlpm.cam, Log!$D:$D, "&lt;&gt;"),
  _xlpm.errCount, COUNTIFS(Log!$B:$B, _xlpm.cam, Log!$D:$D, "&lt;&gt;"),
  IF(_xlpm.errCount=0, "", _xlpm.errSum/_xlpm.errCount)
)</f>
        <v>0.4366275</v>
      </c>
      <c r="C20" s="49">
        <f>_xlfn.LET(
  _xlpm.cam, $A20,
  _xlpm.errSum, SUMIFS(Log!$E:$E, Log!$B:$B, _xlpm.cam, Log!$E:$E, "&lt;&gt;"),
  _xlpm.errCount, COUNTIFS(Log!$B:$B, _xlpm.cam, Log!$E:$E, "&lt;&gt;"),
  IF(_xlpm.errCount=0, "", _xlpm.errSum/_xlpm.errCount)
)</f>
        <v>9.1203262499999993E-2</v>
      </c>
      <c r="D20" s="30">
        <f>COUNTIFS(Log!$B:$B, $A20, Log!$H:$H, "Yes")</f>
        <v>6</v>
      </c>
      <c r="E20" s="31">
        <f>COUNTIFS(Log!$B:$B, $A20, Log!$I:$I, "Yes")</f>
        <v>7</v>
      </c>
      <c r="F20" s="28">
        <f>COUNTIFS(Log!$B:$B, $A20, Log!$H:$H, "No")</f>
        <v>2</v>
      </c>
      <c r="G20" s="29">
        <f>COUNTIFS(Log!$B:$B, $A20, Log!$I:$I, "No")</f>
        <v>1</v>
      </c>
      <c r="H20" s="61">
        <f>D20/COUNT(_xlfn.UNIQUE(Log!$A$3:$A$281))</f>
        <v>0.75</v>
      </c>
      <c r="I20" s="61">
        <f>E20/COUNT(_xlfn.UNIQUE(Log!$A$3:$A$281))</f>
        <v>0.875</v>
      </c>
      <c r="J20" s="41"/>
    </row>
    <row r="21" spans="1:10" x14ac:dyDescent="0.3">
      <c r="A21" s="40" t="s">
        <v>30</v>
      </c>
      <c r="B21" s="50">
        <f>_xlfn.LET(
  _xlpm.cam, $A21,
  _xlpm.errSum, SUMIFS(Log!$D:$D, Log!$B:$B, _xlpm.cam, Log!$D:$D, "&lt;&gt;"),
  _xlpm.errCount, COUNTIFS(Log!$B:$B, _xlpm.cam, Log!$D:$D, "&lt;&gt;"),
  IF(_xlpm.errCount=0, "", _xlpm.errSum/_xlpm.errCount)
)</f>
        <v>0.54539599999999999</v>
      </c>
      <c r="C21" s="51">
        <f>_xlfn.LET(
  _xlpm.cam, $A21,
  _xlpm.errSum, SUMIFS(Log!$E:$E, Log!$B:$B, _xlpm.cam, Log!$E:$E, "&lt;&gt;"),
  _xlpm.errCount, COUNTIFS(Log!$B:$B, _xlpm.cam, Log!$E:$E, "&lt;&gt;"),
  IF(_xlpm.errCount=0, "", _xlpm.errSum/_xlpm.errCount)
)</f>
        <v>0.1086364625</v>
      </c>
      <c r="D21" s="32">
        <f>COUNTIFS(Log!$B:$B, $A21, Log!$H:$H, "Yes")</f>
        <v>1</v>
      </c>
      <c r="E21" s="33">
        <f>COUNTIFS(Log!$B:$B, $A21, Log!$I:$I, "Yes")</f>
        <v>1</v>
      </c>
      <c r="F21" s="34">
        <f>COUNTIFS(Log!$B:$B, $A21, Log!$H:$H, "No")</f>
        <v>7</v>
      </c>
      <c r="G21" s="35">
        <f>COUNTIFS(Log!$B:$B, $A21, Log!$I:$I, "No")</f>
        <v>7</v>
      </c>
      <c r="H21" s="61">
        <f>D21/COUNT(_xlfn.UNIQUE(Log!$A$3:$A$281))</f>
        <v>0.125</v>
      </c>
      <c r="I21" s="61">
        <f>E21/COUNT(_xlfn.UNIQUE(Log!$A$3:$A$281))</f>
        <v>0.125</v>
      </c>
      <c r="J21" s="42"/>
    </row>
    <row r="22" spans="1:10" x14ac:dyDescent="0.3">
      <c r="A22" s="10"/>
      <c r="B22" s="10"/>
      <c r="C22" s="10"/>
      <c r="D22" s="11" t="str">
        <f>IFERROR(AVERAGEIFS(Log!$D:$D,Log!$A:$A,$A22,Log!$B:$B,#REF!),"")</f>
        <v/>
      </c>
      <c r="E22" s="11" t="str">
        <f>IFERROR(AVERAGEIFS(Log!$E:$E,Log!$A:$A,$A22,Log!$B:$B,#REF!),"")</f>
        <v/>
      </c>
      <c r="F22" s="9" t="str">
        <f>'Daily Summary'!H19</f>
        <v/>
      </c>
      <c r="G22" s="9" t="str">
        <f>'Daily Summary'!K19</f>
        <v/>
      </c>
    </row>
    <row r="23" spans="1:10" ht="14.4" customHeight="1" x14ac:dyDescent="0.3">
      <c r="A23" s="10"/>
      <c r="B23" s="109" t="s">
        <v>71</v>
      </c>
      <c r="C23" s="109"/>
      <c r="D23" s="109"/>
      <c r="E23" s="109"/>
      <c r="F23" s="109"/>
      <c r="G23" s="109"/>
      <c r="H23" s="109"/>
      <c r="I23" s="109"/>
    </row>
    <row r="24" spans="1:10" x14ac:dyDescent="0.3">
      <c r="A24" s="10"/>
      <c r="B24" s="109"/>
      <c r="C24" s="109"/>
      <c r="D24" s="109"/>
      <c r="E24" s="109"/>
      <c r="F24" s="109"/>
      <c r="G24" s="109"/>
      <c r="H24" s="109"/>
      <c r="I24" s="109"/>
    </row>
    <row r="25" spans="1:10" x14ac:dyDescent="0.3">
      <c r="A25" s="10"/>
      <c r="B25" s="10"/>
      <c r="C25" s="10"/>
      <c r="D25" s="11" t="str">
        <f>IFERROR(AVERAGEIFS(Log!$D:$D,Log!$A:$A,$A25,Log!$B:$B,#REF!),"")</f>
        <v/>
      </c>
      <c r="E25" s="11" t="str">
        <f>IFERROR(AVERAGEIFS(Log!$E:$E,Log!$A:$A,$A25,Log!$B:$B,#REF!),"")</f>
        <v/>
      </c>
      <c r="F25" s="9" t="str">
        <f>'Daily Summary'!H22</f>
        <v/>
      </c>
      <c r="G25" s="9" t="str">
        <f>'Daily Summary'!K22</f>
        <v/>
      </c>
    </row>
    <row r="26" spans="1:10" x14ac:dyDescent="0.3">
      <c r="A26" s="10"/>
      <c r="B26" s="10"/>
      <c r="C26" s="10"/>
      <c r="D26" s="11" t="str">
        <f>IFERROR(AVERAGEIFS(Log!$D:$D,Log!$A:$A,$A26,Log!$B:$B,#REF!),"")</f>
        <v/>
      </c>
      <c r="E26" s="11" t="str">
        <f>IFERROR(AVERAGEIFS(Log!$E:$E,Log!$A:$A,$A26,Log!$B:$B,#REF!),"")</f>
        <v/>
      </c>
      <c r="F26" s="9" t="str">
        <f>'Daily Summary'!H23</f>
        <v/>
      </c>
      <c r="G26" s="9" t="str">
        <f>'Daily Summary'!K23</f>
        <v/>
      </c>
    </row>
    <row r="27" spans="1:10" x14ac:dyDescent="0.3">
      <c r="A27" s="10"/>
      <c r="B27" s="10"/>
      <c r="C27" s="10"/>
      <c r="D27" s="11" t="str">
        <f>IFERROR(AVERAGEIFS(Log!$D:$D,Log!$A:$A,$A27,Log!$B:$B,#REF!),"")</f>
        <v/>
      </c>
      <c r="E27" s="11" t="str">
        <f>IFERROR(AVERAGEIFS(Log!$E:$E,Log!$A:$A,$A27,Log!$B:$B,#REF!),"")</f>
        <v/>
      </c>
      <c r="F27" s="9" t="str">
        <f>'Daily Summary'!H24</f>
        <v/>
      </c>
      <c r="G27" s="9" t="str">
        <f>'Daily Summary'!K24</f>
        <v/>
      </c>
    </row>
    <row r="28" spans="1:10" x14ac:dyDescent="0.3">
      <c r="A28" s="10"/>
      <c r="B28" s="10"/>
      <c r="C28" s="10"/>
      <c r="D28" s="11" t="str">
        <f>IFERROR(AVERAGEIFS(Log!$D:$D,Log!$A:$A,$A28,Log!$B:$B,#REF!),"")</f>
        <v/>
      </c>
      <c r="E28" s="11" t="str">
        <f>IFERROR(AVERAGEIFS(Log!$E:$E,Log!$A:$A,$A28,Log!$B:$B,#REF!),"")</f>
        <v/>
      </c>
      <c r="F28" s="9" t="str">
        <f>'Daily Summary'!H25</f>
        <v/>
      </c>
      <c r="G28" s="9" t="str">
        <f>'Daily Summary'!K25</f>
        <v/>
      </c>
    </row>
    <row r="29" spans="1:10" x14ac:dyDescent="0.3">
      <c r="A29" s="10"/>
      <c r="B29" s="10"/>
      <c r="C29" s="10"/>
      <c r="D29" s="11" t="str">
        <f>IFERROR(AVERAGEIFS(Log!$D:$D,Log!$A:$A,$A29,Log!$B:$B,#REF!),"")</f>
        <v/>
      </c>
      <c r="E29" s="11" t="str">
        <f>IFERROR(AVERAGEIFS(Log!$E:$E,Log!$A:$A,$A29,Log!$B:$B,#REF!),"")</f>
        <v/>
      </c>
      <c r="F29" s="9" t="str">
        <f>'Daily Summary'!H26</f>
        <v/>
      </c>
      <c r="G29" s="9" t="str">
        <f>'Daily Summary'!K26</f>
        <v/>
      </c>
    </row>
    <row r="30" spans="1:10" x14ac:dyDescent="0.3">
      <c r="A30" s="10"/>
      <c r="B30" s="10"/>
      <c r="C30" s="10"/>
      <c r="D30" s="11" t="str">
        <f>IFERROR(AVERAGEIFS(Log!$D:$D,Log!$A:$A,$A30,Log!$B:$B,#REF!),"")</f>
        <v/>
      </c>
      <c r="E30" s="11" t="str">
        <f>IFERROR(AVERAGEIFS(Log!$E:$E,Log!$A:$A,$A30,Log!$B:$B,#REF!),"")</f>
        <v/>
      </c>
      <c r="F30" s="9" t="str">
        <f>'Daily Summary'!H27</f>
        <v/>
      </c>
      <c r="G30" s="9" t="str">
        <f>'Daily Summary'!K27</f>
        <v/>
      </c>
    </row>
    <row r="31" spans="1:10" x14ac:dyDescent="0.3">
      <c r="A31" s="10"/>
      <c r="B31" s="10"/>
      <c r="C31" s="10"/>
      <c r="D31" s="11" t="str">
        <f>IFERROR(AVERAGEIFS(Log!$D:$D,Log!$A:$A,$A31,Log!$B:$B,#REF!),"")</f>
        <v/>
      </c>
      <c r="E31" s="45" t="s">
        <v>54</v>
      </c>
      <c r="F31" s="9" t="str">
        <f>'Daily Summary'!H28</f>
        <v/>
      </c>
      <c r="G31" s="9" t="str">
        <f>'Daily Summary'!K28</f>
        <v/>
      </c>
    </row>
    <row r="32" spans="1:10" x14ac:dyDescent="0.3">
      <c r="A32" s="10"/>
      <c r="B32" s="10"/>
      <c r="C32" s="10"/>
      <c r="D32" s="11" t="str">
        <f>IFERROR(AVERAGEIFS(Log!$D:$D,Log!$A:$A,$A32,Log!$B:$B,#REF!),"")</f>
        <v/>
      </c>
      <c r="E32" s="11" t="str">
        <f>IFERROR(AVERAGEIFS(Log!$E:$E,Log!$A:$A,$A32,Log!$B:$B,#REF!),"")</f>
        <v/>
      </c>
      <c r="F32" s="9" t="str">
        <f>'Daily Summary'!H29</f>
        <v/>
      </c>
      <c r="G32" s="9" t="str">
        <f>'Daily Summary'!K29</f>
        <v/>
      </c>
    </row>
    <row r="33" spans="1:7" x14ac:dyDescent="0.3">
      <c r="A33" s="10"/>
      <c r="B33" s="10"/>
      <c r="C33" s="10"/>
      <c r="D33" s="11" t="str">
        <f>IFERROR(AVERAGEIFS(Log!$D:$D,Log!$A:$A,$A33,Log!$B:$B,#REF!),"")</f>
        <v/>
      </c>
      <c r="E33" s="11" t="str">
        <f>IFERROR(AVERAGEIFS(Log!$E:$E,Log!$A:$A,$A33,Log!$B:$B,#REF!),"")</f>
        <v/>
      </c>
      <c r="F33" s="9" t="str">
        <f>'Daily Summary'!H30</f>
        <v/>
      </c>
      <c r="G33" s="9" t="str">
        <f>'Daily Summary'!K30</f>
        <v/>
      </c>
    </row>
    <row r="34" spans="1:7" x14ac:dyDescent="0.3">
      <c r="A34" s="10"/>
      <c r="B34" s="10"/>
      <c r="C34" s="10"/>
      <c r="D34" s="11" t="str">
        <f>IFERROR(AVERAGEIFS(Log!$D:$D,Log!$A:$A,$A34,Log!$B:$B,#REF!),"")</f>
        <v/>
      </c>
      <c r="E34" s="11" t="str">
        <f>IFERROR(AVERAGEIFS(Log!$E:$E,Log!$A:$A,$A34,Log!$B:$B,#REF!),"")</f>
        <v/>
      </c>
      <c r="F34" s="9" t="str">
        <f>'Daily Summary'!H31</f>
        <v/>
      </c>
      <c r="G34" s="9" t="str">
        <f>'Daily Summary'!K31</f>
        <v/>
      </c>
    </row>
    <row r="35" spans="1:7" x14ac:dyDescent="0.3">
      <c r="A35" s="10"/>
      <c r="B35" s="10"/>
      <c r="C35" s="10"/>
      <c r="D35" s="11" t="str">
        <f>IFERROR(AVERAGEIFS(Log!$D:$D,Log!$A:$A,$A35,Log!$B:$B,#REF!),"")</f>
        <v/>
      </c>
      <c r="E35" s="11" t="str">
        <f>IFERROR(AVERAGEIFS(Log!$E:$E,Log!$A:$A,$A35,Log!$B:$B,#REF!),"")</f>
        <v/>
      </c>
      <c r="F35" s="9" t="str">
        <f>'Daily Summary'!H32</f>
        <v/>
      </c>
      <c r="G35" s="9" t="str">
        <f>'Daily Summary'!K32</f>
        <v/>
      </c>
    </row>
    <row r="36" spans="1:7" x14ac:dyDescent="0.3">
      <c r="A36" s="10"/>
      <c r="B36" s="10"/>
      <c r="C36" s="10"/>
      <c r="D36" s="11" t="str">
        <f>IFERROR(AVERAGEIFS(Log!$D:$D,Log!$A:$A,$A36,Log!$B:$B,#REF!),"")</f>
        <v/>
      </c>
      <c r="E36" s="11" t="str">
        <f>IFERROR(AVERAGEIFS(Log!$E:$E,Log!$A:$A,$A36,Log!$B:$B,#REF!),"")</f>
        <v/>
      </c>
      <c r="F36" s="9" t="str">
        <f>'Daily Summary'!H33</f>
        <v/>
      </c>
      <c r="G36" s="9" t="str">
        <f>'Daily Summary'!K33</f>
        <v/>
      </c>
    </row>
    <row r="37" spans="1:7" x14ac:dyDescent="0.3">
      <c r="A37" s="10"/>
      <c r="B37" s="10"/>
      <c r="C37" s="10"/>
      <c r="D37" s="11" t="str">
        <f>IFERROR(AVERAGEIFS(Log!$D:$D,Log!$A:$A,$A37,Log!$B:$B,#REF!),"")</f>
        <v/>
      </c>
      <c r="E37" s="11" t="str">
        <f>IFERROR(AVERAGEIFS(Log!$E:$E,Log!$A:$A,$A37,Log!$B:$B,#REF!),"")</f>
        <v/>
      </c>
      <c r="F37" s="9" t="str">
        <f>'Daily Summary'!H34</f>
        <v/>
      </c>
      <c r="G37" s="9" t="str">
        <f>'Daily Summary'!K34</f>
        <v/>
      </c>
    </row>
    <row r="38" spans="1:7" x14ac:dyDescent="0.3">
      <c r="A38" s="10"/>
      <c r="B38" s="10"/>
      <c r="C38" s="10"/>
      <c r="D38" s="11" t="str">
        <f>IFERROR(AVERAGEIFS(Log!$D:$D,Log!$A:$A,$A38,Log!$B:$B,#REF!),"")</f>
        <v/>
      </c>
      <c r="E38" s="11" t="str">
        <f>IFERROR(AVERAGEIFS(Log!$E:$E,Log!$A:$A,$A38,Log!$B:$B,#REF!),"")</f>
        <v/>
      </c>
      <c r="F38" s="9" t="str">
        <f>'Daily Summary'!H35</f>
        <v/>
      </c>
      <c r="G38" s="9" t="str">
        <f>'Daily Summary'!K35</f>
        <v/>
      </c>
    </row>
    <row r="39" spans="1:7" x14ac:dyDescent="0.3">
      <c r="A39" s="10"/>
      <c r="B39" s="10"/>
      <c r="C39" s="10"/>
      <c r="D39" s="11" t="str">
        <f>IFERROR(AVERAGEIFS(Log!$D:$D,Log!$A:$A,$A39,Log!$B:$B,#REF!),"")</f>
        <v/>
      </c>
      <c r="E39" s="11" t="str">
        <f>IFERROR(AVERAGEIFS(Log!$E:$E,Log!$A:$A,$A39,Log!$B:$B,#REF!),"")</f>
        <v/>
      </c>
      <c r="F39" s="9" t="str">
        <f>'Daily Summary'!H36</f>
        <v/>
      </c>
      <c r="G39" s="9" t="str">
        <f>'Daily Summary'!K36</f>
        <v/>
      </c>
    </row>
    <row r="40" spans="1:7" x14ac:dyDescent="0.3">
      <c r="A40" s="10"/>
      <c r="B40" s="10"/>
      <c r="C40" s="10"/>
      <c r="D40" s="11" t="str">
        <f>IFERROR(AVERAGEIFS(Log!$D:$D,Log!$A:$A,$A40,Log!$B:$B,#REF!),"")</f>
        <v/>
      </c>
      <c r="E40" s="11" t="str">
        <f>IFERROR(AVERAGEIFS(Log!$E:$E,Log!$A:$A,$A40,Log!$B:$B,#REF!),"")</f>
        <v/>
      </c>
      <c r="F40" s="9" t="str">
        <f>'Daily Summary'!H37</f>
        <v/>
      </c>
      <c r="G40" s="9" t="str">
        <f>'Daily Summary'!K37</f>
        <v/>
      </c>
    </row>
    <row r="41" spans="1:7" x14ac:dyDescent="0.3">
      <c r="A41" s="10"/>
      <c r="B41" s="10"/>
      <c r="C41" s="10"/>
      <c r="D41" s="11" t="str">
        <f>IFERROR(AVERAGEIFS(Log!$D:$D,Log!$A:$A,$A41,Log!$B:$B,#REF!),"")</f>
        <v/>
      </c>
      <c r="E41" s="11" t="str">
        <f>IFERROR(AVERAGEIFS(Log!$E:$E,Log!$A:$A,$A41,Log!$B:$B,#REF!),"")</f>
        <v/>
      </c>
      <c r="F41" s="9" t="str">
        <f>'Daily Summary'!H38</f>
        <v/>
      </c>
      <c r="G41" s="9" t="str">
        <f>'Daily Summary'!K38</f>
        <v/>
      </c>
    </row>
    <row r="42" spans="1:7" x14ac:dyDescent="0.3">
      <c r="A42" s="10"/>
      <c r="B42" s="10"/>
      <c r="C42" s="10"/>
      <c r="D42" s="11" t="str">
        <f>IFERROR(AVERAGEIFS(Log!$D:$D,Log!$A:$A,$A42,Log!$B:$B,#REF!),"")</f>
        <v/>
      </c>
      <c r="E42" s="11" t="str">
        <f>IFERROR(AVERAGEIFS(Log!$E:$E,Log!$A:$A,$A42,Log!$B:$B,#REF!),"")</f>
        <v/>
      </c>
      <c r="F42" s="9" t="str">
        <f>'Daily Summary'!H39</f>
        <v/>
      </c>
      <c r="G42" s="9" t="str">
        <f>'Daily Summary'!K39</f>
        <v/>
      </c>
    </row>
    <row r="43" spans="1:7" x14ac:dyDescent="0.3">
      <c r="A43" s="10"/>
      <c r="B43" s="10"/>
      <c r="C43" s="10"/>
      <c r="D43" s="11" t="str">
        <f>IFERROR(AVERAGEIFS(Log!$D:$D,Log!$A:$A,$A43,Log!$B:$B,#REF!),"")</f>
        <v/>
      </c>
      <c r="E43" s="11" t="str">
        <f>IFERROR(AVERAGEIFS(Log!$E:$E,Log!$A:$A,$A43,Log!$B:$B,#REF!),"")</f>
        <v/>
      </c>
      <c r="F43" s="9" t="str">
        <f>'Daily Summary'!H40</f>
        <v/>
      </c>
      <c r="G43" s="9" t="str">
        <f>'Daily Summary'!K40</f>
        <v/>
      </c>
    </row>
    <row r="44" spans="1:7" x14ac:dyDescent="0.3">
      <c r="A44" s="10"/>
      <c r="B44" s="10"/>
      <c r="C44" s="10"/>
      <c r="D44" s="11" t="str">
        <f>IFERROR(AVERAGEIFS(Log!$D:$D,Log!$A:$A,$A44,Log!$B:$B,#REF!),"")</f>
        <v/>
      </c>
      <c r="E44" s="11" t="str">
        <f>IFERROR(AVERAGEIFS(Log!$E:$E,Log!$A:$A,$A44,Log!$B:$B,#REF!),"")</f>
        <v/>
      </c>
      <c r="F44" s="9" t="str">
        <f>'Daily Summary'!H41</f>
        <v/>
      </c>
      <c r="G44" s="9" t="str">
        <f>'Daily Summary'!K41</f>
        <v/>
      </c>
    </row>
    <row r="45" spans="1:7" x14ac:dyDescent="0.3">
      <c r="A45" s="10"/>
      <c r="B45" s="10"/>
      <c r="C45" s="10"/>
      <c r="D45" s="11" t="str">
        <f>IFERROR(AVERAGEIFS(Log!$D:$D,Log!$A:$A,$A45,Log!$B:$B,#REF!),"")</f>
        <v/>
      </c>
      <c r="E45" s="11" t="str">
        <f>IFERROR(AVERAGEIFS(Log!$E:$E,Log!$A:$A,$A45,Log!$B:$B,#REF!),"")</f>
        <v/>
      </c>
      <c r="F45" s="9" t="str">
        <f>'Daily Summary'!H42</f>
        <v/>
      </c>
      <c r="G45" s="9" t="str">
        <f>'Daily Summary'!K42</f>
        <v/>
      </c>
    </row>
    <row r="46" spans="1:7" x14ac:dyDescent="0.3">
      <c r="A46" s="10"/>
      <c r="B46" s="10"/>
      <c r="C46" s="10"/>
      <c r="D46" s="11" t="str">
        <f>IFERROR(AVERAGEIFS(Log!$D:$D,Log!$A:$A,$A46,Log!$B:$B,#REF!),"")</f>
        <v/>
      </c>
      <c r="E46" s="11" t="str">
        <f>IFERROR(AVERAGEIFS(Log!$E:$E,Log!$A:$A,$A46,Log!$B:$B,#REF!),"")</f>
        <v/>
      </c>
      <c r="F46" s="9" t="str">
        <f>'Daily Summary'!H43</f>
        <v/>
      </c>
      <c r="G46" s="9" t="str">
        <f>'Daily Summary'!K43</f>
        <v/>
      </c>
    </row>
    <row r="47" spans="1:7" x14ac:dyDescent="0.3">
      <c r="A47" s="10"/>
      <c r="B47" s="10"/>
      <c r="C47" s="10"/>
      <c r="D47" s="11" t="str">
        <f>IFERROR(AVERAGEIFS(Log!$D:$D,Log!$A:$A,$A47,Log!$B:$B,#REF!),"")</f>
        <v/>
      </c>
      <c r="E47" s="11" t="str">
        <f>IFERROR(AVERAGEIFS(Log!$E:$E,Log!$A:$A,$A47,Log!$B:$B,#REF!),"")</f>
        <v/>
      </c>
      <c r="F47" s="9" t="str">
        <f>'Daily Summary'!H44</f>
        <v/>
      </c>
      <c r="G47" s="9" t="str">
        <f>'Daily Summary'!K44</f>
        <v/>
      </c>
    </row>
    <row r="48" spans="1:7" x14ac:dyDescent="0.3">
      <c r="A48" s="10"/>
      <c r="B48" s="10"/>
      <c r="C48" s="10"/>
      <c r="D48" s="11" t="str">
        <f>IFERROR(AVERAGEIFS(Log!$D:$D,Log!$A:$A,$A48,Log!$B:$B,#REF!),"")</f>
        <v/>
      </c>
      <c r="E48" s="11" t="str">
        <f>IFERROR(AVERAGEIFS(Log!$E:$E,Log!$A:$A,$A48,Log!$B:$B,#REF!),"")</f>
        <v/>
      </c>
      <c r="F48" s="9" t="str">
        <f>'Daily Summary'!H45</f>
        <v/>
      </c>
      <c r="G48" s="9" t="str">
        <f>'Daily Summary'!K45</f>
        <v/>
      </c>
    </row>
    <row r="49" spans="1:7" x14ac:dyDescent="0.3">
      <c r="A49" s="10"/>
      <c r="B49" s="10"/>
      <c r="C49" s="10"/>
      <c r="D49" s="11" t="str">
        <f>IFERROR(AVERAGEIFS(Log!$D:$D,Log!$A:$A,$A49,Log!$B:$B,#REF!),"")</f>
        <v/>
      </c>
      <c r="E49" s="11" t="str">
        <f>IFERROR(AVERAGEIFS(Log!$E:$E,Log!$A:$A,$A49,Log!$B:$B,#REF!),"")</f>
        <v/>
      </c>
      <c r="F49" s="9" t="str">
        <f>'Daily Summary'!H46</f>
        <v/>
      </c>
      <c r="G49" s="9" t="str">
        <f>'Daily Summary'!K46</f>
        <v/>
      </c>
    </row>
    <row r="50" spans="1:7" x14ac:dyDescent="0.3">
      <c r="A50" s="10"/>
      <c r="B50" s="10"/>
      <c r="C50" s="10"/>
      <c r="D50" s="11" t="str">
        <f>IFERROR(AVERAGEIFS(Log!$D:$D,Log!$A:$A,$A50,Log!$B:$B,#REF!),"")</f>
        <v/>
      </c>
      <c r="E50" s="11" t="str">
        <f>IFERROR(AVERAGEIFS(Log!$E:$E,Log!$A:$A,$A50,Log!$B:$B,#REF!),"")</f>
        <v/>
      </c>
      <c r="F50" s="9" t="str">
        <f>'Daily Summary'!H47</f>
        <v/>
      </c>
      <c r="G50" s="9" t="str">
        <f>'Daily Summary'!K47</f>
        <v/>
      </c>
    </row>
    <row r="51" spans="1:7" x14ac:dyDescent="0.3">
      <c r="A51" s="10"/>
      <c r="B51" s="10"/>
      <c r="C51" s="10"/>
      <c r="D51" s="11" t="str">
        <f>IFERROR(AVERAGEIFS(Log!$D:$D,Log!$A:$A,$A51,Log!$B:$B,#REF!),"")</f>
        <v/>
      </c>
      <c r="E51" s="11" t="str">
        <f>IFERROR(AVERAGEIFS(Log!$E:$E,Log!$A:$A,$A51,Log!$B:$B,#REF!),"")</f>
        <v/>
      </c>
      <c r="F51" s="9" t="str">
        <f>'Daily Summary'!H48</f>
        <v/>
      </c>
      <c r="G51" s="9" t="str">
        <f>'Daily Summary'!K48</f>
        <v/>
      </c>
    </row>
    <row r="52" spans="1:7" x14ac:dyDescent="0.3">
      <c r="A52" s="10"/>
      <c r="B52" s="10"/>
      <c r="C52" s="10"/>
      <c r="D52" s="11" t="str">
        <f>IFERROR(AVERAGEIFS(Log!$D:$D,Log!$A:$A,$A52,Log!$B:$B,#REF!),"")</f>
        <v/>
      </c>
      <c r="E52" s="11" t="str">
        <f>IFERROR(AVERAGEIFS(Log!$E:$E,Log!$A:$A,$A52,Log!$B:$B,#REF!),"")</f>
        <v/>
      </c>
      <c r="F52" s="9" t="str">
        <f>'Daily Summary'!H49</f>
        <v/>
      </c>
      <c r="G52" s="9" t="str">
        <f>'Daily Summary'!K49</f>
        <v/>
      </c>
    </row>
    <row r="53" spans="1:7" x14ac:dyDescent="0.3">
      <c r="A53" s="10"/>
      <c r="B53" s="10"/>
      <c r="C53" s="10"/>
      <c r="D53" s="11" t="str">
        <f>IFERROR(AVERAGEIFS(Log!$D:$D,Log!$A:$A,$A53,Log!$B:$B,#REF!),"")</f>
        <v/>
      </c>
      <c r="E53" s="11" t="str">
        <f>IFERROR(AVERAGEIFS(Log!$E:$E,Log!$A:$A,$A53,Log!$B:$B,#REF!),"")</f>
        <v/>
      </c>
      <c r="F53" s="9" t="str">
        <f>'Daily Summary'!H50</f>
        <v/>
      </c>
      <c r="G53" s="9" t="str">
        <f>'Daily Summary'!K50</f>
        <v/>
      </c>
    </row>
    <row r="54" spans="1:7" x14ac:dyDescent="0.3">
      <c r="A54" s="10"/>
      <c r="B54" s="10"/>
      <c r="C54" s="10"/>
      <c r="D54" s="11" t="str">
        <f>IFERROR(AVERAGEIFS(Log!$D:$D,Log!$A:$A,$A54,Log!$B:$B,#REF!),"")</f>
        <v/>
      </c>
      <c r="E54" s="11" t="str">
        <f>IFERROR(AVERAGEIFS(Log!$E:$E,Log!$A:$A,$A54,Log!$B:$B,#REF!),"")</f>
        <v/>
      </c>
      <c r="F54" s="9" t="str">
        <f>'Daily Summary'!H51</f>
        <v/>
      </c>
      <c r="G54" s="9" t="str">
        <f>'Daily Summary'!K51</f>
        <v/>
      </c>
    </row>
    <row r="55" spans="1:7" x14ac:dyDescent="0.3">
      <c r="A55" s="10"/>
      <c r="B55" s="10"/>
      <c r="C55" s="10"/>
      <c r="D55" s="11" t="str">
        <f>IFERROR(AVERAGEIFS(Log!$D:$D,Log!$A:$A,$A55,Log!$B:$B,#REF!),"")</f>
        <v/>
      </c>
      <c r="E55" s="11" t="str">
        <f>IFERROR(AVERAGEIFS(Log!$E:$E,Log!$A:$A,$A55,Log!$B:$B,#REF!),"")</f>
        <v/>
      </c>
      <c r="F55" s="9" t="str">
        <f>'Daily Summary'!H52</f>
        <v/>
      </c>
      <c r="G55" s="9" t="str">
        <f>'Daily Summary'!K52</f>
        <v/>
      </c>
    </row>
    <row r="56" spans="1:7" x14ac:dyDescent="0.3">
      <c r="A56" s="10"/>
      <c r="B56" s="10"/>
      <c r="C56" s="10"/>
      <c r="D56" s="11" t="str">
        <f>IFERROR(AVERAGEIFS(Log!$D:$D,Log!$A:$A,$A56,Log!$B:$B,#REF!),"")</f>
        <v/>
      </c>
      <c r="E56" s="11" t="str">
        <f>IFERROR(AVERAGEIFS(Log!$E:$E,Log!$A:$A,$A56,Log!$B:$B,#REF!),"")</f>
        <v/>
      </c>
      <c r="F56" s="9" t="str">
        <f>'Daily Summary'!H53</f>
        <v/>
      </c>
      <c r="G56" s="9" t="str">
        <f>'Daily Summary'!K53</f>
        <v/>
      </c>
    </row>
    <row r="57" spans="1:7" x14ac:dyDescent="0.3">
      <c r="A57" s="10"/>
      <c r="B57" s="10"/>
      <c r="C57" s="10"/>
      <c r="D57" s="11" t="str">
        <f>IFERROR(AVERAGEIFS(Log!$D:$D,Log!$A:$A,$A57,Log!$B:$B,#REF!),"")</f>
        <v/>
      </c>
      <c r="E57" s="11" t="str">
        <f>IFERROR(AVERAGEIFS(Log!$E:$E,Log!$A:$A,$A57,Log!$B:$B,#REF!),"")</f>
        <v/>
      </c>
      <c r="F57" s="9" t="str">
        <f>'Daily Summary'!H54</f>
        <v/>
      </c>
      <c r="G57" s="9" t="str">
        <f>'Daily Summary'!K54</f>
        <v/>
      </c>
    </row>
    <row r="58" spans="1:7" x14ac:dyDescent="0.3">
      <c r="A58" s="10"/>
      <c r="B58" s="10"/>
      <c r="C58" s="10"/>
      <c r="D58" s="11" t="str">
        <f>IFERROR(AVERAGEIFS(Log!$D:$D,Log!$A:$A,$A58,Log!$B:$B,#REF!),"")</f>
        <v/>
      </c>
      <c r="E58" s="11" t="str">
        <f>IFERROR(AVERAGEIFS(Log!$E:$E,Log!$A:$A,$A58,Log!$B:$B,#REF!),"")</f>
        <v/>
      </c>
      <c r="F58" s="9" t="str">
        <f>'Daily Summary'!H55</f>
        <v/>
      </c>
      <c r="G58" s="9" t="str">
        <f>'Daily Summary'!K55</f>
        <v/>
      </c>
    </row>
    <row r="59" spans="1:7" x14ac:dyDescent="0.3">
      <c r="A59" s="10"/>
      <c r="B59" s="10"/>
      <c r="C59" s="10"/>
      <c r="D59" s="11" t="str">
        <f>IFERROR(AVERAGEIFS(Log!$D:$D,Log!$A:$A,$A59,Log!$B:$B,#REF!),"")</f>
        <v/>
      </c>
      <c r="E59" s="11" t="str">
        <f>IFERROR(AVERAGEIFS(Log!$E:$E,Log!$A:$A,$A59,Log!$B:$B,#REF!),"")</f>
        <v/>
      </c>
      <c r="F59" s="9" t="str">
        <f>'Daily Summary'!H56</f>
        <v/>
      </c>
      <c r="G59" s="9" t="str">
        <f>'Daily Summary'!K56</f>
        <v/>
      </c>
    </row>
    <row r="60" spans="1:7" x14ac:dyDescent="0.3">
      <c r="A60" s="10"/>
      <c r="B60" s="10"/>
      <c r="C60" s="10"/>
      <c r="D60" s="11" t="str">
        <f>IFERROR(AVERAGEIFS(Log!$D:$D,Log!$A:$A,$A60,Log!$B:$B,#REF!),"")</f>
        <v/>
      </c>
      <c r="E60" s="11" t="str">
        <f>IFERROR(AVERAGEIFS(Log!$E:$E,Log!$A:$A,$A60,Log!$B:$B,#REF!),"")</f>
        <v/>
      </c>
      <c r="F60" s="9" t="str">
        <f>'Daily Summary'!H57</f>
        <v/>
      </c>
      <c r="G60" s="9" t="str">
        <f>'Daily Summary'!K57</f>
        <v/>
      </c>
    </row>
  </sheetData>
  <sheetProtection sheet="1" objects="1" scenarios="1" selectLockedCells="1" sort="0" autoFilter="0" selectUnlockedCells="1"/>
  <autoFilter ref="A3:J60" xr:uid="{2412001A-36AA-43BD-AE26-2C8108444E03}"/>
  <mergeCells count="12">
    <mergeCell ref="A1:A3"/>
    <mergeCell ref="B1:C1"/>
    <mergeCell ref="D2:E2"/>
    <mergeCell ref="F2:G2"/>
    <mergeCell ref="H2:I2"/>
    <mergeCell ref="B2:C2"/>
    <mergeCell ref="B23:I24"/>
    <mergeCell ref="L1:M1"/>
    <mergeCell ref="H1:I1"/>
    <mergeCell ref="F1:G1"/>
    <mergeCell ref="D1:E1"/>
    <mergeCell ref="J2:J3"/>
  </mergeCells>
  <conditionalFormatting sqref="B4:B21">
    <cfRule type="expression" dxfId="12" priority="2">
      <formula>B4&gt;$L$3</formula>
    </cfRule>
  </conditionalFormatting>
  <conditionalFormatting sqref="C4:C21">
    <cfRule type="expression" dxfId="11" priority="1">
      <formula>C4&gt;$M$3</formula>
    </cfRule>
  </conditionalFormatting>
  <conditionalFormatting sqref="H4:I21">
    <cfRule type="colorScale" priority="3">
      <colorScale>
        <cfvo type="min"/>
        <cfvo type="max"/>
        <color rgb="FFFF7128"/>
        <color rgb="FFFFEF9C"/>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BD32E-BC63-4028-AEFB-EA8F92D9BC6F}">
  <sheetPr>
    <tabColor theme="5" tint="-0.249977111117893"/>
  </sheetPr>
  <dimension ref="A1:J160"/>
  <sheetViews>
    <sheetView showZeros="0" zoomScaleNormal="100" workbookViewId="0">
      <pane ySplit="2" topLeftCell="A63" activePane="bottomLeft" state="frozen"/>
      <selection pane="bottomLeft" activeCell="D56" sqref="D56"/>
    </sheetView>
  </sheetViews>
  <sheetFormatPr defaultColWidth="8.6640625" defaultRowHeight="14.4" x14ac:dyDescent="0.3"/>
  <cols>
    <col min="1" max="1" width="12.77734375" style="79" customWidth="1"/>
    <col min="2" max="2" width="17.109375" style="9" customWidth="1"/>
    <col min="3" max="3" width="19.33203125" style="27" customWidth="1"/>
    <col min="4" max="4" width="17.44140625" style="9" customWidth="1"/>
    <col min="5" max="5" width="17.44140625" style="20" customWidth="1"/>
    <col min="6" max="6" width="17.44140625" style="21" customWidth="1"/>
    <col min="7" max="7" width="19.88671875" style="20" customWidth="1"/>
    <col min="8" max="8" width="19.88671875" style="21" customWidth="1"/>
    <col min="9" max="9" width="8.6640625" style="20"/>
    <col min="10" max="10" width="8.6640625" style="21"/>
  </cols>
  <sheetData>
    <row r="1" spans="1:10" ht="15.6" customHeight="1" x14ac:dyDescent="0.3">
      <c r="A1" s="122" t="s">
        <v>82</v>
      </c>
      <c r="B1" s="122"/>
      <c r="C1" s="122"/>
      <c r="D1" s="123"/>
      <c r="E1" s="121" t="s">
        <v>38</v>
      </c>
      <c r="F1" s="121"/>
      <c r="G1" s="121" t="s">
        <v>56</v>
      </c>
      <c r="H1" s="121"/>
      <c r="I1" s="99" t="s">
        <v>43</v>
      </c>
      <c r="J1" s="99"/>
    </row>
    <row r="2" spans="1:10" ht="28.8" x14ac:dyDescent="0.3">
      <c r="A2" s="77" t="s">
        <v>86</v>
      </c>
      <c r="B2" s="73" t="s">
        <v>31</v>
      </c>
      <c r="C2" s="74" t="s">
        <v>13</v>
      </c>
      <c r="D2" s="75" t="s">
        <v>32</v>
      </c>
      <c r="E2" s="76" t="s">
        <v>33</v>
      </c>
      <c r="F2" s="76" t="s">
        <v>34</v>
      </c>
      <c r="G2" s="76" t="s">
        <v>39</v>
      </c>
      <c r="H2" s="76" t="s">
        <v>40</v>
      </c>
      <c r="I2" s="17" t="s">
        <v>44</v>
      </c>
      <c r="J2" s="17" t="s">
        <v>45</v>
      </c>
    </row>
    <row r="3" spans="1:10" x14ac:dyDescent="0.3">
      <c r="A3" s="78">
        <v>1</v>
      </c>
      <c r="B3" s="6">
        <v>46234</v>
      </c>
      <c r="C3" s="26" t="s">
        <v>14</v>
      </c>
      <c r="D3" s="7">
        <v>1541</v>
      </c>
      <c r="E3" s="23">
        <v>0.18859999999999999</v>
      </c>
      <c r="F3" s="24">
        <v>5.1705500000000001E-2</v>
      </c>
      <c r="G3" s="18">
        <f t="shared" ref="G3:G34" si="0">IFERROR(AVERAGEIFS($E:$E,$B:$B,$B3, $A:$A, $A3),"")</f>
        <v>0.33997577777777777</v>
      </c>
      <c r="H3" s="19">
        <f>IFERROR(AVERAGEIFS($F:$F,$B:$B,$B3, $A:$A, $A3),"")</f>
        <v>8.2925216666666662E-2</v>
      </c>
      <c r="I3" s="20" t="str">
        <f>IF(AND(E3&lt;&gt;"", G3&lt;&gt;""), IF(E3&lt;G3,"Yes","No"), "")</f>
        <v>Yes</v>
      </c>
      <c r="J3" s="27" t="str">
        <f>IF(AND(F3&lt;&gt;"", H3&lt;&gt;""), IF(F3&lt;H3,"Yes","No"), "")</f>
        <v>Yes</v>
      </c>
    </row>
    <row r="4" spans="1:10" x14ac:dyDescent="0.3">
      <c r="A4" s="78">
        <v>1</v>
      </c>
      <c r="B4" s="6">
        <v>46234</v>
      </c>
      <c r="C4" s="26" t="s">
        <v>15</v>
      </c>
      <c r="D4" s="7">
        <v>1446</v>
      </c>
      <c r="E4" s="23">
        <v>0.37837399999999999</v>
      </c>
      <c r="F4" s="24">
        <v>9.5171599999999995E-2</v>
      </c>
      <c r="G4" s="18">
        <f t="shared" si="0"/>
        <v>0.33997577777777777</v>
      </c>
      <c r="H4" s="19">
        <f t="shared" ref="H4:H67" si="1">IFERROR(AVERAGEIFS($F:$F,$B:$B,$B4, $A:$A, $A4),"")</f>
        <v>8.2925216666666662E-2</v>
      </c>
      <c r="I4" s="20" t="str">
        <f t="shared" ref="I4:I67" si="2">IF(AND(E4&lt;&gt;"", G4&lt;&gt;""), IF(E4&lt;G4,"Yes","No"), "")</f>
        <v>No</v>
      </c>
      <c r="J4" s="27" t="str">
        <f t="shared" ref="J4:J67" si="3">IF(AND(F4&lt;&gt;"", H4&lt;&gt;""), IF(F4&lt;H4,"Yes","No"), "")</f>
        <v>No</v>
      </c>
    </row>
    <row r="5" spans="1:10" x14ac:dyDescent="0.3">
      <c r="A5" s="78">
        <v>1</v>
      </c>
      <c r="B5" s="6">
        <v>46234</v>
      </c>
      <c r="C5" s="26" t="s">
        <v>16</v>
      </c>
      <c r="D5" s="7">
        <v>1243</v>
      </c>
      <c r="E5" s="23">
        <v>0.459372</v>
      </c>
      <c r="F5" s="24">
        <v>9.7981299999999993E-2</v>
      </c>
      <c r="G5" s="18">
        <f t="shared" si="0"/>
        <v>0.33997577777777777</v>
      </c>
      <c r="H5" s="19">
        <f t="shared" si="1"/>
        <v>8.2925216666666662E-2</v>
      </c>
      <c r="I5" s="20" t="str">
        <f t="shared" si="2"/>
        <v>No</v>
      </c>
      <c r="J5" s="27" t="str">
        <f t="shared" si="3"/>
        <v>No</v>
      </c>
    </row>
    <row r="6" spans="1:10" x14ac:dyDescent="0.3">
      <c r="A6" s="78">
        <v>1</v>
      </c>
      <c r="B6" s="6">
        <v>46234</v>
      </c>
      <c r="C6" s="26" t="s">
        <v>17</v>
      </c>
      <c r="D6" s="7">
        <v>1644</v>
      </c>
      <c r="E6" s="23">
        <v>0.409022</v>
      </c>
      <c r="F6" s="24">
        <v>8.4034999999999999E-2</v>
      </c>
      <c r="G6" s="18">
        <f t="shared" si="0"/>
        <v>0.33997577777777777</v>
      </c>
      <c r="H6" s="19">
        <f t="shared" si="1"/>
        <v>8.2925216666666662E-2</v>
      </c>
      <c r="I6" s="20" t="str">
        <f t="shared" si="2"/>
        <v>No</v>
      </c>
      <c r="J6" s="27" t="str">
        <f t="shared" si="3"/>
        <v>No</v>
      </c>
    </row>
    <row r="7" spans="1:10" x14ac:dyDescent="0.3">
      <c r="A7" s="78">
        <v>1</v>
      </c>
      <c r="B7" s="6">
        <v>46234</v>
      </c>
      <c r="C7" s="26" t="s">
        <v>18</v>
      </c>
      <c r="D7" s="7">
        <v>1405</v>
      </c>
      <c r="E7" s="23">
        <v>0.258108</v>
      </c>
      <c r="F7" s="24">
        <v>6.1423999999999999E-2</v>
      </c>
      <c r="G7" s="18">
        <f t="shared" si="0"/>
        <v>0.33997577777777777</v>
      </c>
      <c r="H7" s="19">
        <f t="shared" si="1"/>
        <v>8.2925216666666662E-2</v>
      </c>
      <c r="I7" s="20" t="str">
        <f t="shared" si="2"/>
        <v>Yes</v>
      </c>
      <c r="J7" s="27" t="str">
        <f t="shared" si="3"/>
        <v>Yes</v>
      </c>
    </row>
    <row r="8" spans="1:10" x14ac:dyDescent="0.3">
      <c r="A8" s="78">
        <v>1</v>
      </c>
      <c r="B8" s="6">
        <v>46234</v>
      </c>
      <c r="C8" s="26" t="s">
        <v>19</v>
      </c>
      <c r="D8" s="7">
        <v>1581</v>
      </c>
      <c r="E8" s="23">
        <v>0.44827699999999998</v>
      </c>
      <c r="F8" s="24">
        <v>8.4727499999999997E-2</v>
      </c>
      <c r="G8" s="18">
        <f t="shared" si="0"/>
        <v>0.33997577777777777</v>
      </c>
      <c r="H8" s="19">
        <f t="shared" si="1"/>
        <v>8.2925216666666662E-2</v>
      </c>
      <c r="I8" s="20" t="str">
        <f t="shared" si="2"/>
        <v>No</v>
      </c>
      <c r="J8" s="27" t="str">
        <f t="shared" si="3"/>
        <v>No</v>
      </c>
    </row>
    <row r="9" spans="1:10" x14ac:dyDescent="0.3">
      <c r="A9" s="78">
        <v>1</v>
      </c>
      <c r="B9" s="6">
        <v>46234</v>
      </c>
      <c r="C9" s="26" t="s">
        <v>20</v>
      </c>
      <c r="D9" s="7">
        <v>1629</v>
      </c>
      <c r="E9" s="23">
        <v>0.380859</v>
      </c>
      <c r="F9" s="24">
        <v>7.9699599999999995E-2</v>
      </c>
      <c r="G9" s="18">
        <f t="shared" si="0"/>
        <v>0.33997577777777777</v>
      </c>
      <c r="H9" s="19">
        <f t="shared" si="1"/>
        <v>8.2925216666666662E-2</v>
      </c>
      <c r="I9" s="20" t="str">
        <f t="shared" si="2"/>
        <v>No</v>
      </c>
      <c r="J9" s="27" t="str">
        <f t="shared" si="3"/>
        <v>Yes</v>
      </c>
    </row>
    <row r="10" spans="1:10" x14ac:dyDescent="0.3">
      <c r="A10" s="78">
        <v>1</v>
      </c>
      <c r="B10" s="6">
        <v>46234</v>
      </c>
      <c r="C10" s="26" t="s">
        <v>46</v>
      </c>
      <c r="D10" s="7">
        <v>1169</v>
      </c>
      <c r="E10" s="23">
        <v>0.179396</v>
      </c>
      <c r="F10" s="24">
        <v>4.7875099999999997E-2</v>
      </c>
      <c r="G10" s="18">
        <f t="shared" si="0"/>
        <v>0.33997577777777777</v>
      </c>
      <c r="H10" s="19">
        <f t="shared" si="1"/>
        <v>8.2925216666666662E-2</v>
      </c>
      <c r="I10" s="20" t="str">
        <f t="shared" si="2"/>
        <v>Yes</v>
      </c>
      <c r="J10" s="27" t="str">
        <f t="shared" si="3"/>
        <v>Yes</v>
      </c>
    </row>
    <row r="11" spans="1:10" x14ac:dyDescent="0.3">
      <c r="A11" s="78">
        <v>1</v>
      </c>
      <c r="B11" s="6">
        <v>46234</v>
      </c>
      <c r="C11" s="26" t="s">
        <v>21</v>
      </c>
      <c r="D11" s="7">
        <v>2986</v>
      </c>
      <c r="E11" s="23">
        <v>0.386212</v>
      </c>
      <c r="F11" s="24">
        <v>8.4019499999999997E-2</v>
      </c>
      <c r="G11" s="18">
        <f t="shared" si="0"/>
        <v>0.33997577777777777</v>
      </c>
      <c r="H11" s="19">
        <f t="shared" si="1"/>
        <v>8.2925216666666662E-2</v>
      </c>
      <c r="I11" s="20" t="str">
        <f t="shared" si="2"/>
        <v>No</v>
      </c>
      <c r="J11" s="27" t="str">
        <f t="shared" si="3"/>
        <v>No</v>
      </c>
    </row>
    <row r="12" spans="1:10" x14ac:dyDescent="0.3">
      <c r="A12" s="78">
        <v>1</v>
      </c>
      <c r="B12" s="6">
        <v>46234</v>
      </c>
      <c r="C12" s="26" t="s">
        <v>22</v>
      </c>
      <c r="D12" s="7">
        <v>2137</v>
      </c>
      <c r="E12" s="23">
        <v>0.32669700000000002</v>
      </c>
      <c r="F12" s="24">
        <v>8.8852399999999998E-2</v>
      </c>
      <c r="G12" s="18">
        <f t="shared" si="0"/>
        <v>0.33997577777777777</v>
      </c>
      <c r="H12" s="19">
        <f t="shared" si="1"/>
        <v>8.2925216666666662E-2</v>
      </c>
      <c r="I12" s="20" t="str">
        <f t="shared" si="2"/>
        <v>Yes</v>
      </c>
      <c r="J12" s="27" t="str">
        <f t="shared" si="3"/>
        <v>No</v>
      </c>
    </row>
    <row r="13" spans="1:10" x14ac:dyDescent="0.3">
      <c r="A13" s="78">
        <v>1</v>
      </c>
      <c r="B13" s="6">
        <v>46234</v>
      </c>
      <c r="C13" s="26" t="s">
        <v>23</v>
      </c>
      <c r="D13" s="7">
        <v>1151</v>
      </c>
      <c r="E13" s="23">
        <v>0.45461600000000002</v>
      </c>
      <c r="F13" s="24">
        <v>0.15438299999999999</v>
      </c>
      <c r="G13" s="18">
        <f t="shared" si="0"/>
        <v>0.33997577777777777</v>
      </c>
      <c r="H13" s="19">
        <f t="shared" si="1"/>
        <v>8.2925216666666662E-2</v>
      </c>
      <c r="I13" s="20" t="str">
        <f t="shared" si="2"/>
        <v>No</v>
      </c>
      <c r="J13" s="27" t="str">
        <f t="shared" si="3"/>
        <v>No</v>
      </c>
    </row>
    <row r="14" spans="1:10" x14ac:dyDescent="0.3">
      <c r="A14" s="78">
        <v>1</v>
      </c>
      <c r="B14" s="6">
        <v>46234</v>
      </c>
      <c r="C14" s="26" t="s">
        <v>24</v>
      </c>
      <c r="D14" s="7">
        <v>2704</v>
      </c>
      <c r="E14" s="23">
        <v>0.20849699999999999</v>
      </c>
      <c r="F14" s="24">
        <v>7.3032299999999994E-2</v>
      </c>
      <c r="G14" s="18">
        <f t="shared" si="0"/>
        <v>0.33997577777777777</v>
      </c>
      <c r="H14" s="19">
        <f t="shared" si="1"/>
        <v>8.2925216666666662E-2</v>
      </c>
      <c r="I14" s="20" t="str">
        <f t="shared" si="2"/>
        <v>Yes</v>
      </c>
      <c r="J14" s="27" t="str">
        <f t="shared" si="3"/>
        <v>Yes</v>
      </c>
    </row>
    <row r="15" spans="1:10" x14ac:dyDescent="0.3">
      <c r="A15" s="78">
        <v>1</v>
      </c>
      <c r="B15" s="6">
        <v>46234</v>
      </c>
      <c r="C15" s="26" t="s">
        <v>25</v>
      </c>
      <c r="D15" s="7">
        <v>1078</v>
      </c>
      <c r="E15" s="23">
        <v>0.28194599999999997</v>
      </c>
      <c r="F15" s="24">
        <v>7.7457600000000001E-2</v>
      </c>
      <c r="G15" s="18">
        <f t="shared" si="0"/>
        <v>0.33997577777777777</v>
      </c>
      <c r="H15" s="19">
        <f t="shared" si="1"/>
        <v>8.2925216666666662E-2</v>
      </c>
      <c r="I15" s="20" t="str">
        <f t="shared" si="2"/>
        <v>Yes</v>
      </c>
      <c r="J15" s="27" t="str">
        <f t="shared" si="3"/>
        <v>Yes</v>
      </c>
    </row>
    <row r="16" spans="1:10" x14ac:dyDescent="0.3">
      <c r="A16" s="78">
        <v>1</v>
      </c>
      <c r="B16" s="6">
        <v>46234</v>
      </c>
      <c r="C16" s="26" t="s">
        <v>26</v>
      </c>
      <c r="D16" s="7">
        <v>2003</v>
      </c>
      <c r="E16" s="23">
        <v>0.2571</v>
      </c>
      <c r="F16" s="24">
        <v>7.6537599999999997E-2</v>
      </c>
      <c r="G16" s="18">
        <f t="shared" si="0"/>
        <v>0.33997577777777777</v>
      </c>
      <c r="H16" s="19">
        <f t="shared" si="1"/>
        <v>8.2925216666666662E-2</v>
      </c>
      <c r="I16" s="20" t="str">
        <f t="shared" si="2"/>
        <v>Yes</v>
      </c>
      <c r="J16" s="27" t="str">
        <f t="shared" si="3"/>
        <v>Yes</v>
      </c>
    </row>
    <row r="17" spans="1:10" x14ac:dyDescent="0.3">
      <c r="A17" s="78">
        <v>1</v>
      </c>
      <c r="B17" s="6">
        <v>46234</v>
      </c>
      <c r="C17" s="26" t="s">
        <v>27</v>
      </c>
      <c r="D17" s="7">
        <v>1623</v>
      </c>
      <c r="E17" s="23">
        <v>0.29575499999999999</v>
      </c>
      <c r="F17" s="24">
        <v>7.5998399999999994E-2</v>
      </c>
      <c r="G17" s="18">
        <f t="shared" si="0"/>
        <v>0.33997577777777777</v>
      </c>
      <c r="H17" s="19">
        <f t="shared" si="1"/>
        <v>8.2925216666666662E-2</v>
      </c>
      <c r="I17" s="20" t="str">
        <f t="shared" si="2"/>
        <v>Yes</v>
      </c>
      <c r="J17" s="27" t="str">
        <f t="shared" si="3"/>
        <v>Yes</v>
      </c>
    </row>
    <row r="18" spans="1:10" x14ac:dyDescent="0.3">
      <c r="A18" s="78">
        <v>1</v>
      </c>
      <c r="B18" s="6">
        <v>46234</v>
      </c>
      <c r="C18" s="26" t="s">
        <v>28</v>
      </c>
      <c r="D18" s="7">
        <v>1004</v>
      </c>
      <c r="E18" s="23">
        <v>0.310892</v>
      </c>
      <c r="F18" s="24">
        <v>7.6906100000000005E-2</v>
      </c>
      <c r="G18" s="18">
        <f t="shared" si="0"/>
        <v>0.33997577777777777</v>
      </c>
      <c r="H18" s="19">
        <f t="shared" si="1"/>
        <v>8.2925216666666662E-2</v>
      </c>
      <c r="I18" s="20" t="str">
        <f t="shared" si="2"/>
        <v>Yes</v>
      </c>
      <c r="J18" s="27" t="str">
        <f t="shared" si="3"/>
        <v>Yes</v>
      </c>
    </row>
    <row r="19" spans="1:10" x14ac:dyDescent="0.3">
      <c r="A19" s="78">
        <v>1</v>
      </c>
      <c r="B19" s="6">
        <v>46234</v>
      </c>
      <c r="C19" s="26" t="s">
        <v>29</v>
      </c>
      <c r="D19" s="7">
        <v>1142</v>
      </c>
      <c r="E19" s="23">
        <v>0.43532500000000002</v>
      </c>
      <c r="F19" s="24">
        <v>8.5073599999999999E-2</v>
      </c>
      <c r="G19" s="18">
        <f t="shared" si="0"/>
        <v>0.33997577777777777</v>
      </c>
      <c r="H19" s="19">
        <f t="shared" si="1"/>
        <v>8.2925216666666662E-2</v>
      </c>
      <c r="I19" s="20" t="str">
        <f t="shared" si="2"/>
        <v>No</v>
      </c>
      <c r="J19" s="27" t="str">
        <f t="shared" si="3"/>
        <v>No</v>
      </c>
    </row>
    <row r="20" spans="1:10" x14ac:dyDescent="0.3">
      <c r="A20" s="78">
        <v>1</v>
      </c>
      <c r="B20" s="6">
        <v>46234</v>
      </c>
      <c r="C20" s="26" t="s">
        <v>30</v>
      </c>
      <c r="D20" s="7">
        <v>1237</v>
      </c>
      <c r="E20" s="23">
        <v>0.46051599999999998</v>
      </c>
      <c r="F20" s="24">
        <v>9.7773799999999994E-2</v>
      </c>
      <c r="G20" s="18">
        <f t="shared" si="0"/>
        <v>0.33997577777777777</v>
      </c>
      <c r="H20" s="19">
        <f t="shared" si="1"/>
        <v>8.2925216666666662E-2</v>
      </c>
      <c r="I20" s="20" t="str">
        <f t="shared" si="2"/>
        <v>No</v>
      </c>
      <c r="J20" s="27" t="str">
        <f t="shared" si="3"/>
        <v>No</v>
      </c>
    </row>
    <row r="21" spans="1:10" x14ac:dyDescent="0.3">
      <c r="A21" s="78">
        <v>2</v>
      </c>
      <c r="B21" s="6">
        <v>46234</v>
      </c>
      <c r="C21" s="26" t="s">
        <v>14</v>
      </c>
      <c r="D21" s="7">
        <v>2967</v>
      </c>
      <c r="E21" s="23">
        <v>0.37851400000000002</v>
      </c>
      <c r="F21" s="24">
        <v>0.107513</v>
      </c>
      <c r="G21" s="18">
        <f t="shared" si="0"/>
        <v>0.35394088888888903</v>
      </c>
      <c r="H21" s="19">
        <f t="shared" si="1"/>
        <v>8.5412650000000007E-2</v>
      </c>
      <c r="I21" s="20" t="str">
        <f t="shared" si="2"/>
        <v>No</v>
      </c>
      <c r="J21" s="27" t="str">
        <f t="shared" si="3"/>
        <v>No</v>
      </c>
    </row>
    <row r="22" spans="1:10" x14ac:dyDescent="0.3">
      <c r="A22" s="78">
        <v>2</v>
      </c>
      <c r="B22" s="6">
        <v>46234</v>
      </c>
      <c r="C22" s="26" t="s">
        <v>15</v>
      </c>
      <c r="D22" s="7">
        <v>3153</v>
      </c>
      <c r="E22" s="23">
        <v>0.38189000000000001</v>
      </c>
      <c r="F22" s="24">
        <v>9.9818900000000002E-2</v>
      </c>
      <c r="G22" s="18">
        <f t="shared" si="0"/>
        <v>0.35394088888888903</v>
      </c>
      <c r="H22" s="19">
        <f t="shared" si="1"/>
        <v>8.5412650000000007E-2</v>
      </c>
      <c r="I22" s="20" t="str">
        <f t="shared" si="2"/>
        <v>No</v>
      </c>
      <c r="J22" s="27" t="str">
        <f t="shared" si="3"/>
        <v>No</v>
      </c>
    </row>
    <row r="23" spans="1:10" x14ac:dyDescent="0.3">
      <c r="A23" s="78">
        <v>2</v>
      </c>
      <c r="B23" s="6">
        <v>46234</v>
      </c>
      <c r="C23" s="26" t="s">
        <v>16</v>
      </c>
      <c r="D23" s="7">
        <v>2357</v>
      </c>
      <c r="E23" s="23">
        <v>0.44205800000000001</v>
      </c>
      <c r="F23" s="24">
        <v>9.9856100000000003E-2</v>
      </c>
      <c r="G23" s="18">
        <f t="shared" si="0"/>
        <v>0.35394088888888903</v>
      </c>
      <c r="H23" s="19">
        <f t="shared" si="1"/>
        <v>8.5412650000000007E-2</v>
      </c>
      <c r="I23" s="20" t="str">
        <f t="shared" si="2"/>
        <v>No</v>
      </c>
      <c r="J23" s="27" t="str">
        <f t="shared" si="3"/>
        <v>No</v>
      </c>
    </row>
    <row r="24" spans="1:10" x14ac:dyDescent="0.3">
      <c r="A24" s="78">
        <v>2</v>
      </c>
      <c r="B24" s="6">
        <v>46234</v>
      </c>
      <c r="C24" s="26" t="s">
        <v>17</v>
      </c>
      <c r="D24" s="7">
        <v>1635</v>
      </c>
      <c r="E24" s="23">
        <v>0.44906299999999999</v>
      </c>
      <c r="F24" s="24">
        <v>8.9386699999999999E-2</v>
      </c>
      <c r="G24" s="18">
        <f t="shared" si="0"/>
        <v>0.35394088888888903</v>
      </c>
      <c r="H24" s="19">
        <f t="shared" si="1"/>
        <v>8.5412650000000007E-2</v>
      </c>
      <c r="I24" s="20" t="str">
        <f t="shared" si="2"/>
        <v>No</v>
      </c>
      <c r="J24" s="27" t="str">
        <f t="shared" si="3"/>
        <v>No</v>
      </c>
    </row>
    <row r="25" spans="1:10" x14ac:dyDescent="0.3">
      <c r="A25" s="78">
        <v>2</v>
      </c>
      <c r="B25" s="6">
        <v>46234</v>
      </c>
      <c r="C25" s="26" t="s">
        <v>18</v>
      </c>
      <c r="D25" s="7">
        <v>2767</v>
      </c>
      <c r="E25" s="23">
        <v>0.29396899999999998</v>
      </c>
      <c r="F25" s="24">
        <v>6.61577E-2</v>
      </c>
      <c r="G25" s="18">
        <f t="shared" si="0"/>
        <v>0.35394088888888903</v>
      </c>
      <c r="H25" s="19">
        <f t="shared" si="1"/>
        <v>8.5412650000000007E-2</v>
      </c>
      <c r="I25" s="20" t="str">
        <f t="shared" si="2"/>
        <v>Yes</v>
      </c>
      <c r="J25" s="27" t="str">
        <f t="shared" si="3"/>
        <v>Yes</v>
      </c>
    </row>
    <row r="26" spans="1:10" x14ac:dyDescent="0.3">
      <c r="A26" s="78">
        <v>2</v>
      </c>
      <c r="B26" s="6">
        <v>46234</v>
      </c>
      <c r="C26" s="26" t="s">
        <v>19</v>
      </c>
      <c r="D26" s="7">
        <v>2209</v>
      </c>
      <c r="E26" s="23">
        <v>0.36777599999999999</v>
      </c>
      <c r="F26" s="24">
        <v>7.3182899999999995E-2</v>
      </c>
      <c r="G26" s="18">
        <f t="shared" si="0"/>
        <v>0.35394088888888903</v>
      </c>
      <c r="H26" s="19">
        <f t="shared" si="1"/>
        <v>8.5412650000000007E-2</v>
      </c>
      <c r="I26" s="20" t="str">
        <f t="shared" si="2"/>
        <v>No</v>
      </c>
      <c r="J26" s="27" t="str">
        <f t="shared" si="3"/>
        <v>Yes</v>
      </c>
    </row>
    <row r="27" spans="1:10" x14ac:dyDescent="0.3">
      <c r="A27" s="78">
        <v>2</v>
      </c>
      <c r="B27" s="6">
        <v>46234</v>
      </c>
      <c r="C27" s="26" t="s">
        <v>20</v>
      </c>
      <c r="D27" s="7">
        <v>2074</v>
      </c>
      <c r="E27" s="23">
        <v>0.380859</v>
      </c>
      <c r="F27" s="24">
        <v>7.9699599999999995E-2</v>
      </c>
      <c r="G27" s="18">
        <f t="shared" si="0"/>
        <v>0.35394088888888903</v>
      </c>
      <c r="H27" s="19">
        <f t="shared" si="1"/>
        <v>8.5412650000000007E-2</v>
      </c>
      <c r="I27" s="20" t="str">
        <f t="shared" si="2"/>
        <v>No</v>
      </c>
      <c r="J27" s="27" t="str">
        <f t="shared" si="3"/>
        <v>Yes</v>
      </c>
    </row>
    <row r="28" spans="1:10" x14ac:dyDescent="0.3">
      <c r="A28" s="78">
        <v>2</v>
      </c>
      <c r="B28" s="6">
        <v>46234</v>
      </c>
      <c r="C28" s="26" t="s">
        <v>46</v>
      </c>
      <c r="D28" s="7">
        <v>1315</v>
      </c>
      <c r="E28" s="23">
        <v>0.18341299999999999</v>
      </c>
      <c r="F28" s="24">
        <v>5.1520099999999999E-2</v>
      </c>
      <c r="G28" s="18">
        <f t="shared" si="0"/>
        <v>0.35394088888888903</v>
      </c>
      <c r="H28" s="19">
        <f t="shared" si="1"/>
        <v>8.5412650000000007E-2</v>
      </c>
      <c r="I28" s="20" t="str">
        <f t="shared" si="2"/>
        <v>Yes</v>
      </c>
      <c r="J28" s="27" t="str">
        <f t="shared" si="3"/>
        <v>Yes</v>
      </c>
    </row>
    <row r="29" spans="1:10" x14ac:dyDescent="0.3">
      <c r="A29" s="78">
        <v>2</v>
      </c>
      <c r="B29" s="6">
        <v>46234</v>
      </c>
      <c r="C29" s="26" t="s">
        <v>21</v>
      </c>
      <c r="D29" s="7">
        <v>2535</v>
      </c>
      <c r="E29" s="23">
        <v>0.38918999999999998</v>
      </c>
      <c r="F29" s="24">
        <v>8.0030699999999996E-2</v>
      </c>
      <c r="G29" s="18">
        <f t="shared" si="0"/>
        <v>0.35394088888888903</v>
      </c>
      <c r="H29" s="19">
        <f t="shared" si="1"/>
        <v>8.5412650000000007E-2</v>
      </c>
      <c r="I29" s="20" t="str">
        <f t="shared" si="2"/>
        <v>No</v>
      </c>
      <c r="J29" s="27" t="str">
        <f t="shared" si="3"/>
        <v>Yes</v>
      </c>
    </row>
    <row r="30" spans="1:10" x14ac:dyDescent="0.3">
      <c r="A30" s="78">
        <v>2</v>
      </c>
      <c r="B30" s="6">
        <v>46234</v>
      </c>
      <c r="C30" s="26" t="s">
        <v>22</v>
      </c>
      <c r="D30" s="7">
        <v>1694</v>
      </c>
      <c r="E30" s="23">
        <v>0.37492999999999999</v>
      </c>
      <c r="F30" s="24">
        <v>0.100217</v>
      </c>
      <c r="G30" s="18">
        <f t="shared" si="0"/>
        <v>0.35394088888888903</v>
      </c>
      <c r="H30" s="19">
        <f t="shared" si="1"/>
        <v>8.5412650000000007E-2</v>
      </c>
      <c r="I30" s="20" t="str">
        <f t="shared" si="2"/>
        <v>No</v>
      </c>
      <c r="J30" s="27" t="str">
        <f t="shared" si="3"/>
        <v>No</v>
      </c>
    </row>
    <row r="31" spans="1:10" x14ac:dyDescent="0.3">
      <c r="A31" s="78">
        <v>2</v>
      </c>
      <c r="B31" s="6">
        <v>46234</v>
      </c>
      <c r="C31" s="26" t="s">
        <v>23</v>
      </c>
      <c r="D31" s="7">
        <v>1603</v>
      </c>
      <c r="E31" s="23">
        <v>0.31156699999999998</v>
      </c>
      <c r="F31" s="24">
        <v>0.10693999999999999</v>
      </c>
      <c r="G31" s="18">
        <f t="shared" si="0"/>
        <v>0.35394088888888903</v>
      </c>
      <c r="H31" s="19">
        <f t="shared" si="1"/>
        <v>8.5412650000000007E-2</v>
      </c>
      <c r="I31" s="20" t="str">
        <f t="shared" si="2"/>
        <v>Yes</v>
      </c>
      <c r="J31" s="27" t="str">
        <f t="shared" si="3"/>
        <v>No</v>
      </c>
    </row>
    <row r="32" spans="1:10" x14ac:dyDescent="0.3">
      <c r="A32" s="78">
        <v>2</v>
      </c>
      <c r="B32" s="6">
        <v>46234</v>
      </c>
      <c r="C32" s="26" t="s">
        <v>24</v>
      </c>
      <c r="D32" s="7">
        <v>2651</v>
      </c>
      <c r="E32" s="23">
        <v>0.230654</v>
      </c>
      <c r="F32" s="24">
        <v>7.7063900000000005E-2</v>
      </c>
      <c r="G32" s="18">
        <f t="shared" si="0"/>
        <v>0.35394088888888903</v>
      </c>
      <c r="H32" s="19">
        <f t="shared" si="1"/>
        <v>8.5412650000000007E-2</v>
      </c>
      <c r="I32" s="20" t="str">
        <f t="shared" si="2"/>
        <v>Yes</v>
      </c>
      <c r="J32" s="27" t="str">
        <f t="shared" si="3"/>
        <v>Yes</v>
      </c>
    </row>
    <row r="33" spans="1:10" x14ac:dyDescent="0.3">
      <c r="A33" s="78">
        <v>2</v>
      </c>
      <c r="B33" s="6">
        <v>46234</v>
      </c>
      <c r="C33" s="26" t="s">
        <v>25</v>
      </c>
      <c r="D33" s="7">
        <v>1114</v>
      </c>
      <c r="E33" s="23">
        <v>0.27549600000000002</v>
      </c>
      <c r="F33" s="24">
        <v>7.1046899999999996E-2</v>
      </c>
      <c r="G33" s="18">
        <f t="shared" si="0"/>
        <v>0.35394088888888903</v>
      </c>
      <c r="H33" s="19">
        <f t="shared" si="1"/>
        <v>8.5412650000000007E-2</v>
      </c>
      <c r="I33" s="20" t="str">
        <f t="shared" si="2"/>
        <v>Yes</v>
      </c>
      <c r="J33" s="27" t="str">
        <f t="shared" si="3"/>
        <v>Yes</v>
      </c>
    </row>
    <row r="34" spans="1:10" x14ac:dyDescent="0.3">
      <c r="A34" s="78">
        <v>2</v>
      </c>
      <c r="B34" s="6">
        <v>46234</v>
      </c>
      <c r="C34" s="26" t="s">
        <v>26</v>
      </c>
      <c r="D34" s="7">
        <v>1709</v>
      </c>
      <c r="E34" s="23">
        <v>0.180475</v>
      </c>
      <c r="F34" s="24">
        <v>5.4836299999999998E-2</v>
      </c>
      <c r="G34" s="18">
        <f t="shared" si="0"/>
        <v>0.35394088888888903</v>
      </c>
      <c r="H34" s="19">
        <f t="shared" si="1"/>
        <v>8.5412650000000007E-2</v>
      </c>
      <c r="I34" s="20" t="str">
        <f t="shared" si="2"/>
        <v>Yes</v>
      </c>
      <c r="J34" s="27" t="str">
        <f t="shared" si="3"/>
        <v>Yes</v>
      </c>
    </row>
    <row r="35" spans="1:10" x14ac:dyDescent="0.3">
      <c r="A35" s="78">
        <v>2</v>
      </c>
      <c r="B35" s="6">
        <v>46234</v>
      </c>
      <c r="C35" s="26" t="s">
        <v>27</v>
      </c>
      <c r="D35" s="7">
        <v>1262</v>
      </c>
      <c r="E35" s="23">
        <v>0.42054999999999998</v>
      </c>
      <c r="F35" s="24">
        <v>0.10097399999999999</v>
      </c>
      <c r="G35" s="18">
        <f t="shared" ref="G35:G66" si="4">IFERROR(AVERAGEIFS($E:$E,$B:$B,$B35, $A:$A, $A35),"")</f>
        <v>0.35394088888888903</v>
      </c>
      <c r="H35" s="19">
        <f t="shared" si="1"/>
        <v>8.5412650000000007E-2</v>
      </c>
      <c r="I35" s="20" t="str">
        <f t="shared" si="2"/>
        <v>No</v>
      </c>
      <c r="J35" s="27" t="str">
        <f t="shared" si="3"/>
        <v>No</v>
      </c>
    </row>
    <row r="36" spans="1:10" x14ac:dyDescent="0.3">
      <c r="A36" s="78">
        <v>2</v>
      </c>
      <c r="B36" s="6">
        <v>46234</v>
      </c>
      <c r="C36" s="26" t="s">
        <v>28</v>
      </c>
      <c r="D36" s="7">
        <v>1001</v>
      </c>
      <c r="E36" s="23">
        <v>0.40851799999999999</v>
      </c>
      <c r="F36" s="24">
        <v>9.5214099999999996E-2</v>
      </c>
      <c r="G36" s="18">
        <f t="shared" si="4"/>
        <v>0.35394088888888903</v>
      </c>
      <c r="H36" s="19">
        <f t="shared" si="1"/>
        <v>8.5412650000000007E-2</v>
      </c>
      <c r="I36" s="20" t="str">
        <f t="shared" si="2"/>
        <v>No</v>
      </c>
      <c r="J36" s="27" t="str">
        <f t="shared" si="3"/>
        <v>No</v>
      </c>
    </row>
    <row r="37" spans="1:10" x14ac:dyDescent="0.3">
      <c r="A37" s="78">
        <v>2</v>
      </c>
      <c r="B37" s="6">
        <v>46234</v>
      </c>
      <c r="C37" s="26" t="s">
        <v>29</v>
      </c>
      <c r="D37" s="7">
        <v>2829</v>
      </c>
      <c r="E37" s="23">
        <v>0.40667599999999998</v>
      </c>
      <c r="F37" s="24">
        <v>8.2854800000000006E-2</v>
      </c>
      <c r="G37" s="18">
        <f t="shared" si="4"/>
        <v>0.35394088888888903</v>
      </c>
      <c r="H37" s="19">
        <f t="shared" si="1"/>
        <v>8.5412650000000007E-2</v>
      </c>
      <c r="I37" s="20" t="str">
        <f t="shared" si="2"/>
        <v>No</v>
      </c>
      <c r="J37" s="27" t="str">
        <f t="shared" si="3"/>
        <v>Yes</v>
      </c>
    </row>
    <row r="38" spans="1:10" x14ac:dyDescent="0.3">
      <c r="A38" s="78">
        <v>2</v>
      </c>
      <c r="B38" s="6">
        <v>46234</v>
      </c>
      <c r="C38" s="26" t="s">
        <v>30</v>
      </c>
      <c r="D38" s="7">
        <v>1504</v>
      </c>
      <c r="E38" s="23">
        <v>0.495338</v>
      </c>
      <c r="F38" s="24">
        <v>0.101115</v>
      </c>
      <c r="G38" s="18">
        <f t="shared" si="4"/>
        <v>0.35394088888888903</v>
      </c>
      <c r="H38" s="19">
        <f t="shared" si="1"/>
        <v>8.5412650000000007E-2</v>
      </c>
      <c r="I38" s="20" t="str">
        <f t="shared" si="2"/>
        <v>No</v>
      </c>
      <c r="J38" s="27" t="str">
        <f t="shared" si="3"/>
        <v>No</v>
      </c>
    </row>
    <row r="39" spans="1:10" x14ac:dyDescent="0.3">
      <c r="A39" s="78">
        <v>1</v>
      </c>
      <c r="B39" s="6">
        <v>46237</v>
      </c>
      <c r="C39" s="26" t="s">
        <v>14</v>
      </c>
      <c r="D39" s="7">
        <v>3346</v>
      </c>
      <c r="E39" s="23">
        <v>0.32430599999999998</v>
      </c>
      <c r="F39" s="24">
        <v>9.8802500000000001E-2</v>
      </c>
      <c r="G39" s="18">
        <f t="shared" si="4"/>
        <v>0.31301488888888884</v>
      </c>
      <c r="H39" s="19">
        <f t="shared" si="1"/>
        <v>7.651850555555556E-2</v>
      </c>
      <c r="I39" s="20" t="str">
        <f t="shared" si="2"/>
        <v>No</v>
      </c>
      <c r="J39" s="27" t="str">
        <f t="shared" si="3"/>
        <v>No</v>
      </c>
    </row>
    <row r="40" spans="1:10" x14ac:dyDescent="0.3">
      <c r="A40" s="78">
        <v>1</v>
      </c>
      <c r="B40" s="6">
        <v>46237</v>
      </c>
      <c r="C40" s="26" t="s">
        <v>15</v>
      </c>
      <c r="D40" s="7">
        <v>3063</v>
      </c>
      <c r="E40" s="23">
        <v>0.35386699999999999</v>
      </c>
      <c r="F40" s="24">
        <v>9.9645899999999996E-2</v>
      </c>
      <c r="G40" s="18">
        <f t="shared" si="4"/>
        <v>0.31301488888888884</v>
      </c>
      <c r="H40" s="19">
        <f t="shared" si="1"/>
        <v>7.651850555555556E-2</v>
      </c>
      <c r="I40" s="20" t="str">
        <f t="shared" si="2"/>
        <v>No</v>
      </c>
      <c r="J40" s="27" t="str">
        <f t="shared" si="3"/>
        <v>No</v>
      </c>
    </row>
    <row r="41" spans="1:10" x14ac:dyDescent="0.3">
      <c r="A41" s="78">
        <v>1</v>
      </c>
      <c r="B41" s="6">
        <v>46237</v>
      </c>
      <c r="C41" s="26" t="s">
        <v>16</v>
      </c>
      <c r="D41" s="7">
        <v>2034</v>
      </c>
      <c r="E41" s="23">
        <v>0.34923700000000002</v>
      </c>
      <c r="F41" s="24">
        <v>8.7392399999999995E-2</v>
      </c>
      <c r="G41" s="18">
        <f t="shared" si="4"/>
        <v>0.31301488888888884</v>
      </c>
      <c r="H41" s="19">
        <f t="shared" si="1"/>
        <v>7.651850555555556E-2</v>
      </c>
      <c r="I41" s="20" t="str">
        <f t="shared" si="2"/>
        <v>No</v>
      </c>
      <c r="J41" s="27" t="str">
        <f t="shared" si="3"/>
        <v>No</v>
      </c>
    </row>
    <row r="42" spans="1:10" x14ac:dyDescent="0.3">
      <c r="A42" s="78">
        <v>1</v>
      </c>
      <c r="B42" s="6">
        <v>46237</v>
      </c>
      <c r="C42" s="26" t="s">
        <v>17</v>
      </c>
      <c r="D42" s="7">
        <v>2205</v>
      </c>
      <c r="E42" s="23">
        <v>0.47246100000000002</v>
      </c>
      <c r="F42" s="24">
        <v>9.3412599999999998E-2</v>
      </c>
      <c r="G42" s="18">
        <f t="shared" si="4"/>
        <v>0.31301488888888884</v>
      </c>
      <c r="H42" s="19">
        <f t="shared" si="1"/>
        <v>7.651850555555556E-2</v>
      </c>
      <c r="I42" s="20" t="str">
        <f t="shared" si="2"/>
        <v>No</v>
      </c>
      <c r="J42" s="27" t="str">
        <f t="shared" si="3"/>
        <v>No</v>
      </c>
    </row>
    <row r="43" spans="1:10" x14ac:dyDescent="0.3">
      <c r="A43" s="78">
        <v>1</v>
      </c>
      <c r="B43" s="6">
        <v>46237</v>
      </c>
      <c r="C43" s="26" t="s">
        <v>18</v>
      </c>
      <c r="D43" s="7">
        <v>2383</v>
      </c>
      <c r="E43" s="23">
        <v>0.23527000000000001</v>
      </c>
      <c r="F43" s="24">
        <v>5.8520999999999997E-2</v>
      </c>
      <c r="G43" s="18">
        <f t="shared" si="4"/>
        <v>0.31301488888888884</v>
      </c>
      <c r="H43" s="19">
        <f t="shared" si="1"/>
        <v>7.651850555555556E-2</v>
      </c>
      <c r="I43" s="20" t="str">
        <f t="shared" si="2"/>
        <v>Yes</v>
      </c>
      <c r="J43" s="27" t="str">
        <f t="shared" si="3"/>
        <v>Yes</v>
      </c>
    </row>
    <row r="44" spans="1:10" x14ac:dyDescent="0.3">
      <c r="A44" s="78">
        <v>1</v>
      </c>
      <c r="B44" s="6">
        <v>46237</v>
      </c>
      <c r="C44" s="26" t="s">
        <v>19</v>
      </c>
      <c r="D44" s="7">
        <v>2170</v>
      </c>
      <c r="E44" s="23">
        <v>0.31478899999999999</v>
      </c>
      <c r="F44" s="24">
        <v>6.7531099999999997E-2</v>
      </c>
      <c r="G44" s="18">
        <f t="shared" si="4"/>
        <v>0.31301488888888884</v>
      </c>
      <c r="H44" s="19">
        <f t="shared" si="1"/>
        <v>7.651850555555556E-2</v>
      </c>
      <c r="I44" s="20" t="str">
        <f t="shared" si="2"/>
        <v>No</v>
      </c>
      <c r="J44" s="27" t="str">
        <f t="shared" si="3"/>
        <v>Yes</v>
      </c>
    </row>
    <row r="45" spans="1:10" x14ac:dyDescent="0.3">
      <c r="A45" s="78">
        <v>1</v>
      </c>
      <c r="B45" s="6">
        <v>46237</v>
      </c>
      <c r="C45" s="26" t="s">
        <v>20</v>
      </c>
      <c r="D45" s="7">
        <v>2313</v>
      </c>
      <c r="E45" s="23">
        <v>0.30069600000000002</v>
      </c>
      <c r="F45" s="24">
        <v>6.3357800000000006E-2</v>
      </c>
      <c r="G45" s="18">
        <f t="shared" si="4"/>
        <v>0.31301488888888884</v>
      </c>
      <c r="H45" s="19">
        <f t="shared" si="1"/>
        <v>7.651850555555556E-2</v>
      </c>
      <c r="I45" s="20" t="str">
        <f t="shared" si="2"/>
        <v>Yes</v>
      </c>
      <c r="J45" s="27" t="str">
        <f t="shared" si="3"/>
        <v>Yes</v>
      </c>
    </row>
    <row r="46" spans="1:10" x14ac:dyDescent="0.3">
      <c r="A46" s="78">
        <v>1</v>
      </c>
      <c r="B46" s="6">
        <v>46237</v>
      </c>
      <c r="C46" s="26" t="s">
        <v>46</v>
      </c>
      <c r="D46" s="7">
        <v>1596</v>
      </c>
      <c r="E46" s="23">
        <v>0.167988</v>
      </c>
      <c r="F46" s="24">
        <v>4.9786400000000001E-2</v>
      </c>
      <c r="G46" s="18">
        <f t="shared" si="4"/>
        <v>0.31301488888888884</v>
      </c>
      <c r="H46" s="19">
        <f t="shared" si="1"/>
        <v>7.651850555555556E-2</v>
      </c>
      <c r="I46" s="20" t="str">
        <f t="shared" si="2"/>
        <v>Yes</v>
      </c>
      <c r="J46" s="27" t="str">
        <f t="shared" si="3"/>
        <v>Yes</v>
      </c>
    </row>
    <row r="47" spans="1:10" x14ac:dyDescent="0.3">
      <c r="A47" s="78">
        <v>1</v>
      </c>
      <c r="B47" s="6">
        <v>46237</v>
      </c>
      <c r="C47" s="26" t="s">
        <v>21</v>
      </c>
      <c r="D47" s="7">
        <v>3368</v>
      </c>
      <c r="E47" s="23">
        <v>0.44997300000000001</v>
      </c>
      <c r="F47" s="24">
        <v>8.5777199999999998E-2</v>
      </c>
      <c r="G47" s="18">
        <f t="shared" si="4"/>
        <v>0.31301488888888884</v>
      </c>
      <c r="H47" s="19">
        <f t="shared" si="1"/>
        <v>7.651850555555556E-2</v>
      </c>
      <c r="I47" s="20" t="str">
        <f t="shared" si="2"/>
        <v>No</v>
      </c>
      <c r="J47" s="27" t="str">
        <f t="shared" si="3"/>
        <v>No</v>
      </c>
    </row>
    <row r="48" spans="1:10" x14ac:dyDescent="0.3">
      <c r="A48" s="78">
        <v>1</v>
      </c>
      <c r="B48" s="6">
        <v>46237</v>
      </c>
      <c r="C48" s="26" t="s">
        <v>22</v>
      </c>
      <c r="D48" s="7">
        <v>1671</v>
      </c>
      <c r="E48" s="23">
        <v>0.47886200000000001</v>
      </c>
      <c r="F48" s="24">
        <v>0.12086</v>
      </c>
      <c r="G48" s="18">
        <f t="shared" si="4"/>
        <v>0.31301488888888884</v>
      </c>
      <c r="H48" s="19">
        <f t="shared" si="1"/>
        <v>7.651850555555556E-2</v>
      </c>
      <c r="I48" s="20" t="str">
        <f t="shared" si="2"/>
        <v>No</v>
      </c>
      <c r="J48" s="27" t="str">
        <f t="shared" si="3"/>
        <v>No</v>
      </c>
    </row>
    <row r="49" spans="1:10" x14ac:dyDescent="0.3">
      <c r="A49" s="78">
        <v>1</v>
      </c>
      <c r="B49" s="6">
        <v>46237</v>
      </c>
      <c r="C49" s="26" t="s">
        <v>23</v>
      </c>
      <c r="D49" s="7">
        <v>1504</v>
      </c>
      <c r="E49" s="23">
        <v>0.31255899999999998</v>
      </c>
      <c r="F49" s="24">
        <v>0.110626</v>
      </c>
      <c r="G49" s="18">
        <f t="shared" si="4"/>
        <v>0.31301488888888884</v>
      </c>
      <c r="H49" s="19">
        <f t="shared" si="1"/>
        <v>7.651850555555556E-2</v>
      </c>
      <c r="I49" s="20" t="str">
        <f t="shared" si="2"/>
        <v>Yes</v>
      </c>
      <c r="J49" s="27" t="str">
        <f t="shared" si="3"/>
        <v>No</v>
      </c>
    </row>
    <row r="50" spans="1:10" x14ac:dyDescent="0.3">
      <c r="A50" s="78">
        <v>1</v>
      </c>
      <c r="B50" s="6">
        <v>46237</v>
      </c>
      <c r="C50" s="26" t="s">
        <v>24</v>
      </c>
      <c r="D50" s="7">
        <v>2776</v>
      </c>
      <c r="E50" s="23">
        <v>0.242114</v>
      </c>
      <c r="F50" s="24">
        <v>7.6394299999999998E-2</v>
      </c>
      <c r="G50" s="18">
        <f t="shared" si="4"/>
        <v>0.31301488888888884</v>
      </c>
      <c r="H50" s="19">
        <f t="shared" si="1"/>
        <v>7.651850555555556E-2</v>
      </c>
      <c r="I50" s="20" t="str">
        <f t="shared" si="2"/>
        <v>Yes</v>
      </c>
      <c r="J50" s="27" t="str">
        <f t="shared" si="3"/>
        <v>Yes</v>
      </c>
    </row>
    <row r="51" spans="1:10" x14ac:dyDescent="0.3">
      <c r="A51" s="78">
        <v>1</v>
      </c>
      <c r="B51" s="6">
        <v>46237</v>
      </c>
      <c r="C51" s="26" t="s">
        <v>25</v>
      </c>
      <c r="D51" s="7">
        <v>1564</v>
      </c>
      <c r="E51" s="23">
        <v>0.26510299999999998</v>
      </c>
      <c r="F51" s="24">
        <v>6.3127500000000003E-2</v>
      </c>
      <c r="G51" s="18">
        <f t="shared" si="4"/>
        <v>0.31301488888888884</v>
      </c>
      <c r="H51" s="19">
        <f t="shared" si="1"/>
        <v>7.651850555555556E-2</v>
      </c>
      <c r="I51" s="20" t="str">
        <f t="shared" si="2"/>
        <v>Yes</v>
      </c>
      <c r="J51" s="27" t="str">
        <f t="shared" si="3"/>
        <v>Yes</v>
      </c>
    </row>
    <row r="52" spans="1:10" x14ac:dyDescent="0.3">
      <c r="A52" s="78">
        <v>1</v>
      </c>
      <c r="B52" s="6">
        <v>46237</v>
      </c>
      <c r="C52" s="26" t="s">
        <v>26</v>
      </c>
      <c r="D52" s="7">
        <v>2134</v>
      </c>
      <c r="E52" s="23">
        <v>0.18260199999999999</v>
      </c>
      <c r="F52" s="24">
        <v>5.5004400000000002E-2</v>
      </c>
      <c r="G52" s="18">
        <f t="shared" si="4"/>
        <v>0.31301488888888884</v>
      </c>
      <c r="H52" s="19">
        <f t="shared" si="1"/>
        <v>7.651850555555556E-2</v>
      </c>
      <c r="I52" s="20" t="str">
        <f t="shared" si="2"/>
        <v>Yes</v>
      </c>
      <c r="J52" s="27" t="str">
        <f t="shared" si="3"/>
        <v>Yes</v>
      </c>
    </row>
    <row r="53" spans="1:10" x14ac:dyDescent="0.3">
      <c r="A53" s="78">
        <v>1</v>
      </c>
      <c r="B53" s="6">
        <v>46237</v>
      </c>
      <c r="C53" s="26" t="s">
        <v>27</v>
      </c>
      <c r="D53" s="7">
        <v>1805</v>
      </c>
      <c r="E53" s="23">
        <v>0.33567200000000003</v>
      </c>
      <c r="F53" s="24">
        <v>7.3140200000000002E-2</v>
      </c>
      <c r="G53" s="18">
        <f t="shared" si="4"/>
        <v>0.31301488888888884</v>
      </c>
      <c r="H53" s="19">
        <f t="shared" si="1"/>
        <v>7.651850555555556E-2</v>
      </c>
      <c r="I53" s="20" t="str">
        <f t="shared" si="2"/>
        <v>No</v>
      </c>
      <c r="J53" s="27" t="str">
        <f t="shared" si="3"/>
        <v>Yes</v>
      </c>
    </row>
    <row r="54" spans="1:10" x14ac:dyDescent="0.3">
      <c r="A54" s="78">
        <v>1</v>
      </c>
      <c r="B54" s="6">
        <v>46237</v>
      </c>
      <c r="C54" s="26" t="s">
        <v>28</v>
      </c>
      <c r="D54" s="7">
        <v>1506</v>
      </c>
      <c r="E54" s="23">
        <v>0.237599</v>
      </c>
      <c r="F54" s="24">
        <v>5.0320799999999999E-2</v>
      </c>
      <c r="G54" s="18">
        <f t="shared" si="4"/>
        <v>0.31301488888888884</v>
      </c>
      <c r="H54" s="19">
        <f t="shared" si="1"/>
        <v>7.651850555555556E-2</v>
      </c>
      <c r="I54" s="20" t="str">
        <f t="shared" si="2"/>
        <v>Yes</v>
      </c>
      <c r="J54" s="27" t="str">
        <f t="shared" si="3"/>
        <v>Yes</v>
      </c>
    </row>
    <row r="55" spans="1:10" x14ac:dyDescent="0.3">
      <c r="A55" s="78">
        <v>1</v>
      </c>
      <c r="B55" s="6">
        <v>46237</v>
      </c>
      <c r="C55" s="26" t="s">
        <v>29</v>
      </c>
      <c r="D55" s="7">
        <v>2592</v>
      </c>
      <c r="E55" s="23">
        <v>0.24665599999999999</v>
      </c>
      <c r="F55" s="24">
        <v>5.4342500000000002E-2</v>
      </c>
      <c r="G55" s="18">
        <f t="shared" si="4"/>
        <v>0.31301488888888884</v>
      </c>
      <c r="H55" s="19">
        <f t="shared" si="1"/>
        <v>7.651850555555556E-2</v>
      </c>
      <c r="I55" s="20" t="str">
        <f t="shared" si="2"/>
        <v>Yes</v>
      </c>
      <c r="J55" s="27" t="str">
        <f t="shared" si="3"/>
        <v>Yes</v>
      </c>
    </row>
    <row r="56" spans="1:10" x14ac:dyDescent="0.3">
      <c r="A56" s="78">
        <v>1</v>
      </c>
      <c r="B56" s="6">
        <v>46237</v>
      </c>
      <c r="C56" s="26" t="s">
        <v>30</v>
      </c>
      <c r="D56" s="7">
        <v>1991</v>
      </c>
      <c r="E56" s="23">
        <v>0.364514</v>
      </c>
      <c r="F56" s="24">
        <v>6.9290500000000005E-2</v>
      </c>
      <c r="G56" s="18">
        <f t="shared" si="4"/>
        <v>0.31301488888888884</v>
      </c>
      <c r="H56" s="19">
        <f t="shared" si="1"/>
        <v>7.651850555555556E-2</v>
      </c>
      <c r="I56" s="20" t="str">
        <f t="shared" si="2"/>
        <v>No</v>
      </c>
      <c r="J56" s="27" t="str">
        <f t="shared" si="3"/>
        <v>Yes</v>
      </c>
    </row>
    <row r="57" spans="1:10" x14ac:dyDescent="0.3">
      <c r="A57" s="78">
        <v>2</v>
      </c>
      <c r="B57" s="6">
        <v>46237</v>
      </c>
      <c r="C57" s="26" t="s">
        <v>14</v>
      </c>
      <c r="D57" s="7">
        <v>2529</v>
      </c>
      <c r="E57" s="23">
        <v>0.19736899999999999</v>
      </c>
      <c r="F57" s="24">
        <v>5.3979199999999998E-2</v>
      </c>
      <c r="G57" s="18">
        <f t="shared" si="4"/>
        <v>0.32503816666666663</v>
      </c>
      <c r="H57" s="19">
        <f t="shared" si="1"/>
        <v>7.8212433333333331E-2</v>
      </c>
      <c r="I57" s="20" t="str">
        <f t="shared" si="2"/>
        <v>Yes</v>
      </c>
      <c r="J57" s="27" t="str">
        <f t="shared" si="3"/>
        <v>Yes</v>
      </c>
    </row>
    <row r="58" spans="1:10" x14ac:dyDescent="0.3">
      <c r="A58" s="78">
        <v>2</v>
      </c>
      <c r="B58" s="6">
        <v>46237</v>
      </c>
      <c r="C58" s="26" t="s">
        <v>15</v>
      </c>
      <c r="D58" s="7">
        <v>2434</v>
      </c>
      <c r="E58" s="23">
        <v>0.40239999999999998</v>
      </c>
      <c r="F58" s="24">
        <v>0.102562</v>
      </c>
      <c r="G58" s="18">
        <f t="shared" si="4"/>
        <v>0.32503816666666663</v>
      </c>
      <c r="H58" s="19">
        <f t="shared" si="1"/>
        <v>7.8212433333333331E-2</v>
      </c>
      <c r="I58" s="20" t="str">
        <f t="shared" si="2"/>
        <v>No</v>
      </c>
      <c r="J58" s="27" t="str">
        <f t="shared" si="3"/>
        <v>No</v>
      </c>
    </row>
    <row r="59" spans="1:10" x14ac:dyDescent="0.3">
      <c r="A59" s="78">
        <v>2</v>
      </c>
      <c r="B59" s="6">
        <v>46237</v>
      </c>
      <c r="C59" s="26" t="s">
        <v>16</v>
      </c>
      <c r="D59" s="7">
        <v>2472</v>
      </c>
      <c r="E59" s="23">
        <v>0.373303</v>
      </c>
      <c r="F59" s="24">
        <v>8.31152E-2</v>
      </c>
      <c r="G59" s="18">
        <f t="shared" si="4"/>
        <v>0.32503816666666663</v>
      </c>
      <c r="H59" s="19">
        <f t="shared" si="1"/>
        <v>7.8212433333333331E-2</v>
      </c>
      <c r="I59" s="20" t="str">
        <f t="shared" si="2"/>
        <v>No</v>
      </c>
      <c r="J59" s="27" t="str">
        <f t="shared" si="3"/>
        <v>No</v>
      </c>
    </row>
    <row r="60" spans="1:10" x14ac:dyDescent="0.3">
      <c r="A60" s="78">
        <v>2</v>
      </c>
      <c r="B60" s="6">
        <v>46237</v>
      </c>
      <c r="C60" s="26" t="s">
        <v>17</v>
      </c>
      <c r="D60" s="7">
        <v>2227</v>
      </c>
      <c r="E60" s="23">
        <v>0.44384499999999999</v>
      </c>
      <c r="F60" s="24">
        <v>9.0625700000000003E-2</v>
      </c>
      <c r="G60" s="18">
        <f t="shared" si="4"/>
        <v>0.32503816666666663</v>
      </c>
      <c r="H60" s="19">
        <f t="shared" si="1"/>
        <v>7.8212433333333331E-2</v>
      </c>
      <c r="I60" s="20" t="str">
        <f t="shared" si="2"/>
        <v>No</v>
      </c>
      <c r="J60" s="27" t="str">
        <f t="shared" si="3"/>
        <v>No</v>
      </c>
    </row>
    <row r="61" spans="1:10" x14ac:dyDescent="0.3">
      <c r="A61" s="78">
        <v>2</v>
      </c>
      <c r="B61" s="6">
        <v>46237</v>
      </c>
      <c r="C61" s="26" t="s">
        <v>18</v>
      </c>
      <c r="D61" s="7">
        <v>2847</v>
      </c>
      <c r="E61" s="23">
        <v>0.23527000000000001</v>
      </c>
      <c r="F61" s="24">
        <v>5.8520999999999997E-2</v>
      </c>
      <c r="G61" s="18">
        <f t="shared" si="4"/>
        <v>0.32503816666666663</v>
      </c>
      <c r="H61" s="19">
        <f t="shared" si="1"/>
        <v>7.8212433333333331E-2</v>
      </c>
      <c r="I61" s="20" t="str">
        <f t="shared" si="2"/>
        <v>Yes</v>
      </c>
      <c r="J61" s="27" t="str">
        <f t="shared" si="3"/>
        <v>Yes</v>
      </c>
    </row>
    <row r="62" spans="1:10" x14ac:dyDescent="0.3">
      <c r="A62" s="78">
        <v>2</v>
      </c>
      <c r="B62" s="6">
        <v>46237</v>
      </c>
      <c r="C62" s="26" t="s">
        <v>19</v>
      </c>
      <c r="D62" s="7">
        <v>2586</v>
      </c>
      <c r="E62" s="23">
        <v>0.384272</v>
      </c>
      <c r="F62" s="24">
        <v>7.7091900000000005E-2</v>
      </c>
      <c r="G62" s="18">
        <f t="shared" si="4"/>
        <v>0.32503816666666663</v>
      </c>
      <c r="H62" s="19">
        <f t="shared" si="1"/>
        <v>7.8212433333333331E-2</v>
      </c>
      <c r="I62" s="20" t="str">
        <f t="shared" si="2"/>
        <v>No</v>
      </c>
      <c r="J62" s="27" t="str">
        <f t="shared" si="3"/>
        <v>Yes</v>
      </c>
    </row>
    <row r="63" spans="1:10" x14ac:dyDescent="0.3">
      <c r="A63" s="78">
        <v>2</v>
      </c>
      <c r="B63" s="6">
        <v>46237</v>
      </c>
      <c r="C63" s="26" t="s">
        <v>20</v>
      </c>
      <c r="D63" s="7">
        <v>2350</v>
      </c>
      <c r="E63" s="23">
        <v>0.36795899999999998</v>
      </c>
      <c r="F63" s="24">
        <v>7.3715699999999995E-2</v>
      </c>
      <c r="G63" s="18">
        <f t="shared" si="4"/>
        <v>0.32503816666666663</v>
      </c>
      <c r="H63" s="19">
        <f t="shared" si="1"/>
        <v>7.8212433333333331E-2</v>
      </c>
      <c r="I63" s="20" t="str">
        <f t="shared" si="2"/>
        <v>No</v>
      </c>
      <c r="J63" s="27" t="str">
        <f t="shared" si="3"/>
        <v>Yes</v>
      </c>
    </row>
    <row r="64" spans="1:10" x14ac:dyDescent="0.3">
      <c r="A64" s="78">
        <v>2</v>
      </c>
      <c r="B64" s="6">
        <v>46237</v>
      </c>
      <c r="C64" s="26" t="s">
        <v>46</v>
      </c>
      <c r="D64" s="7">
        <v>1620</v>
      </c>
      <c r="E64" s="23">
        <v>0.18529899999999999</v>
      </c>
      <c r="F64" s="24">
        <v>5.3656599999999999E-2</v>
      </c>
      <c r="G64" s="18">
        <f t="shared" si="4"/>
        <v>0.32503816666666663</v>
      </c>
      <c r="H64" s="19">
        <f t="shared" si="1"/>
        <v>7.8212433333333331E-2</v>
      </c>
      <c r="I64" s="20" t="str">
        <f t="shared" si="2"/>
        <v>Yes</v>
      </c>
      <c r="J64" s="27" t="str">
        <f t="shared" si="3"/>
        <v>Yes</v>
      </c>
    </row>
    <row r="65" spans="1:10" x14ac:dyDescent="0.3">
      <c r="A65" s="78">
        <v>2</v>
      </c>
      <c r="B65" s="6">
        <v>46237</v>
      </c>
      <c r="C65" s="26" t="s">
        <v>21</v>
      </c>
      <c r="D65" s="7">
        <v>4051</v>
      </c>
      <c r="E65" s="23">
        <v>0.44907000000000002</v>
      </c>
      <c r="F65" s="24">
        <v>9.1503399999999999E-2</v>
      </c>
      <c r="G65" s="18">
        <f t="shared" si="4"/>
        <v>0.32503816666666663</v>
      </c>
      <c r="H65" s="19">
        <f t="shared" si="1"/>
        <v>7.8212433333333331E-2</v>
      </c>
      <c r="I65" s="20" t="str">
        <f t="shared" si="2"/>
        <v>No</v>
      </c>
      <c r="J65" s="27" t="str">
        <f t="shared" si="3"/>
        <v>No</v>
      </c>
    </row>
    <row r="66" spans="1:10" x14ac:dyDescent="0.3">
      <c r="A66" s="78">
        <v>2</v>
      </c>
      <c r="B66" s="6">
        <v>46237</v>
      </c>
      <c r="C66" s="26" t="s">
        <v>22</v>
      </c>
      <c r="D66" s="7">
        <v>2289</v>
      </c>
      <c r="E66" s="23">
        <v>0.40045399999999998</v>
      </c>
      <c r="F66" s="24">
        <v>0.111335</v>
      </c>
      <c r="G66" s="18">
        <f t="shared" si="4"/>
        <v>0.32503816666666663</v>
      </c>
      <c r="H66" s="19">
        <f t="shared" si="1"/>
        <v>7.8212433333333331E-2</v>
      </c>
      <c r="I66" s="20" t="str">
        <f t="shared" si="2"/>
        <v>No</v>
      </c>
      <c r="J66" s="27" t="str">
        <f t="shared" si="3"/>
        <v>No</v>
      </c>
    </row>
    <row r="67" spans="1:10" x14ac:dyDescent="0.3">
      <c r="A67" s="78">
        <v>2</v>
      </c>
      <c r="B67" s="6">
        <v>46237</v>
      </c>
      <c r="C67" s="26" t="s">
        <v>23</v>
      </c>
      <c r="D67" s="7">
        <v>1649</v>
      </c>
      <c r="E67" s="23">
        <v>0.31080999999999998</v>
      </c>
      <c r="F67" s="24">
        <v>0.101536</v>
      </c>
      <c r="G67" s="18">
        <f t="shared" ref="G67:G98" si="5">IFERROR(AVERAGEIFS($E:$E,$B:$B,$B67, $A:$A, $A67),"")</f>
        <v>0.32503816666666663</v>
      </c>
      <c r="H67" s="19">
        <f t="shared" si="1"/>
        <v>7.8212433333333331E-2</v>
      </c>
      <c r="I67" s="20" t="str">
        <f t="shared" si="2"/>
        <v>Yes</v>
      </c>
      <c r="J67" s="27" t="str">
        <f t="shared" si="3"/>
        <v>No</v>
      </c>
    </row>
    <row r="68" spans="1:10" x14ac:dyDescent="0.3">
      <c r="A68" s="78">
        <v>2</v>
      </c>
      <c r="B68" s="6">
        <v>46237</v>
      </c>
      <c r="C68" s="26" t="s">
        <v>24</v>
      </c>
      <c r="D68" s="7">
        <v>3170</v>
      </c>
      <c r="E68" s="23">
        <v>0.20591000000000001</v>
      </c>
      <c r="F68" s="24">
        <v>6.5986100000000006E-2</v>
      </c>
      <c r="G68" s="18">
        <f t="shared" si="5"/>
        <v>0.32503816666666663</v>
      </c>
      <c r="H68" s="19">
        <f t="shared" ref="H68:H131" si="6">IFERROR(AVERAGEIFS($F:$F,$B:$B,$B68, $A:$A, $A68),"")</f>
        <v>7.8212433333333331E-2</v>
      </c>
      <c r="I68" s="20" t="str">
        <f t="shared" ref="I68:I131" si="7">IF(AND(E68&lt;&gt;"", G68&lt;&gt;""), IF(E68&lt;G68,"Yes","No"), "")</f>
        <v>Yes</v>
      </c>
      <c r="J68" s="27" t="str">
        <f t="shared" ref="J68:J131" si="8">IF(AND(F68&lt;&gt;"", H68&lt;&gt;""), IF(F68&lt;H68,"Yes","No"), "")</f>
        <v>Yes</v>
      </c>
    </row>
    <row r="69" spans="1:10" x14ac:dyDescent="0.3">
      <c r="A69" s="78">
        <v>2</v>
      </c>
      <c r="B69" s="6">
        <v>46237</v>
      </c>
      <c r="C69" s="26" t="s">
        <v>25</v>
      </c>
      <c r="D69" s="7">
        <v>1504</v>
      </c>
      <c r="E69" s="23">
        <v>0.21273800000000001</v>
      </c>
      <c r="F69" s="24">
        <v>5.37966E-2</v>
      </c>
      <c r="G69" s="18">
        <f t="shared" si="5"/>
        <v>0.32503816666666663</v>
      </c>
      <c r="H69" s="19">
        <f t="shared" si="6"/>
        <v>7.8212433333333331E-2</v>
      </c>
      <c r="I69" s="20" t="str">
        <f t="shared" si="7"/>
        <v>Yes</v>
      </c>
      <c r="J69" s="27" t="str">
        <f t="shared" si="8"/>
        <v>Yes</v>
      </c>
    </row>
    <row r="70" spans="1:10" x14ac:dyDescent="0.3">
      <c r="A70" s="78">
        <v>2</v>
      </c>
      <c r="B70" s="6">
        <v>46237</v>
      </c>
      <c r="C70" s="26" t="s">
        <v>26</v>
      </c>
      <c r="D70" s="7">
        <v>1926</v>
      </c>
      <c r="E70" s="23">
        <v>0.206868</v>
      </c>
      <c r="F70" s="24">
        <v>6.5720299999999995E-2</v>
      </c>
      <c r="G70" s="18">
        <f t="shared" si="5"/>
        <v>0.32503816666666663</v>
      </c>
      <c r="H70" s="19">
        <f t="shared" si="6"/>
        <v>7.8212433333333331E-2</v>
      </c>
      <c r="I70" s="20" t="str">
        <f t="shared" si="7"/>
        <v>Yes</v>
      </c>
      <c r="J70" s="27" t="str">
        <f t="shared" si="8"/>
        <v>Yes</v>
      </c>
    </row>
    <row r="71" spans="1:10" x14ac:dyDescent="0.3">
      <c r="A71" s="78">
        <v>2</v>
      </c>
      <c r="B71" s="6">
        <v>46237</v>
      </c>
      <c r="C71" s="26" t="s">
        <v>27</v>
      </c>
      <c r="D71" s="7">
        <v>2047</v>
      </c>
      <c r="E71" s="23">
        <v>0.34014499999999998</v>
      </c>
      <c r="F71" s="24">
        <v>8.1698800000000002E-2</v>
      </c>
      <c r="G71" s="18">
        <f t="shared" si="5"/>
        <v>0.32503816666666663</v>
      </c>
      <c r="H71" s="19">
        <f t="shared" si="6"/>
        <v>7.8212433333333331E-2</v>
      </c>
      <c r="I71" s="20" t="str">
        <f t="shared" si="7"/>
        <v>No</v>
      </c>
      <c r="J71" s="27" t="str">
        <f t="shared" si="8"/>
        <v>No</v>
      </c>
    </row>
    <row r="72" spans="1:10" x14ac:dyDescent="0.3">
      <c r="A72" s="78">
        <v>2</v>
      </c>
      <c r="B72" s="6">
        <v>46237</v>
      </c>
      <c r="C72" s="26" t="s">
        <v>28</v>
      </c>
      <c r="D72" s="7">
        <v>1611</v>
      </c>
      <c r="E72" s="23">
        <v>0.33842299999999997</v>
      </c>
      <c r="F72" s="24">
        <v>8.0177899999999996E-2</v>
      </c>
      <c r="G72" s="18">
        <f t="shared" si="5"/>
        <v>0.32503816666666663</v>
      </c>
      <c r="H72" s="19">
        <f t="shared" si="6"/>
        <v>7.8212433333333331E-2</v>
      </c>
      <c r="I72" s="20" t="str">
        <f t="shared" si="7"/>
        <v>No</v>
      </c>
      <c r="J72" s="27" t="str">
        <f t="shared" si="8"/>
        <v>No</v>
      </c>
    </row>
    <row r="73" spans="1:10" x14ac:dyDescent="0.3">
      <c r="A73" s="78">
        <v>2</v>
      </c>
      <c r="B73" s="6">
        <v>46237</v>
      </c>
      <c r="C73" s="26" t="s">
        <v>29</v>
      </c>
      <c r="D73" s="7">
        <v>2467</v>
      </c>
      <c r="E73" s="23">
        <v>0.383046</v>
      </c>
      <c r="F73" s="24">
        <v>7.6463900000000001E-2</v>
      </c>
      <c r="G73" s="18">
        <f t="shared" si="5"/>
        <v>0.32503816666666663</v>
      </c>
      <c r="H73" s="19">
        <f t="shared" si="6"/>
        <v>7.8212433333333331E-2</v>
      </c>
      <c r="I73" s="20" t="str">
        <f t="shared" si="7"/>
        <v>No</v>
      </c>
      <c r="J73" s="27" t="str">
        <f t="shared" si="8"/>
        <v>Yes</v>
      </c>
    </row>
    <row r="74" spans="1:10" x14ac:dyDescent="0.3">
      <c r="A74" s="78">
        <v>2</v>
      </c>
      <c r="B74" s="6">
        <v>46237</v>
      </c>
      <c r="C74" s="26" t="s">
        <v>30</v>
      </c>
      <c r="D74" s="7">
        <v>1997</v>
      </c>
      <c r="E74" s="23">
        <v>0.41350599999999998</v>
      </c>
      <c r="F74" s="24">
        <v>8.6338499999999999E-2</v>
      </c>
      <c r="G74" s="18">
        <f t="shared" si="5"/>
        <v>0.32503816666666663</v>
      </c>
      <c r="H74" s="19">
        <f t="shared" si="6"/>
        <v>7.8212433333333331E-2</v>
      </c>
      <c r="I74" s="20" t="str">
        <f t="shared" si="7"/>
        <v>No</v>
      </c>
      <c r="J74" s="27" t="str">
        <f t="shared" si="8"/>
        <v>No</v>
      </c>
    </row>
    <row r="75" spans="1:10" x14ac:dyDescent="0.3">
      <c r="A75" s="78"/>
      <c r="B75" s="6"/>
      <c r="C75" s="26"/>
      <c r="D75" s="7"/>
      <c r="E75" s="23"/>
      <c r="F75" s="24"/>
      <c r="G75" s="18" t="str">
        <f t="shared" si="5"/>
        <v/>
      </c>
      <c r="H75" s="19" t="str">
        <f t="shared" si="6"/>
        <v/>
      </c>
      <c r="I75" s="20" t="str">
        <f t="shared" si="7"/>
        <v/>
      </c>
      <c r="J75" s="27" t="str">
        <f t="shared" si="8"/>
        <v/>
      </c>
    </row>
    <row r="76" spans="1:10" x14ac:dyDescent="0.3">
      <c r="A76" s="78"/>
      <c r="B76" s="6"/>
      <c r="C76" s="26"/>
      <c r="D76" s="7"/>
      <c r="E76" s="23"/>
      <c r="F76" s="24"/>
      <c r="G76" s="18" t="str">
        <f t="shared" si="5"/>
        <v/>
      </c>
      <c r="H76" s="19" t="str">
        <f t="shared" si="6"/>
        <v/>
      </c>
      <c r="I76" s="20" t="str">
        <f t="shared" si="7"/>
        <v/>
      </c>
      <c r="J76" s="27" t="str">
        <f t="shared" si="8"/>
        <v/>
      </c>
    </row>
    <row r="77" spans="1:10" x14ac:dyDescent="0.3">
      <c r="A77" s="78"/>
      <c r="B77" s="6"/>
      <c r="C77" s="26"/>
      <c r="D77" s="7"/>
      <c r="E77" s="23"/>
      <c r="F77" s="24"/>
      <c r="G77" s="18" t="str">
        <f t="shared" si="5"/>
        <v/>
      </c>
      <c r="H77" s="19" t="str">
        <f t="shared" si="6"/>
        <v/>
      </c>
      <c r="I77" s="20" t="str">
        <f t="shared" si="7"/>
        <v/>
      </c>
      <c r="J77" s="27" t="str">
        <f t="shared" si="8"/>
        <v/>
      </c>
    </row>
    <row r="78" spans="1:10" x14ac:dyDescent="0.3">
      <c r="A78" s="78"/>
      <c r="B78" s="6"/>
      <c r="C78" s="26"/>
      <c r="D78" s="7"/>
      <c r="E78" s="23"/>
      <c r="F78" s="24"/>
      <c r="G78" s="18" t="str">
        <f t="shared" si="5"/>
        <v/>
      </c>
      <c r="H78" s="19" t="str">
        <f t="shared" si="6"/>
        <v/>
      </c>
      <c r="I78" s="20" t="str">
        <f t="shared" si="7"/>
        <v/>
      </c>
      <c r="J78" s="27" t="str">
        <f t="shared" si="8"/>
        <v/>
      </c>
    </row>
    <row r="79" spans="1:10" x14ac:dyDescent="0.3">
      <c r="A79" s="78"/>
      <c r="B79" s="6"/>
      <c r="C79" s="26"/>
      <c r="D79" s="7"/>
      <c r="E79" s="23"/>
      <c r="F79" s="24"/>
      <c r="G79" s="18" t="str">
        <f t="shared" si="5"/>
        <v/>
      </c>
      <c r="H79" s="19" t="str">
        <f t="shared" si="6"/>
        <v/>
      </c>
      <c r="I79" s="20" t="str">
        <f t="shared" si="7"/>
        <v/>
      </c>
      <c r="J79" s="27" t="str">
        <f t="shared" si="8"/>
        <v/>
      </c>
    </row>
    <row r="80" spans="1:10" x14ac:dyDescent="0.3">
      <c r="A80" s="78"/>
      <c r="B80" s="6"/>
      <c r="C80" s="26"/>
      <c r="D80" s="7"/>
      <c r="E80" s="23"/>
      <c r="F80" s="24"/>
      <c r="G80" s="18" t="str">
        <f t="shared" si="5"/>
        <v/>
      </c>
      <c r="H80" s="19" t="str">
        <f t="shared" si="6"/>
        <v/>
      </c>
      <c r="I80" s="20" t="str">
        <f t="shared" si="7"/>
        <v/>
      </c>
      <c r="J80" s="27" t="str">
        <f t="shared" si="8"/>
        <v/>
      </c>
    </row>
    <row r="81" spans="1:10" x14ac:dyDescent="0.3">
      <c r="A81" s="78"/>
      <c r="B81" s="6"/>
      <c r="C81" s="26"/>
      <c r="D81" s="7"/>
      <c r="E81" s="23"/>
      <c r="F81" s="24"/>
      <c r="G81" s="18" t="str">
        <f t="shared" si="5"/>
        <v/>
      </c>
      <c r="H81" s="19" t="str">
        <f t="shared" si="6"/>
        <v/>
      </c>
      <c r="I81" s="20" t="str">
        <f t="shared" si="7"/>
        <v/>
      </c>
      <c r="J81" s="27" t="str">
        <f t="shared" si="8"/>
        <v/>
      </c>
    </row>
    <row r="82" spans="1:10" x14ac:dyDescent="0.3">
      <c r="A82" s="78"/>
      <c r="B82" s="6"/>
      <c r="C82" s="26"/>
      <c r="D82" s="7"/>
      <c r="E82" s="23"/>
      <c r="F82" s="24"/>
      <c r="G82" s="18" t="str">
        <f t="shared" si="5"/>
        <v/>
      </c>
      <c r="H82" s="19" t="str">
        <f t="shared" si="6"/>
        <v/>
      </c>
      <c r="I82" s="20" t="str">
        <f t="shared" si="7"/>
        <v/>
      </c>
      <c r="J82" s="27" t="str">
        <f t="shared" si="8"/>
        <v/>
      </c>
    </row>
    <row r="83" spans="1:10" x14ac:dyDescent="0.3">
      <c r="A83" s="78"/>
      <c r="B83" s="6"/>
      <c r="C83" s="26"/>
      <c r="D83" s="7"/>
      <c r="E83" s="23"/>
      <c r="F83" s="24"/>
      <c r="G83" s="18" t="str">
        <f t="shared" si="5"/>
        <v/>
      </c>
      <c r="H83" s="19" t="str">
        <f t="shared" si="6"/>
        <v/>
      </c>
      <c r="I83" s="20" t="str">
        <f t="shared" si="7"/>
        <v/>
      </c>
      <c r="J83" s="27" t="str">
        <f t="shared" si="8"/>
        <v/>
      </c>
    </row>
    <row r="84" spans="1:10" x14ac:dyDescent="0.3">
      <c r="A84" s="78"/>
      <c r="B84" s="6"/>
      <c r="C84" s="26"/>
      <c r="D84" s="7"/>
      <c r="E84" s="23"/>
      <c r="F84" s="24"/>
      <c r="G84" s="18" t="str">
        <f t="shared" si="5"/>
        <v/>
      </c>
      <c r="H84" s="19" t="str">
        <f t="shared" si="6"/>
        <v/>
      </c>
      <c r="I84" s="20" t="str">
        <f t="shared" si="7"/>
        <v/>
      </c>
      <c r="J84" s="27" t="str">
        <f t="shared" si="8"/>
        <v/>
      </c>
    </row>
    <row r="85" spans="1:10" x14ac:dyDescent="0.3">
      <c r="A85" s="78"/>
      <c r="B85" s="6"/>
      <c r="C85" s="26"/>
      <c r="D85" s="7"/>
      <c r="E85" s="23"/>
      <c r="F85" s="24"/>
      <c r="G85" s="18" t="str">
        <f t="shared" si="5"/>
        <v/>
      </c>
      <c r="H85" s="19" t="str">
        <f t="shared" si="6"/>
        <v/>
      </c>
      <c r="I85" s="20" t="str">
        <f t="shared" si="7"/>
        <v/>
      </c>
      <c r="J85" s="27" t="str">
        <f t="shared" si="8"/>
        <v/>
      </c>
    </row>
    <row r="86" spans="1:10" x14ac:dyDescent="0.3">
      <c r="A86" s="78"/>
      <c r="B86" s="6"/>
      <c r="C86" s="26"/>
      <c r="D86" s="7"/>
      <c r="E86" s="23"/>
      <c r="F86" s="24"/>
      <c r="G86" s="18" t="str">
        <f t="shared" si="5"/>
        <v/>
      </c>
      <c r="H86" s="19" t="str">
        <f t="shared" si="6"/>
        <v/>
      </c>
      <c r="I86" s="20" t="str">
        <f t="shared" si="7"/>
        <v/>
      </c>
      <c r="J86" s="27" t="str">
        <f t="shared" si="8"/>
        <v/>
      </c>
    </row>
    <row r="87" spans="1:10" x14ac:dyDescent="0.3">
      <c r="A87" s="78"/>
      <c r="B87" s="6"/>
      <c r="C87" s="26"/>
      <c r="D87" s="7"/>
      <c r="E87" s="23"/>
      <c r="F87" s="24"/>
      <c r="G87" s="18" t="str">
        <f t="shared" si="5"/>
        <v/>
      </c>
      <c r="H87" s="19" t="str">
        <f t="shared" si="6"/>
        <v/>
      </c>
      <c r="I87" s="20" t="str">
        <f t="shared" si="7"/>
        <v/>
      </c>
      <c r="J87" s="27" t="str">
        <f t="shared" si="8"/>
        <v/>
      </c>
    </row>
    <row r="88" spans="1:10" x14ac:dyDescent="0.3">
      <c r="A88" s="78"/>
      <c r="B88" s="6"/>
      <c r="C88" s="26"/>
      <c r="D88" s="7"/>
      <c r="E88" s="23"/>
      <c r="F88" s="24"/>
      <c r="G88" s="18" t="str">
        <f t="shared" si="5"/>
        <v/>
      </c>
      <c r="H88" s="19" t="str">
        <f t="shared" si="6"/>
        <v/>
      </c>
      <c r="I88" s="20" t="str">
        <f t="shared" si="7"/>
        <v/>
      </c>
      <c r="J88" s="27" t="str">
        <f t="shared" si="8"/>
        <v/>
      </c>
    </row>
    <row r="89" spans="1:10" x14ac:dyDescent="0.3">
      <c r="A89" s="78"/>
      <c r="B89" s="6"/>
      <c r="C89" s="26"/>
      <c r="D89" s="7"/>
      <c r="E89" s="23"/>
      <c r="F89" s="24"/>
      <c r="G89" s="18" t="str">
        <f t="shared" si="5"/>
        <v/>
      </c>
      <c r="H89" s="19" t="str">
        <f t="shared" si="6"/>
        <v/>
      </c>
      <c r="I89" s="20" t="str">
        <f t="shared" si="7"/>
        <v/>
      </c>
      <c r="J89" s="27" t="str">
        <f t="shared" si="8"/>
        <v/>
      </c>
    </row>
    <row r="90" spans="1:10" x14ac:dyDescent="0.3">
      <c r="A90" s="78"/>
      <c r="B90" s="6"/>
      <c r="C90" s="26"/>
      <c r="D90" s="7"/>
      <c r="E90" s="23"/>
      <c r="F90" s="24"/>
      <c r="G90" s="18" t="str">
        <f t="shared" si="5"/>
        <v/>
      </c>
      <c r="H90" s="19" t="str">
        <f t="shared" si="6"/>
        <v/>
      </c>
      <c r="I90" s="20" t="str">
        <f t="shared" si="7"/>
        <v/>
      </c>
      <c r="J90" s="27" t="str">
        <f t="shared" si="8"/>
        <v/>
      </c>
    </row>
    <row r="91" spans="1:10" x14ac:dyDescent="0.3">
      <c r="A91" s="78"/>
      <c r="B91" s="6"/>
      <c r="C91" s="26"/>
      <c r="D91" s="7"/>
      <c r="E91" s="23"/>
      <c r="F91" s="24"/>
      <c r="G91" s="18" t="str">
        <f t="shared" si="5"/>
        <v/>
      </c>
      <c r="H91" s="19" t="str">
        <f t="shared" si="6"/>
        <v/>
      </c>
      <c r="I91" s="20" t="str">
        <f t="shared" si="7"/>
        <v/>
      </c>
      <c r="J91" s="27" t="str">
        <f t="shared" si="8"/>
        <v/>
      </c>
    </row>
    <row r="92" spans="1:10" x14ac:dyDescent="0.3">
      <c r="A92" s="78"/>
      <c r="B92" s="6"/>
      <c r="C92" s="26"/>
      <c r="D92" s="7"/>
      <c r="E92" s="23"/>
      <c r="F92" s="24"/>
      <c r="G92" s="18" t="str">
        <f t="shared" si="5"/>
        <v/>
      </c>
      <c r="H92" s="19" t="str">
        <f t="shared" si="6"/>
        <v/>
      </c>
      <c r="I92" s="20" t="str">
        <f t="shared" si="7"/>
        <v/>
      </c>
      <c r="J92" s="27" t="str">
        <f t="shared" si="8"/>
        <v/>
      </c>
    </row>
    <row r="93" spans="1:10" x14ac:dyDescent="0.3">
      <c r="A93" s="78"/>
      <c r="B93" s="6"/>
      <c r="C93" s="26"/>
      <c r="D93" s="7"/>
      <c r="E93" s="23"/>
      <c r="F93" s="24"/>
      <c r="G93" s="18" t="str">
        <f t="shared" si="5"/>
        <v/>
      </c>
      <c r="H93" s="19" t="str">
        <f t="shared" si="6"/>
        <v/>
      </c>
      <c r="I93" s="20" t="str">
        <f t="shared" si="7"/>
        <v/>
      </c>
      <c r="J93" s="27" t="str">
        <f t="shared" si="8"/>
        <v/>
      </c>
    </row>
    <row r="94" spans="1:10" x14ac:dyDescent="0.3">
      <c r="A94" s="78"/>
      <c r="B94" s="6"/>
      <c r="C94" s="26"/>
      <c r="D94" s="7"/>
      <c r="E94" s="23"/>
      <c r="F94" s="24"/>
      <c r="G94" s="18" t="str">
        <f t="shared" si="5"/>
        <v/>
      </c>
      <c r="H94" s="19" t="str">
        <f t="shared" si="6"/>
        <v/>
      </c>
      <c r="I94" s="20" t="str">
        <f t="shared" si="7"/>
        <v/>
      </c>
      <c r="J94" s="27" t="str">
        <f t="shared" si="8"/>
        <v/>
      </c>
    </row>
    <row r="95" spans="1:10" x14ac:dyDescent="0.3">
      <c r="A95" s="78"/>
      <c r="B95" s="6"/>
      <c r="C95" s="26"/>
      <c r="D95" s="7"/>
      <c r="E95" s="23"/>
      <c r="F95" s="24"/>
      <c r="G95" s="18" t="str">
        <f t="shared" si="5"/>
        <v/>
      </c>
      <c r="H95" s="19" t="str">
        <f t="shared" si="6"/>
        <v/>
      </c>
      <c r="I95" s="20" t="str">
        <f t="shared" si="7"/>
        <v/>
      </c>
      <c r="J95" s="27" t="str">
        <f t="shared" si="8"/>
        <v/>
      </c>
    </row>
    <row r="96" spans="1:10" x14ac:dyDescent="0.3">
      <c r="A96" s="78"/>
      <c r="B96" s="6"/>
      <c r="C96" s="26"/>
      <c r="D96" s="7"/>
      <c r="E96" s="23"/>
      <c r="F96" s="24"/>
      <c r="G96" s="18" t="str">
        <f t="shared" si="5"/>
        <v/>
      </c>
      <c r="H96" s="19" t="str">
        <f t="shared" si="6"/>
        <v/>
      </c>
      <c r="I96" s="20" t="str">
        <f t="shared" si="7"/>
        <v/>
      </c>
      <c r="J96" s="27" t="str">
        <f t="shared" si="8"/>
        <v/>
      </c>
    </row>
    <row r="97" spans="1:10" x14ac:dyDescent="0.3">
      <c r="A97" s="78"/>
      <c r="B97" s="6"/>
      <c r="C97" s="26"/>
      <c r="D97" s="7"/>
      <c r="E97" s="23"/>
      <c r="F97" s="24"/>
      <c r="G97" s="18" t="str">
        <f t="shared" si="5"/>
        <v/>
      </c>
      <c r="H97" s="19" t="str">
        <f t="shared" si="6"/>
        <v/>
      </c>
      <c r="I97" s="20" t="str">
        <f t="shared" si="7"/>
        <v/>
      </c>
      <c r="J97" s="27" t="str">
        <f t="shared" si="8"/>
        <v/>
      </c>
    </row>
    <row r="98" spans="1:10" x14ac:dyDescent="0.3">
      <c r="A98" s="78"/>
      <c r="B98" s="6"/>
      <c r="C98" s="26"/>
      <c r="D98" s="7"/>
      <c r="E98" s="23"/>
      <c r="F98" s="24"/>
      <c r="G98" s="18" t="str">
        <f t="shared" si="5"/>
        <v/>
      </c>
      <c r="H98" s="19" t="str">
        <f t="shared" si="6"/>
        <v/>
      </c>
      <c r="I98" s="20" t="str">
        <f t="shared" si="7"/>
        <v/>
      </c>
      <c r="J98" s="27" t="str">
        <f t="shared" si="8"/>
        <v/>
      </c>
    </row>
    <row r="99" spans="1:10" x14ac:dyDescent="0.3">
      <c r="A99" s="78"/>
      <c r="B99" s="6"/>
      <c r="C99" s="26"/>
      <c r="D99" s="7"/>
      <c r="E99" s="23"/>
      <c r="F99" s="24"/>
      <c r="G99" s="18" t="str">
        <f t="shared" ref="G99:G130" si="9">IFERROR(AVERAGEIFS($E:$E,$B:$B,$B99, $A:$A, $A99),"")</f>
        <v/>
      </c>
      <c r="H99" s="19" t="str">
        <f t="shared" si="6"/>
        <v/>
      </c>
      <c r="I99" s="20" t="str">
        <f t="shared" si="7"/>
        <v/>
      </c>
      <c r="J99" s="27" t="str">
        <f t="shared" si="8"/>
        <v/>
      </c>
    </row>
    <row r="100" spans="1:10" x14ac:dyDescent="0.3">
      <c r="A100" s="78"/>
      <c r="B100" s="6"/>
      <c r="C100" s="26"/>
      <c r="D100" s="7"/>
      <c r="E100" s="23"/>
      <c r="F100" s="24"/>
      <c r="G100" s="18" t="str">
        <f t="shared" si="9"/>
        <v/>
      </c>
      <c r="H100" s="19" t="str">
        <f t="shared" si="6"/>
        <v/>
      </c>
      <c r="I100" s="20" t="str">
        <f t="shared" si="7"/>
        <v/>
      </c>
      <c r="J100" s="27" t="str">
        <f t="shared" si="8"/>
        <v/>
      </c>
    </row>
    <row r="101" spans="1:10" x14ac:dyDescent="0.3">
      <c r="A101" s="78"/>
      <c r="B101" s="6"/>
      <c r="C101" s="26"/>
      <c r="D101" s="7"/>
      <c r="E101" s="23"/>
      <c r="F101" s="24"/>
      <c r="G101" s="18" t="str">
        <f t="shared" si="9"/>
        <v/>
      </c>
      <c r="H101" s="19" t="str">
        <f t="shared" si="6"/>
        <v/>
      </c>
      <c r="I101" s="20" t="str">
        <f t="shared" si="7"/>
        <v/>
      </c>
      <c r="J101" s="27" t="str">
        <f t="shared" si="8"/>
        <v/>
      </c>
    </row>
    <row r="102" spans="1:10" x14ac:dyDescent="0.3">
      <c r="A102" s="78"/>
      <c r="B102" s="6"/>
      <c r="C102" s="26"/>
      <c r="D102" s="7"/>
      <c r="E102" s="23"/>
      <c r="F102" s="24"/>
      <c r="G102" s="18" t="str">
        <f t="shared" si="9"/>
        <v/>
      </c>
      <c r="H102" s="19" t="str">
        <f t="shared" si="6"/>
        <v/>
      </c>
      <c r="I102" s="20" t="str">
        <f t="shared" si="7"/>
        <v/>
      </c>
      <c r="J102" s="27" t="str">
        <f t="shared" si="8"/>
        <v/>
      </c>
    </row>
    <row r="103" spans="1:10" x14ac:dyDescent="0.3">
      <c r="A103" s="78"/>
      <c r="B103" s="6"/>
      <c r="C103" s="26"/>
      <c r="D103" s="7"/>
      <c r="E103" s="23"/>
      <c r="F103" s="24"/>
      <c r="G103" s="18" t="str">
        <f t="shared" si="9"/>
        <v/>
      </c>
      <c r="H103" s="19" t="str">
        <f t="shared" si="6"/>
        <v/>
      </c>
      <c r="I103" s="20" t="str">
        <f t="shared" si="7"/>
        <v/>
      </c>
      <c r="J103" s="27" t="str">
        <f t="shared" si="8"/>
        <v/>
      </c>
    </row>
    <row r="104" spans="1:10" x14ac:dyDescent="0.3">
      <c r="A104" s="78"/>
      <c r="B104" s="6"/>
      <c r="C104" s="26"/>
      <c r="D104" s="7"/>
      <c r="E104" s="23"/>
      <c r="F104" s="24"/>
      <c r="G104" s="18" t="str">
        <f t="shared" si="9"/>
        <v/>
      </c>
      <c r="H104" s="19" t="str">
        <f t="shared" si="6"/>
        <v/>
      </c>
      <c r="I104" s="20" t="str">
        <f t="shared" si="7"/>
        <v/>
      </c>
      <c r="J104" s="27" t="str">
        <f t="shared" si="8"/>
        <v/>
      </c>
    </row>
    <row r="105" spans="1:10" x14ac:dyDescent="0.3">
      <c r="A105" s="78"/>
      <c r="B105" s="6"/>
      <c r="C105" s="26"/>
      <c r="D105" s="7"/>
      <c r="E105" s="23"/>
      <c r="F105" s="24"/>
      <c r="G105" s="18" t="str">
        <f t="shared" si="9"/>
        <v/>
      </c>
      <c r="H105" s="19" t="str">
        <f t="shared" si="6"/>
        <v/>
      </c>
      <c r="I105" s="20" t="str">
        <f t="shared" si="7"/>
        <v/>
      </c>
      <c r="J105" s="27" t="str">
        <f t="shared" si="8"/>
        <v/>
      </c>
    </row>
    <row r="106" spans="1:10" x14ac:dyDescent="0.3">
      <c r="A106" s="78"/>
      <c r="B106" s="6"/>
      <c r="C106" s="26"/>
      <c r="D106" s="7"/>
      <c r="E106" s="23"/>
      <c r="F106" s="24"/>
      <c r="G106" s="18" t="str">
        <f t="shared" si="9"/>
        <v/>
      </c>
      <c r="H106" s="19" t="str">
        <f t="shared" si="6"/>
        <v/>
      </c>
      <c r="I106" s="20" t="str">
        <f t="shared" si="7"/>
        <v/>
      </c>
      <c r="J106" s="27" t="str">
        <f t="shared" si="8"/>
        <v/>
      </c>
    </row>
    <row r="107" spans="1:10" x14ac:dyDescent="0.3">
      <c r="A107" s="78"/>
      <c r="B107" s="6"/>
      <c r="C107" s="26"/>
      <c r="D107" s="7"/>
      <c r="E107" s="23"/>
      <c r="F107" s="24"/>
      <c r="G107" s="18" t="str">
        <f t="shared" si="9"/>
        <v/>
      </c>
      <c r="H107" s="19" t="str">
        <f t="shared" si="6"/>
        <v/>
      </c>
      <c r="I107" s="20" t="str">
        <f t="shared" si="7"/>
        <v/>
      </c>
      <c r="J107" s="27" t="str">
        <f t="shared" si="8"/>
        <v/>
      </c>
    </row>
    <row r="108" spans="1:10" x14ac:dyDescent="0.3">
      <c r="A108" s="78"/>
      <c r="B108" s="6"/>
      <c r="C108" s="26"/>
      <c r="D108" s="7"/>
      <c r="E108" s="23"/>
      <c r="F108" s="24"/>
      <c r="G108" s="18" t="str">
        <f t="shared" si="9"/>
        <v/>
      </c>
      <c r="H108" s="19" t="str">
        <f t="shared" si="6"/>
        <v/>
      </c>
      <c r="I108" s="20" t="str">
        <f t="shared" si="7"/>
        <v/>
      </c>
      <c r="J108" s="27" t="str">
        <f t="shared" si="8"/>
        <v/>
      </c>
    </row>
    <row r="109" spans="1:10" x14ac:dyDescent="0.3">
      <c r="A109" s="78"/>
      <c r="B109" s="6"/>
      <c r="C109" s="26"/>
      <c r="D109" s="7"/>
      <c r="E109" s="23"/>
      <c r="F109" s="24"/>
      <c r="G109" s="18" t="str">
        <f t="shared" si="9"/>
        <v/>
      </c>
      <c r="H109" s="19" t="str">
        <f t="shared" si="6"/>
        <v/>
      </c>
      <c r="I109" s="20" t="str">
        <f t="shared" si="7"/>
        <v/>
      </c>
      <c r="J109" s="27" t="str">
        <f t="shared" si="8"/>
        <v/>
      </c>
    </row>
    <row r="110" spans="1:10" x14ac:dyDescent="0.3">
      <c r="A110" s="78"/>
      <c r="B110" s="6"/>
      <c r="C110" s="26"/>
      <c r="D110" s="7"/>
      <c r="E110" s="23"/>
      <c r="F110" s="24"/>
      <c r="G110" s="18" t="str">
        <f t="shared" si="9"/>
        <v/>
      </c>
      <c r="H110" s="19" t="str">
        <f t="shared" si="6"/>
        <v/>
      </c>
      <c r="I110" s="20" t="str">
        <f t="shared" si="7"/>
        <v/>
      </c>
      <c r="J110" s="27" t="str">
        <f t="shared" si="8"/>
        <v/>
      </c>
    </row>
    <row r="111" spans="1:10" x14ac:dyDescent="0.3">
      <c r="A111" s="78"/>
      <c r="B111" s="6"/>
      <c r="C111" s="26"/>
      <c r="D111" s="7"/>
      <c r="E111" s="23"/>
      <c r="F111" s="24"/>
      <c r="G111" s="18" t="str">
        <f t="shared" si="9"/>
        <v/>
      </c>
      <c r="H111" s="19" t="str">
        <f t="shared" si="6"/>
        <v/>
      </c>
      <c r="I111" s="20" t="str">
        <f t="shared" si="7"/>
        <v/>
      </c>
      <c r="J111" s="27" t="str">
        <f t="shared" si="8"/>
        <v/>
      </c>
    </row>
    <row r="112" spans="1:10" x14ac:dyDescent="0.3">
      <c r="A112" s="78"/>
      <c r="B112" s="6"/>
      <c r="C112" s="26"/>
      <c r="D112" s="7"/>
      <c r="E112" s="23"/>
      <c r="F112" s="24"/>
      <c r="G112" s="18" t="str">
        <f t="shared" si="9"/>
        <v/>
      </c>
      <c r="H112" s="19" t="str">
        <f t="shared" si="6"/>
        <v/>
      </c>
      <c r="I112" s="20" t="str">
        <f t="shared" si="7"/>
        <v/>
      </c>
      <c r="J112" s="27" t="str">
        <f t="shared" si="8"/>
        <v/>
      </c>
    </row>
    <row r="113" spans="1:10" x14ac:dyDescent="0.3">
      <c r="A113" s="78"/>
      <c r="B113" s="6"/>
      <c r="C113" s="26"/>
      <c r="D113" s="7"/>
      <c r="E113" s="23"/>
      <c r="F113" s="24"/>
      <c r="G113" s="18" t="str">
        <f t="shared" si="9"/>
        <v/>
      </c>
      <c r="H113" s="19" t="str">
        <f t="shared" si="6"/>
        <v/>
      </c>
      <c r="I113" s="20" t="str">
        <f t="shared" si="7"/>
        <v/>
      </c>
      <c r="J113" s="27" t="str">
        <f t="shared" si="8"/>
        <v/>
      </c>
    </row>
    <row r="114" spans="1:10" x14ac:dyDescent="0.3">
      <c r="A114" s="78"/>
      <c r="B114" s="6"/>
      <c r="C114" s="26"/>
      <c r="D114" s="7"/>
      <c r="E114" s="23"/>
      <c r="F114" s="24"/>
      <c r="G114" s="18" t="str">
        <f t="shared" si="9"/>
        <v/>
      </c>
      <c r="H114" s="19" t="str">
        <f t="shared" si="6"/>
        <v/>
      </c>
      <c r="I114" s="20" t="str">
        <f t="shared" si="7"/>
        <v/>
      </c>
      <c r="J114" s="27" t="str">
        <f t="shared" si="8"/>
        <v/>
      </c>
    </row>
    <row r="115" spans="1:10" x14ac:dyDescent="0.3">
      <c r="A115" s="78"/>
      <c r="B115" s="6"/>
      <c r="C115" s="26"/>
      <c r="D115" s="7"/>
      <c r="E115" s="23"/>
      <c r="F115" s="24"/>
      <c r="G115" s="18" t="str">
        <f t="shared" si="9"/>
        <v/>
      </c>
      <c r="H115" s="19" t="str">
        <f t="shared" si="6"/>
        <v/>
      </c>
      <c r="I115" s="20" t="str">
        <f t="shared" si="7"/>
        <v/>
      </c>
      <c r="J115" s="27" t="str">
        <f t="shared" si="8"/>
        <v/>
      </c>
    </row>
    <row r="116" spans="1:10" x14ac:dyDescent="0.3">
      <c r="A116" s="78"/>
      <c r="B116" s="6"/>
      <c r="C116" s="26"/>
      <c r="D116" s="7"/>
      <c r="E116" s="23"/>
      <c r="F116" s="24"/>
      <c r="G116" s="18" t="str">
        <f t="shared" si="9"/>
        <v/>
      </c>
      <c r="H116" s="19" t="str">
        <f t="shared" si="6"/>
        <v/>
      </c>
      <c r="I116" s="20" t="str">
        <f t="shared" si="7"/>
        <v/>
      </c>
      <c r="J116" s="27" t="str">
        <f t="shared" si="8"/>
        <v/>
      </c>
    </row>
    <row r="117" spans="1:10" x14ac:dyDescent="0.3">
      <c r="A117" s="78"/>
      <c r="B117" s="6"/>
      <c r="C117" s="26"/>
      <c r="D117" s="7"/>
      <c r="E117" s="23"/>
      <c r="F117" s="24"/>
      <c r="G117" s="18" t="str">
        <f t="shared" si="9"/>
        <v/>
      </c>
      <c r="H117" s="19" t="str">
        <f t="shared" si="6"/>
        <v/>
      </c>
      <c r="I117" s="20" t="str">
        <f t="shared" si="7"/>
        <v/>
      </c>
      <c r="J117" s="27" t="str">
        <f t="shared" si="8"/>
        <v/>
      </c>
    </row>
    <row r="118" spans="1:10" x14ac:dyDescent="0.3">
      <c r="A118" s="78"/>
      <c r="B118" s="6"/>
      <c r="C118" s="26"/>
      <c r="D118" s="7"/>
      <c r="E118" s="23"/>
      <c r="F118" s="24"/>
      <c r="G118" s="18" t="str">
        <f t="shared" si="9"/>
        <v/>
      </c>
      <c r="H118" s="19" t="str">
        <f t="shared" si="6"/>
        <v/>
      </c>
      <c r="I118" s="20" t="str">
        <f t="shared" si="7"/>
        <v/>
      </c>
      <c r="J118" s="27" t="str">
        <f t="shared" si="8"/>
        <v/>
      </c>
    </row>
    <row r="119" spans="1:10" x14ac:dyDescent="0.3">
      <c r="A119" s="78"/>
      <c r="B119" s="6"/>
      <c r="C119" s="26"/>
      <c r="D119" s="7"/>
      <c r="E119" s="23"/>
      <c r="F119" s="24"/>
      <c r="G119" s="18" t="str">
        <f t="shared" si="9"/>
        <v/>
      </c>
      <c r="H119" s="19" t="str">
        <f t="shared" si="6"/>
        <v/>
      </c>
      <c r="I119" s="20" t="str">
        <f t="shared" si="7"/>
        <v/>
      </c>
      <c r="J119" s="27" t="str">
        <f t="shared" si="8"/>
        <v/>
      </c>
    </row>
    <row r="120" spans="1:10" x14ac:dyDescent="0.3">
      <c r="A120" s="78"/>
      <c r="B120" s="6"/>
      <c r="C120" s="26"/>
      <c r="D120" s="7"/>
      <c r="E120" s="23"/>
      <c r="F120" s="24"/>
      <c r="G120" s="18" t="str">
        <f t="shared" si="9"/>
        <v/>
      </c>
      <c r="H120" s="19" t="str">
        <f t="shared" si="6"/>
        <v/>
      </c>
      <c r="I120" s="20" t="str">
        <f t="shared" si="7"/>
        <v/>
      </c>
      <c r="J120" s="27" t="str">
        <f t="shared" si="8"/>
        <v/>
      </c>
    </row>
    <row r="121" spans="1:10" x14ac:dyDescent="0.3">
      <c r="A121" s="78"/>
      <c r="B121" s="6"/>
      <c r="C121" s="26"/>
      <c r="D121" s="7"/>
      <c r="E121" s="23"/>
      <c r="F121" s="24"/>
      <c r="G121" s="18" t="str">
        <f t="shared" si="9"/>
        <v/>
      </c>
      <c r="H121" s="19" t="str">
        <f t="shared" si="6"/>
        <v/>
      </c>
      <c r="I121" s="20" t="str">
        <f t="shared" si="7"/>
        <v/>
      </c>
      <c r="J121" s="27" t="str">
        <f t="shared" si="8"/>
        <v/>
      </c>
    </row>
    <row r="122" spans="1:10" x14ac:dyDescent="0.3">
      <c r="A122" s="78"/>
      <c r="B122" s="6"/>
      <c r="C122" s="26"/>
      <c r="D122" s="7"/>
      <c r="E122" s="23"/>
      <c r="F122" s="24"/>
      <c r="G122" s="18" t="str">
        <f t="shared" si="9"/>
        <v/>
      </c>
      <c r="H122" s="19" t="str">
        <f t="shared" si="6"/>
        <v/>
      </c>
      <c r="I122" s="20" t="str">
        <f t="shared" si="7"/>
        <v/>
      </c>
      <c r="J122" s="27" t="str">
        <f t="shared" si="8"/>
        <v/>
      </c>
    </row>
    <row r="123" spans="1:10" x14ac:dyDescent="0.3">
      <c r="A123" s="78"/>
      <c r="B123" s="6"/>
      <c r="C123" s="26"/>
      <c r="D123" s="7"/>
      <c r="E123" s="23"/>
      <c r="F123" s="24"/>
      <c r="G123" s="18" t="str">
        <f t="shared" si="9"/>
        <v/>
      </c>
      <c r="H123" s="19" t="str">
        <f t="shared" si="6"/>
        <v/>
      </c>
      <c r="I123" s="20" t="str">
        <f t="shared" si="7"/>
        <v/>
      </c>
      <c r="J123" s="27" t="str">
        <f t="shared" si="8"/>
        <v/>
      </c>
    </row>
    <row r="124" spans="1:10" x14ac:dyDescent="0.3">
      <c r="A124" s="78"/>
      <c r="B124" s="6"/>
      <c r="C124" s="26"/>
      <c r="D124" s="7"/>
      <c r="E124" s="23"/>
      <c r="F124" s="24"/>
      <c r="G124" s="18" t="str">
        <f t="shared" si="9"/>
        <v/>
      </c>
      <c r="H124" s="19" t="str">
        <f t="shared" si="6"/>
        <v/>
      </c>
      <c r="I124" s="20" t="str">
        <f t="shared" si="7"/>
        <v/>
      </c>
      <c r="J124" s="27" t="str">
        <f t="shared" si="8"/>
        <v/>
      </c>
    </row>
    <row r="125" spans="1:10" x14ac:dyDescent="0.3">
      <c r="A125" s="78"/>
      <c r="B125" s="6"/>
      <c r="C125" s="26"/>
      <c r="D125" s="7"/>
      <c r="E125" s="23"/>
      <c r="F125" s="24"/>
      <c r="G125" s="18" t="str">
        <f t="shared" si="9"/>
        <v/>
      </c>
      <c r="H125" s="19" t="str">
        <f t="shared" si="6"/>
        <v/>
      </c>
      <c r="I125" s="20" t="str">
        <f t="shared" si="7"/>
        <v/>
      </c>
      <c r="J125" s="27" t="str">
        <f t="shared" si="8"/>
        <v/>
      </c>
    </row>
    <row r="126" spans="1:10" x14ac:dyDescent="0.3">
      <c r="A126" s="78"/>
      <c r="B126" s="6"/>
      <c r="C126" s="26"/>
      <c r="D126" s="7"/>
      <c r="E126" s="23"/>
      <c r="F126" s="24"/>
      <c r="G126" s="18" t="str">
        <f t="shared" si="9"/>
        <v/>
      </c>
      <c r="H126" s="19" t="str">
        <f t="shared" si="6"/>
        <v/>
      </c>
      <c r="I126" s="20" t="str">
        <f t="shared" si="7"/>
        <v/>
      </c>
      <c r="J126" s="27" t="str">
        <f t="shared" si="8"/>
        <v/>
      </c>
    </row>
    <row r="127" spans="1:10" x14ac:dyDescent="0.3">
      <c r="A127" s="78"/>
      <c r="B127" s="6"/>
      <c r="C127" s="26"/>
      <c r="D127" s="7"/>
      <c r="E127" s="23"/>
      <c r="F127" s="24"/>
      <c r="G127" s="18" t="str">
        <f t="shared" si="9"/>
        <v/>
      </c>
      <c r="H127" s="19" t="str">
        <f t="shared" si="6"/>
        <v/>
      </c>
      <c r="I127" s="20" t="str">
        <f t="shared" si="7"/>
        <v/>
      </c>
      <c r="J127" s="27" t="str">
        <f t="shared" si="8"/>
        <v/>
      </c>
    </row>
    <row r="128" spans="1:10" x14ac:dyDescent="0.3">
      <c r="A128" s="78"/>
      <c r="B128" s="6"/>
      <c r="C128" s="26"/>
      <c r="D128" s="7"/>
      <c r="E128" s="23"/>
      <c r="F128" s="24"/>
      <c r="G128" s="18" t="str">
        <f t="shared" si="9"/>
        <v/>
      </c>
      <c r="H128" s="19" t="str">
        <f t="shared" si="6"/>
        <v/>
      </c>
      <c r="I128" s="20" t="str">
        <f t="shared" si="7"/>
        <v/>
      </c>
      <c r="J128" s="27" t="str">
        <f t="shared" si="8"/>
        <v/>
      </c>
    </row>
    <row r="129" spans="1:10" x14ac:dyDescent="0.3">
      <c r="A129" s="78"/>
      <c r="B129" s="6"/>
      <c r="C129" s="26"/>
      <c r="D129" s="7"/>
      <c r="E129" s="23"/>
      <c r="F129" s="24"/>
      <c r="G129" s="18" t="str">
        <f t="shared" si="9"/>
        <v/>
      </c>
      <c r="H129" s="19" t="str">
        <f t="shared" si="6"/>
        <v/>
      </c>
      <c r="I129" s="20" t="str">
        <f t="shared" si="7"/>
        <v/>
      </c>
      <c r="J129" s="27" t="str">
        <f t="shared" si="8"/>
        <v/>
      </c>
    </row>
    <row r="130" spans="1:10" x14ac:dyDescent="0.3">
      <c r="A130" s="78"/>
      <c r="B130" s="6"/>
      <c r="C130" s="26"/>
      <c r="D130" s="7"/>
      <c r="E130" s="23"/>
      <c r="F130" s="24"/>
      <c r="G130" s="18" t="str">
        <f t="shared" si="9"/>
        <v/>
      </c>
      <c r="H130" s="19" t="str">
        <f t="shared" si="6"/>
        <v/>
      </c>
      <c r="I130" s="20" t="str">
        <f t="shared" si="7"/>
        <v/>
      </c>
      <c r="J130" s="27" t="str">
        <f t="shared" si="8"/>
        <v/>
      </c>
    </row>
    <row r="131" spans="1:10" x14ac:dyDescent="0.3">
      <c r="A131" s="78"/>
      <c r="B131" s="6"/>
      <c r="C131" s="26"/>
      <c r="D131" s="7"/>
      <c r="E131" s="23"/>
      <c r="F131" s="24"/>
      <c r="G131" s="18" t="str">
        <f t="shared" ref="G131:G158" si="10">IFERROR(AVERAGEIFS($E:$E,$B:$B,$B131, $A:$A, $A131),"")</f>
        <v/>
      </c>
      <c r="H131" s="19" t="str">
        <f t="shared" si="6"/>
        <v/>
      </c>
      <c r="I131" s="20" t="str">
        <f t="shared" si="7"/>
        <v/>
      </c>
      <c r="J131" s="27" t="str">
        <f t="shared" si="8"/>
        <v/>
      </c>
    </row>
    <row r="132" spans="1:10" x14ac:dyDescent="0.3">
      <c r="A132" s="78"/>
      <c r="B132" s="6"/>
      <c r="C132" s="26"/>
      <c r="D132" s="7"/>
      <c r="E132" s="23"/>
      <c r="F132" s="24"/>
      <c r="G132" s="18" t="str">
        <f t="shared" si="10"/>
        <v/>
      </c>
      <c r="H132" s="19" t="str">
        <f t="shared" ref="H132:H158" si="11">IFERROR(AVERAGEIFS($F:$F,$B:$B,$B132, $A:$A, $A132),"")</f>
        <v/>
      </c>
      <c r="I132" s="20" t="str">
        <f t="shared" ref="I132:I158" si="12">IF(AND(E132&lt;&gt;"", G132&lt;&gt;""), IF(E132&lt;G132,"Yes","No"), "")</f>
        <v/>
      </c>
      <c r="J132" s="27" t="str">
        <f t="shared" ref="J132:J158" si="13">IF(AND(F132&lt;&gt;"", H132&lt;&gt;""), IF(F132&lt;H132,"Yes","No"), "")</f>
        <v/>
      </c>
    </row>
    <row r="133" spans="1:10" x14ac:dyDescent="0.3">
      <c r="A133" s="78"/>
      <c r="B133" s="6"/>
      <c r="C133" s="26"/>
      <c r="D133" s="7"/>
      <c r="E133" s="23"/>
      <c r="F133" s="24"/>
      <c r="G133" s="18" t="str">
        <f t="shared" si="10"/>
        <v/>
      </c>
      <c r="H133" s="19" t="str">
        <f t="shared" si="11"/>
        <v/>
      </c>
      <c r="I133" s="20" t="str">
        <f t="shared" si="12"/>
        <v/>
      </c>
      <c r="J133" s="27" t="str">
        <f t="shared" si="13"/>
        <v/>
      </c>
    </row>
    <row r="134" spans="1:10" x14ac:dyDescent="0.3">
      <c r="A134" s="78"/>
      <c r="B134" s="6"/>
      <c r="C134" s="26"/>
      <c r="D134" s="7"/>
      <c r="E134" s="23"/>
      <c r="F134" s="24"/>
      <c r="G134" s="18" t="str">
        <f t="shared" si="10"/>
        <v/>
      </c>
      <c r="H134" s="19" t="str">
        <f t="shared" si="11"/>
        <v/>
      </c>
      <c r="I134" s="20" t="str">
        <f t="shared" si="12"/>
        <v/>
      </c>
      <c r="J134" s="27" t="str">
        <f t="shared" si="13"/>
        <v/>
      </c>
    </row>
    <row r="135" spans="1:10" x14ac:dyDescent="0.3">
      <c r="A135" s="78"/>
      <c r="B135" s="6"/>
      <c r="C135" s="26"/>
      <c r="D135" s="7"/>
      <c r="E135" s="23"/>
      <c r="F135" s="24"/>
      <c r="G135" s="18" t="str">
        <f t="shared" si="10"/>
        <v/>
      </c>
      <c r="H135" s="19" t="str">
        <f t="shared" si="11"/>
        <v/>
      </c>
      <c r="I135" s="20" t="str">
        <f t="shared" si="12"/>
        <v/>
      </c>
      <c r="J135" s="27" t="str">
        <f t="shared" si="13"/>
        <v/>
      </c>
    </row>
    <row r="136" spans="1:10" x14ac:dyDescent="0.3">
      <c r="A136" s="78"/>
      <c r="B136" s="6"/>
      <c r="C136" s="26"/>
      <c r="D136" s="7"/>
      <c r="E136" s="23"/>
      <c r="F136" s="24"/>
      <c r="G136" s="18" t="str">
        <f t="shared" si="10"/>
        <v/>
      </c>
      <c r="H136" s="19" t="str">
        <f t="shared" si="11"/>
        <v/>
      </c>
      <c r="I136" s="20" t="str">
        <f t="shared" si="12"/>
        <v/>
      </c>
      <c r="J136" s="27" t="str">
        <f t="shared" si="13"/>
        <v/>
      </c>
    </row>
    <row r="137" spans="1:10" x14ac:dyDescent="0.3">
      <c r="A137" s="78"/>
      <c r="B137" s="6"/>
      <c r="C137" s="26"/>
      <c r="D137" s="7"/>
      <c r="E137" s="23"/>
      <c r="F137" s="24"/>
      <c r="G137" s="18" t="str">
        <f t="shared" si="10"/>
        <v/>
      </c>
      <c r="H137" s="19" t="str">
        <f t="shared" si="11"/>
        <v/>
      </c>
      <c r="I137" s="20" t="str">
        <f t="shared" si="12"/>
        <v/>
      </c>
      <c r="J137" s="27" t="str">
        <f t="shared" si="13"/>
        <v/>
      </c>
    </row>
    <row r="138" spans="1:10" x14ac:dyDescent="0.3">
      <c r="A138" s="78"/>
      <c r="B138" s="6"/>
      <c r="C138" s="26"/>
      <c r="D138" s="7"/>
      <c r="E138" s="23"/>
      <c r="F138" s="24"/>
      <c r="G138" s="18" t="str">
        <f t="shared" si="10"/>
        <v/>
      </c>
      <c r="H138" s="19" t="str">
        <f t="shared" si="11"/>
        <v/>
      </c>
      <c r="I138" s="20" t="str">
        <f t="shared" si="12"/>
        <v/>
      </c>
      <c r="J138" s="27" t="str">
        <f t="shared" si="13"/>
        <v/>
      </c>
    </row>
    <row r="139" spans="1:10" x14ac:dyDescent="0.3">
      <c r="A139" s="78"/>
      <c r="B139" s="6"/>
      <c r="C139" s="26"/>
      <c r="D139" s="7"/>
      <c r="E139" s="23"/>
      <c r="F139" s="24"/>
      <c r="G139" s="18" t="str">
        <f t="shared" si="10"/>
        <v/>
      </c>
      <c r="H139" s="19" t="str">
        <f t="shared" si="11"/>
        <v/>
      </c>
      <c r="I139" s="20" t="str">
        <f t="shared" si="12"/>
        <v/>
      </c>
      <c r="J139" s="27" t="str">
        <f t="shared" si="13"/>
        <v/>
      </c>
    </row>
    <row r="140" spans="1:10" x14ac:dyDescent="0.3">
      <c r="A140" s="78"/>
      <c r="B140" s="6"/>
      <c r="C140" s="26"/>
      <c r="D140" s="7"/>
      <c r="E140" s="23"/>
      <c r="F140" s="24"/>
      <c r="G140" s="18" t="str">
        <f t="shared" si="10"/>
        <v/>
      </c>
      <c r="H140" s="19" t="str">
        <f t="shared" si="11"/>
        <v/>
      </c>
      <c r="I140" s="20" t="str">
        <f t="shared" si="12"/>
        <v/>
      </c>
      <c r="J140" s="27" t="str">
        <f t="shared" si="13"/>
        <v/>
      </c>
    </row>
    <row r="141" spans="1:10" x14ac:dyDescent="0.3">
      <c r="A141" s="78"/>
      <c r="B141" s="6"/>
      <c r="C141" s="26"/>
      <c r="D141" s="7"/>
      <c r="E141" s="23"/>
      <c r="F141" s="24"/>
      <c r="G141" s="18" t="str">
        <f t="shared" si="10"/>
        <v/>
      </c>
      <c r="H141" s="19" t="str">
        <f t="shared" si="11"/>
        <v/>
      </c>
      <c r="I141" s="20" t="str">
        <f t="shared" si="12"/>
        <v/>
      </c>
      <c r="J141" s="27" t="str">
        <f t="shared" si="13"/>
        <v/>
      </c>
    </row>
    <row r="142" spans="1:10" x14ac:dyDescent="0.3">
      <c r="A142" s="78"/>
      <c r="B142" s="6"/>
      <c r="C142" s="26"/>
      <c r="D142" s="7"/>
      <c r="E142" s="23"/>
      <c r="F142" s="24"/>
      <c r="G142" s="18" t="str">
        <f t="shared" si="10"/>
        <v/>
      </c>
      <c r="H142" s="19" t="str">
        <f t="shared" si="11"/>
        <v/>
      </c>
      <c r="I142" s="20" t="str">
        <f t="shared" si="12"/>
        <v/>
      </c>
      <c r="J142" s="27" t="str">
        <f t="shared" si="13"/>
        <v/>
      </c>
    </row>
    <row r="143" spans="1:10" x14ac:dyDescent="0.3">
      <c r="A143" s="78"/>
      <c r="B143" s="6"/>
      <c r="C143" s="26"/>
      <c r="D143" s="7"/>
      <c r="E143" s="23"/>
      <c r="F143" s="24"/>
      <c r="G143" s="18" t="str">
        <f t="shared" si="10"/>
        <v/>
      </c>
      <c r="H143" s="19" t="str">
        <f t="shared" si="11"/>
        <v/>
      </c>
      <c r="I143" s="20" t="str">
        <f t="shared" si="12"/>
        <v/>
      </c>
      <c r="J143" s="27" t="str">
        <f t="shared" si="13"/>
        <v/>
      </c>
    </row>
    <row r="144" spans="1:10" x14ac:dyDescent="0.3">
      <c r="A144" s="78"/>
      <c r="B144" s="6"/>
      <c r="C144" s="26"/>
      <c r="D144" s="7"/>
      <c r="E144" s="23"/>
      <c r="F144" s="24"/>
      <c r="G144" s="18" t="str">
        <f t="shared" si="10"/>
        <v/>
      </c>
      <c r="H144" s="19" t="str">
        <f t="shared" si="11"/>
        <v/>
      </c>
      <c r="I144" s="20" t="str">
        <f t="shared" si="12"/>
        <v/>
      </c>
      <c r="J144" s="27" t="str">
        <f t="shared" si="13"/>
        <v/>
      </c>
    </row>
    <row r="145" spans="1:10" x14ac:dyDescent="0.3">
      <c r="A145" s="78"/>
      <c r="B145" s="6"/>
      <c r="C145" s="26"/>
      <c r="D145" s="7"/>
      <c r="E145" s="23"/>
      <c r="F145" s="24"/>
      <c r="G145" s="18" t="str">
        <f t="shared" si="10"/>
        <v/>
      </c>
      <c r="H145" s="19" t="str">
        <f t="shared" si="11"/>
        <v/>
      </c>
      <c r="I145" s="20" t="str">
        <f t="shared" si="12"/>
        <v/>
      </c>
      <c r="J145" s="27" t="str">
        <f t="shared" si="13"/>
        <v/>
      </c>
    </row>
    <row r="146" spans="1:10" x14ac:dyDescent="0.3">
      <c r="A146" s="78"/>
      <c r="B146" s="6"/>
      <c r="C146" s="26"/>
      <c r="D146" s="7"/>
      <c r="E146" s="23"/>
      <c r="F146" s="24"/>
      <c r="G146" s="18" t="str">
        <f t="shared" si="10"/>
        <v/>
      </c>
      <c r="H146" s="19" t="str">
        <f t="shared" si="11"/>
        <v/>
      </c>
      <c r="I146" s="20" t="str">
        <f t="shared" si="12"/>
        <v/>
      </c>
      <c r="J146" s="27" t="str">
        <f t="shared" si="13"/>
        <v/>
      </c>
    </row>
    <row r="147" spans="1:10" x14ac:dyDescent="0.3">
      <c r="A147" s="78"/>
      <c r="B147" s="6"/>
      <c r="C147" s="26"/>
      <c r="D147" s="7"/>
      <c r="E147" s="23"/>
      <c r="F147" s="24"/>
      <c r="G147" s="18" t="str">
        <f t="shared" si="10"/>
        <v/>
      </c>
      <c r="H147" s="19" t="str">
        <f t="shared" si="11"/>
        <v/>
      </c>
      <c r="I147" s="20" t="str">
        <f t="shared" si="12"/>
        <v/>
      </c>
      <c r="J147" s="27" t="str">
        <f t="shared" si="13"/>
        <v/>
      </c>
    </row>
    <row r="148" spans="1:10" x14ac:dyDescent="0.3">
      <c r="A148" s="78"/>
      <c r="B148" s="6"/>
      <c r="C148" s="26"/>
      <c r="D148" s="7"/>
      <c r="E148" s="23"/>
      <c r="F148" s="24"/>
      <c r="G148" s="18" t="str">
        <f t="shared" si="10"/>
        <v/>
      </c>
      <c r="H148" s="19" t="str">
        <f t="shared" si="11"/>
        <v/>
      </c>
      <c r="I148" s="20" t="str">
        <f t="shared" si="12"/>
        <v/>
      </c>
      <c r="J148" s="27" t="str">
        <f t="shared" si="13"/>
        <v/>
      </c>
    </row>
    <row r="149" spans="1:10" x14ac:dyDescent="0.3">
      <c r="A149" s="78"/>
      <c r="B149" s="6"/>
      <c r="C149" s="26"/>
      <c r="D149" s="7"/>
      <c r="E149" s="23"/>
      <c r="F149" s="24"/>
      <c r="G149" s="18" t="str">
        <f t="shared" si="10"/>
        <v/>
      </c>
      <c r="H149" s="19" t="str">
        <f t="shared" si="11"/>
        <v/>
      </c>
      <c r="I149" s="20" t="str">
        <f t="shared" si="12"/>
        <v/>
      </c>
      <c r="J149" s="27" t="str">
        <f t="shared" si="13"/>
        <v/>
      </c>
    </row>
    <row r="150" spans="1:10" x14ac:dyDescent="0.3">
      <c r="A150" s="78"/>
      <c r="B150" s="6"/>
      <c r="C150" s="26"/>
      <c r="D150" s="7"/>
      <c r="E150" s="23"/>
      <c r="F150" s="24"/>
      <c r="G150" s="18" t="str">
        <f t="shared" si="10"/>
        <v/>
      </c>
      <c r="H150" s="19" t="str">
        <f t="shared" si="11"/>
        <v/>
      </c>
      <c r="I150" s="20" t="str">
        <f t="shared" si="12"/>
        <v/>
      </c>
      <c r="J150" s="27" t="str">
        <f t="shared" si="13"/>
        <v/>
      </c>
    </row>
    <row r="151" spans="1:10" x14ac:dyDescent="0.3">
      <c r="A151" s="78"/>
      <c r="B151" s="6"/>
      <c r="C151" s="26"/>
      <c r="D151" s="7"/>
      <c r="E151" s="23"/>
      <c r="F151" s="24"/>
      <c r="G151" s="18" t="str">
        <f t="shared" si="10"/>
        <v/>
      </c>
      <c r="H151" s="19" t="str">
        <f t="shared" si="11"/>
        <v/>
      </c>
      <c r="I151" s="20" t="str">
        <f t="shared" si="12"/>
        <v/>
      </c>
      <c r="J151" s="27" t="str">
        <f t="shared" si="13"/>
        <v/>
      </c>
    </row>
    <row r="152" spans="1:10" x14ac:dyDescent="0.3">
      <c r="A152" s="78"/>
      <c r="B152" s="6"/>
      <c r="C152" s="26"/>
      <c r="D152" s="7"/>
      <c r="E152" s="23"/>
      <c r="F152" s="24"/>
      <c r="G152" s="18" t="str">
        <f t="shared" si="10"/>
        <v/>
      </c>
      <c r="H152" s="19" t="str">
        <f t="shared" si="11"/>
        <v/>
      </c>
      <c r="I152" s="20" t="str">
        <f t="shared" si="12"/>
        <v/>
      </c>
      <c r="J152" s="27" t="str">
        <f t="shared" si="13"/>
        <v/>
      </c>
    </row>
    <row r="153" spans="1:10" x14ac:dyDescent="0.3">
      <c r="A153" s="78"/>
      <c r="B153" s="6"/>
      <c r="C153" s="26"/>
      <c r="D153" s="7"/>
      <c r="E153" s="23"/>
      <c r="F153" s="24"/>
      <c r="G153" s="18" t="str">
        <f t="shared" si="10"/>
        <v/>
      </c>
      <c r="H153" s="19" t="str">
        <f t="shared" si="11"/>
        <v/>
      </c>
      <c r="I153" s="20" t="str">
        <f t="shared" si="12"/>
        <v/>
      </c>
      <c r="J153" s="27" t="str">
        <f t="shared" si="13"/>
        <v/>
      </c>
    </row>
    <row r="154" spans="1:10" x14ac:dyDescent="0.3">
      <c r="A154" s="78"/>
      <c r="B154" s="6"/>
      <c r="C154" s="26"/>
      <c r="D154" s="7"/>
      <c r="E154" s="23"/>
      <c r="F154" s="24"/>
      <c r="G154" s="18" t="str">
        <f t="shared" si="10"/>
        <v/>
      </c>
      <c r="H154" s="19" t="str">
        <f t="shared" si="11"/>
        <v/>
      </c>
      <c r="I154" s="20" t="str">
        <f t="shared" si="12"/>
        <v/>
      </c>
      <c r="J154" s="27" t="str">
        <f t="shared" si="13"/>
        <v/>
      </c>
    </row>
    <row r="155" spans="1:10" x14ac:dyDescent="0.3">
      <c r="A155" s="78"/>
      <c r="B155" s="6"/>
      <c r="C155" s="26"/>
      <c r="D155" s="7"/>
      <c r="E155" s="23"/>
      <c r="F155" s="24"/>
      <c r="G155" s="18" t="str">
        <f t="shared" si="10"/>
        <v/>
      </c>
      <c r="H155" s="19" t="str">
        <f t="shared" si="11"/>
        <v/>
      </c>
      <c r="I155" s="20" t="str">
        <f t="shared" si="12"/>
        <v/>
      </c>
      <c r="J155" s="27" t="str">
        <f t="shared" si="13"/>
        <v/>
      </c>
    </row>
    <row r="156" spans="1:10" x14ac:dyDescent="0.3">
      <c r="A156" s="78"/>
      <c r="B156" s="6"/>
      <c r="C156" s="26"/>
      <c r="D156" s="7"/>
      <c r="E156" s="23"/>
      <c r="F156" s="24"/>
      <c r="G156" s="18" t="str">
        <f t="shared" si="10"/>
        <v/>
      </c>
      <c r="H156" s="19" t="str">
        <f t="shared" si="11"/>
        <v/>
      </c>
      <c r="I156" s="20" t="str">
        <f t="shared" si="12"/>
        <v/>
      </c>
      <c r="J156" s="27" t="str">
        <f t="shared" si="13"/>
        <v/>
      </c>
    </row>
    <row r="157" spans="1:10" x14ac:dyDescent="0.3">
      <c r="A157" s="78"/>
      <c r="B157" s="6"/>
      <c r="C157" s="26"/>
      <c r="D157" s="7"/>
      <c r="E157" s="23"/>
      <c r="F157" s="24"/>
      <c r="G157" s="18" t="str">
        <f t="shared" si="10"/>
        <v/>
      </c>
      <c r="H157" s="19" t="str">
        <f t="shared" si="11"/>
        <v/>
      </c>
      <c r="I157" s="20" t="str">
        <f t="shared" si="12"/>
        <v/>
      </c>
      <c r="J157" s="27" t="str">
        <f t="shared" si="13"/>
        <v/>
      </c>
    </row>
    <row r="158" spans="1:10" x14ac:dyDescent="0.3">
      <c r="A158" s="78"/>
      <c r="B158" s="6"/>
      <c r="C158" s="26"/>
      <c r="D158" s="7"/>
      <c r="E158" s="23"/>
      <c r="F158" s="24"/>
      <c r="G158" s="18" t="str">
        <f t="shared" si="10"/>
        <v/>
      </c>
      <c r="H158" s="19" t="str">
        <f t="shared" si="11"/>
        <v/>
      </c>
      <c r="I158" s="20" t="str">
        <f t="shared" si="12"/>
        <v/>
      </c>
      <c r="J158" s="27" t="str">
        <f t="shared" si="13"/>
        <v/>
      </c>
    </row>
    <row r="160" spans="1:10" x14ac:dyDescent="0.3">
      <c r="A160" s="80"/>
      <c r="B160" s="8"/>
    </row>
  </sheetData>
  <mergeCells count="4">
    <mergeCell ref="E1:F1"/>
    <mergeCell ref="G1:H1"/>
    <mergeCell ref="I1:J1"/>
    <mergeCell ref="A1:D1"/>
  </mergeCells>
  <conditionalFormatting sqref="I1:J1048576">
    <cfRule type="cellIs" dxfId="10" priority="1" operator="equal">
      <formula>"No"</formula>
    </cfRule>
    <cfRule type="cellIs" dxfId="9" priority="2" operator="equal">
      <formula>"Yes"</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errorTitle="Unknown camera" error="Pick a camera from the list (or add it on the Lists sheet)." xr:uid="{4C34E370-41F8-454D-9B23-7FE8ED0B7436}">
          <x14:formula1>
            <xm:f>Lists!$A$2:$A$19</xm:f>
          </x14:formula1>
          <x14:formula2>
            <xm:f>0</xm:f>
          </x14:formula2>
          <xm:sqref>C3:C1160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AA105-41CC-4220-B7F9-D983CB0AC7AC}">
  <sheetPr>
    <tabColor theme="5" tint="-0.249977111117893"/>
  </sheetPr>
  <dimension ref="A1:P63"/>
  <sheetViews>
    <sheetView showZeros="0" zoomScale="85" zoomScaleNormal="85" workbookViewId="0">
      <pane ySplit="2" topLeftCell="A3" activePane="bottomLeft" state="frozen"/>
      <selection pane="bottomLeft" activeCell="A5" sqref="A5"/>
    </sheetView>
  </sheetViews>
  <sheetFormatPr defaultColWidth="8.6640625" defaultRowHeight="14.4" x14ac:dyDescent="0.3"/>
  <cols>
    <col min="1" max="1" width="8.6640625" style="9"/>
    <col min="2" max="2" width="12" style="132" customWidth="1"/>
    <col min="3" max="3" width="15.77734375" style="134" customWidth="1"/>
    <col min="4" max="4" width="12.33203125" style="132" hidden="1" customWidth="1"/>
    <col min="5" max="5" width="12.77734375" style="133" customWidth="1"/>
    <col min="6" max="6" width="15.77734375" style="79" customWidth="1"/>
    <col min="7" max="7" width="15" style="9" customWidth="1"/>
    <col min="8" max="8" width="15" style="83" customWidth="1"/>
    <col min="9" max="14" width="15" style="9" customWidth="1"/>
    <col min="15" max="16" width="60.77734375" style="44" customWidth="1"/>
    <col min="17" max="16384" width="8.6640625" style="9"/>
  </cols>
  <sheetData>
    <row r="1" spans="1:16" ht="15.6" x14ac:dyDescent="0.3">
      <c r="A1" s="87" t="s">
        <v>87</v>
      </c>
      <c r="B1" s="87" t="s">
        <v>31</v>
      </c>
      <c r="C1" s="89" t="s">
        <v>60</v>
      </c>
      <c r="D1" s="127" t="s">
        <v>35</v>
      </c>
      <c r="E1" s="129" t="s">
        <v>61</v>
      </c>
      <c r="F1" s="91" t="s">
        <v>88</v>
      </c>
      <c r="G1" s="87" t="s">
        <v>36</v>
      </c>
      <c r="H1" s="95" t="s">
        <v>89</v>
      </c>
      <c r="I1" s="94" t="s">
        <v>33</v>
      </c>
      <c r="J1" s="94"/>
      <c r="K1" s="94"/>
      <c r="L1" s="94" t="s">
        <v>34</v>
      </c>
      <c r="M1" s="94"/>
      <c r="N1" s="124"/>
      <c r="O1" s="125" t="s">
        <v>83</v>
      </c>
      <c r="P1" s="93" t="s">
        <v>58</v>
      </c>
    </row>
    <row r="2" spans="1:16" ht="15" thickBot="1" x14ac:dyDescent="0.35">
      <c r="A2" s="87"/>
      <c r="B2" s="87"/>
      <c r="C2" s="89"/>
      <c r="D2" s="128"/>
      <c r="E2" s="129"/>
      <c r="F2" s="92"/>
      <c r="G2" s="87"/>
      <c r="H2" s="96"/>
      <c r="I2" s="67" t="s">
        <v>75</v>
      </c>
      <c r="J2" s="71" t="s">
        <v>76</v>
      </c>
      <c r="K2" s="68" t="s">
        <v>77</v>
      </c>
      <c r="L2" s="67" t="s">
        <v>78</v>
      </c>
      <c r="M2" s="71" t="s">
        <v>79</v>
      </c>
      <c r="N2" s="72" t="s">
        <v>80</v>
      </c>
      <c r="O2" s="126"/>
      <c r="P2" s="93"/>
    </row>
    <row r="3" spans="1:16" ht="43.2" x14ac:dyDescent="0.3">
      <c r="A3" s="9">
        <v>1</v>
      </c>
      <c r="B3" s="10">
        <v>46234</v>
      </c>
      <c r="C3" s="59">
        <v>24.5</v>
      </c>
      <c r="D3" s="15">
        <f>COUNTIFS(Log!$A:$A,$B3)</f>
        <v>18</v>
      </c>
      <c r="E3" s="130">
        <v>0.51249999999999996</v>
      </c>
      <c r="F3" s="81">
        <v>1500</v>
      </c>
      <c r="G3" s="16">
        <f>IFERROR(AVERAGEIFS('Error Log'!$D$3:$D$999,'Error Log'!$A$3:$A$999,$A3,'Error Log'!$B$3:$B$999,$B3),"")</f>
        <v>1595.7222222222222</v>
      </c>
      <c r="H3" s="82">
        <f>IF(AND(G3&lt;&gt;"", F3&lt;&gt;""),G3/ F3, "")</f>
        <v>1.0638148148148148</v>
      </c>
      <c r="I3" s="11">
        <f>IFERROR(AVERAGEIFS('Error Log'!$E:$E,'Error Log'!$B:$B,$B3, 'Error Log'!A:A, $A3),"")</f>
        <v>0.33997577777777777</v>
      </c>
      <c r="J3" s="11">
        <f>IFERROR(_xlfn.MINIFS('Error Log'!$E:$E,'Error Log'!$B:$B,$B3, 'Error Log'!A:A, $A3),"")</f>
        <v>0.179396</v>
      </c>
      <c r="K3" s="11">
        <f>IFERROR(_xlfn.MAXIFS('Error Log'!$E:$E,'Error Log'!$B:$B,$B3, 'Error Log'!A:A, $A3),"")</f>
        <v>0.46051599999999998</v>
      </c>
      <c r="L3" s="11">
        <f>IFERROR(AVERAGEIFS('Error Log'!$F:$F,'Error Log'!$B:$B,$B3, 'Error Log'!A:A, $A3),"")</f>
        <v>8.2925216666666662E-2</v>
      </c>
      <c r="M3" s="11">
        <f>IFERROR(_xlfn.MINIFS('Error Log'!$F:$F,'Error Log'!$B:$B,$B3, 'Error Log'!A:A, $A3),"")</f>
        <v>4.7875099999999997E-2</v>
      </c>
      <c r="N3" s="11">
        <f>IFERROR(_xlfn.MAXIFS('Error Log'!$F:$F,'Error Log'!$B:$B,$B3, 'Error Log'!A:A, $A3),"")</f>
        <v>0.15438299999999999</v>
      </c>
      <c r="O3" s="44" t="s">
        <v>85</v>
      </c>
      <c r="P3" s="44" t="s">
        <v>81</v>
      </c>
    </row>
    <row r="4" spans="1:16" x14ac:dyDescent="0.3">
      <c r="A4" s="9">
        <v>2</v>
      </c>
      <c r="B4" s="10">
        <v>46234</v>
      </c>
      <c r="C4" s="59">
        <v>24.5</v>
      </c>
      <c r="D4" s="15"/>
      <c r="E4" s="130">
        <v>0.5756944444444444</v>
      </c>
      <c r="F4" s="81">
        <v>1500</v>
      </c>
      <c r="G4" s="16">
        <f>IFERROR(AVERAGEIFS('Error Log'!$D$3:$D$999,'Error Log'!$A$3:$A$999,$A4,'Error Log'!$B$3:$B$999,$B4),"")</f>
        <v>2021.0555555555557</v>
      </c>
      <c r="H4" s="82">
        <f t="shared" ref="H4:H63" si="0">IF(AND(G4&lt;&gt;"", F4&lt;&gt;""),G4/ F4, "")</f>
        <v>1.3473703703703703</v>
      </c>
      <c r="I4" s="11">
        <f>IFERROR(AVERAGEIFS('Error Log'!$E:$E,'Error Log'!$B:$B,$B4, 'Error Log'!A:A, $A4),"")</f>
        <v>0.35394088888888903</v>
      </c>
      <c r="J4" s="11">
        <f>IFERROR(_xlfn.MINIFS('Error Log'!$E:$E,'Error Log'!$B:$B,$B4, 'Error Log'!A:A, $A4),"")</f>
        <v>0.180475</v>
      </c>
      <c r="K4" s="11">
        <f>IFERROR(_xlfn.MAXIFS('Error Log'!$E:$E,'Error Log'!$B:$B,$B4, 'Error Log'!A:A, $A4),"")</f>
        <v>0.495338</v>
      </c>
      <c r="L4" s="11">
        <f>IFERROR(AVERAGEIFS('Error Log'!$F:$F,'Error Log'!$B:$B,$B4, 'Error Log'!A:A, $A4),"")</f>
        <v>8.5412650000000007E-2</v>
      </c>
      <c r="M4" s="11">
        <f>IFERROR(_xlfn.MINIFS('Error Log'!$F:$F,'Error Log'!$B:$B,$B4, 'Error Log'!A:A, $A4),"")</f>
        <v>5.1520099999999999E-2</v>
      </c>
      <c r="N4" s="11">
        <f>IFERROR(_xlfn.MAXIFS('Error Log'!$F:$F,'Error Log'!$B:$B,$B4, 'Error Log'!A:A, $A4),"")</f>
        <v>0.107513</v>
      </c>
      <c r="O4" s="135" t="s">
        <v>95</v>
      </c>
    </row>
    <row r="5" spans="1:16" ht="43.2" x14ac:dyDescent="0.3">
      <c r="A5" s="9">
        <v>1</v>
      </c>
      <c r="B5" s="131">
        <v>46237</v>
      </c>
      <c r="C5" s="59">
        <v>24</v>
      </c>
      <c r="E5" s="133">
        <v>0.46597222222222223</v>
      </c>
      <c r="F5" s="81">
        <v>1500</v>
      </c>
      <c r="G5" s="16">
        <f>IFERROR(AVERAGEIFS('Error Log'!$D$3:$D$999,'Error Log'!$A$3:$A$999,$A5,'Error Log'!$B$3:$B$999,'Daily Summary'!$A9),"")</f>
        <v>1595.7222222222222</v>
      </c>
      <c r="H5" s="82">
        <f t="shared" si="0"/>
        <v>1.0638148148148148</v>
      </c>
      <c r="I5" s="11">
        <f>IFERROR(AVERAGEIFS('Error Log'!$E:$E,'Error Log'!$B:$B,'Daily Summary'!$A9, 'Error Log'!A:A, $A5),"")</f>
        <v>0.33997577777777777</v>
      </c>
      <c r="J5" s="11">
        <f>IFERROR(_xlfn.MINIFS('Error Log'!$E:$E,'Error Log'!$B:$B,'Daily Summary'!$A9, 'Error Log'!A:A, $A5),"")</f>
        <v>0.179396</v>
      </c>
      <c r="K5" s="11">
        <f>IFERROR(_xlfn.MAXIFS('Error Log'!$E:$E,'Error Log'!$B:$B,'Daily Summary'!$A9, 'Error Log'!A:A, $A5),"")</f>
        <v>0.46051599999999998</v>
      </c>
      <c r="L5" s="11">
        <f>IFERROR(AVERAGEIFS('Error Log'!$F:$F,'Error Log'!$B:$B,'Daily Summary'!$A9, 'Error Log'!A:A, $A5),"")</f>
        <v>8.2925216666666662E-2</v>
      </c>
      <c r="M5" s="11">
        <f>IFERROR(_xlfn.MINIFS('Error Log'!$F:$F,'Error Log'!$B:$B,'Daily Summary'!$A9, 'Error Log'!A:A, $A5),"")</f>
        <v>4.7875099999999997E-2</v>
      </c>
      <c r="N5" s="11">
        <f>IFERROR(_xlfn.MAXIFS('Error Log'!$F:$F,'Error Log'!$B:$B,'Daily Summary'!$A9, 'Error Log'!A:A, $A5),"")</f>
        <v>0.15438299999999999</v>
      </c>
      <c r="O5" s="44" t="s">
        <v>94</v>
      </c>
      <c r="P5" s="44" t="s">
        <v>91</v>
      </c>
    </row>
    <row r="6" spans="1:16" x14ac:dyDescent="0.3">
      <c r="A6" s="9">
        <v>2</v>
      </c>
      <c r="B6" s="131">
        <v>46237</v>
      </c>
      <c r="C6" s="59">
        <v>24</v>
      </c>
      <c r="D6" s="15"/>
      <c r="E6" s="130">
        <v>0.49513888888888891</v>
      </c>
      <c r="F6" s="81">
        <v>1500</v>
      </c>
      <c r="G6" s="16">
        <f>IFERROR(AVERAGEIFS('Error Log'!$D$3:$D$999,'Error Log'!$A$3:$A$999,$A6,'Error Log'!$B$3:$B$999,$B6),"")</f>
        <v>2320.8888888888887</v>
      </c>
      <c r="H6" s="82">
        <f t="shared" si="0"/>
        <v>1.5472592592592591</v>
      </c>
      <c r="I6" s="11">
        <f>IFERROR(AVERAGEIFS('Error Log'!$E:$E,'Error Log'!$B:$B,$B6, 'Error Log'!A:A, $A6),"")</f>
        <v>0.32503816666666663</v>
      </c>
      <c r="J6" s="11">
        <f>IFERROR(_xlfn.MINIFS('Error Log'!$E:$E,'Error Log'!$B:$B,$B6, 'Error Log'!A:A, $A6),"")</f>
        <v>0.18529899999999999</v>
      </c>
      <c r="K6" s="11">
        <f>IFERROR(_xlfn.MAXIFS('Error Log'!$E:$E,'Error Log'!$B:$B,$B6, 'Error Log'!A:A, $A6),"")</f>
        <v>0.44907000000000002</v>
      </c>
      <c r="L6" s="11">
        <f>IFERROR(AVERAGEIFS('Error Log'!$F:$F,'Error Log'!$B:$B,$B6, 'Error Log'!A:A, $A6),"")</f>
        <v>7.8212433333333331E-2</v>
      </c>
      <c r="M6" s="11">
        <f>IFERROR(_xlfn.MINIFS('Error Log'!$F:$F,'Error Log'!$B:$B,$B6, 'Error Log'!A:A, $A6),"")</f>
        <v>5.3656599999999999E-2</v>
      </c>
      <c r="N6" s="11">
        <f>IFERROR(_xlfn.MAXIFS('Error Log'!$F:$F,'Error Log'!$B:$B,$B6, 'Error Log'!A:A, $A6),"")</f>
        <v>0.111335</v>
      </c>
      <c r="O6" s="44" t="s">
        <v>93</v>
      </c>
      <c r="P6" s="44" t="s">
        <v>92</v>
      </c>
    </row>
    <row r="7" spans="1:16" x14ac:dyDescent="0.3">
      <c r="B7" s="10"/>
      <c r="C7" s="59"/>
      <c r="D7" s="15"/>
      <c r="E7" s="130"/>
      <c r="F7" s="81"/>
      <c r="G7" s="16" t="str">
        <f>IFERROR(AVERAGEIFS('Error Log'!$D$3:$D$999,'Error Log'!$A$3:$A$999,$A7,'Error Log'!$B$3:$B$999,$B7),"")</f>
        <v/>
      </c>
      <c r="H7" s="82" t="str">
        <f t="shared" si="0"/>
        <v/>
      </c>
      <c r="I7" s="11" t="str">
        <f>IFERROR(AVERAGEIFS('Error Log'!$E:$E,'Error Log'!$B:$B,$B7, 'Error Log'!A:A, $A7),"")</f>
        <v/>
      </c>
      <c r="J7" s="11">
        <f>IFERROR(_xlfn.MINIFS('Error Log'!$E:$E,'Error Log'!$B:$B,$B7, 'Error Log'!A:A, $A7),"")</f>
        <v>0</v>
      </c>
      <c r="K7" s="11">
        <f>IFERROR(_xlfn.MAXIFS('Error Log'!$E:$E,'Error Log'!$B:$B,$B7, 'Error Log'!A:A, $A7),"")</f>
        <v>0</v>
      </c>
      <c r="L7" s="11" t="str">
        <f>IFERROR(AVERAGEIFS('Error Log'!$F:$F,'Error Log'!$B:$B,$B7, 'Error Log'!A:A, $A7),"")</f>
        <v/>
      </c>
      <c r="M7" s="11">
        <f>IFERROR(_xlfn.MINIFS('Error Log'!$F:$F,'Error Log'!$B:$B,$B7, 'Error Log'!A:A, $A7),"")</f>
        <v>0</v>
      </c>
      <c r="N7" s="11">
        <f>IFERROR(_xlfn.MAXIFS('Error Log'!$F:$F,'Error Log'!$B:$B,$B7, 'Error Log'!A:A, $A7),"")</f>
        <v>0</v>
      </c>
    </row>
    <row r="8" spans="1:16" x14ac:dyDescent="0.3">
      <c r="B8" s="10"/>
      <c r="C8" s="59"/>
      <c r="D8" s="15"/>
      <c r="E8" s="130"/>
      <c r="F8" s="81"/>
      <c r="G8" s="16" t="str">
        <f>IFERROR(AVERAGEIFS('Error Log'!$D$3:$D$999,'Error Log'!$A$3:$A$999,$A8,'Error Log'!$B$3:$B$999,$B8),"")</f>
        <v/>
      </c>
      <c r="H8" s="82" t="str">
        <f t="shared" si="0"/>
        <v/>
      </c>
      <c r="I8" s="11" t="str">
        <f>IFERROR(AVERAGEIFS('Error Log'!$E:$E,'Error Log'!$B:$B,$B8, 'Error Log'!A:A, $A8),"")</f>
        <v/>
      </c>
      <c r="J8" s="11">
        <f>IFERROR(_xlfn.MINIFS('Error Log'!$E:$E,'Error Log'!$B:$B,$B8, 'Error Log'!A:A, $A8),"")</f>
        <v>0</v>
      </c>
      <c r="K8" s="11">
        <f>IFERROR(_xlfn.MAXIFS('Error Log'!$E:$E,'Error Log'!$B:$B,$B8, 'Error Log'!A:A, $A8),"")</f>
        <v>0</v>
      </c>
      <c r="L8" s="11" t="str">
        <f>IFERROR(AVERAGEIFS('Error Log'!$F:$F,'Error Log'!$B:$B,$B8, 'Error Log'!A:A, $A8),"")</f>
        <v/>
      </c>
      <c r="M8" s="11">
        <f>IFERROR(_xlfn.MINIFS('Error Log'!$F:$F,'Error Log'!$B:$B,$B8, 'Error Log'!A:A, $A8),"")</f>
        <v>0</v>
      </c>
      <c r="N8" s="11">
        <f>IFERROR(_xlfn.MAXIFS('Error Log'!$F:$F,'Error Log'!$B:$B,$B8, 'Error Log'!A:A, $A8),"")</f>
        <v>0</v>
      </c>
    </row>
    <row r="9" spans="1:16" x14ac:dyDescent="0.3">
      <c r="B9" s="10"/>
      <c r="C9" s="59"/>
      <c r="D9" s="15"/>
      <c r="E9" s="130"/>
      <c r="F9" s="81"/>
      <c r="G9" s="16" t="str">
        <f>IFERROR(AVERAGEIFS('Error Log'!$D$3:$D$999,'Error Log'!$A$3:$A$999,$A9,'Error Log'!$B$3:$B$999,$B9),"")</f>
        <v/>
      </c>
      <c r="H9" s="82" t="str">
        <f t="shared" si="0"/>
        <v/>
      </c>
      <c r="I9" s="11" t="str">
        <f>IFERROR(AVERAGEIFS('Error Log'!$E:$E,'Error Log'!$B:$B,$B9, 'Error Log'!A:A, $A9),"")</f>
        <v/>
      </c>
      <c r="J9" s="11">
        <f>IFERROR(_xlfn.MINIFS('Error Log'!$E:$E,'Error Log'!$B:$B,$B9, 'Error Log'!A:A, $A9),"")</f>
        <v>0</v>
      </c>
      <c r="K9" s="11">
        <f>IFERROR(_xlfn.MAXIFS('Error Log'!$E:$E,'Error Log'!$B:$B,$B9, 'Error Log'!A:A, $A9),"")</f>
        <v>0</v>
      </c>
      <c r="L9" s="11" t="str">
        <f>IFERROR(AVERAGEIFS('Error Log'!$F:$F,'Error Log'!$B:$B,$B9, 'Error Log'!A:A, $A9),"")</f>
        <v/>
      </c>
      <c r="M9" s="11">
        <f>IFERROR(_xlfn.MINIFS('Error Log'!$F:$F,'Error Log'!$B:$B,$B9, 'Error Log'!A:A, $A9),"")</f>
        <v>0</v>
      </c>
      <c r="N9" s="11">
        <f>IFERROR(_xlfn.MAXIFS('Error Log'!$F:$F,'Error Log'!$B:$B,$B9, 'Error Log'!A:A, $A9),"")</f>
        <v>0</v>
      </c>
    </row>
    <row r="10" spans="1:16" x14ac:dyDescent="0.3">
      <c r="B10" s="10"/>
      <c r="C10" s="59"/>
      <c r="D10" s="15"/>
      <c r="E10" s="130"/>
      <c r="F10" s="81"/>
      <c r="G10" s="16" t="str">
        <f>IFERROR(AVERAGEIFS('Error Log'!$D$3:$D$999,'Error Log'!$A$3:$A$999,$A10,'Error Log'!$B$3:$B$999,$B10),"")</f>
        <v/>
      </c>
      <c r="H10" s="82" t="str">
        <f t="shared" si="0"/>
        <v/>
      </c>
      <c r="I10" s="11" t="str">
        <f>IFERROR(AVERAGEIFS('Error Log'!$E:$E,'Error Log'!$B:$B,$B10, 'Error Log'!A:A, $A10),"")</f>
        <v/>
      </c>
      <c r="J10" s="11">
        <f>IFERROR(_xlfn.MINIFS('Error Log'!$E:$E,'Error Log'!$B:$B,$B10, 'Error Log'!A:A, $A10),"")</f>
        <v>0</v>
      </c>
      <c r="K10" s="11">
        <f>IFERROR(_xlfn.MAXIFS('Error Log'!$E:$E,'Error Log'!$B:$B,$B10, 'Error Log'!A:A, $A10),"")</f>
        <v>0</v>
      </c>
      <c r="L10" s="11" t="str">
        <f>IFERROR(AVERAGEIFS('Error Log'!$F:$F,'Error Log'!$B:$B,$B10, 'Error Log'!A:A, $A10),"")</f>
        <v/>
      </c>
      <c r="M10" s="11">
        <f>IFERROR(_xlfn.MINIFS('Error Log'!$F:$F,'Error Log'!$B:$B,$B10, 'Error Log'!A:A, $A10),"")</f>
        <v>0</v>
      </c>
      <c r="N10" s="11">
        <f>IFERROR(_xlfn.MAXIFS('Error Log'!$F:$F,'Error Log'!$B:$B,$B10, 'Error Log'!A:A, $A10),"")</f>
        <v>0</v>
      </c>
    </row>
    <row r="11" spans="1:16" s="44" customFormat="1" x14ac:dyDescent="0.3">
      <c r="A11" s="9"/>
      <c r="B11" s="10"/>
      <c r="C11" s="59"/>
      <c r="D11" s="15"/>
      <c r="E11" s="130"/>
      <c r="F11" s="81"/>
      <c r="G11" s="16" t="str">
        <f>IFERROR(AVERAGEIFS('Error Log'!$D$3:$D$999,'Error Log'!$A$3:$A$999,$A11,'Error Log'!$B$3:$B$999,$B11),"")</f>
        <v/>
      </c>
      <c r="H11" s="82" t="str">
        <f t="shared" si="0"/>
        <v/>
      </c>
      <c r="I11" s="11" t="str">
        <f>IFERROR(AVERAGEIFS('Error Log'!$E:$E,'Error Log'!$B:$B,$B11, 'Error Log'!A:A, $A11),"")</f>
        <v/>
      </c>
      <c r="J11" s="11">
        <f>IFERROR(_xlfn.MINIFS('Error Log'!$E:$E,'Error Log'!$B:$B,$B11, 'Error Log'!A:A, $A11),"")</f>
        <v>0</v>
      </c>
      <c r="K11" s="11">
        <f>IFERROR(_xlfn.MAXIFS('Error Log'!$E:$E,'Error Log'!$B:$B,$B11, 'Error Log'!A:A, $A11),"")</f>
        <v>0</v>
      </c>
      <c r="L11" s="11" t="str">
        <f>IFERROR(AVERAGEIFS('Error Log'!$F:$F,'Error Log'!$B:$B,$B11, 'Error Log'!A:A, $A11),"")</f>
        <v/>
      </c>
      <c r="M11" s="11">
        <f>IFERROR(_xlfn.MINIFS('Error Log'!$F:$F,'Error Log'!$B:$B,$B11, 'Error Log'!A:A, $A11),"")</f>
        <v>0</v>
      </c>
      <c r="N11" s="11">
        <f>IFERROR(_xlfn.MAXIFS('Error Log'!$F:$F,'Error Log'!$B:$B,$B11, 'Error Log'!A:A, $A11),"")</f>
        <v>0</v>
      </c>
    </row>
    <row r="12" spans="1:16" s="44" customFormat="1" x14ac:dyDescent="0.3">
      <c r="A12" s="9"/>
      <c r="B12" s="10"/>
      <c r="C12" s="59"/>
      <c r="D12" s="15"/>
      <c r="E12" s="130"/>
      <c r="F12" s="81"/>
      <c r="G12" s="16" t="str">
        <f>IFERROR(AVERAGEIFS('Error Log'!$D$3:$D$999,'Error Log'!$A$3:$A$999,$A12,'Error Log'!$B$3:$B$999,$B12),"")</f>
        <v/>
      </c>
      <c r="H12" s="82" t="str">
        <f t="shared" si="0"/>
        <v/>
      </c>
      <c r="I12" s="11" t="str">
        <f>IFERROR(AVERAGEIFS('Error Log'!$E:$E,'Error Log'!$B:$B,$B12, 'Error Log'!A:A, $A12),"")</f>
        <v/>
      </c>
      <c r="J12" s="11">
        <f>IFERROR(_xlfn.MINIFS('Error Log'!$E:$E,'Error Log'!$B:$B,$B12, 'Error Log'!A:A, $A12),"")</f>
        <v>0</v>
      </c>
      <c r="K12" s="11">
        <f>IFERROR(_xlfn.MAXIFS('Error Log'!$E:$E,'Error Log'!$B:$B,$B12, 'Error Log'!A:A, $A12),"")</f>
        <v>0</v>
      </c>
      <c r="L12" s="11" t="str">
        <f>IFERROR(AVERAGEIFS('Error Log'!$F:$F,'Error Log'!$B:$B,$B12, 'Error Log'!A:A, $A12),"")</f>
        <v/>
      </c>
      <c r="M12" s="11">
        <f>IFERROR(_xlfn.MINIFS('Error Log'!$F:$F,'Error Log'!$B:$B,$B12, 'Error Log'!A:A, $A12),"")</f>
        <v>0</v>
      </c>
      <c r="N12" s="11">
        <f>IFERROR(_xlfn.MAXIFS('Error Log'!$F:$F,'Error Log'!$B:$B,$B12, 'Error Log'!A:A, $A12),"")</f>
        <v>0</v>
      </c>
    </row>
    <row r="13" spans="1:16" s="44" customFormat="1" x14ac:dyDescent="0.3">
      <c r="A13" s="9"/>
      <c r="B13" s="10"/>
      <c r="C13" s="59"/>
      <c r="D13" s="15"/>
      <c r="E13" s="130"/>
      <c r="F13" s="81"/>
      <c r="G13" s="16" t="str">
        <f>IFERROR(AVERAGEIFS('Error Log'!$D$3:$D$999,'Error Log'!$A$3:$A$999,$A13,'Error Log'!$B$3:$B$999,$B13),"")</f>
        <v/>
      </c>
      <c r="H13" s="82" t="str">
        <f t="shared" si="0"/>
        <v/>
      </c>
      <c r="I13" s="11" t="str">
        <f>IFERROR(AVERAGEIFS('Error Log'!$E:$E,'Error Log'!$B:$B,$B13, 'Error Log'!A:A, $A13),"")</f>
        <v/>
      </c>
      <c r="J13" s="11">
        <f>IFERROR(_xlfn.MINIFS('Error Log'!$E:$E,'Error Log'!$B:$B,$B13, 'Error Log'!A:A, $A13),"")</f>
        <v>0</v>
      </c>
      <c r="K13" s="11">
        <f>IFERROR(_xlfn.MAXIFS('Error Log'!$E:$E,'Error Log'!$B:$B,$B13, 'Error Log'!A:A, $A13),"")</f>
        <v>0</v>
      </c>
      <c r="L13" s="11" t="str">
        <f>IFERROR(AVERAGEIFS('Error Log'!$F:$F,'Error Log'!$B:$B,$B13, 'Error Log'!A:A, $A13),"")</f>
        <v/>
      </c>
      <c r="M13" s="11">
        <f>IFERROR(_xlfn.MINIFS('Error Log'!$F:$F,'Error Log'!$B:$B,$B13, 'Error Log'!A:A, $A13),"")</f>
        <v>0</v>
      </c>
      <c r="N13" s="11">
        <f>IFERROR(_xlfn.MAXIFS('Error Log'!$F:$F,'Error Log'!$B:$B,$B13, 'Error Log'!A:A, $A13),"")</f>
        <v>0</v>
      </c>
    </row>
    <row r="14" spans="1:16" s="44" customFormat="1" x14ac:dyDescent="0.3">
      <c r="A14" s="9"/>
      <c r="B14" s="10"/>
      <c r="C14" s="59"/>
      <c r="D14" s="15"/>
      <c r="E14" s="130"/>
      <c r="F14" s="81"/>
      <c r="G14" s="16" t="str">
        <f>IFERROR(AVERAGEIFS('Error Log'!$D$3:$D$999,'Error Log'!$A$3:$A$999,$A14,'Error Log'!$B$3:$B$999,$B14),"")</f>
        <v/>
      </c>
      <c r="H14" s="82" t="str">
        <f t="shared" si="0"/>
        <v/>
      </c>
      <c r="I14" s="11" t="str">
        <f>IFERROR(AVERAGEIFS('Error Log'!$E:$E,'Error Log'!$B:$B,$B14, 'Error Log'!A:A, $A14),"")</f>
        <v/>
      </c>
      <c r="J14" s="11">
        <f>IFERROR(_xlfn.MINIFS('Error Log'!$E:$E,'Error Log'!$B:$B,$B14, 'Error Log'!A:A, $A14),"")</f>
        <v>0</v>
      </c>
      <c r="K14" s="11">
        <f>IFERROR(_xlfn.MAXIFS('Error Log'!$E:$E,'Error Log'!$B:$B,$B14, 'Error Log'!A:A, $A14),"")</f>
        <v>0</v>
      </c>
      <c r="L14" s="11" t="str">
        <f>IFERROR(AVERAGEIFS('Error Log'!$F:$F,'Error Log'!$B:$B,$B14, 'Error Log'!A:A, $A14),"")</f>
        <v/>
      </c>
      <c r="M14" s="11">
        <f>IFERROR(_xlfn.MINIFS('Error Log'!$F:$F,'Error Log'!$B:$B,$B14, 'Error Log'!A:A, $A14),"")</f>
        <v>0</v>
      </c>
      <c r="N14" s="11">
        <f>IFERROR(_xlfn.MAXIFS('Error Log'!$F:$F,'Error Log'!$B:$B,$B14, 'Error Log'!A:A, $A14),"")</f>
        <v>0</v>
      </c>
    </row>
    <row r="15" spans="1:16" s="44" customFormat="1" x14ac:dyDescent="0.3">
      <c r="A15" s="9"/>
      <c r="B15" s="10"/>
      <c r="C15" s="59"/>
      <c r="D15" s="15"/>
      <c r="E15" s="130"/>
      <c r="F15" s="81"/>
      <c r="G15" s="16" t="str">
        <f>IFERROR(AVERAGEIFS('Error Log'!$D$3:$D$999,'Error Log'!$A$3:$A$999,$A15,'Error Log'!$B$3:$B$999,$B15),"")</f>
        <v/>
      </c>
      <c r="H15" s="82" t="str">
        <f t="shared" si="0"/>
        <v/>
      </c>
      <c r="I15" s="11" t="str">
        <f>IFERROR(AVERAGEIFS('Error Log'!$E:$E,'Error Log'!$B:$B,$B15, 'Error Log'!A:A, $A15),"")</f>
        <v/>
      </c>
      <c r="J15" s="11">
        <f>IFERROR(_xlfn.MINIFS('Error Log'!$E:$E,'Error Log'!$B:$B,$B15, 'Error Log'!A:A, $A15),"")</f>
        <v>0</v>
      </c>
      <c r="K15" s="11">
        <f>IFERROR(_xlfn.MAXIFS('Error Log'!$E:$E,'Error Log'!$B:$B,$B15, 'Error Log'!A:A, $A15),"")</f>
        <v>0</v>
      </c>
      <c r="L15" s="11" t="str">
        <f>IFERROR(AVERAGEIFS('Error Log'!$F:$F,'Error Log'!$B:$B,$B15, 'Error Log'!A:A, $A15),"")</f>
        <v/>
      </c>
      <c r="M15" s="11">
        <f>IFERROR(_xlfn.MINIFS('Error Log'!$F:$F,'Error Log'!$B:$B,$B15, 'Error Log'!A:A, $A15),"")</f>
        <v>0</v>
      </c>
      <c r="N15" s="11">
        <f>IFERROR(_xlfn.MAXIFS('Error Log'!$F:$F,'Error Log'!$B:$B,$B15, 'Error Log'!A:A, $A15),"")</f>
        <v>0</v>
      </c>
    </row>
    <row r="16" spans="1:16" s="44" customFormat="1" x14ac:dyDescent="0.3">
      <c r="A16" s="9"/>
      <c r="B16" s="10"/>
      <c r="C16" s="59"/>
      <c r="D16" s="15"/>
      <c r="E16" s="130"/>
      <c r="F16" s="81"/>
      <c r="G16" s="16" t="str">
        <f>IFERROR(AVERAGEIFS('Error Log'!$D$3:$D$999,'Error Log'!$A$3:$A$999,$A16,'Error Log'!$B$3:$B$999,$B16),"")</f>
        <v/>
      </c>
      <c r="H16" s="82" t="str">
        <f t="shared" si="0"/>
        <v/>
      </c>
      <c r="I16" s="11" t="str">
        <f>IFERROR(AVERAGEIFS('Error Log'!$E:$E,'Error Log'!$B:$B,$B16, 'Error Log'!A:A, $A16),"")</f>
        <v/>
      </c>
      <c r="J16" s="11">
        <f>IFERROR(_xlfn.MINIFS('Error Log'!$E:$E,'Error Log'!$B:$B,$B16, 'Error Log'!A:A, $A16),"")</f>
        <v>0</v>
      </c>
      <c r="K16" s="11">
        <f>IFERROR(_xlfn.MAXIFS('Error Log'!$E:$E,'Error Log'!$B:$B,$B16, 'Error Log'!A:A, $A16),"")</f>
        <v>0</v>
      </c>
      <c r="L16" s="11" t="str">
        <f>IFERROR(AVERAGEIFS('Error Log'!$F:$F,'Error Log'!$B:$B,$B16, 'Error Log'!A:A, $A16),"")</f>
        <v/>
      </c>
      <c r="M16" s="11">
        <f>IFERROR(_xlfn.MINIFS('Error Log'!$F:$F,'Error Log'!$B:$B,$B16, 'Error Log'!A:A, $A16),"")</f>
        <v>0</v>
      </c>
      <c r="N16" s="11">
        <f>IFERROR(_xlfn.MAXIFS('Error Log'!$F:$F,'Error Log'!$B:$B,$B16, 'Error Log'!A:A, $A16),"")</f>
        <v>0</v>
      </c>
    </row>
    <row r="17" spans="1:14" s="44" customFormat="1" x14ac:dyDescent="0.3">
      <c r="A17" s="9"/>
      <c r="B17" s="10"/>
      <c r="C17" s="59"/>
      <c r="D17" s="15"/>
      <c r="E17" s="130"/>
      <c r="F17" s="81"/>
      <c r="G17" s="16" t="str">
        <f>IFERROR(AVERAGEIFS('Error Log'!$D$3:$D$999,'Error Log'!$A$3:$A$999,$A17,'Error Log'!$B$3:$B$999,$B17),"")</f>
        <v/>
      </c>
      <c r="H17" s="82" t="str">
        <f t="shared" si="0"/>
        <v/>
      </c>
      <c r="I17" s="11" t="str">
        <f>IFERROR(AVERAGEIFS('Error Log'!$E:$E,'Error Log'!$B:$B,$B17, 'Error Log'!A:A, $A17),"")</f>
        <v/>
      </c>
      <c r="J17" s="11">
        <f>IFERROR(_xlfn.MINIFS('Error Log'!$E:$E,'Error Log'!$B:$B,$B17, 'Error Log'!A:A, $A17),"")</f>
        <v>0</v>
      </c>
      <c r="K17" s="11">
        <f>IFERROR(_xlfn.MAXIFS('Error Log'!$E:$E,'Error Log'!$B:$B,$B17, 'Error Log'!A:A, $A17),"")</f>
        <v>0</v>
      </c>
      <c r="L17" s="11" t="str">
        <f>IFERROR(AVERAGEIFS('Error Log'!$F:$F,'Error Log'!$B:$B,$B17, 'Error Log'!A:A, $A17),"")</f>
        <v/>
      </c>
      <c r="M17" s="11">
        <f>IFERROR(_xlfn.MINIFS('Error Log'!$F:$F,'Error Log'!$B:$B,$B17, 'Error Log'!A:A, $A17),"")</f>
        <v>0</v>
      </c>
      <c r="N17" s="11">
        <f>IFERROR(_xlfn.MAXIFS('Error Log'!$F:$F,'Error Log'!$B:$B,$B17, 'Error Log'!A:A, $A17),"")</f>
        <v>0</v>
      </c>
    </row>
    <row r="18" spans="1:14" s="44" customFormat="1" x14ac:dyDescent="0.3">
      <c r="A18" s="9"/>
      <c r="B18" s="10"/>
      <c r="C18" s="59"/>
      <c r="D18" s="15"/>
      <c r="E18" s="130"/>
      <c r="F18" s="81"/>
      <c r="G18" s="16" t="str">
        <f>IFERROR(AVERAGEIFS('Error Log'!$D$3:$D$999,'Error Log'!$A$3:$A$999,$A18,'Error Log'!$B$3:$B$999,$B18),"")</f>
        <v/>
      </c>
      <c r="H18" s="82" t="str">
        <f t="shared" si="0"/>
        <v/>
      </c>
      <c r="I18" s="11" t="str">
        <f>IFERROR(AVERAGEIFS('Error Log'!$E:$E,'Error Log'!$B:$B,$B18, 'Error Log'!A:A, $A18),"")</f>
        <v/>
      </c>
      <c r="J18" s="11">
        <f>IFERROR(_xlfn.MINIFS('Error Log'!$E:$E,'Error Log'!$B:$B,$B18, 'Error Log'!A:A, $A18),"")</f>
        <v>0</v>
      </c>
      <c r="K18" s="11">
        <f>IFERROR(_xlfn.MAXIFS('Error Log'!$E:$E,'Error Log'!$B:$B,$B18, 'Error Log'!A:A, $A18),"")</f>
        <v>0</v>
      </c>
      <c r="L18" s="11" t="str">
        <f>IFERROR(AVERAGEIFS('Error Log'!$F:$F,'Error Log'!$B:$B,$B18, 'Error Log'!A:A, $A18),"")</f>
        <v/>
      </c>
      <c r="M18" s="11">
        <f>IFERROR(_xlfn.MINIFS('Error Log'!$F:$F,'Error Log'!$B:$B,$B18, 'Error Log'!A:A, $A18),"")</f>
        <v>0</v>
      </c>
      <c r="N18" s="11">
        <f>IFERROR(_xlfn.MAXIFS('Error Log'!$F:$F,'Error Log'!$B:$B,$B18, 'Error Log'!A:A, $A18),"")</f>
        <v>0</v>
      </c>
    </row>
    <row r="19" spans="1:14" s="44" customFormat="1" x14ac:dyDescent="0.3">
      <c r="A19" s="9"/>
      <c r="B19" s="10"/>
      <c r="C19" s="59"/>
      <c r="D19" s="15"/>
      <c r="E19" s="130"/>
      <c r="F19" s="81"/>
      <c r="G19" s="16" t="str">
        <f>IFERROR(AVERAGEIFS('Error Log'!$D$3:$D$999,'Error Log'!$A$3:$A$999,$A19,'Error Log'!$B$3:$B$999,$B19),"")</f>
        <v/>
      </c>
      <c r="H19" s="82" t="str">
        <f t="shared" si="0"/>
        <v/>
      </c>
      <c r="I19" s="11" t="str">
        <f>IFERROR(AVERAGEIFS('Error Log'!$E:$E,'Error Log'!$B:$B,$B19, 'Error Log'!A:A, $A19),"")</f>
        <v/>
      </c>
      <c r="J19" s="11">
        <f>IFERROR(_xlfn.MINIFS('Error Log'!$E:$E,'Error Log'!$B:$B,$B19, 'Error Log'!A:A, $A19),"")</f>
        <v>0</v>
      </c>
      <c r="K19" s="11">
        <f>IFERROR(_xlfn.MAXIFS('Error Log'!$E:$E,'Error Log'!$B:$B,$B19, 'Error Log'!A:A, $A19),"")</f>
        <v>0</v>
      </c>
      <c r="L19" s="11" t="str">
        <f>IFERROR(AVERAGEIFS('Error Log'!$F:$F,'Error Log'!$B:$B,$B19, 'Error Log'!A:A, $A19),"")</f>
        <v/>
      </c>
      <c r="M19" s="11">
        <f>IFERROR(_xlfn.MINIFS('Error Log'!$F:$F,'Error Log'!$B:$B,$B19, 'Error Log'!A:A, $A19),"")</f>
        <v>0</v>
      </c>
      <c r="N19" s="11">
        <f>IFERROR(_xlfn.MAXIFS('Error Log'!$F:$F,'Error Log'!$B:$B,$B19, 'Error Log'!A:A, $A19),"")</f>
        <v>0</v>
      </c>
    </row>
    <row r="20" spans="1:14" s="44" customFormat="1" x14ac:dyDescent="0.3">
      <c r="A20" s="9"/>
      <c r="B20" s="10"/>
      <c r="C20" s="59"/>
      <c r="D20" s="15"/>
      <c r="E20" s="130"/>
      <c r="F20" s="81"/>
      <c r="G20" s="16" t="str">
        <f>IFERROR(AVERAGEIFS('Error Log'!$D$3:$D$999,'Error Log'!$A$3:$A$999,$A20,'Error Log'!$B$3:$B$999,$B20),"")</f>
        <v/>
      </c>
      <c r="H20" s="82" t="str">
        <f t="shared" si="0"/>
        <v/>
      </c>
      <c r="I20" s="11" t="str">
        <f>IFERROR(AVERAGEIFS('Error Log'!$E:$E,'Error Log'!$B:$B,$B20, 'Error Log'!A:A, $A20),"")</f>
        <v/>
      </c>
      <c r="J20" s="11">
        <f>IFERROR(_xlfn.MINIFS('Error Log'!$E:$E,'Error Log'!$B:$B,$B20, 'Error Log'!A:A, $A20),"")</f>
        <v>0</v>
      </c>
      <c r="K20" s="11">
        <f>IFERROR(_xlfn.MAXIFS('Error Log'!$E:$E,'Error Log'!$B:$B,$B20, 'Error Log'!A:A, $A20),"")</f>
        <v>0</v>
      </c>
      <c r="L20" s="11" t="str">
        <f>IFERROR(AVERAGEIFS('Error Log'!$F:$F,'Error Log'!$B:$B,$B20, 'Error Log'!A:A, $A20),"")</f>
        <v/>
      </c>
      <c r="M20" s="11">
        <f>IFERROR(_xlfn.MINIFS('Error Log'!$F:$F,'Error Log'!$B:$B,$B20, 'Error Log'!A:A, $A20),"")</f>
        <v>0</v>
      </c>
      <c r="N20" s="11">
        <f>IFERROR(_xlfn.MAXIFS('Error Log'!$F:$F,'Error Log'!$B:$B,$B20, 'Error Log'!A:A, $A20),"")</f>
        <v>0</v>
      </c>
    </row>
    <row r="21" spans="1:14" s="44" customFormat="1" x14ac:dyDescent="0.3">
      <c r="A21" s="9"/>
      <c r="B21" s="10"/>
      <c r="C21" s="59"/>
      <c r="D21" s="15"/>
      <c r="E21" s="130"/>
      <c r="F21" s="81"/>
      <c r="G21" s="16" t="str">
        <f>IFERROR(AVERAGEIFS('Error Log'!$D$3:$D$999,'Error Log'!$A$3:$A$999,$A21,'Error Log'!$B$3:$B$999,$B21),"")</f>
        <v/>
      </c>
      <c r="H21" s="82" t="str">
        <f t="shared" si="0"/>
        <v/>
      </c>
      <c r="I21" s="11" t="str">
        <f>IFERROR(AVERAGEIFS('Error Log'!$E:$E,'Error Log'!$B:$B,$B21, 'Error Log'!A:A, $A21),"")</f>
        <v/>
      </c>
      <c r="J21" s="11">
        <f>IFERROR(_xlfn.MINIFS('Error Log'!$E:$E,'Error Log'!$B:$B,$B21, 'Error Log'!A:A, $A21),"")</f>
        <v>0</v>
      </c>
      <c r="K21" s="11">
        <f>IFERROR(_xlfn.MAXIFS('Error Log'!$E:$E,'Error Log'!$B:$B,$B21, 'Error Log'!A:A, $A21),"")</f>
        <v>0</v>
      </c>
      <c r="L21" s="11" t="str">
        <f>IFERROR(AVERAGEIFS('Error Log'!$F:$F,'Error Log'!$B:$B,$B21, 'Error Log'!A:A, $A21),"")</f>
        <v/>
      </c>
      <c r="M21" s="11">
        <f>IFERROR(_xlfn.MINIFS('Error Log'!$F:$F,'Error Log'!$B:$B,$B21, 'Error Log'!A:A, $A21),"")</f>
        <v>0</v>
      </c>
      <c r="N21" s="11">
        <f>IFERROR(_xlfn.MAXIFS('Error Log'!$F:$F,'Error Log'!$B:$B,$B21, 'Error Log'!A:A, $A21),"")</f>
        <v>0</v>
      </c>
    </row>
    <row r="22" spans="1:14" s="44" customFormat="1" x14ac:dyDescent="0.3">
      <c r="A22" s="9"/>
      <c r="B22" s="10"/>
      <c r="C22" s="59"/>
      <c r="D22" s="15"/>
      <c r="E22" s="130"/>
      <c r="F22" s="81"/>
      <c r="G22" s="16" t="str">
        <f>IFERROR(AVERAGEIFS('Error Log'!$D$3:$D$999,'Error Log'!$A$3:$A$999,$A22,'Error Log'!$B$3:$B$999,$B22),"")</f>
        <v/>
      </c>
      <c r="H22" s="82" t="str">
        <f t="shared" si="0"/>
        <v/>
      </c>
      <c r="I22" s="11" t="str">
        <f>IFERROR(AVERAGEIFS('Error Log'!$E:$E,'Error Log'!$B:$B,$B22, 'Error Log'!A:A, $A22),"")</f>
        <v/>
      </c>
      <c r="J22" s="11">
        <f>IFERROR(_xlfn.MINIFS('Error Log'!$E:$E,'Error Log'!$B:$B,$B22, 'Error Log'!A:A, $A22),"")</f>
        <v>0</v>
      </c>
      <c r="K22" s="11">
        <f>IFERROR(_xlfn.MAXIFS('Error Log'!$E:$E,'Error Log'!$B:$B,$B22, 'Error Log'!A:A, $A22),"")</f>
        <v>0</v>
      </c>
      <c r="L22" s="11" t="str">
        <f>IFERROR(AVERAGEIFS('Error Log'!$F:$F,'Error Log'!$B:$B,$B22, 'Error Log'!A:A, $A22),"")</f>
        <v/>
      </c>
      <c r="M22" s="11">
        <f>IFERROR(_xlfn.MINIFS('Error Log'!$F:$F,'Error Log'!$B:$B,$B22, 'Error Log'!A:A, $A22),"")</f>
        <v>0</v>
      </c>
      <c r="N22" s="11">
        <f>IFERROR(_xlfn.MAXIFS('Error Log'!$F:$F,'Error Log'!$B:$B,$B22, 'Error Log'!A:A, $A22),"")</f>
        <v>0</v>
      </c>
    </row>
    <row r="23" spans="1:14" s="44" customFormat="1" x14ac:dyDescent="0.3">
      <c r="A23" s="9"/>
      <c r="B23" s="10"/>
      <c r="C23" s="59"/>
      <c r="D23" s="15"/>
      <c r="E23" s="130"/>
      <c r="F23" s="81"/>
      <c r="G23" s="16" t="str">
        <f>IFERROR(AVERAGEIFS('Error Log'!$D$3:$D$999,'Error Log'!$A$3:$A$999,$A23,'Error Log'!$B$3:$B$999,$B23),"")</f>
        <v/>
      </c>
      <c r="H23" s="82" t="str">
        <f t="shared" si="0"/>
        <v/>
      </c>
      <c r="I23" s="11" t="str">
        <f>IFERROR(AVERAGEIFS('Error Log'!$E:$E,'Error Log'!$B:$B,$B23, 'Error Log'!A:A, $A23),"")</f>
        <v/>
      </c>
      <c r="J23" s="11">
        <f>IFERROR(_xlfn.MINIFS('Error Log'!$E:$E,'Error Log'!$B:$B,$B23, 'Error Log'!A:A, $A23),"")</f>
        <v>0</v>
      </c>
      <c r="K23" s="11">
        <f>IFERROR(_xlfn.MAXIFS('Error Log'!$E:$E,'Error Log'!$B:$B,$B23, 'Error Log'!A:A, $A23),"")</f>
        <v>0</v>
      </c>
      <c r="L23" s="11" t="str">
        <f>IFERROR(AVERAGEIFS('Error Log'!$F:$F,'Error Log'!$B:$B,$B23, 'Error Log'!A:A, $A23),"")</f>
        <v/>
      </c>
      <c r="M23" s="11">
        <f>IFERROR(_xlfn.MINIFS('Error Log'!$F:$F,'Error Log'!$B:$B,$B23, 'Error Log'!A:A, $A23),"")</f>
        <v>0</v>
      </c>
      <c r="N23" s="11">
        <f>IFERROR(_xlfn.MAXIFS('Error Log'!$F:$F,'Error Log'!$B:$B,$B23, 'Error Log'!A:A, $A23),"")</f>
        <v>0</v>
      </c>
    </row>
    <row r="24" spans="1:14" s="44" customFormat="1" x14ac:dyDescent="0.3">
      <c r="A24" s="9"/>
      <c r="B24" s="10"/>
      <c r="C24" s="59"/>
      <c r="D24" s="15"/>
      <c r="E24" s="130"/>
      <c r="F24" s="81"/>
      <c r="G24" s="16" t="str">
        <f>IFERROR(AVERAGEIFS('Error Log'!$D$3:$D$999,'Error Log'!$A$3:$A$999,$A24,'Error Log'!$B$3:$B$999,$B24),"")</f>
        <v/>
      </c>
      <c r="H24" s="82" t="str">
        <f t="shared" si="0"/>
        <v/>
      </c>
      <c r="I24" s="11" t="str">
        <f>IFERROR(AVERAGEIFS('Error Log'!$E:$E,'Error Log'!$B:$B,$B24, 'Error Log'!A:A, $A24),"")</f>
        <v/>
      </c>
      <c r="J24" s="11">
        <f>IFERROR(_xlfn.MINIFS('Error Log'!$E:$E,'Error Log'!$B:$B,$B24, 'Error Log'!A:A, $A24),"")</f>
        <v>0</v>
      </c>
      <c r="K24" s="11">
        <f>IFERROR(_xlfn.MAXIFS('Error Log'!$E:$E,'Error Log'!$B:$B,$B24, 'Error Log'!A:A, $A24),"")</f>
        <v>0</v>
      </c>
      <c r="L24" s="11" t="str">
        <f>IFERROR(AVERAGEIFS('Error Log'!$F:$F,'Error Log'!$B:$B,$B24, 'Error Log'!A:A, $A24),"")</f>
        <v/>
      </c>
      <c r="M24" s="11">
        <f>IFERROR(_xlfn.MINIFS('Error Log'!$F:$F,'Error Log'!$B:$B,$B24, 'Error Log'!A:A, $A24),"")</f>
        <v>0</v>
      </c>
      <c r="N24" s="11">
        <f>IFERROR(_xlfn.MAXIFS('Error Log'!$F:$F,'Error Log'!$B:$B,$B24, 'Error Log'!A:A, $A24),"")</f>
        <v>0</v>
      </c>
    </row>
    <row r="25" spans="1:14" s="44" customFormat="1" x14ac:dyDescent="0.3">
      <c r="A25" s="9"/>
      <c r="B25" s="10"/>
      <c r="C25" s="59"/>
      <c r="D25" s="15"/>
      <c r="E25" s="130"/>
      <c r="F25" s="81"/>
      <c r="G25" s="16" t="str">
        <f>IFERROR(AVERAGEIFS('Error Log'!$D$3:$D$999,'Error Log'!$A$3:$A$999,$A25,'Error Log'!$B$3:$B$999,$B25),"")</f>
        <v/>
      </c>
      <c r="H25" s="82" t="str">
        <f t="shared" si="0"/>
        <v/>
      </c>
      <c r="I25" s="11" t="str">
        <f>IFERROR(AVERAGEIFS('Error Log'!$E:$E,'Error Log'!$B:$B,$B25, 'Error Log'!A:A, $A25),"")</f>
        <v/>
      </c>
      <c r="J25" s="11">
        <f>IFERROR(_xlfn.MINIFS('Error Log'!$E:$E,'Error Log'!$B:$B,$B25, 'Error Log'!A:A, $A25),"")</f>
        <v>0</v>
      </c>
      <c r="K25" s="11">
        <f>IFERROR(_xlfn.MAXIFS('Error Log'!$E:$E,'Error Log'!$B:$B,$B25, 'Error Log'!A:A, $A25),"")</f>
        <v>0</v>
      </c>
      <c r="L25" s="11" t="str">
        <f>IFERROR(AVERAGEIFS('Error Log'!$F:$F,'Error Log'!$B:$B,$B25, 'Error Log'!A:A, $A25),"")</f>
        <v/>
      </c>
      <c r="M25" s="11">
        <f>IFERROR(_xlfn.MINIFS('Error Log'!$F:$F,'Error Log'!$B:$B,$B25, 'Error Log'!A:A, $A25),"")</f>
        <v>0</v>
      </c>
      <c r="N25" s="11">
        <f>IFERROR(_xlfn.MAXIFS('Error Log'!$F:$F,'Error Log'!$B:$B,$B25, 'Error Log'!A:A, $A25),"")</f>
        <v>0</v>
      </c>
    </row>
    <row r="26" spans="1:14" s="44" customFormat="1" x14ac:dyDescent="0.3">
      <c r="A26" s="9"/>
      <c r="B26" s="10"/>
      <c r="C26" s="59"/>
      <c r="D26" s="15"/>
      <c r="E26" s="130"/>
      <c r="F26" s="81"/>
      <c r="G26" s="16" t="str">
        <f>IFERROR(AVERAGEIFS('Error Log'!$D$3:$D$999,'Error Log'!$A$3:$A$999,$A26,'Error Log'!$B$3:$B$999,$B26),"")</f>
        <v/>
      </c>
      <c r="H26" s="82" t="str">
        <f t="shared" si="0"/>
        <v/>
      </c>
      <c r="I26" s="11" t="str">
        <f>IFERROR(AVERAGEIFS('Error Log'!$E:$E,'Error Log'!$B:$B,$B26, 'Error Log'!A:A, $A26),"")</f>
        <v/>
      </c>
      <c r="J26" s="11">
        <f>IFERROR(_xlfn.MINIFS('Error Log'!$E:$E,'Error Log'!$B:$B,$B26, 'Error Log'!A:A, $A26),"")</f>
        <v>0</v>
      </c>
      <c r="K26" s="11">
        <f>IFERROR(_xlfn.MAXIFS('Error Log'!$E:$E,'Error Log'!$B:$B,$B26, 'Error Log'!A:A, $A26),"")</f>
        <v>0</v>
      </c>
      <c r="L26" s="11" t="str">
        <f>IFERROR(AVERAGEIFS('Error Log'!$F:$F,'Error Log'!$B:$B,$B26, 'Error Log'!A:A, $A26),"")</f>
        <v/>
      </c>
      <c r="M26" s="11">
        <f>IFERROR(_xlfn.MINIFS('Error Log'!$F:$F,'Error Log'!$B:$B,$B26, 'Error Log'!A:A, $A26),"")</f>
        <v>0</v>
      </c>
      <c r="N26" s="11">
        <f>IFERROR(_xlfn.MAXIFS('Error Log'!$F:$F,'Error Log'!$B:$B,$B26, 'Error Log'!A:A, $A26),"")</f>
        <v>0</v>
      </c>
    </row>
    <row r="27" spans="1:14" s="44" customFormat="1" x14ac:dyDescent="0.3">
      <c r="A27" s="9"/>
      <c r="B27" s="10"/>
      <c r="C27" s="59"/>
      <c r="D27" s="15"/>
      <c r="E27" s="130"/>
      <c r="F27" s="81"/>
      <c r="G27" s="16" t="str">
        <f>IFERROR(AVERAGEIFS('Error Log'!$D$3:$D$999,'Error Log'!$A$3:$A$999,$A27,'Error Log'!$B$3:$B$999,$B27),"")</f>
        <v/>
      </c>
      <c r="H27" s="82" t="str">
        <f t="shared" si="0"/>
        <v/>
      </c>
      <c r="I27" s="11" t="str">
        <f>IFERROR(AVERAGEIFS('Error Log'!$E:$E,'Error Log'!$B:$B,$B27, 'Error Log'!A:A, $A27),"")</f>
        <v/>
      </c>
      <c r="J27" s="11">
        <f>IFERROR(_xlfn.MINIFS('Error Log'!$E:$E,'Error Log'!$B:$B,$B27, 'Error Log'!A:A, $A27),"")</f>
        <v>0</v>
      </c>
      <c r="K27" s="11">
        <f>IFERROR(_xlfn.MAXIFS('Error Log'!$E:$E,'Error Log'!$B:$B,$B27, 'Error Log'!A:A, $A27),"")</f>
        <v>0</v>
      </c>
      <c r="L27" s="11" t="str">
        <f>IFERROR(AVERAGEIFS('Error Log'!$F:$F,'Error Log'!$B:$B,$B27, 'Error Log'!A:A, $A27),"")</f>
        <v/>
      </c>
      <c r="M27" s="11">
        <f>IFERROR(_xlfn.MINIFS('Error Log'!$F:$F,'Error Log'!$B:$B,$B27, 'Error Log'!A:A, $A27),"")</f>
        <v>0</v>
      </c>
      <c r="N27" s="11">
        <f>IFERROR(_xlfn.MAXIFS('Error Log'!$F:$F,'Error Log'!$B:$B,$B27, 'Error Log'!A:A, $A27),"")</f>
        <v>0</v>
      </c>
    </row>
    <row r="28" spans="1:14" s="44" customFormat="1" x14ac:dyDescent="0.3">
      <c r="A28" s="9"/>
      <c r="B28" s="10"/>
      <c r="C28" s="59"/>
      <c r="D28" s="15"/>
      <c r="E28" s="130"/>
      <c r="F28" s="81"/>
      <c r="G28" s="16" t="str">
        <f>IFERROR(AVERAGEIFS('Error Log'!$D$3:$D$999,'Error Log'!$A$3:$A$999,$A28,'Error Log'!$B$3:$B$999,$B28),"")</f>
        <v/>
      </c>
      <c r="H28" s="82" t="str">
        <f t="shared" si="0"/>
        <v/>
      </c>
      <c r="I28" s="11" t="str">
        <f>IFERROR(AVERAGEIFS('Error Log'!$E:$E,'Error Log'!$B:$B,$B28, 'Error Log'!A:A, $A28),"")</f>
        <v/>
      </c>
      <c r="J28" s="11">
        <f>IFERROR(_xlfn.MINIFS('Error Log'!$E:$E,'Error Log'!$B:$B,$B28, 'Error Log'!A:A, $A28),"")</f>
        <v>0</v>
      </c>
      <c r="K28" s="11">
        <f>IFERROR(_xlfn.MAXIFS('Error Log'!$E:$E,'Error Log'!$B:$B,$B28, 'Error Log'!A:A, $A28),"")</f>
        <v>0</v>
      </c>
      <c r="L28" s="11" t="str">
        <f>IFERROR(AVERAGEIFS('Error Log'!$F:$F,'Error Log'!$B:$B,$B28, 'Error Log'!A:A, $A28),"")</f>
        <v/>
      </c>
      <c r="M28" s="11">
        <f>IFERROR(_xlfn.MINIFS('Error Log'!$F:$F,'Error Log'!$B:$B,$B28, 'Error Log'!A:A, $A28),"")</f>
        <v>0</v>
      </c>
      <c r="N28" s="11">
        <f>IFERROR(_xlfn.MAXIFS('Error Log'!$F:$F,'Error Log'!$B:$B,$B28, 'Error Log'!A:A, $A28),"")</f>
        <v>0</v>
      </c>
    </row>
    <row r="29" spans="1:14" s="44" customFormat="1" x14ac:dyDescent="0.3">
      <c r="A29" s="9"/>
      <c r="B29" s="10"/>
      <c r="C29" s="59"/>
      <c r="D29" s="15"/>
      <c r="E29" s="130"/>
      <c r="F29" s="81"/>
      <c r="G29" s="16" t="str">
        <f>IFERROR(AVERAGEIFS('Error Log'!$D$3:$D$999,'Error Log'!$A$3:$A$999,$A29,'Error Log'!$B$3:$B$999,$B29),"")</f>
        <v/>
      </c>
      <c r="H29" s="82" t="str">
        <f t="shared" si="0"/>
        <v/>
      </c>
      <c r="I29" s="11" t="str">
        <f>IFERROR(AVERAGEIFS('Error Log'!$E:$E,'Error Log'!$B:$B,$B29, 'Error Log'!A:A, $A29),"")</f>
        <v/>
      </c>
      <c r="J29" s="11">
        <f>IFERROR(_xlfn.MINIFS('Error Log'!$E:$E,'Error Log'!$B:$B,$B29, 'Error Log'!A:A, $A29),"")</f>
        <v>0</v>
      </c>
      <c r="K29" s="11">
        <f>IFERROR(_xlfn.MAXIFS('Error Log'!$E:$E,'Error Log'!$B:$B,$B29, 'Error Log'!A:A, $A29),"")</f>
        <v>0</v>
      </c>
      <c r="L29" s="11" t="str">
        <f>IFERROR(AVERAGEIFS('Error Log'!$F:$F,'Error Log'!$B:$B,$B29, 'Error Log'!A:A, $A29),"")</f>
        <v/>
      </c>
      <c r="M29" s="11">
        <f>IFERROR(_xlfn.MINIFS('Error Log'!$F:$F,'Error Log'!$B:$B,$B29, 'Error Log'!A:A, $A29),"")</f>
        <v>0</v>
      </c>
      <c r="N29" s="11">
        <f>IFERROR(_xlfn.MAXIFS('Error Log'!$F:$F,'Error Log'!$B:$B,$B29, 'Error Log'!A:A, $A29),"")</f>
        <v>0</v>
      </c>
    </row>
    <row r="30" spans="1:14" s="44" customFormat="1" x14ac:dyDescent="0.3">
      <c r="A30" s="9"/>
      <c r="B30" s="10"/>
      <c r="C30" s="59"/>
      <c r="D30" s="15"/>
      <c r="E30" s="130"/>
      <c r="F30" s="81"/>
      <c r="G30" s="16" t="str">
        <f>IFERROR(AVERAGEIFS('Error Log'!$D$3:$D$999,'Error Log'!$A$3:$A$999,$A30,'Error Log'!$B$3:$B$999,$B30),"")</f>
        <v/>
      </c>
      <c r="H30" s="82" t="str">
        <f t="shared" si="0"/>
        <v/>
      </c>
      <c r="I30" s="11" t="str">
        <f>IFERROR(AVERAGEIFS('Error Log'!$E:$E,'Error Log'!$B:$B,$B30, 'Error Log'!A:A, $A30),"")</f>
        <v/>
      </c>
      <c r="J30" s="11">
        <f>IFERROR(_xlfn.MINIFS('Error Log'!$E:$E,'Error Log'!$B:$B,$B30, 'Error Log'!A:A, $A30),"")</f>
        <v>0</v>
      </c>
      <c r="K30" s="11">
        <f>IFERROR(_xlfn.MAXIFS('Error Log'!$E:$E,'Error Log'!$B:$B,$B30, 'Error Log'!A:A, $A30),"")</f>
        <v>0</v>
      </c>
      <c r="L30" s="11" t="str">
        <f>IFERROR(AVERAGEIFS('Error Log'!$F:$F,'Error Log'!$B:$B,$B30, 'Error Log'!A:A, $A30),"")</f>
        <v/>
      </c>
      <c r="M30" s="11">
        <f>IFERROR(_xlfn.MINIFS('Error Log'!$F:$F,'Error Log'!$B:$B,$B30, 'Error Log'!A:A, $A30),"")</f>
        <v>0</v>
      </c>
      <c r="N30" s="11">
        <f>IFERROR(_xlfn.MAXIFS('Error Log'!$F:$F,'Error Log'!$B:$B,$B30, 'Error Log'!A:A, $A30),"")</f>
        <v>0</v>
      </c>
    </row>
    <row r="31" spans="1:14" s="44" customFormat="1" x14ac:dyDescent="0.3">
      <c r="A31" s="9"/>
      <c r="B31" s="10"/>
      <c r="C31" s="59"/>
      <c r="D31" s="15"/>
      <c r="E31" s="130"/>
      <c r="F31" s="81"/>
      <c r="G31" s="16" t="str">
        <f>IFERROR(AVERAGEIFS('Error Log'!$D$3:$D$999,'Error Log'!$A$3:$A$999,$A31,'Error Log'!$B$3:$B$999,$B31),"")</f>
        <v/>
      </c>
      <c r="H31" s="82" t="str">
        <f t="shared" si="0"/>
        <v/>
      </c>
      <c r="I31" s="11" t="str">
        <f>IFERROR(AVERAGEIFS('Error Log'!$E:$E,'Error Log'!$B:$B,$B31, 'Error Log'!A:A, $A31),"")</f>
        <v/>
      </c>
      <c r="J31" s="11">
        <f>IFERROR(_xlfn.MINIFS('Error Log'!$E:$E,'Error Log'!$B:$B,$B31, 'Error Log'!A:A, $A31),"")</f>
        <v>0</v>
      </c>
      <c r="K31" s="11">
        <f>IFERROR(_xlfn.MAXIFS('Error Log'!$E:$E,'Error Log'!$B:$B,$B31, 'Error Log'!A:A, $A31),"")</f>
        <v>0</v>
      </c>
      <c r="L31" s="11" t="str">
        <f>IFERROR(AVERAGEIFS('Error Log'!$F:$F,'Error Log'!$B:$B,$B31, 'Error Log'!A:A, $A31),"")</f>
        <v/>
      </c>
      <c r="M31" s="11">
        <f>IFERROR(_xlfn.MINIFS('Error Log'!$F:$F,'Error Log'!$B:$B,$B31, 'Error Log'!A:A, $A31),"")</f>
        <v>0</v>
      </c>
      <c r="N31" s="11">
        <f>IFERROR(_xlfn.MAXIFS('Error Log'!$F:$F,'Error Log'!$B:$B,$B31, 'Error Log'!A:A, $A31),"")</f>
        <v>0</v>
      </c>
    </row>
    <row r="32" spans="1:14" s="44" customFormat="1" x14ac:dyDescent="0.3">
      <c r="B32" s="10"/>
      <c r="C32" s="59"/>
      <c r="D32" s="15">
        <f>COUNTIFS(Log!$A:$A,$B32)</f>
        <v>0</v>
      </c>
      <c r="E32" s="130"/>
      <c r="F32" s="81"/>
      <c r="G32" s="16" t="str">
        <f>IFERROR(AVERAGEIFS('Error Log'!$D$3:$D$999,'Error Log'!$A$3:$A$999,$A32,'Error Log'!$B$3:$B$999,$B32),"")</f>
        <v/>
      </c>
      <c r="H32" s="82" t="str">
        <f t="shared" si="0"/>
        <v/>
      </c>
      <c r="I32" s="11" t="str">
        <f>IFERROR(AVERAGEIFS('Error Log'!$E:$E,'Error Log'!$B:$B,$B32, 'Error Log'!A:A, $A32),"")</f>
        <v/>
      </c>
      <c r="J32" s="11">
        <f>IFERROR(_xlfn.MINIFS('Error Log'!$E:$E,'Error Log'!$B:$B,$B32, 'Error Log'!A:A, $A32),"")</f>
        <v>0</v>
      </c>
      <c r="K32" s="11">
        <f>IFERROR(_xlfn.MAXIFS('Error Log'!$E:$E,'Error Log'!$B:$B,$B32, 'Error Log'!A:A, $A32),"")</f>
        <v>0</v>
      </c>
      <c r="L32" s="11" t="str">
        <f>IFERROR(AVERAGEIFS('Error Log'!$F:$F,'Error Log'!$B:$B,$B32, 'Error Log'!A:A, $A32),"")</f>
        <v/>
      </c>
      <c r="M32" s="11">
        <f>IFERROR(_xlfn.MINIFS('Error Log'!$F:$F,'Error Log'!$B:$B,$B32, 'Error Log'!A:A, $A32),"")</f>
        <v>0</v>
      </c>
      <c r="N32" s="11">
        <f>IFERROR(_xlfn.MAXIFS('Error Log'!$F:$F,'Error Log'!$B:$B,$B32, 'Error Log'!A:A, $A32),"")</f>
        <v>0</v>
      </c>
    </row>
    <row r="33" spans="2:14" s="44" customFormat="1" x14ac:dyDescent="0.3">
      <c r="B33" s="10"/>
      <c r="C33" s="59"/>
      <c r="D33" s="15">
        <f>COUNTIFS(Log!$A:$A,$B33)</f>
        <v>0</v>
      </c>
      <c r="E33" s="130"/>
      <c r="F33" s="81"/>
      <c r="G33" s="16" t="str">
        <f>IFERROR(AVERAGEIFS('Error Log'!$D$3:$D$999,'Error Log'!$A$3:$A$999,$A33,'Error Log'!$B$3:$B$999,$B33),"")</f>
        <v/>
      </c>
      <c r="H33" s="82" t="str">
        <f t="shared" si="0"/>
        <v/>
      </c>
      <c r="I33" s="11" t="str">
        <f>IFERROR(AVERAGEIFS('Error Log'!$E:$E,'Error Log'!$B:$B,$B33, 'Error Log'!A:A, $A33),"")</f>
        <v/>
      </c>
      <c r="J33" s="11">
        <f>IFERROR(_xlfn.MINIFS('Error Log'!$E:$E,'Error Log'!$B:$B,$B33, 'Error Log'!A:A, $A33),"")</f>
        <v>0</v>
      </c>
      <c r="K33" s="11">
        <f>IFERROR(_xlfn.MAXIFS('Error Log'!$E:$E,'Error Log'!$B:$B,$B33, 'Error Log'!A:A, $A33),"")</f>
        <v>0</v>
      </c>
      <c r="L33" s="11" t="str">
        <f>IFERROR(AVERAGEIFS('Error Log'!$F:$F,'Error Log'!$B:$B,$B33, 'Error Log'!A:A, $A33),"")</f>
        <v/>
      </c>
      <c r="M33" s="11">
        <f>IFERROR(_xlfn.MINIFS('Error Log'!$F:$F,'Error Log'!$B:$B,$B33, 'Error Log'!A:A, $A33),"")</f>
        <v>0</v>
      </c>
      <c r="N33" s="11">
        <f>IFERROR(_xlfn.MAXIFS('Error Log'!$F:$F,'Error Log'!$B:$B,$B33, 'Error Log'!A:A, $A33),"")</f>
        <v>0</v>
      </c>
    </row>
    <row r="34" spans="2:14" s="44" customFormat="1" x14ac:dyDescent="0.3">
      <c r="B34" s="10"/>
      <c r="C34" s="59"/>
      <c r="D34" s="15">
        <f>COUNTIFS(Log!$A:$A,$B34)</f>
        <v>0</v>
      </c>
      <c r="E34" s="130"/>
      <c r="F34" s="81"/>
      <c r="G34" s="16" t="str">
        <f>IFERROR(AVERAGEIFS('Error Log'!$D$3:$D$999,'Error Log'!$A$3:$A$999,$A34,'Error Log'!$B$3:$B$999,$B34),"")</f>
        <v/>
      </c>
      <c r="H34" s="82" t="str">
        <f t="shared" si="0"/>
        <v/>
      </c>
      <c r="I34" s="11" t="str">
        <f>IFERROR(AVERAGEIFS('Error Log'!$E:$E,'Error Log'!$B:$B,$B34, 'Error Log'!A:A, $A34),"")</f>
        <v/>
      </c>
      <c r="J34" s="11">
        <f>IFERROR(_xlfn.MINIFS('Error Log'!$E:$E,'Error Log'!$B:$B,$B34, 'Error Log'!A:A, $A34),"")</f>
        <v>0</v>
      </c>
      <c r="K34" s="11">
        <f>IFERROR(_xlfn.MAXIFS('Error Log'!$E:$E,'Error Log'!$B:$B,$B34, 'Error Log'!A:A, $A34),"")</f>
        <v>0</v>
      </c>
      <c r="L34" s="11" t="str">
        <f>IFERROR(AVERAGEIFS('Error Log'!$F:$F,'Error Log'!$B:$B,$B34, 'Error Log'!A:A, $A34),"")</f>
        <v/>
      </c>
      <c r="M34" s="11">
        <f>IFERROR(_xlfn.MINIFS('Error Log'!$F:$F,'Error Log'!$B:$B,$B34, 'Error Log'!A:A, $A34),"")</f>
        <v>0</v>
      </c>
      <c r="N34" s="11">
        <f>IFERROR(_xlfn.MAXIFS('Error Log'!$F:$F,'Error Log'!$B:$B,$B34, 'Error Log'!A:A, $A34),"")</f>
        <v>0</v>
      </c>
    </row>
    <row r="35" spans="2:14" s="44" customFormat="1" x14ac:dyDescent="0.3">
      <c r="B35" s="10"/>
      <c r="C35" s="59"/>
      <c r="D35" s="15">
        <f>COUNTIFS(Log!$A:$A,$B35)</f>
        <v>0</v>
      </c>
      <c r="E35" s="130"/>
      <c r="F35" s="81"/>
      <c r="G35" s="16" t="str">
        <f>IFERROR(AVERAGEIFS('Error Log'!$D$3:$D$999,'Error Log'!$A$3:$A$999,$A35,'Error Log'!$B$3:$B$999,$B35),"")</f>
        <v/>
      </c>
      <c r="H35" s="82" t="str">
        <f t="shared" si="0"/>
        <v/>
      </c>
      <c r="I35" s="11" t="str">
        <f>IFERROR(AVERAGEIFS('Error Log'!$E:$E,'Error Log'!$B:$B,$B35, 'Error Log'!A:A, $A35),"")</f>
        <v/>
      </c>
      <c r="J35" s="11">
        <f>IFERROR(_xlfn.MINIFS('Error Log'!$E:$E,'Error Log'!$B:$B,$B35, 'Error Log'!A:A, $A35),"")</f>
        <v>0</v>
      </c>
      <c r="K35" s="11">
        <f>IFERROR(_xlfn.MAXIFS('Error Log'!$E:$E,'Error Log'!$B:$B,$B35, 'Error Log'!A:A, $A35),"")</f>
        <v>0</v>
      </c>
      <c r="L35" s="11" t="str">
        <f>IFERROR(AVERAGEIFS('Error Log'!$F:$F,'Error Log'!$B:$B,$B35, 'Error Log'!A:A, $A35),"")</f>
        <v/>
      </c>
      <c r="M35" s="11">
        <f>IFERROR(_xlfn.MINIFS('Error Log'!$F:$F,'Error Log'!$B:$B,$B35, 'Error Log'!A:A, $A35),"")</f>
        <v>0</v>
      </c>
      <c r="N35" s="11">
        <f>IFERROR(_xlfn.MAXIFS('Error Log'!$F:$F,'Error Log'!$B:$B,$B35, 'Error Log'!A:A, $A35),"")</f>
        <v>0</v>
      </c>
    </row>
    <row r="36" spans="2:14" s="44" customFormat="1" x14ac:dyDescent="0.3">
      <c r="B36" s="10"/>
      <c r="C36" s="59"/>
      <c r="D36" s="15">
        <f>COUNTIFS(Log!$A:$A,$B36)</f>
        <v>0</v>
      </c>
      <c r="E36" s="130"/>
      <c r="F36" s="81"/>
      <c r="G36" s="16" t="str">
        <f>IFERROR(AVERAGEIFS('Error Log'!$D$3:$D$999,'Error Log'!$A$3:$A$999,$A36,'Error Log'!$B$3:$B$999,$B36),"")</f>
        <v/>
      </c>
      <c r="H36" s="82" t="str">
        <f t="shared" si="0"/>
        <v/>
      </c>
      <c r="I36" s="11" t="str">
        <f>IFERROR(AVERAGEIFS('Error Log'!$E:$E,'Error Log'!$B:$B,$B36, 'Error Log'!A:A, $A36),"")</f>
        <v/>
      </c>
      <c r="J36" s="11">
        <f>IFERROR(_xlfn.MINIFS('Error Log'!$E:$E,'Error Log'!$B:$B,$B36, 'Error Log'!A:A, $A36),"")</f>
        <v>0</v>
      </c>
      <c r="K36" s="11">
        <f>IFERROR(_xlfn.MAXIFS('Error Log'!$E:$E,'Error Log'!$B:$B,$B36, 'Error Log'!A:A, $A36),"")</f>
        <v>0</v>
      </c>
      <c r="L36" s="11" t="str">
        <f>IFERROR(AVERAGEIFS('Error Log'!$F:$F,'Error Log'!$B:$B,$B36, 'Error Log'!A:A, $A36),"")</f>
        <v/>
      </c>
      <c r="M36" s="11">
        <f>IFERROR(_xlfn.MINIFS('Error Log'!$F:$F,'Error Log'!$B:$B,$B36, 'Error Log'!A:A, $A36),"")</f>
        <v>0</v>
      </c>
      <c r="N36" s="11">
        <f>IFERROR(_xlfn.MAXIFS('Error Log'!$F:$F,'Error Log'!$B:$B,$B36, 'Error Log'!A:A, $A36),"")</f>
        <v>0</v>
      </c>
    </row>
    <row r="37" spans="2:14" s="44" customFormat="1" x14ac:dyDescent="0.3">
      <c r="B37" s="10"/>
      <c r="C37" s="59"/>
      <c r="D37" s="15">
        <f>COUNTIFS(Log!$A:$A,$B37)</f>
        <v>0</v>
      </c>
      <c r="E37" s="130"/>
      <c r="F37" s="81"/>
      <c r="G37" s="16" t="str">
        <f>IFERROR(AVERAGEIFS('Error Log'!$D$3:$D$999,'Error Log'!$A$3:$A$999,$A37,'Error Log'!$B$3:$B$999,$B37),"")</f>
        <v/>
      </c>
      <c r="H37" s="82" t="str">
        <f t="shared" si="0"/>
        <v/>
      </c>
      <c r="I37" s="11" t="str">
        <f>IFERROR(AVERAGEIFS('Error Log'!$E:$E,'Error Log'!$B:$B,$B37, 'Error Log'!A:A, $A37),"")</f>
        <v/>
      </c>
      <c r="J37" s="11">
        <f>IFERROR(_xlfn.MINIFS('Error Log'!$E:$E,'Error Log'!$B:$B,$B37, 'Error Log'!A:A, $A37),"")</f>
        <v>0</v>
      </c>
      <c r="K37" s="11">
        <f>IFERROR(_xlfn.MAXIFS('Error Log'!$E:$E,'Error Log'!$B:$B,$B37, 'Error Log'!A:A, $A37),"")</f>
        <v>0</v>
      </c>
      <c r="L37" s="11" t="str">
        <f>IFERROR(AVERAGEIFS('Error Log'!$F:$F,'Error Log'!$B:$B,$B37, 'Error Log'!A:A, $A37),"")</f>
        <v/>
      </c>
      <c r="M37" s="11">
        <f>IFERROR(_xlfn.MINIFS('Error Log'!$F:$F,'Error Log'!$B:$B,$B37, 'Error Log'!A:A, $A37),"")</f>
        <v>0</v>
      </c>
      <c r="N37" s="11">
        <f>IFERROR(_xlfn.MAXIFS('Error Log'!$F:$F,'Error Log'!$B:$B,$B37, 'Error Log'!A:A, $A37),"")</f>
        <v>0</v>
      </c>
    </row>
    <row r="38" spans="2:14" s="44" customFormat="1" x14ac:dyDescent="0.3">
      <c r="B38" s="10"/>
      <c r="C38" s="59"/>
      <c r="D38" s="15">
        <f>COUNTIFS(Log!$A:$A,$B38)</f>
        <v>0</v>
      </c>
      <c r="E38" s="130"/>
      <c r="F38" s="81"/>
      <c r="G38" s="16" t="str">
        <f>IFERROR(AVERAGEIFS('Error Log'!$D$3:$D$999,'Error Log'!$A$3:$A$999,$A38,'Error Log'!$B$3:$B$999,$B38),"")</f>
        <v/>
      </c>
      <c r="H38" s="82" t="str">
        <f t="shared" si="0"/>
        <v/>
      </c>
      <c r="I38" s="11" t="str">
        <f>IFERROR(AVERAGEIFS('Error Log'!$E:$E,'Error Log'!$B:$B,$B38, 'Error Log'!A:A, $A38),"")</f>
        <v/>
      </c>
      <c r="J38" s="11">
        <f>IFERROR(_xlfn.MINIFS('Error Log'!$E:$E,'Error Log'!$B:$B,$B38, 'Error Log'!A:A, $A38),"")</f>
        <v>0</v>
      </c>
      <c r="K38" s="11">
        <f>IFERROR(_xlfn.MAXIFS('Error Log'!$E:$E,'Error Log'!$B:$B,$B38, 'Error Log'!A:A, $A38),"")</f>
        <v>0</v>
      </c>
      <c r="L38" s="11" t="str">
        <f>IFERROR(AVERAGEIFS('Error Log'!$F:$F,'Error Log'!$B:$B,$B38, 'Error Log'!A:A, $A38),"")</f>
        <v/>
      </c>
      <c r="M38" s="11">
        <f>IFERROR(_xlfn.MINIFS('Error Log'!$F:$F,'Error Log'!$B:$B,$B38, 'Error Log'!A:A, $A38),"")</f>
        <v>0</v>
      </c>
      <c r="N38" s="11">
        <f>IFERROR(_xlfn.MAXIFS('Error Log'!$F:$F,'Error Log'!$B:$B,$B38, 'Error Log'!A:A, $A38),"")</f>
        <v>0</v>
      </c>
    </row>
    <row r="39" spans="2:14" s="44" customFormat="1" x14ac:dyDescent="0.3">
      <c r="B39" s="10"/>
      <c r="C39" s="59"/>
      <c r="D39" s="15">
        <f>COUNTIFS(Log!$A:$A,$B39)</f>
        <v>0</v>
      </c>
      <c r="E39" s="130"/>
      <c r="F39" s="81"/>
      <c r="G39" s="16" t="str">
        <f>IFERROR(AVERAGEIFS('Error Log'!$D$3:$D$999,'Error Log'!$A$3:$A$999,$A39,'Error Log'!$B$3:$B$999,$B39),"")</f>
        <v/>
      </c>
      <c r="H39" s="82" t="str">
        <f t="shared" si="0"/>
        <v/>
      </c>
      <c r="I39" s="11" t="str">
        <f>IFERROR(AVERAGEIFS('Error Log'!$E:$E,'Error Log'!$B:$B,$B39, 'Error Log'!A:A, $A39),"")</f>
        <v/>
      </c>
      <c r="J39" s="11">
        <f>IFERROR(_xlfn.MINIFS('Error Log'!$E:$E,'Error Log'!$B:$B,$B39, 'Error Log'!A:A, $A39),"")</f>
        <v>0</v>
      </c>
      <c r="K39" s="11">
        <f>IFERROR(_xlfn.MAXIFS('Error Log'!$E:$E,'Error Log'!$B:$B,$B39, 'Error Log'!A:A, $A39),"")</f>
        <v>0</v>
      </c>
      <c r="L39" s="11" t="str">
        <f>IFERROR(AVERAGEIFS('Error Log'!$F:$F,'Error Log'!$B:$B,$B39, 'Error Log'!A:A, $A39),"")</f>
        <v/>
      </c>
      <c r="M39" s="11">
        <f>IFERROR(_xlfn.MINIFS('Error Log'!$F:$F,'Error Log'!$B:$B,$B39, 'Error Log'!A:A, $A39),"")</f>
        <v>0</v>
      </c>
      <c r="N39" s="11">
        <f>IFERROR(_xlfn.MAXIFS('Error Log'!$F:$F,'Error Log'!$B:$B,$B39, 'Error Log'!A:A, $A39),"")</f>
        <v>0</v>
      </c>
    </row>
    <row r="40" spans="2:14" s="44" customFormat="1" x14ac:dyDescent="0.3">
      <c r="B40" s="10"/>
      <c r="C40" s="59"/>
      <c r="D40" s="15">
        <f>COUNTIFS(Log!$A:$A,$B40)</f>
        <v>0</v>
      </c>
      <c r="E40" s="130"/>
      <c r="F40" s="81"/>
      <c r="G40" s="16" t="str">
        <f>IFERROR(AVERAGEIFS('Error Log'!$D$3:$D$999,'Error Log'!$A$3:$A$999,$A40,'Error Log'!$B$3:$B$999,$B40),"")</f>
        <v/>
      </c>
      <c r="H40" s="82" t="str">
        <f t="shared" si="0"/>
        <v/>
      </c>
      <c r="I40" s="11" t="str">
        <f>IFERROR(AVERAGEIFS('Error Log'!$E:$E,'Error Log'!$B:$B,$B40, 'Error Log'!A:A, $A40),"")</f>
        <v/>
      </c>
      <c r="J40" s="11">
        <f>IFERROR(_xlfn.MINIFS('Error Log'!$E:$E,'Error Log'!$B:$B,$B40, 'Error Log'!A:A, $A40),"")</f>
        <v>0</v>
      </c>
      <c r="K40" s="11">
        <f>IFERROR(_xlfn.MAXIFS('Error Log'!$E:$E,'Error Log'!$B:$B,$B40, 'Error Log'!A:A, $A40),"")</f>
        <v>0</v>
      </c>
      <c r="L40" s="11" t="str">
        <f>IFERROR(AVERAGEIFS('Error Log'!$F:$F,'Error Log'!$B:$B,$B40, 'Error Log'!A:A, $A40),"")</f>
        <v/>
      </c>
      <c r="M40" s="11">
        <f>IFERROR(_xlfn.MINIFS('Error Log'!$F:$F,'Error Log'!$B:$B,$B40, 'Error Log'!A:A, $A40),"")</f>
        <v>0</v>
      </c>
      <c r="N40" s="11">
        <f>IFERROR(_xlfn.MAXIFS('Error Log'!$F:$F,'Error Log'!$B:$B,$B40, 'Error Log'!A:A, $A40),"")</f>
        <v>0</v>
      </c>
    </row>
    <row r="41" spans="2:14" s="44" customFormat="1" x14ac:dyDescent="0.3">
      <c r="B41" s="10"/>
      <c r="C41" s="59"/>
      <c r="D41" s="15">
        <f>COUNTIFS(Log!$A:$A,$B41)</f>
        <v>0</v>
      </c>
      <c r="E41" s="130"/>
      <c r="F41" s="81"/>
      <c r="G41" s="16" t="str">
        <f>IFERROR(AVERAGEIFS('Error Log'!$D$3:$D$999,'Error Log'!$A$3:$A$999,$A41,'Error Log'!$B$3:$B$999,$B41),"")</f>
        <v/>
      </c>
      <c r="H41" s="82" t="str">
        <f t="shared" si="0"/>
        <v/>
      </c>
      <c r="I41" s="11" t="str">
        <f>IFERROR(AVERAGEIFS('Error Log'!$E:$E,'Error Log'!$B:$B,$B41, 'Error Log'!A:A, $A41),"")</f>
        <v/>
      </c>
      <c r="J41" s="11">
        <f>IFERROR(_xlfn.MINIFS('Error Log'!$E:$E,'Error Log'!$B:$B,$B41, 'Error Log'!A:A, $A41),"")</f>
        <v>0</v>
      </c>
      <c r="K41" s="11">
        <f>IFERROR(_xlfn.MAXIFS('Error Log'!$E:$E,'Error Log'!$B:$B,$B41, 'Error Log'!A:A, $A41),"")</f>
        <v>0</v>
      </c>
      <c r="L41" s="11" t="str">
        <f>IFERROR(AVERAGEIFS('Error Log'!$F:$F,'Error Log'!$B:$B,$B41, 'Error Log'!A:A, $A41),"")</f>
        <v/>
      </c>
      <c r="M41" s="11">
        <f>IFERROR(_xlfn.MINIFS('Error Log'!$F:$F,'Error Log'!$B:$B,$B41, 'Error Log'!A:A, $A41),"")</f>
        <v>0</v>
      </c>
      <c r="N41" s="11">
        <f>IFERROR(_xlfn.MAXIFS('Error Log'!$F:$F,'Error Log'!$B:$B,$B41, 'Error Log'!A:A, $A41),"")</f>
        <v>0</v>
      </c>
    </row>
    <row r="42" spans="2:14" s="44" customFormat="1" x14ac:dyDescent="0.3">
      <c r="B42" s="10"/>
      <c r="C42" s="59"/>
      <c r="D42" s="15">
        <f>COUNTIFS(Log!$A:$A,$B42)</f>
        <v>0</v>
      </c>
      <c r="E42" s="130"/>
      <c r="F42" s="81"/>
      <c r="G42" s="16" t="str">
        <f>IFERROR(AVERAGEIFS('Error Log'!$D$3:$D$999,'Error Log'!$A$3:$A$999,$A42,'Error Log'!$B$3:$B$999,$B42),"")</f>
        <v/>
      </c>
      <c r="H42" s="82" t="str">
        <f t="shared" si="0"/>
        <v/>
      </c>
      <c r="I42" s="11" t="str">
        <f>IFERROR(AVERAGEIFS('Error Log'!$E:$E,'Error Log'!$B:$B,$B42, 'Error Log'!A:A, $A42),"")</f>
        <v/>
      </c>
      <c r="J42" s="11">
        <f>IFERROR(_xlfn.MINIFS('Error Log'!$E:$E,'Error Log'!$B:$B,$B42, 'Error Log'!A:A, $A42),"")</f>
        <v>0</v>
      </c>
      <c r="K42" s="11">
        <f>IFERROR(_xlfn.MAXIFS('Error Log'!$E:$E,'Error Log'!$B:$B,$B42, 'Error Log'!A:A, $A42),"")</f>
        <v>0</v>
      </c>
      <c r="L42" s="11" t="str">
        <f>IFERROR(AVERAGEIFS('Error Log'!$F:$F,'Error Log'!$B:$B,$B42, 'Error Log'!A:A, $A42),"")</f>
        <v/>
      </c>
      <c r="M42" s="11">
        <f>IFERROR(_xlfn.MINIFS('Error Log'!$F:$F,'Error Log'!$B:$B,$B42, 'Error Log'!A:A, $A42),"")</f>
        <v>0</v>
      </c>
      <c r="N42" s="11">
        <f>IFERROR(_xlfn.MAXIFS('Error Log'!$F:$F,'Error Log'!$B:$B,$B42, 'Error Log'!A:A, $A42),"")</f>
        <v>0</v>
      </c>
    </row>
    <row r="43" spans="2:14" s="44" customFormat="1" x14ac:dyDescent="0.3">
      <c r="B43" s="10"/>
      <c r="C43" s="59"/>
      <c r="D43" s="15">
        <f>COUNTIFS(Log!$A:$A,$B43)</f>
        <v>0</v>
      </c>
      <c r="E43" s="130"/>
      <c r="F43" s="81"/>
      <c r="G43" s="16" t="str">
        <f>IFERROR(AVERAGEIFS('Error Log'!$D$3:$D$999,'Error Log'!$A$3:$A$999,$A43,'Error Log'!$B$3:$B$999,$B43),"")</f>
        <v/>
      </c>
      <c r="H43" s="82" t="str">
        <f t="shared" si="0"/>
        <v/>
      </c>
      <c r="I43" s="11" t="str">
        <f>IFERROR(AVERAGEIFS('Error Log'!$E:$E,'Error Log'!$B:$B,$B43, 'Error Log'!A:A, $A43),"")</f>
        <v/>
      </c>
      <c r="J43" s="11">
        <f>IFERROR(_xlfn.MINIFS('Error Log'!$E:$E,'Error Log'!$B:$B,$B43, 'Error Log'!A:A, $A43),"")</f>
        <v>0</v>
      </c>
      <c r="K43" s="11">
        <f>IFERROR(_xlfn.MAXIFS('Error Log'!$E:$E,'Error Log'!$B:$B,$B43, 'Error Log'!A:A, $A43),"")</f>
        <v>0</v>
      </c>
      <c r="L43" s="11" t="str">
        <f>IFERROR(AVERAGEIFS('Error Log'!$F:$F,'Error Log'!$B:$B,$B43, 'Error Log'!A:A, $A43),"")</f>
        <v/>
      </c>
      <c r="M43" s="11">
        <f>IFERROR(_xlfn.MINIFS('Error Log'!$F:$F,'Error Log'!$B:$B,$B43, 'Error Log'!A:A, $A43),"")</f>
        <v>0</v>
      </c>
      <c r="N43" s="11">
        <f>IFERROR(_xlfn.MAXIFS('Error Log'!$F:$F,'Error Log'!$B:$B,$B43, 'Error Log'!A:A, $A43),"")</f>
        <v>0</v>
      </c>
    </row>
    <row r="44" spans="2:14" s="44" customFormat="1" x14ac:dyDescent="0.3">
      <c r="B44" s="10"/>
      <c r="C44" s="59"/>
      <c r="D44" s="15">
        <f>COUNTIFS(Log!$A:$A,$B44)</f>
        <v>0</v>
      </c>
      <c r="E44" s="130"/>
      <c r="F44" s="81"/>
      <c r="G44" s="16" t="str">
        <f>IFERROR(AVERAGEIFS('Error Log'!$D$3:$D$999,'Error Log'!$A$3:$A$999,$A44,'Error Log'!$B$3:$B$999,$B44),"")</f>
        <v/>
      </c>
      <c r="H44" s="82" t="str">
        <f t="shared" si="0"/>
        <v/>
      </c>
      <c r="I44" s="11" t="str">
        <f>IFERROR(AVERAGEIFS('Error Log'!$E:$E,'Error Log'!$B:$B,$B44, 'Error Log'!A:A, $A44),"")</f>
        <v/>
      </c>
      <c r="J44" s="11">
        <f>IFERROR(_xlfn.MINIFS('Error Log'!$E:$E,'Error Log'!$B:$B,$B44, 'Error Log'!A:A, $A44),"")</f>
        <v>0</v>
      </c>
      <c r="K44" s="11">
        <f>IFERROR(_xlfn.MAXIFS('Error Log'!$E:$E,'Error Log'!$B:$B,$B44, 'Error Log'!A:A, $A44),"")</f>
        <v>0</v>
      </c>
      <c r="L44" s="11" t="str">
        <f>IFERROR(AVERAGEIFS('Error Log'!$F:$F,'Error Log'!$B:$B,$B44, 'Error Log'!A:A, $A44),"")</f>
        <v/>
      </c>
      <c r="M44" s="11">
        <f>IFERROR(_xlfn.MINIFS('Error Log'!$F:$F,'Error Log'!$B:$B,$B44, 'Error Log'!A:A, $A44),"")</f>
        <v>0</v>
      </c>
      <c r="N44" s="11">
        <f>IFERROR(_xlfn.MAXIFS('Error Log'!$F:$F,'Error Log'!$B:$B,$B44, 'Error Log'!A:A, $A44),"")</f>
        <v>0</v>
      </c>
    </row>
    <row r="45" spans="2:14" s="44" customFormat="1" x14ac:dyDescent="0.3">
      <c r="B45" s="10"/>
      <c r="C45" s="59"/>
      <c r="D45" s="15">
        <f>COUNTIFS(Log!$A:$A,$B45)</f>
        <v>0</v>
      </c>
      <c r="E45" s="130"/>
      <c r="F45" s="81"/>
      <c r="G45" s="16" t="str">
        <f>IFERROR(AVERAGEIFS('Error Log'!$D$3:$D$999,'Error Log'!$A$3:$A$999,$A45,'Error Log'!$B$3:$B$999,$B45),"")</f>
        <v/>
      </c>
      <c r="H45" s="82" t="str">
        <f t="shared" si="0"/>
        <v/>
      </c>
      <c r="I45" s="11" t="str">
        <f>IFERROR(AVERAGEIFS('Error Log'!$E:$E,'Error Log'!$B:$B,$B45, 'Error Log'!A:A, $A45),"")</f>
        <v/>
      </c>
      <c r="J45" s="11">
        <f>IFERROR(_xlfn.MINIFS('Error Log'!$E:$E,'Error Log'!$B:$B,$B45, 'Error Log'!A:A, $A45),"")</f>
        <v>0</v>
      </c>
      <c r="K45" s="11">
        <f>IFERROR(_xlfn.MAXIFS('Error Log'!$E:$E,'Error Log'!$B:$B,$B45, 'Error Log'!A:A, $A45),"")</f>
        <v>0</v>
      </c>
      <c r="L45" s="11" t="str">
        <f>IFERROR(AVERAGEIFS('Error Log'!$F:$F,'Error Log'!$B:$B,$B45, 'Error Log'!A:A, $A45),"")</f>
        <v/>
      </c>
      <c r="M45" s="11">
        <f>IFERROR(_xlfn.MINIFS('Error Log'!$F:$F,'Error Log'!$B:$B,$B45, 'Error Log'!A:A, $A45),"")</f>
        <v>0</v>
      </c>
      <c r="N45" s="11">
        <f>IFERROR(_xlfn.MAXIFS('Error Log'!$F:$F,'Error Log'!$B:$B,$B45, 'Error Log'!A:A, $A45),"")</f>
        <v>0</v>
      </c>
    </row>
    <row r="46" spans="2:14" s="44" customFormat="1" x14ac:dyDescent="0.3">
      <c r="B46" s="10"/>
      <c r="C46" s="59"/>
      <c r="D46" s="15">
        <f>COUNTIFS(Log!$A:$A,$B46)</f>
        <v>0</v>
      </c>
      <c r="E46" s="130"/>
      <c r="F46" s="81"/>
      <c r="G46" s="16" t="str">
        <f>IFERROR(AVERAGEIFS('Error Log'!$D$3:$D$999,'Error Log'!$A$3:$A$999,$A46,'Error Log'!$B$3:$B$999,$B46),"")</f>
        <v/>
      </c>
      <c r="H46" s="82" t="str">
        <f t="shared" si="0"/>
        <v/>
      </c>
      <c r="I46" s="11" t="str">
        <f>IFERROR(AVERAGEIFS('Error Log'!$E:$E,'Error Log'!$B:$B,$B46, 'Error Log'!A:A, $A46),"")</f>
        <v/>
      </c>
      <c r="J46" s="11">
        <f>IFERROR(_xlfn.MINIFS('Error Log'!$E:$E,'Error Log'!$B:$B,$B46, 'Error Log'!A:A, $A46),"")</f>
        <v>0</v>
      </c>
      <c r="K46" s="11">
        <f>IFERROR(_xlfn.MAXIFS('Error Log'!$E:$E,'Error Log'!$B:$B,$B46, 'Error Log'!A:A, $A46),"")</f>
        <v>0</v>
      </c>
      <c r="L46" s="11" t="str">
        <f>IFERROR(AVERAGEIFS('Error Log'!$F:$F,'Error Log'!$B:$B,$B46, 'Error Log'!A:A, $A46),"")</f>
        <v/>
      </c>
      <c r="M46" s="11">
        <f>IFERROR(_xlfn.MINIFS('Error Log'!$F:$F,'Error Log'!$B:$B,$B46, 'Error Log'!A:A, $A46),"")</f>
        <v>0</v>
      </c>
      <c r="N46" s="11">
        <f>IFERROR(_xlfn.MAXIFS('Error Log'!$F:$F,'Error Log'!$B:$B,$B46, 'Error Log'!A:A, $A46),"")</f>
        <v>0</v>
      </c>
    </row>
    <row r="47" spans="2:14" s="44" customFormat="1" x14ac:dyDescent="0.3">
      <c r="B47" s="10"/>
      <c r="C47" s="59"/>
      <c r="D47" s="15">
        <f>COUNTIFS(Log!$A:$A,$B47)</f>
        <v>0</v>
      </c>
      <c r="E47" s="130"/>
      <c r="F47" s="81"/>
      <c r="G47" s="16" t="str">
        <f>IFERROR(AVERAGEIFS('Error Log'!$D$3:$D$999,'Error Log'!$A$3:$A$999,$A47,'Error Log'!$B$3:$B$999,$B47),"")</f>
        <v/>
      </c>
      <c r="H47" s="82" t="str">
        <f t="shared" si="0"/>
        <v/>
      </c>
      <c r="I47" s="11" t="str">
        <f>IFERROR(AVERAGEIFS('Error Log'!$E:$E,'Error Log'!$B:$B,$B47, 'Error Log'!A:A, $A47),"")</f>
        <v/>
      </c>
      <c r="J47" s="11">
        <f>IFERROR(_xlfn.MINIFS('Error Log'!$E:$E,'Error Log'!$B:$B,$B47, 'Error Log'!A:A, $A47),"")</f>
        <v>0</v>
      </c>
      <c r="K47" s="11">
        <f>IFERROR(_xlfn.MAXIFS('Error Log'!$E:$E,'Error Log'!$B:$B,$B47, 'Error Log'!A:A, $A47),"")</f>
        <v>0</v>
      </c>
      <c r="L47" s="11" t="str">
        <f>IFERROR(AVERAGEIFS('Error Log'!$F:$F,'Error Log'!$B:$B,$B47, 'Error Log'!A:A, $A47),"")</f>
        <v/>
      </c>
      <c r="M47" s="11">
        <f>IFERROR(_xlfn.MINIFS('Error Log'!$F:$F,'Error Log'!$B:$B,$B47, 'Error Log'!A:A, $A47),"")</f>
        <v>0</v>
      </c>
      <c r="N47" s="11">
        <f>IFERROR(_xlfn.MAXIFS('Error Log'!$F:$F,'Error Log'!$B:$B,$B47, 'Error Log'!A:A, $A47),"")</f>
        <v>0</v>
      </c>
    </row>
    <row r="48" spans="2:14" s="44" customFormat="1" x14ac:dyDescent="0.3">
      <c r="B48" s="10"/>
      <c r="C48" s="59"/>
      <c r="D48" s="15">
        <f>COUNTIFS(Log!$A:$A,$B48)</f>
        <v>0</v>
      </c>
      <c r="E48" s="130"/>
      <c r="F48" s="81"/>
      <c r="G48" s="16" t="str">
        <f>IFERROR(AVERAGEIFS('Error Log'!$D$3:$D$999,'Error Log'!$A$3:$A$999,$A48,'Error Log'!$B$3:$B$999,$B48),"")</f>
        <v/>
      </c>
      <c r="H48" s="82" t="str">
        <f t="shared" si="0"/>
        <v/>
      </c>
      <c r="I48" s="11" t="str">
        <f>IFERROR(AVERAGEIFS('Error Log'!$E:$E,'Error Log'!$B:$B,$B48, 'Error Log'!A:A, $A48),"")</f>
        <v/>
      </c>
      <c r="J48" s="11">
        <f>IFERROR(_xlfn.MINIFS('Error Log'!$E:$E,'Error Log'!$B:$B,$B48, 'Error Log'!A:A, $A48),"")</f>
        <v>0</v>
      </c>
      <c r="K48" s="11">
        <f>IFERROR(_xlfn.MAXIFS('Error Log'!$E:$E,'Error Log'!$B:$B,$B48, 'Error Log'!A:A, $A48),"")</f>
        <v>0</v>
      </c>
      <c r="L48" s="11" t="str">
        <f>IFERROR(AVERAGEIFS('Error Log'!$F:$F,'Error Log'!$B:$B,$B48, 'Error Log'!A:A, $A48),"")</f>
        <v/>
      </c>
      <c r="M48" s="11">
        <f>IFERROR(_xlfn.MINIFS('Error Log'!$F:$F,'Error Log'!$B:$B,$B48, 'Error Log'!A:A, $A48),"")</f>
        <v>0</v>
      </c>
      <c r="N48" s="11">
        <f>IFERROR(_xlfn.MAXIFS('Error Log'!$F:$F,'Error Log'!$B:$B,$B48, 'Error Log'!A:A, $A48),"")</f>
        <v>0</v>
      </c>
    </row>
    <row r="49" spans="2:14" s="44" customFormat="1" x14ac:dyDescent="0.3">
      <c r="B49" s="10"/>
      <c r="C49" s="59"/>
      <c r="D49" s="15">
        <f>COUNTIFS(Log!$A:$A,$B49)</f>
        <v>0</v>
      </c>
      <c r="E49" s="130"/>
      <c r="F49" s="81"/>
      <c r="G49" s="16" t="str">
        <f>IFERROR(AVERAGEIFS('Error Log'!$D$3:$D$999,'Error Log'!$A$3:$A$999,$A49,'Error Log'!$B$3:$B$999,$B49),"")</f>
        <v/>
      </c>
      <c r="H49" s="82" t="str">
        <f t="shared" si="0"/>
        <v/>
      </c>
      <c r="I49" s="11" t="str">
        <f>IFERROR(AVERAGEIFS('Error Log'!$E:$E,'Error Log'!$B:$B,$B49, 'Error Log'!A:A, $A49),"")</f>
        <v/>
      </c>
      <c r="J49" s="11">
        <f>IFERROR(_xlfn.MINIFS('Error Log'!$E:$E,'Error Log'!$B:$B,$B49, 'Error Log'!A:A, $A49),"")</f>
        <v>0</v>
      </c>
      <c r="K49" s="11">
        <f>IFERROR(_xlfn.MAXIFS('Error Log'!$E:$E,'Error Log'!$B:$B,$B49, 'Error Log'!A:A, $A49),"")</f>
        <v>0</v>
      </c>
      <c r="L49" s="11" t="str">
        <f>IFERROR(AVERAGEIFS('Error Log'!$F:$F,'Error Log'!$B:$B,$B49, 'Error Log'!A:A, $A49),"")</f>
        <v/>
      </c>
      <c r="M49" s="11">
        <f>IFERROR(_xlfn.MINIFS('Error Log'!$F:$F,'Error Log'!$B:$B,$B49, 'Error Log'!A:A, $A49),"")</f>
        <v>0</v>
      </c>
      <c r="N49" s="11">
        <f>IFERROR(_xlfn.MAXIFS('Error Log'!$F:$F,'Error Log'!$B:$B,$B49, 'Error Log'!A:A, $A49),"")</f>
        <v>0</v>
      </c>
    </row>
    <row r="50" spans="2:14" s="44" customFormat="1" x14ac:dyDescent="0.3">
      <c r="B50" s="10"/>
      <c r="C50" s="59"/>
      <c r="D50" s="15">
        <f>COUNTIFS(Log!$A:$A,$B50)</f>
        <v>0</v>
      </c>
      <c r="E50" s="130"/>
      <c r="F50" s="81"/>
      <c r="G50" s="16" t="str">
        <f>IFERROR(AVERAGEIFS('Error Log'!$D$3:$D$999,'Error Log'!$A$3:$A$999,$A50,'Error Log'!$B$3:$B$999,$B50),"")</f>
        <v/>
      </c>
      <c r="H50" s="82" t="str">
        <f t="shared" si="0"/>
        <v/>
      </c>
      <c r="I50" s="11" t="str">
        <f>IFERROR(AVERAGEIFS('Error Log'!$E:$E,'Error Log'!$B:$B,$B50, 'Error Log'!A:A, $A50),"")</f>
        <v/>
      </c>
      <c r="J50" s="11">
        <f>IFERROR(_xlfn.MINIFS('Error Log'!$E:$E,'Error Log'!$B:$B,$B50, 'Error Log'!A:A, $A50),"")</f>
        <v>0</v>
      </c>
      <c r="K50" s="11">
        <f>IFERROR(_xlfn.MAXIFS('Error Log'!$E:$E,'Error Log'!$B:$B,$B50, 'Error Log'!A:A, $A50),"")</f>
        <v>0</v>
      </c>
      <c r="L50" s="11" t="str">
        <f>IFERROR(AVERAGEIFS('Error Log'!$F:$F,'Error Log'!$B:$B,$B50, 'Error Log'!A:A, $A50),"")</f>
        <v/>
      </c>
      <c r="M50" s="11">
        <f>IFERROR(_xlfn.MINIFS('Error Log'!$F:$F,'Error Log'!$B:$B,$B50, 'Error Log'!A:A, $A50),"")</f>
        <v>0</v>
      </c>
      <c r="N50" s="11">
        <f>IFERROR(_xlfn.MAXIFS('Error Log'!$F:$F,'Error Log'!$B:$B,$B50, 'Error Log'!A:A, $A50),"")</f>
        <v>0</v>
      </c>
    </row>
    <row r="51" spans="2:14" s="44" customFormat="1" x14ac:dyDescent="0.3">
      <c r="B51" s="10"/>
      <c r="C51" s="59"/>
      <c r="D51" s="15">
        <f>COUNTIFS(Log!$A:$A,$B51)</f>
        <v>0</v>
      </c>
      <c r="E51" s="130"/>
      <c r="F51" s="81"/>
      <c r="G51" s="16" t="str">
        <f>IFERROR(AVERAGEIFS('Error Log'!$D$3:$D$999,'Error Log'!$A$3:$A$999,$A51,'Error Log'!$B$3:$B$999,$B51),"")</f>
        <v/>
      </c>
      <c r="H51" s="82" t="str">
        <f t="shared" si="0"/>
        <v/>
      </c>
      <c r="I51" s="11" t="str">
        <f>IFERROR(AVERAGEIFS('Error Log'!$E:$E,'Error Log'!$B:$B,$B51, 'Error Log'!A:A, $A51),"")</f>
        <v/>
      </c>
      <c r="J51" s="11">
        <f>IFERROR(_xlfn.MINIFS('Error Log'!$E:$E,'Error Log'!$B:$B,$B51, 'Error Log'!A:A, $A51),"")</f>
        <v>0</v>
      </c>
      <c r="K51" s="11">
        <f>IFERROR(_xlfn.MAXIFS('Error Log'!$E:$E,'Error Log'!$B:$B,$B51, 'Error Log'!A:A, $A51),"")</f>
        <v>0</v>
      </c>
      <c r="L51" s="11" t="str">
        <f>IFERROR(AVERAGEIFS('Error Log'!$F:$F,'Error Log'!$B:$B,$B51, 'Error Log'!A:A, $A51),"")</f>
        <v/>
      </c>
      <c r="M51" s="11">
        <f>IFERROR(_xlfn.MINIFS('Error Log'!$F:$F,'Error Log'!$B:$B,$B51, 'Error Log'!A:A, $A51),"")</f>
        <v>0</v>
      </c>
      <c r="N51" s="11">
        <f>IFERROR(_xlfn.MAXIFS('Error Log'!$F:$F,'Error Log'!$B:$B,$B51, 'Error Log'!A:A, $A51),"")</f>
        <v>0</v>
      </c>
    </row>
    <row r="52" spans="2:14" s="44" customFormat="1" x14ac:dyDescent="0.3">
      <c r="B52" s="10"/>
      <c r="C52" s="59"/>
      <c r="D52" s="15">
        <f>COUNTIFS(Log!$A:$A,$B52)</f>
        <v>0</v>
      </c>
      <c r="E52" s="130"/>
      <c r="F52" s="81"/>
      <c r="G52" s="16" t="str">
        <f>IFERROR(AVERAGEIFS('Error Log'!$D$3:$D$999,'Error Log'!$A$3:$A$999,$A52,'Error Log'!$B$3:$B$999,$B52),"")</f>
        <v/>
      </c>
      <c r="H52" s="82" t="str">
        <f t="shared" si="0"/>
        <v/>
      </c>
      <c r="I52" s="11" t="str">
        <f>IFERROR(AVERAGEIFS('Error Log'!$E:$E,'Error Log'!$B:$B,$B52, 'Error Log'!A:A, $A52),"")</f>
        <v/>
      </c>
      <c r="J52" s="11">
        <f>IFERROR(_xlfn.MINIFS('Error Log'!$E:$E,'Error Log'!$B:$B,$B52, 'Error Log'!A:A, $A52),"")</f>
        <v>0</v>
      </c>
      <c r="K52" s="11">
        <f>IFERROR(_xlfn.MAXIFS('Error Log'!$E:$E,'Error Log'!$B:$B,$B52, 'Error Log'!A:A, $A52),"")</f>
        <v>0</v>
      </c>
      <c r="L52" s="11" t="str">
        <f>IFERROR(AVERAGEIFS('Error Log'!$F:$F,'Error Log'!$B:$B,$B52, 'Error Log'!A:A, $A52),"")</f>
        <v/>
      </c>
      <c r="M52" s="11">
        <f>IFERROR(_xlfn.MINIFS('Error Log'!$F:$F,'Error Log'!$B:$B,$B52, 'Error Log'!A:A, $A52),"")</f>
        <v>0</v>
      </c>
      <c r="N52" s="11">
        <f>IFERROR(_xlfn.MAXIFS('Error Log'!$F:$F,'Error Log'!$B:$B,$B52, 'Error Log'!A:A, $A52),"")</f>
        <v>0</v>
      </c>
    </row>
    <row r="53" spans="2:14" s="44" customFormat="1" x14ac:dyDescent="0.3">
      <c r="B53" s="132"/>
      <c r="C53" s="59"/>
      <c r="D53" s="132"/>
      <c r="E53" s="133"/>
      <c r="F53" s="81"/>
      <c r="G53" s="16" t="str">
        <f>IFERROR(AVERAGEIFS('Error Log'!$D$3:$D$999,'Error Log'!$A$3:$A$999,$A53,'Error Log'!$B$3:$B$999,$B53),"")</f>
        <v/>
      </c>
      <c r="H53" s="82" t="str">
        <f t="shared" si="0"/>
        <v/>
      </c>
      <c r="I53" s="11" t="str">
        <f>IFERROR(AVERAGEIFS('Error Log'!$E:$E,'Error Log'!$B:$B,$B53, 'Error Log'!A:A, $A53),"")</f>
        <v/>
      </c>
      <c r="J53" s="11">
        <f>IFERROR(_xlfn.MINIFS('Error Log'!$E:$E,'Error Log'!$B:$B,$B53, 'Error Log'!A:A, $A53),"")</f>
        <v>0</v>
      </c>
      <c r="K53" s="11">
        <f>IFERROR(_xlfn.MAXIFS('Error Log'!$E:$E,'Error Log'!$B:$B,$B53, 'Error Log'!A:A, $A53),"")</f>
        <v>0</v>
      </c>
      <c r="L53" s="11" t="str">
        <f>IFERROR(AVERAGEIFS('Error Log'!$F:$F,'Error Log'!$B:$B,$B53, 'Error Log'!A:A, $A53),"")</f>
        <v/>
      </c>
      <c r="M53" s="11">
        <f>IFERROR(_xlfn.MINIFS('Error Log'!$F:$F,'Error Log'!$B:$B,$B53, 'Error Log'!A:A, $A53),"")</f>
        <v>0</v>
      </c>
      <c r="N53" s="11">
        <f>IFERROR(_xlfn.MAXIFS('Error Log'!$F:$F,'Error Log'!$B:$B,$B53, 'Error Log'!A:A, $A53),"")</f>
        <v>0</v>
      </c>
    </row>
    <row r="54" spans="2:14" s="44" customFormat="1" x14ac:dyDescent="0.3">
      <c r="B54" s="132"/>
      <c r="C54" s="59"/>
      <c r="D54" s="132"/>
      <c r="E54" s="133"/>
      <c r="F54" s="81"/>
      <c r="G54" s="16" t="str">
        <f>IFERROR(AVERAGEIFS('Error Log'!$D$3:$D$999,'Error Log'!$A$3:$A$999,$A54,'Error Log'!$B$3:$B$999,$B54),"")</f>
        <v/>
      </c>
      <c r="H54" s="82" t="str">
        <f t="shared" si="0"/>
        <v/>
      </c>
      <c r="I54" s="11" t="str">
        <f>IFERROR(AVERAGEIFS('Error Log'!$E:$E,'Error Log'!$B:$B,$B54, 'Error Log'!A:A, $A54),"")</f>
        <v/>
      </c>
      <c r="J54" s="11">
        <f>IFERROR(_xlfn.MINIFS('Error Log'!$E:$E,'Error Log'!$B:$B,$B54, 'Error Log'!A:A, $A54),"")</f>
        <v>0</v>
      </c>
      <c r="K54" s="11">
        <f>IFERROR(_xlfn.MAXIFS('Error Log'!$E:$E,'Error Log'!$B:$B,$B54, 'Error Log'!A:A, $A54),"")</f>
        <v>0</v>
      </c>
      <c r="L54" s="11" t="str">
        <f>IFERROR(AVERAGEIFS('Error Log'!$F:$F,'Error Log'!$B:$B,$B54, 'Error Log'!A:A, $A54),"")</f>
        <v/>
      </c>
      <c r="M54" s="11">
        <f>IFERROR(_xlfn.MINIFS('Error Log'!$F:$F,'Error Log'!$B:$B,$B54, 'Error Log'!A:A, $A54),"")</f>
        <v>0</v>
      </c>
      <c r="N54" s="11">
        <f>IFERROR(_xlfn.MAXIFS('Error Log'!$F:$F,'Error Log'!$B:$B,$B54, 'Error Log'!A:A, $A54),"")</f>
        <v>0</v>
      </c>
    </row>
    <row r="55" spans="2:14" x14ac:dyDescent="0.3">
      <c r="C55" s="59"/>
      <c r="F55" s="81"/>
      <c r="H55" s="82" t="str">
        <f t="shared" si="0"/>
        <v/>
      </c>
    </row>
    <row r="56" spans="2:14" x14ac:dyDescent="0.3">
      <c r="C56" s="59"/>
      <c r="F56" s="81"/>
      <c r="H56" s="82" t="str">
        <f t="shared" si="0"/>
        <v/>
      </c>
    </row>
    <row r="57" spans="2:14" x14ac:dyDescent="0.3">
      <c r="C57" s="59"/>
      <c r="F57" s="81"/>
      <c r="H57" s="82" t="str">
        <f t="shared" si="0"/>
        <v/>
      </c>
    </row>
    <row r="58" spans="2:14" x14ac:dyDescent="0.3">
      <c r="C58" s="59"/>
      <c r="H58" s="82" t="str">
        <f t="shared" si="0"/>
        <v/>
      </c>
    </row>
    <row r="59" spans="2:14" x14ac:dyDescent="0.3">
      <c r="H59" s="82" t="str">
        <f t="shared" si="0"/>
        <v/>
      </c>
    </row>
    <row r="60" spans="2:14" x14ac:dyDescent="0.3">
      <c r="H60" s="82" t="str">
        <f t="shared" si="0"/>
        <v/>
      </c>
    </row>
    <row r="61" spans="2:14" x14ac:dyDescent="0.3">
      <c r="H61" s="82" t="str">
        <f t="shared" si="0"/>
        <v/>
      </c>
    </row>
    <row r="62" spans="2:14" x14ac:dyDescent="0.3">
      <c r="H62" s="82" t="str">
        <f t="shared" si="0"/>
        <v/>
      </c>
    </row>
    <row r="63" spans="2:14" x14ac:dyDescent="0.3">
      <c r="H63" s="82" t="str">
        <f t="shared" si="0"/>
        <v/>
      </c>
    </row>
  </sheetData>
  <mergeCells count="12">
    <mergeCell ref="L1:N1"/>
    <mergeCell ref="P1:P2"/>
    <mergeCell ref="O1:O2"/>
    <mergeCell ref="A1:A2"/>
    <mergeCell ref="B1:B2"/>
    <mergeCell ref="C1:C2"/>
    <mergeCell ref="D1:D2"/>
    <mergeCell ref="E1:E2"/>
    <mergeCell ref="G1:G2"/>
    <mergeCell ref="I1:K1"/>
    <mergeCell ref="F1:F2"/>
    <mergeCell ref="H1:H2"/>
  </mergeCells>
  <conditionalFormatting sqref="G3:G1048576 G1">
    <cfRule type="colorScale" priority="5">
      <colorScale>
        <cfvo type="min"/>
        <cfvo type="percentile" val="50"/>
        <cfvo type="max"/>
        <color rgb="FFF8696B"/>
        <color rgb="FFFFEB84"/>
        <color rgb="FF63BE7B"/>
      </colorScale>
    </cfRule>
  </conditionalFormatting>
  <conditionalFormatting sqref="I2:I1048576">
    <cfRule type="colorScale" priority="3">
      <colorScale>
        <cfvo type="min"/>
        <cfvo type="percentile" val="50"/>
        <cfvo type="max"/>
        <color rgb="FF63BE7B"/>
        <color rgb="FFFFEB84"/>
        <color rgb="FFF8696B"/>
      </colorScale>
    </cfRule>
  </conditionalFormatting>
  <conditionalFormatting sqref="L2:L1048576">
    <cfRule type="colorScale" priority="4">
      <colorScale>
        <cfvo type="min"/>
        <cfvo type="percentile" val="50"/>
        <cfvo type="max"/>
        <color rgb="FF63BE7B"/>
        <color rgb="FFFFEB84"/>
        <color rgb="FFF8696B"/>
      </colorScale>
    </cfRule>
  </conditionalFormatting>
  <conditionalFormatting sqref="H1:H1048576">
    <cfRule type="colorScale" priority="1">
      <colorScale>
        <cfvo type="min"/>
        <cfvo type="max"/>
        <color rgb="FFFF7128"/>
        <color rgb="FFFFEF9C"/>
      </colorScale>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Lists</vt:lpstr>
      <vt:lpstr>Camera Labelling</vt:lpstr>
      <vt:lpstr>Log</vt:lpstr>
      <vt:lpstr>Daily Summary</vt:lpstr>
      <vt:lpstr>Camera Error Trend</vt:lpstr>
      <vt:lpstr>Camera Performance Trends</vt:lpstr>
      <vt:lpstr>Error Log</vt:lpstr>
      <vt:lpstr>Error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Daniel Newby</cp:lastModifiedBy>
  <cp:revision>1</cp:revision>
  <dcterms:created xsi:type="dcterms:W3CDTF">2026-07-27T09:50:39Z</dcterms:created>
  <dcterms:modified xsi:type="dcterms:W3CDTF">2026-08-03T13:31:21Z</dcterms:modified>
  <dc:language>en-US</dc:language>
</cp:coreProperties>
</file>