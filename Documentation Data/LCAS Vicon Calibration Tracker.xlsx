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B960A63F-1FC8-4CC4-A1C3-5AFF2C435A95}" xr6:coauthVersionLast="47" xr6:coauthVersionMax="47" xr10:uidLastSave="{00000000-0000-0000-0000-000000000000}"/>
  <bookViews>
    <workbookView xWindow="-108" yWindow="-108" windowWidth="23256" windowHeight="13896" tabRatio="713" firstSheet="2" activeTab="7"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154" i="19" l="1"/>
  <c r="I1154" i="19"/>
  <c r="H1155" i="19"/>
  <c r="I1155" i="19"/>
  <c r="H1156" i="19"/>
  <c r="I1156" i="19"/>
  <c r="H1157" i="19"/>
  <c r="I1157" i="19"/>
  <c r="H1158" i="19"/>
  <c r="I1158" i="19"/>
  <c r="H1159" i="19"/>
  <c r="I1159" i="19"/>
  <c r="H1160" i="19"/>
  <c r="I1160" i="19"/>
  <c r="H1161" i="19"/>
  <c r="I1161" i="19"/>
  <c r="H1162" i="19"/>
  <c r="I1162" i="19"/>
  <c r="H1163" i="19"/>
  <c r="I1163" i="19"/>
  <c r="H1164" i="19"/>
  <c r="I1164" i="19"/>
  <c r="H1165" i="19"/>
  <c r="I1165" i="19"/>
  <c r="H1166" i="19"/>
  <c r="I1166" i="19"/>
  <c r="H1167" i="19"/>
  <c r="I1167" i="19"/>
  <c r="H1168" i="19"/>
  <c r="I1168" i="19"/>
  <c r="H1169" i="19"/>
  <c r="I1169" i="19"/>
  <c r="H1170" i="19"/>
  <c r="I1170" i="19"/>
  <c r="H1171" i="19"/>
  <c r="I1171" i="19"/>
  <c r="H1172" i="19"/>
  <c r="I1172" i="19"/>
  <c r="H1173" i="19"/>
  <c r="I1173" i="19"/>
  <c r="H1174" i="19"/>
  <c r="I1174" i="19"/>
  <c r="H1175" i="19"/>
  <c r="I1175" i="19"/>
  <c r="H1176" i="19"/>
  <c r="I1176" i="19"/>
  <c r="H1177" i="19"/>
  <c r="I1177" i="19"/>
  <c r="H1178" i="19"/>
  <c r="I1178" i="19"/>
  <c r="H1179" i="19"/>
  <c r="I1179" i="19"/>
  <c r="H1180" i="19"/>
  <c r="I1180" i="19"/>
  <c r="H1181" i="19"/>
  <c r="I1181" i="19"/>
  <c r="H1182" i="19"/>
  <c r="I1182" i="19"/>
  <c r="H1183" i="19"/>
  <c r="I1183" i="19"/>
  <c r="H1184" i="19"/>
  <c r="I1184" i="19"/>
  <c r="H1185" i="19"/>
  <c r="I1185" i="19"/>
  <c r="H1186" i="19"/>
  <c r="I1186" i="19"/>
  <c r="H1187" i="19"/>
  <c r="I1187" i="19"/>
  <c r="H1188" i="19"/>
  <c r="I1188" i="19"/>
  <c r="H1189" i="19"/>
  <c r="I1189" i="19"/>
  <c r="H1190" i="19"/>
  <c r="I1190" i="19"/>
  <c r="H1191" i="19"/>
  <c r="I1191" i="19"/>
  <c r="H1192" i="19"/>
  <c r="I1192" i="19"/>
  <c r="H1193" i="19"/>
  <c r="I1193" i="19"/>
  <c r="H1194" i="19"/>
  <c r="I1194" i="19"/>
  <c r="H1195" i="19"/>
  <c r="I1195" i="19"/>
  <c r="H1196" i="19"/>
  <c r="I1196" i="19"/>
  <c r="H1197" i="19"/>
  <c r="I1197" i="19"/>
  <c r="H1198" i="19"/>
  <c r="I1198" i="19"/>
  <c r="H1199" i="19"/>
  <c r="I1199" i="19"/>
  <c r="H1200" i="19"/>
  <c r="I1200" i="19"/>
  <c r="H1201" i="19"/>
  <c r="I1201" i="19"/>
  <c r="H1202" i="19"/>
  <c r="I1202" i="19"/>
  <c r="H1203" i="19"/>
  <c r="I1203" i="19"/>
  <c r="H1204" i="19"/>
  <c r="I1204" i="19"/>
  <c r="H1205" i="19"/>
  <c r="I1205" i="19"/>
  <c r="H1206" i="19"/>
  <c r="I1206" i="19"/>
  <c r="H1207" i="19"/>
  <c r="I1207" i="19"/>
  <c r="C24" i="21" a="1"/>
  <c r="C24" i="21" s="1"/>
  <c r="D24" i="21" a="1"/>
  <c r="D24" i="21" s="1"/>
  <c r="E24" i="21" a="1"/>
  <c r="E24" i="21" s="1"/>
  <c r="F24" i="21" a="1"/>
  <c r="F24" i="21" s="1"/>
  <c r="G24" i="21" a="1"/>
  <c r="G24" i="21" s="1"/>
  <c r="H24" i="21" a="1"/>
  <c r="H24" i="21" s="1"/>
  <c r="I24" i="21" a="1"/>
  <c r="I24" i="21" s="1"/>
  <c r="J24" i="21" a="1"/>
  <c r="J24" i="21" s="1"/>
  <c r="K24" i="21" a="1"/>
  <c r="K24" i="21" s="1"/>
  <c r="L24" i="21" a="1"/>
  <c r="L24" i="21" s="1"/>
  <c r="M24" i="21" a="1"/>
  <c r="M24" i="21" s="1"/>
  <c r="N24" i="21" a="1"/>
  <c r="N24" i="21" s="1"/>
  <c r="O24" i="21" a="1"/>
  <c r="O24" i="21" s="1"/>
  <c r="P24" i="21" a="1"/>
  <c r="P24" i="21" s="1"/>
  <c r="Q24" i="21" a="1"/>
  <c r="Q24" i="21" s="1"/>
  <c r="R24" i="21" a="1"/>
  <c r="R24" i="21" s="1"/>
  <c r="S24" i="21" a="1"/>
  <c r="S24" i="21" s="1"/>
  <c r="T24" i="21" a="1"/>
  <c r="T24" i="21" s="1"/>
  <c r="C25" i="21" a="1"/>
  <c r="C25" i="21" s="1"/>
  <c r="D25" i="21" a="1"/>
  <c r="D25" i="21" s="1"/>
  <c r="E25" i="21" a="1"/>
  <c r="E25" i="21" s="1"/>
  <c r="F25" i="21" a="1"/>
  <c r="F25" i="21" s="1"/>
  <c r="G25" i="21" a="1"/>
  <c r="G25" i="21" s="1"/>
  <c r="H25" i="21" a="1"/>
  <c r="H25" i="21" s="1"/>
  <c r="I25" i="21" a="1"/>
  <c r="I25" i="21" s="1"/>
  <c r="J25" i="21" a="1"/>
  <c r="J25" i="21" s="1"/>
  <c r="K25" i="21" a="1"/>
  <c r="K25" i="21" s="1"/>
  <c r="L25" i="21" a="1"/>
  <c r="L25" i="21" s="1"/>
  <c r="M25" i="21" a="1"/>
  <c r="M25" i="21" s="1"/>
  <c r="N25" i="21" a="1"/>
  <c r="N25" i="21" s="1"/>
  <c r="O25" i="21" a="1"/>
  <c r="O25" i="21" s="1"/>
  <c r="P25" i="21" a="1"/>
  <c r="P25" i="21" s="1"/>
  <c r="Q25" i="21" a="1"/>
  <c r="Q25" i="21" s="1"/>
  <c r="R25" i="21" a="1"/>
  <c r="R25" i="21" s="1"/>
  <c r="S25" i="21" a="1"/>
  <c r="S25" i="21" s="1"/>
  <c r="T25" i="21" a="1"/>
  <c r="T25" i="21" s="1"/>
  <c r="C26" i="21" a="1"/>
  <c r="C26" i="21" s="1"/>
  <c r="D26" i="21" a="1"/>
  <c r="D26" i="21" s="1"/>
  <c r="E26" i="21" a="1"/>
  <c r="E26" i="21" s="1"/>
  <c r="F26" i="21" a="1"/>
  <c r="F26" i="21" s="1"/>
  <c r="G26" i="21" a="1"/>
  <c r="G26" i="21" s="1"/>
  <c r="H26" i="21" a="1"/>
  <c r="H26" i="21" s="1"/>
  <c r="I26" i="21" a="1"/>
  <c r="I26" i="21" s="1"/>
  <c r="J26" i="21" a="1"/>
  <c r="J26" i="21" s="1"/>
  <c r="K26" i="21" a="1"/>
  <c r="K26" i="21" s="1"/>
  <c r="L26" i="21" a="1"/>
  <c r="L26" i="21" s="1"/>
  <c r="M26" i="21" a="1"/>
  <c r="M26" i="21" s="1"/>
  <c r="N26" i="21" a="1"/>
  <c r="N26" i="21" s="1"/>
  <c r="O26" i="21" a="1"/>
  <c r="O26" i="21" s="1"/>
  <c r="P26" i="21" a="1"/>
  <c r="P26" i="21" s="1"/>
  <c r="Q26" i="21" a="1"/>
  <c r="Q26" i="21" s="1"/>
  <c r="R26" i="21" a="1"/>
  <c r="R26" i="21" s="1"/>
  <c r="S26" i="21" a="1"/>
  <c r="S26" i="21" s="1"/>
  <c r="T26" i="21" a="1"/>
  <c r="T26" i="21" s="1"/>
  <c r="W26" i="21"/>
  <c r="X26" i="21"/>
  <c r="Y26" i="21"/>
  <c r="Z26" i="21"/>
  <c r="AA26" i="21"/>
  <c r="AB26" i="21"/>
  <c r="AC26" i="21"/>
  <c r="AD26" i="21"/>
  <c r="AE26" i="21"/>
  <c r="AF26" i="21"/>
  <c r="AG26" i="21"/>
  <c r="AH26" i="21"/>
  <c r="AI26" i="21"/>
  <c r="AJ26" i="21"/>
  <c r="AK26" i="21"/>
  <c r="AL26" i="21"/>
  <c r="AM26" i="21"/>
  <c r="AN26" i="21"/>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W27" i="21"/>
  <c r="X27" i="21"/>
  <c r="Y27" i="21"/>
  <c r="Z27" i="21"/>
  <c r="AA27" i="21"/>
  <c r="AB27" i="21"/>
  <c r="AC27" i="21"/>
  <c r="AD27" i="21"/>
  <c r="AE27" i="21"/>
  <c r="AF27" i="21"/>
  <c r="AG27" i="21"/>
  <c r="AH27" i="21"/>
  <c r="AI27" i="21"/>
  <c r="AJ27" i="21"/>
  <c r="AK27" i="21"/>
  <c r="AL27" i="21"/>
  <c r="AM27" i="21"/>
  <c r="AN27" i="2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W28" i="21"/>
  <c r="X28" i="21"/>
  <c r="Y28" i="21"/>
  <c r="Z28" i="21"/>
  <c r="AA28" i="21"/>
  <c r="AB28" i="21"/>
  <c r="AC28" i="21"/>
  <c r="AD28" i="21"/>
  <c r="AE28" i="21"/>
  <c r="AF28" i="21"/>
  <c r="AG28" i="21"/>
  <c r="AH28" i="21"/>
  <c r="AI28" i="21"/>
  <c r="AJ28" i="21"/>
  <c r="AK28" i="21"/>
  <c r="AL28" i="21"/>
  <c r="AM28" i="21"/>
  <c r="AN28" i="2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W29" i="21"/>
  <c r="X29" i="21"/>
  <c r="Y29" i="21"/>
  <c r="Z29" i="21"/>
  <c r="AA29" i="21"/>
  <c r="AB29" i="21"/>
  <c r="AC29" i="21"/>
  <c r="AD29" i="21"/>
  <c r="AE29" i="21"/>
  <c r="AF29" i="21"/>
  <c r="AG29" i="21"/>
  <c r="AH29" i="21"/>
  <c r="AI29" i="21"/>
  <c r="AJ29" i="21"/>
  <c r="AK29" i="21"/>
  <c r="AL29" i="21"/>
  <c r="AM29" i="21"/>
  <c r="AN29" i="2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W30" i="21"/>
  <c r="X30" i="21"/>
  <c r="Y30" i="21"/>
  <c r="Z30" i="21"/>
  <c r="AA30" i="21"/>
  <c r="AB30" i="21"/>
  <c r="AC30" i="21"/>
  <c r="AD30" i="21"/>
  <c r="AE30" i="21"/>
  <c r="AF30" i="21"/>
  <c r="AG30" i="21"/>
  <c r="AH30" i="21"/>
  <c r="AI30" i="21"/>
  <c r="AJ30" i="21"/>
  <c r="AK30" i="21"/>
  <c r="AL30" i="21"/>
  <c r="AM30" i="21"/>
  <c r="AN30" i="2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W31" i="21"/>
  <c r="X31" i="21"/>
  <c r="Y31" i="21"/>
  <c r="Z31" i="21"/>
  <c r="AA31" i="21"/>
  <c r="AB31" i="21"/>
  <c r="AC31" i="21"/>
  <c r="AD31" i="21"/>
  <c r="AE31" i="21"/>
  <c r="AF31" i="21"/>
  <c r="AG31" i="21"/>
  <c r="AH31" i="21"/>
  <c r="AI31" i="21"/>
  <c r="AJ31" i="21"/>
  <c r="AK31" i="21"/>
  <c r="AL31" i="21"/>
  <c r="AM31" i="21"/>
  <c r="AN31" i="2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W32" i="21"/>
  <c r="X32" i="21"/>
  <c r="Y32" i="21"/>
  <c r="Z32" i="21"/>
  <c r="AA32" i="21"/>
  <c r="AB32" i="21"/>
  <c r="AC32" i="21"/>
  <c r="AD32" i="21"/>
  <c r="AE32" i="21"/>
  <c r="AF32" i="21"/>
  <c r="AG32" i="21"/>
  <c r="AH32" i="21"/>
  <c r="AI32" i="21"/>
  <c r="AJ32" i="21"/>
  <c r="AK32" i="21"/>
  <c r="AL32" i="21"/>
  <c r="AM32" i="21"/>
  <c r="AN32" i="2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W33" i="21"/>
  <c r="X33" i="21"/>
  <c r="Y33" i="21"/>
  <c r="Z33" i="21"/>
  <c r="AA33" i="21"/>
  <c r="AB33" i="21"/>
  <c r="AC33" i="21"/>
  <c r="AD33" i="21"/>
  <c r="AE33" i="21"/>
  <c r="AF33" i="21"/>
  <c r="AG33" i="21"/>
  <c r="AH33" i="21"/>
  <c r="AI33" i="21"/>
  <c r="AJ33" i="21"/>
  <c r="AK33" i="21"/>
  <c r="AL33" i="21"/>
  <c r="AM33" i="21"/>
  <c r="AN33" i="2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W34" i="21"/>
  <c r="X34" i="21"/>
  <c r="Y34" i="21"/>
  <c r="Z34" i="21"/>
  <c r="AA34" i="21"/>
  <c r="AB34" i="21"/>
  <c r="AC34" i="21"/>
  <c r="AD34" i="21"/>
  <c r="AE34" i="21"/>
  <c r="AF34" i="21"/>
  <c r="AG34" i="21"/>
  <c r="AH34" i="21"/>
  <c r="AI34" i="21"/>
  <c r="AJ34" i="21"/>
  <c r="AK34" i="21"/>
  <c r="AL34" i="21"/>
  <c r="AM34" i="21"/>
  <c r="AN34" i="2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W35" i="21"/>
  <c r="X35" i="21"/>
  <c r="Y35" i="21"/>
  <c r="Z35" i="21"/>
  <c r="AA35" i="21"/>
  <c r="AB35" i="21"/>
  <c r="AC35" i="21"/>
  <c r="AD35" i="21"/>
  <c r="AE35" i="21"/>
  <c r="AF35" i="21"/>
  <c r="AG35" i="21"/>
  <c r="AH35" i="21"/>
  <c r="AI35" i="21"/>
  <c r="AJ35" i="21"/>
  <c r="AK35" i="21"/>
  <c r="AL35" i="21"/>
  <c r="AM35" i="21"/>
  <c r="AN35" i="2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W36" i="21"/>
  <c r="X36" i="21"/>
  <c r="Y36" i="21"/>
  <c r="Z36" i="21"/>
  <c r="AA36" i="21"/>
  <c r="AB36" i="21"/>
  <c r="AC36" i="21"/>
  <c r="AD36" i="21"/>
  <c r="AE36" i="21"/>
  <c r="AF36" i="21"/>
  <c r="AG36" i="21"/>
  <c r="AH36" i="21"/>
  <c r="AI36" i="21"/>
  <c r="AJ36" i="21"/>
  <c r="AK36" i="21"/>
  <c r="AL36" i="21"/>
  <c r="AM36" i="21"/>
  <c r="AN36" i="2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W37" i="21"/>
  <c r="X37" i="21"/>
  <c r="Y37" i="21"/>
  <c r="Z37" i="21"/>
  <c r="AA37" i="21"/>
  <c r="AB37" i="21"/>
  <c r="AC37" i="21"/>
  <c r="AD37" i="21"/>
  <c r="AE37" i="21"/>
  <c r="AF37" i="21"/>
  <c r="AG37" i="21"/>
  <c r="AH37" i="21"/>
  <c r="AI37" i="21"/>
  <c r="AJ37" i="21"/>
  <c r="AK37" i="21"/>
  <c r="AL37" i="21"/>
  <c r="AM37" i="21"/>
  <c r="AN37" i="2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s="1"/>
  <c r="T38" i="21" a="1"/>
  <c r="T38" i="21" s="1"/>
  <c r="W38" i="21"/>
  <c r="X38" i="21"/>
  <c r="Y38" i="21"/>
  <c r="Z38" i="21"/>
  <c r="AA38" i="21"/>
  <c r="AB38" i="21"/>
  <c r="AC38" i="21"/>
  <c r="AD38" i="21"/>
  <c r="AE38" i="21"/>
  <c r="AF38" i="21"/>
  <c r="AG38" i="21"/>
  <c r="AH38" i="21"/>
  <c r="AI38" i="21"/>
  <c r="AJ38" i="21"/>
  <c r="AK38" i="21"/>
  <c r="AL38" i="21"/>
  <c r="AM38" i="21"/>
  <c r="AN38" i="2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W39" i="21"/>
  <c r="X39" i="21"/>
  <c r="Y39" i="21"/>
  <c r="Z39" i="21"/>
  <c r="AA39" i="21"/>
  <c r="AB39" i="21"/>
  <c r="AC39" i="21"/>
  <c r="AD39" i="21"/>
  <c r="AE39" i="21"/>
  <c r="AF39" i="21"/>
  <c r="AG39" i="21"/>
  <c r="AH39" i="21"/>
  <c r="AI39" i="21"/>
  <c r="AJ39" i="21"/>
  <c r="AK39" i="21"/>
  <c r="AL39" i="21"/>
  <c r="AM39" i="21"/>
  <c r="AN39" i="2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W40" i="21"/>
  <c r="X40" i="21"/>
  <c r="Y40" i="21"/>
  <c r="Z40" i="21"/>
  <c r="AA40" i="21"/>
  <c r="AB40" i="21"/>
  <c r="AC40" i="21"/>
  <c r="AD40" i="21"/>
  <c r="AE40" i="21"/>
  <c r="AF40" i="21"/>
  <c r="AG40" i="21"/>
  <c r="AH40" i="21"/>
  <c r="AI40" i="21"/>
  <c r="AJ40" i="21"/>
  <c r="AK40" i="21"/>
  <c r="AL40" i="21"/>
  <c r="AM40" i="21"/>
  <c r="AN40" i="2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s="1"/>
  <c r="S41" i="21" a="1"/>
  <c r="S41" i="21" s="1"/>
  <c r="T41" i="21" a="1"/>
  <c r="T41" i="21" s="1"/>
  <c r="W41" i="21"/>
  <c r="X41" i="21"/>
  <c r="Y41" i="21"/>
  <c r="Z41" i="21"/>
  <c r="AA41" i="21"/>
  <c r="AB41" i="21"/>
  <c r="AC41" i="21"/>
  <c r="AD41" i="21"/>
  <c r="AE41" i="21"/>
  <c r="AF41" i="21"/>
  <c r="AG41" i="21"/>
  <c r="AH41" i="21"/>
  <c r="AI41" i="21"/>
  <c r="AJ41" i="21"/>
  <c r="AK41" i="21"/>
  <c r="AL41" i="21"/>
  <c r="AM41" i="21"/>
  <c r="AN41" i="2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W42" i="21"/>
  <c r="X42" i="21"/>
  <c r="Y42" i="21"/>
  <c r="Z42" i="21"/>
  <c r="AA42" i="21"/>
  <c r="AB42" i="21"/>
  <c r="AC42" i="21"/>
  <c r="AD42" i="21"/>
  <c r="AE42" i="21"/>
  <c r="AF42" i="21"/>
  <c r="AG42" i="21"/>
  <c r="AH42" i="21"/>
  <c r="AI42" i="21"/>
  <c r="AJ42" i="21"/>
  <c r="AK42" i="21"/>
  <c r="AL42" i="21"/>
  <c r="AM42" i="21"/>
  <c r="AN42" i="2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W43" i="21"/>
  <c r="X43" i="21"/>
  <c r="Y43" i="21"/>
  <c r="Z43" i="21"/>
  <c r="AA43" i="21"/>
  <c r="AB43" i="21"/>
  <c r="AC43" i="21"/>
  <c r="AD43" i="21"/>
  <c r="AE43" i="21"/>
  <c r="AF43" i="21"/>
  <c r="AG43" i="21"/>
  <c r="AH43" i="21"/>
  <c r="AI43" i="21"/>
  <c r="AJ43" i="21"/>
  <c r="AK43" i="21"/>
  <c r="AL43" i="21"/>
  <c r="AM43" i="21"/>
  <c r="AN43" i="2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W44" i="21"/>
  <c r="X44" i="21"/>
  <c r="Y44" i="21"/>
  <c r="Z44" i="21"/>
  <c r="AA44" i="21"/>
  <c r="AB44" i="21"/>
  <c r="AC44" i="21"/>
  <c r="AD44" i="21"/>
  <c r="AE44" i="21"/>
  <c r="AF44" i="21"/>
  <c r="AG44" i="21"/>
  <c r="AH44" i="21"/>
  <c r="AI44" i="21"/>
  <c r="AJ44" i="21"/>
  <c r="AK44" i="21"/>
  <c r="AL44" i="21"/>
  <c r="AM44" i="21"/>
  <c r="AN44" i="2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W45" i="21"/>
  <c r="X45" i="21"/>
  <c r="Y45" i="21"/>
  <c r="Z45" i="21"/>
  <c r="AA45" i="21"/>
  <c r="AB45" i="21"/>
  <c r="AC45" i="21"/>
  <c r="AD45" i="21"/>
  <c r="AE45" i="21"/>
  <c r="AF45" i="21"/>
  <c r="AG45" i="21"/>
  <c r="AH45" i="21"/>
  <c r="AI45" i="21"/>
  <c r="AJ45" i="21"/>
  <c r="AK45" i="21"/>
  <c r="AL45" i="21"/>
  <c r="AM45" i="21"/>
  <c r="AN45" i="2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W46" i="21"/>
  <c r="X46" i="21"/>
  <c r="Y46" i="21"/>
  <c r="Z46" i="21"/>
  <c r="AA46" i="21"/>
  <c r="AB46" i="21"/>
  <c r="AC46" i="21"/>
  <c r="AD46" i="21"/>
  <c r="AE46" i="21"/>
  <c r="AF46" i="21"/>
  <c r="AG46" i="21"/>
  <c r="AH46" i="21"/>
  <c r="AI46" i="21"/>
  <c r="AJ46" i="21"/>
  <c r="AK46" i="21"/>
  <c r="AL46" i="21"/>
  <c r="AM46" i="21"/>
  <c r="AN46" i="2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W47" i="21"/>
  <c r="X47" i="21"/>
  <c r="Y47" i="21"/>
  <c r="Z47" i="21"/>
  <c r="AA47" i="21"/>
  <c r="AB47" i="21"/>
  <c r="AC47" i="21"/>
  <c r="AD47" i="21"/>
  <c r="AE47" i="21"/>
  <c r="AF47" i="21"/>
  <c r="AG47" i="21"/>
  <c r="AH47" i="21"/>
  <c r="AI47" i="21"/>
  <c r="AJ47" i="21"/>
  <c r="AK47" i="21"/>
  <c r="AL47" i="21"/>
  <c r="AM47" i="21"/>
  <c r="AN47" i="2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W48" i="21"/>
  <c r="X48" i="21"/>
  <c r="Y48" i="21"/>
  <c r="Z48" i="21"/>
  <c r="AA48" i="21"/>
  <c r="AB48" i="21"/>
  <c r="AC48" i="21"/>
  <c r="AD48" i="21"/>
  <c r="AE48" i="21"/>
  <c r="AF48" i="21"/>
  <c r="AG48" i="21"/>
  <c r="AH48" i="21"/>
  <c r="AI48" i="21"/>
  <c r="AJ48" i="21"/>
  <c r="AK48" i="21"/>
  <c r="AL48" i="21"/>
  <c r="AM48" i="21"/>
  <c r="AN48" i="21"/>
  <c r="H1152" i="19"/>
  <c r="I1151" i="19"/>
  <c r="H1151" i="19"/>
  <c r="I1150" i="19"/>
  <c r="H1150" i="19"/>
  <c r="I1149" i="19"/>
  <c r="H1149" i="19"/>
  <c r="I1148" i="19"/>
  <c r="H1148" i="19"/>
  <c r="I1147" i="19"/>
  <c r="H1147" i="19"/>
  <c r="I1145" i="19"/>
  <c r="H1145" i="19"/>
  <c r="I1144" i="19"/>
  <c r="H1144" i="19"/>
  <c r="I1143" i="19"/>
  <c r="H1143" i="19"/>
  <c r="I1142" i="19"/>
  <c r="H1142" i="19"/>
  <c r="I1141" i="19"/>
  <c r="H1141" i="19"/>
  <c r="I1140" i="19"/>
  <c r="H1140" i="19"/>
  <c r="I1138" i="19"/>
  <c r="H1138" i="19"/>
  <c r="I1137" i="19"/>
  <c r="H1137" i="19"/>
  <c r="I1136" i="19"/>
  <c r="H1136" i="19"/>
  <c r="I6" i="19"/>
  <c r="I7" i="19"/>
  <c r="I8" i="19"/>
  <c r="I9" i="19"/>
  <c r="I10" i="19"/>
  <c r="I11" i="19"/>
  <c r="I14" i="19"/>
  <c r="I15" i="19"/>
  <c r="I16" i="19"/>
  <c r="I17" i="19"/>
  <c r="I18" i="19"/>
  <c r="I19" i="19"/>
  <c r="I20" i="19"/>
  <c r="I21" i="19"/>
  <c r="I22" i="19"/>
  <c r="I23" i="19"/>
  <c r="I24" i="19"/>
  <c r="I25" i="19"/>
  <c r="I26" i="19"/>
  <c r="I28" i="19"/>
  <c r="I29" i="19"/>
  <c r="I30" i="19"/>
  <c r="I31" i="19"/>
  <c r="I32" i="19"/>
  <c r="I33" i="19"/>
  <c r="I34" i="19"/>
  <c r="I35" i="19"/>
  <c r="I36" i="19"/>
  <c r="I37" i="19"/>
  <c r="I38" i="19"/>
  <c r="I39" i="19"/>
  <c r="I40" i="19"/>
  <c r="I42" i="19"/>
  <c r="I43" i="19"/>
  <c r="I44" i="19"/>
  <c r="I45" i="19"/>
  <c r="I46" i="19"/>
  <c r="I47" i="19"/>
  <c r="I48" i="19"/>
  <c r="I49" i="19"/>
  <c r="I50" i="19"/>
  <c r="I51" i="19"/>
  <c r="I52" i="19"/>
  <c r="I53" i="19"/>
  <c r="I54"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46" i="19"/>
  <c r="I1047" i="19"/>
  <c r="I1048" i="19"/>
  <c r="I1049" i="19"/>
  <c r="I1050" i="19"/>
  <c r="I1051" i="19"/>
  <c r="I1052" i="19"/>
  <c r="I1053" i="19"/>
  <c r="I1054" i="19"/>
  <c r="I1055" i="19"/>
  <c r="I1056" i="19"/>
  <c r="I1057" i="19"/>
  <c r="I1058" i="19"/>
  <c r="I1059" i="19"/>
  <c r="I1060" i="19"/>
  <c r="I1061" i="19"/>
  <c r="I1062" i="19"/>
  <c r="I1063" i="19"/>
  <c r="H6" i="19"/>
  <c r="H3" i="19"/>
  <c r="H4" i="19"/>
  <c r="H5"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H137" i="19"/>
  <c r="H138" i="19"/>
  <c r="H139" i="19"/>
  <c r="H140" i="19"/>
  <c r="H141" i="19"/>
  <c r="H142" i="19"/>
  <c r="H143" i="19"/>
  <c r="H144" i="19"/>
  <c r="H145" i="19"/>
  <c r="H146" i="19"/>
  <c r="H147" i="19"/>
  <c r="H148" i="19"/>
  <c r="H149" i="19"/>
  <c r="H150" i="19"/>
  <c r="H151" i="19"/>
  <c r="H152" i="19"/>
  <c r="H153" i="19"/>
  <c r="H154" i="19"/>
  <c r="H155" i="19"/>
  <c r="H156" i="19"/>
  <c r="H157" i="19"/>
  <c r="H158" i="19"/>
  <c r="H159" i="19"/>
  <c r="H160" i="19"/>
  <c r="H161" i="19"/>
  <c r="H162" i="19"/>
  <c r="H163" i="19"/>
  <c r="H164" i="19"/>
  <c r="H165" i="19"/>
  <c r="H166" i="19"/>
  <c r="H167" i="19"/>
  <c r="H168" i="19"/>
  <c r="H169" i="19"/>
  <c r="H170" i="19"/>
  <c r="H171" i="19"/>
  <c r="H172" i="19"/>
  <c r="H173" i="19"/>
  <c r="H174" i="19"/>
  <c r="H175" i="19"/>
  <c r="H176" i="19"/>
  <c r="H177" i="19"/>
  <c r="H178" i="19"/>
  <c r="H179" i="19"/>
  <c r="H180" i="19"/>
  <c r="H181" i="19"/>
  <c r="H182" i="19"/>
  <c r="H183" i="19"/>
  <c r="H184" i="19"/>
  <c r="H185" i="19"/>
  <c r="H186" i="19"/>
  <c r="H187" i="19"/>
  <c r="H188" i="19"/>
  <c r="H189" i="19"/>
  <c r="H190" i="19"/>
  <c r="H191" i="19"/>
  <c r="H192" i="19"/>
  <c r="H193" i="19"/>
  <c r="H194" i="19"/>
  <c r="H195" i="19"/>
  <c r="H196" i="19"/>
  <c r="H197" i="19"/>
  <c r="H198" i="19"/>
  <c r="H199" i="19"/>
  <c r="H200" i="19"/>
  <c r="H201" i="19"/>
  <c r="H202" i="19"/>
  <c r="H203" i="19"/>
  <c r="H204" i="19"/>
  <c r="H205" i="19"/>
  <c r="H206" i="19"/>
  <c r="H207" i="19"/>
  <c r="H208" i="19"/>
  <c r="H209" i="19"/>
  <c r="H210" i="19"/>
  <c r="H211" i="19"/>
  <c r="H212" i="19"/>
  <c r="H213" i="19"/>
  <c r="H214" i="19"/>
  <c r="H215" i="19"/>
  <c r="H216" i="19"/>
  <c r="H217" i="19"/>
  <c r="H218" i="19"/>
  <c r="H219" i="19"/>
  <c r="H220" i="19"/>
  <c r="H221" i="19"/>
  <c r="H222" i="19"/>
  <c r="H223" i="19"/>
  <c r="H224" i="19"/>
  <c r="H225" i="19"/>
  <c r="H226" i="19"/>
  <c r="H227" i="19"/>
  <c r="H228" i="19"/>
  <c r="H229" i="19"/>
  <c r="H230" i="19"/>
  <c r="H231" i="19"/>
  <c r="H232" i="19"/>
  <c r="H233" i="19"/>
  <c r="H234" i="19"/>
  <c r="H235" i="19"/>
  <c r="H236" i="19"/>
  <c r="H237" i="19"/>
  <c r="H238" i="19"/>
  <c r="H239" i="19"/>
  <c r="H240" i="19"/>
  <c r="H241" i="19"/>
  <c r="H242" i="19"/>
  <c r="H243" i="19"/>
  <c r="H244" i="19"/>
  <c r="H245" i="19"/>
  <c r="H246" i="19"/>
  <c r="H247" i="19"/>
  <c r="H248" i="19"/>
  <c r="H249" i="19"/>
  <c r="H250" i="19"/>
  <c r="H251" i="19"/>
  <c r="H252" i="19"/>
  <c r="H253" i="19"/>
  <c r="H254" i="19"/>
  <c r="H255" i="19"/>
  <c r="H256" i="19"/>
  <c r="H257" i="19"/>
  <c r="H258" i="19"/>
  <c r="H259" i="19"/>
  <c r="H260" i="19"/>
  <c r="H261" i="19"/>
  <c r="H262" i="19"/>
  <c r="H263" i="19"/>
  <c r="H264" i="19"/>
  <c r="H265" i="19"/>
  <c r="H266" i="19"/>
  <c r="H267" i="19"/>
  <c r="H268" i="19"/>
  <c r="H269" i="19"/>
  <c r="H270" i="19"/>
  <c r="H271" i="19"/>
  <c r="H272" i="19"/>
  <c r="H273" i="19"/>
  <c r="H274" i="19"/>
  <c r="H275" i="19"/>
  <c r="H276" i="19"/>
  <c r="H277" i="19"/>
  <c r="H278" i="19"/>
  <c r="H279" i="19"/>
  <c r="H280" i="19"/>
  <c r="H281" i="19"/>
  <c r="H282" i="19"/>
  <c r="H283" i="19"/>
  <c r="H284" i="19"/>
  <c r="H285" i="19"/>
  <c r="H286" i="19"/>
  <c r="H287" i="19"/>
  <c r="H288" i="19"/>
  <c r="H289" i="19"/>
  <c r="H290" i="19"/>
  <c r="H291" i="19"/>
  <c r="H292" i="19"/>
  <c r="H293" i="19"/>
  <c r="H294" i="19"/>
  <c r="H295" i="19"/>
  <c r="H296" i="19"/>
  <c r="H297" i="19"/>
  <c r="H298" i="19"/>
  <c r="H299" i="19"/>
  <c r="H300" i="19"/>
  <c r="H301" i="19"/>
  <c r="H302" i="19"/>
  <c r="H303" i="19"/>
  <c r="H304" i="19"/>
  <c r="H305" i="19"/>
  <c r="H306" i="19"/>
  <c r="H307" i="19"/>
  <c r="H308" i="19"/>
  <c r="H309" i="19"/>
  <c r="H310" i="19"/>
  <c r="H311" i="19"/>
  <c r="H312" i="19"/>
  <c r="H313" i="19"/>
  <c r="H314" i="19"/>
  <c r="H315" i="19"/>
  <c r="H316" i="19"/>
  <c r="H317" i="19"/>
  <c r="H318" i="19"/>
  <c r="H319" i="19"/>
  <c r="H320" i="19"/>
  <c r="H321" i="19"/>
  <c r="H322" i="19"/>
  <c r="H323" i="19"/>
  <c r="H324" i="19"/>
  <c r="H325" i="19"/>
  <c r="H326" i="19"/>
  <c r="H327" i="19"/>
  <c r="H328" i="19"/>
  <c r="H329" i="19"/>
  <c r="H330" i="19"/>
  <c r="H331" i="19"/>
  <c r="H332" i="19"/>
  <c r="H333" i="19"/>
  <c r="H334" i="19"/>
  <c r="H335" i="19"/>
  <c r="H336" i="19"/>
  <c r="H337" i="19"/>
  <c r="H338" i="19"/>
  <c r="H339" i="19"/>
  <c r="H340" i="19"/>
  <c r="H341" i="19"/>
  <c r="H342" i="19"/>
  <c r="H343" i="19"/>
  <c r="H344" i="19"/>
  <c r="H345" i="19"/>
  <c r="H346" i="19"/>
  <c r="H347" i="19"/>
  <c r="H348" i="19"/>
  <c r="H349" i="19"/>
  <c r="H350" i="19"/>
  <c r="H351" i="19"/>
  <c r="H352" i="19"/>
  <c r="H353" i="19"/>
  <c r="H354" i="19"/>
  <c r="H355" i="19"/>
  <c r="H356" i="19"/>
  <c r="H357" i="19"/>
  <c r="H358" i="19"/>
  <c r="H359" i="19"/>
  <c r="H360" i="19"/>
  <c r="H361" i="19"/>
  <c r="H362" i="19"/>
  <c r="H363" i="19"/>
  <c r="H364" i="19"/>
  <c r="H365" i="19"/>
  <c r="H366" i="19"/>
  <c r="H367" i="19"/>
  <c r="H368" i="19"/>
  <c r="H369" i="19"/>
  <c r="H370" i="19"/>
  <c r="H371" i="19"/>
  <c r="H372" i="19"/>
  <c r="H373" i="19"/>
  <c r="H374" i="19"/>
  <c r="H375" i="19"/>
  <c r="H376" i="19"/>
  <c r="H377" i="19"/>
  <c r="H378" i="19"/>
  <c r="H379" i="19"/>
  <c r="H380" i="19"/>
  <c r="H381" i="19"/>
  <c r="H382" i="19"/>
  <c r="H383" i="19"/>
  <c r="H384" i="19"/>
  <c r="H385" i="19"/>
  <c r="H386" i="19"/>
  <c r="H387" i="19"/>
  <c r="H388" i="19"/>
  <c r="H389" i="19"/>
  <c r="H390" i="19"/>
  <c r="H391" i="19"/>
  <c r="H392" i="19"/>
  <c r="H393" i="19"/>
  <c r="H394" i="19"/>
  <c r="H395" i="19"/>
  <c r="H396" i="19"/>
  <c r="H397" i="19"/>
  <c r="H398" i="19"/>
  <c r="H399" i="19"/>
  <c r="H400" i="19"/>
  <c r="H401" i="19"/>
  <c r="H402" i="19"/>
  <c r="H403" i="19"/>
  <c r="H404" i="19"/>
  <c r="H405" i="19"/>
  <c r="H406" i="19"/>
  <c r="H407" i="19"/>
  <c r="H408" i="19"/>
  <c r="H409" i="19"/>
  <c r="H410" i="19"/>
  <c r="H411" i="19"/>
  <c r="H412" i="19"/>
  <c r="H413" i="19"/>
  <c r="H414" i="19"/>
  <c r="H415" i="19"/>
  <c r="H416" i="19"/>
  <c r="H417" i="19"/>
  <c r="H418" i="19"/>
  <c r="H419" i="19"/>
  <c r="H420" i="19"/>
  <c r="H421" i="19"/>
  <c r="H422" i="19"/>
  <c r="H423" i="19"/>
  <c r="H424" i="19"/>
  <c r="H425" i="19"/>
  <c r="H426" i="19"/>
  <c r="H427" i="19"/>
  <c r="H428" i="19"/>
  <c r="H429" i="19"/>
  <c r="H430" i="19"/>
  <c r="H431" i="19"/>
  <c r="H432" i="19"/>
  <c r="H433" i="19"/>
  <c r="H434" i="19"/>
  <c r="H435" i="19"/>
  <c r="H436" i="19"/>
  <c r="H437" i="19"/>
  <c r="H438" i="19"/>
  <c r="H439" i="19"/>
  <c r="H440" i="19"/>
  <c r="H441" i="19"/>
  <c r="H442" i="19"/>
  <c r="H443" i="19"/>
  <c r="H444" i="19"/>
  <c r="H445" i="19"/>
  <c r="H446" i="19"/>
  <c r="H447" i="19"/>
  <c r="H448" i="19"/>
  <c r="H449" i="19"/>
  <c r="H450" i="19"/>
  <c r="H451" i="19"/>
  <c r="H452" i="19"/>
  <c r="H453" i="19"/>
  <c r="H454" i="19"/>
  <c r="H455" i="19"/>
  <c r="H456" i="19"/>
  <c r="H457" i="19"/>
  <c r="H458" i="19"/>
  <c r="H459" i="19"/>
  <c r="H460" i="19"/>
  <c r="H461" i="19"/>
  <c r="H462" i="19"/>
  <c r="H463" i="19"/>
  <c r="H464" i="19"/>
  <c r="H465" i="19"/>
  <c r="H466" i="19"/>
  <c r="H467" i="19"/>
  <c r="H468" i="19"/>
  <c r="H469" i="19"/>
  <c r="H470" i="19"/>
  <c r="H471" i="19"/>
  <c r="H472" i="19"/>
  <c r="H473" i="19"/>
  <c r="H474" i="19"/>
  <c r="H475" i="19"/>
  <c r="H476" i="19"/>
  <c r="H477" i="19"/>
  <c r="H478" i="19"/>
  <c r="H479" i="19"/>
  <c r="H480" i="19"/>
  <c r="H481" i="19"/>
  <c r="H482" i="19"/>
  <c r="H483" i="19"/>
  <c r="H484" i="19"/>
  <c r="H485" i="19"/>
  <c r="H486" i="19"/>
  <c r="H487" i="19"/>
  <c r="H488" i="19"/>
  <c r="H489" i="19"/>
  <c r="H490" i="19"/>
  <c r="H491" i="19"/>
  <c r="H492" i="19"/>
  <c r="H493" i="19"/>
  <c r="H494" i="19"/>
  <c r="H495" i="19"/>
  <c r="H496" i="19"/>
  <c r="H497" i="19"/>
  <c r="H498" i="19"/>
  <c r="H499" i="19"/>
  <c r="H500" i="19"/>
  <c r="H501" i="19"/>
  <c r="H502" i="19"/>
  <c r="H503" i="19"/>
  <c r="H504" i="19"/>
  <c r="H505" i="19"/>
  <c r="H506" i="19"/>
  <c r="H507" i="19"/>
  <c r="H508" i="19"/>
  <c r="H509" i="19"/>
  <c r="H510" i="19"/>
  <c r="H511" i="19"/>
  <c r="H512" i="19"/>
  <c r="H513" i="19"/>
  <c r="H514" i="19"/>
  <c r="H515" i="19"/>
  <c r="H516" i="19"/>
  <c r="H517" i="19"/>
  <c r="H518" i="19"/>
  <c r="H519" i="19"/>
  <c r="H520" i="19"/>
  <c r="H521" i="19"/>
  <c r="H522" i="19"/>
  <c r="H523" i="19"/>
  <c r="H524" i="19"/>
  <c r="H525" i="19"/>
  <c r="H526" i="19"/>
  <c r="H527" i="19"/>
  <c r="H528" i="19"/>
  <c r="H529" i="19"/>
  <c r="H530" i="19"/>
  <c r="H531" i="19"/>
  <c r="H532" i="19"/>
  <c r="H533" i="19"/>
  <c r="H534" i="19"/>
  <c r="H535" i="19"/>
  <c r="H536" i="19"/>
  <c r="H537" i="19"/>
  <c r="H538" i="19"/>
  <c r="H539" i="19"/>
  <c r="H540" i="19"/>
  <c r="H541" i="19"/>
  <c r="H542" i="19"/>
  <c r="H543" i="19"/>
  <c r="H544" i="19"/>
  <c r="H545" i="19"/>
  <c r="H546" i="19"/>
  <c r="H547" i="19"/>
  <c r="H548" i="19"/>
  <c r="H549" i="19"/>
  <c r="BS3" i="18" l="1" a="1"/>
  <c r="BS3" i="18" s="1"/>
  <c r="F3" i="2" a="1"/>
  <c r="F3" i="2" s="1"/>
  <c r="B24" i="21"/>
  <c r="AF24" i="21" s="1"/>
  <c r="B25" i="21"/>
  <c r="AL25" i="21" s="1"/>
  <c r="B26" i="21"/>
  <c r="B27" i="21"/>
  <c r="B28" i="21"/>
  <c r="B29" i="21"/>
  <c r="B30" i="21"/>
  <c r="B31" i="21"/>
  <c r="B32" i="21"/>
  <c r="B33" i="21"/>
  <c r="B34" i="21"/>
  <c r="B35" i="21"/>
  <c r="B36" i="21"/>
  <c r="B37" i="21"/>
  <c r="B38" i="21"/>
  <c r="B1119" i="19"/>
  <c r="B1120" i="19"/>
  <c r="B1121" i="19"/>
  <c r="B1122" i="19"/>
  <c r="B1123" i="19"/>
  <c r="B1124" i="19"/>
  <c r="B1125" i="19"/>
  <c r="B1126" i="19"/>
  <c r="B1127" i="19"/>
  <c r="B1128" i="19"/>
  <c r="B1129" i="19"/>
  <c r="B1130" i="19"/>
  <c r="B1131" i="19"/>
  <c r="B1132" i="19"/>
  <c r="B1133" i="19"/>
  <c r="B1134" i="19"/>
  <c r="B1135" i="19"/>
  <c r="B1118" i="19"/>
  <c r="AH25" i="21" l="1"/>
  <c r="AM25" i="21"/>
  <c r="AK24" i="21"/>
  <c r="Y24" i="21"/>
  <c r="AN25" i="21"/>
  <c r="AM24" i="21"/>
  <c r="Z25" i="21"/>
  <c r="AA25" i="21"/>
  <c r="Z24" i="21"/>
  <c r="AL24" i="21"/>
  <c r="W24" i="21"/>
  <c r="AN24" i="21"/>
  <c r="AG24" i="21"/>
  <c r="AB24" i="21"/>
  <c r="AC25" i="21"/>
  <c r="X25" i="21"/>
  <c r="AD25" i="21"/>
  <c r="AG25" i="21"/>
  <c r="AJ25" i="21"/>
  <c r="W25" i="21"/>
  <c r="AB25" i="21"/>
  <c r="AI25" i="21"/>
  <c r="AE25" i="21"/>
  <c r="Y25" i="21"/>
  <c r="AA24" i="21"/>
  <c r="AI24" i="21"/>
  <c r="AC24" i="21"/>
  <c r="AD24" i="21"/>
  <c r="AE24" i="21"/>
  <c r="AH24" i="21"/>
  <c r="X24" i="21"/>
  <c r="AJ24" i="21"/>
  <c r="AF25" i="21"/>
  <c r="AK25" i="21"/>
  <c r="H1128" i="19"/>
  <c r="I1128" i="19"/>
  <c r="H1127" i="19"/>
  <c r="I1127" i="19"/>
  <c r="H1124" i="19"/>
  <c r="I1124" i="19"/>
  <c r="H1123" i="19"/>
  <c r="I1123" i="19"/>
  <c r="H1122" i="19"/>
  <c r="I1122" i="19"/>
  <c r="H1120" i="19"/>
  <c r="I1120" i="19"/>
  <c r="H1133" i="19"/>
  <c r="I1133" i="19"/>
  <c r="H1132" i="19"/>
  <c r="I1132" i="19"/>
  <c r="H1130" i="19"/>
  <c r="I1130" i="19"/>
  <c r="H1126" i="19"/>
  <c r="I1126" i="19"/>
  <c r="H1125" i="19"/>
  <c r="I1125" i="19"/>
  <c r="H1094" i="19"/>
  <c r="I1105" i="19"/>
  <c r="I1091" i="19"/>
  <c r="I1093" i="19"/>
  <c r="I1107" i="19"/>
  <c r="I1094" i="19"/>
  <c r="I1108" i="19"/>
  <c r="I1095" i="19"/>
  <c r="I1109" i="19"/>
  <c r="I1082" i="19"/>
  <c r="I1110" i="19"/>
  <c r="I1106" i="19"/>
  <c r="I1096" i="19"/>
  <c r="I1099" i="19"/>
  <c r="I1083" i="19"/>
  <c r="I1097" i="19"/>
  <c r="I1111" i="19"/>
  <c r="I1098" i="19"/>
  <c r="I1084" i="19"/>
  <c r="I1112" i="19"/>
  <c r="I1090" i="19"/>
  <c r="I1104" i="19"/>
  <c r="I1118" i="19"/>
  <c r="I1092" i="19"/>
  <c r="I1085" i="19"/>
  <c r="I1113" i="19"/>
  <c r="I1100" i="19"/>
  <c r="I1115" i="19"/>
  <c r="I1086" i="19"/>
  <c r="I1114" i="19"/>
  <c r="I1087" i="19"/>
  <c r="I1102" i="19"/>
  <c r="I1116" i="19"/>
  <c r="I1089" i="19"/>
  <c r="I1117" i="19"/>
  <c r="I1101" i="19"/>
  <c r="I1088" i="19"/>
  <c r="I1103" i="19"/>
  <c r="H1135" i="19"/>
  <c r="I1135" i="19"/>
  <c r="H1121" i="19"/>
  <c r="I1121" i="19"/>
  <c r="H1134" i="19"/>
  <c r="I1134" i="19"/>
  <c r="H1119" i="19"/>
  <c r="I1119" i="19"/>
  <c r="H1131" i="19"/>
  <c r="I1131" i="19"/>
  <c r="H1129" i="19"/>
  <c r="I1129" i="19"/>
  <c r="H1114" i="19"/>
  <c r="H1107" i="19"/>
  <c r="H1113" i="19"/>
  <c r="H1118" i="19"/>
  <c r="H1111" i="19"/>
  <c r="H1116" i="19"/>
  <c r="H1109" i="19"/>
  <c r="H1102" i="19"/>
  <c r="H1095" i="19"/>
  <c r="H1115" i="19"/>
  <c r="H1108" i="19"/>
  <c r="H1101" i="19"/>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49" i="21" a="1"/>
  <c r="C49" i="21" s="1"/>
  <c r="D49" i="21" a="1"/>
  <c r="D49" i="21" s="1"/>
  <c r="E49" i="21" a="1"/>
  <c r="E49" i="21" s="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s="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J23" i="19"/>
  <c r="J30" i="19"/>
  <c r="J37" i="19"/>
  <c r="J38" i="19"/>
  <c r="J45" i="19"/>
  <c r="J58" i="19"/>
  <c r="J59" i="19"/>
  <c r="J72" i="19"/>
  <c r="K75" i="19"/>
  <c r="J80" i="19"/>
  <c r="K82" i="19"/>
  <c r="J92" i="19"/>
  <c r="K92" i="19"/>
  <c r="J93" i="19"/>
  <c r="K93" i="19"/>
  <c r="J94" i="19"/>
  <c r="K94" i="19"/>
  <c r="J95" i="19"/>
  <c r="K95" i="19"/>
  <c r="J96" i="19"/>
  <c r="K96" i="19"/>
  <c r="J97" i="19"/>
  <c r="K97" i="19"/>
  <c r="J98" i="19"/>
  <c r="K98" i="19"/>
  <c r="J99" i="19"/>
  <c r="K99" i="19"/>
  <c r="J100" i="19"/>
  <c r="K100" i="19"/>
  <c r="J101" i="19"/>
  <c r="K101" i="19"/>
  <c r="J102" i="19"/>
  <c r="K102" i="19"/>
  <c r="J103" i="19"/>
  <c r="K103" i="19"/>
  <c r="J104" i="19"/>
  <c r="K104" i="19"/>
  <c r="J105" i="19"/>
  <c r="K105" i="19"/>
  <c r="J106" i="19"/>
  <c r="K106" i="19"/>
  <c r="J107" i="19"/>
  <c r="K107" i="19"/>
  <c r="J108" i="19"/>
  <c r="K108" i="19"/>
  <c r="J109" i="19"/>
  <c r="K109" i="19"/>
  <c r="J110" i="19"/>
  <c r="K110" i="19"/>
  <c r="K111" i="19"/>
  <c r="J111" i="19"/>
  <c r="J112" i="19"/>
  <c r="K112" i="19"/>
  <c r="J113" i="19"/>
  <c r="K113" i="19"/>
  <c r="J114" i="19"/>
  <c r="K114" i="19"/>
  <c r="J115" i="19"/>
  <c r="K115" i="19"/>
  <c r="J116" i="19"/>
  <c r="K116" i="19"/>
  <c r="K117" i="19"/>
  <c r="J117" i="19"/>
  <c r="J118" i="19"/>
  <c r="K118" i="19"/>
  <c r="J119" i="19"/>
  <c r="K119" i="19"/>
  <c r="J120" i="19"/>
  <c r="K120" i="19"/>
  <c r="J121" i="19"/>
  <c r="K121" i="19"/>
  <c r="J122" i="19"/>
  <c r="K122" i="19"/>
  <c r="J123" i="19"/>
  <c r="K123" i="19"/>
  <c r="J124" i="19"/>
  <c r="K124" i="19"/>
  <c r="J125" i="19"/>
  <c r="K125" i="19"/>
  <c r="J126" i="19"/>
  <c r="K126" i="19"/>
  <c r="J127" i="19"/>
  <c r="K127" i="19"/>
  <c r="J164" i="19"/>
  <c r="K164" i="19"/>
  <c r="J165" i="19"/>
  <c r="K165" i="19"/>
  <c r="J166" i="19"/>
  <c r="K166" i="19"/>
  <c r="J167" i="19"/>
  <c r="K167" i="19"/>
  <c r="J168" i="19"/>
  <c r="K168" i="19"/>
  <c r="J169" i="19"/>
  <c r="K169" i="19"/>
  <c r="J170" i="19"/>
  <c r="K170" i="19"/>
  <c r="J171" i="19"/>
  <c r="K171" i="19"/>
  <c r="J172" i="19"/>
  <c r="K172" i="19"/>
  <c r="J173" i="19"/>
  <c r="K173" i="19"/>
  <c r="J174" i="19"/>
  <c r="K174" i="19"/>
  <c r="J175" i="19"/>
  <c r="K175" i="19"/>
  <c r="J176" i="19"/>
  <c r="K176" i="19"/>
  <c r="J177" i="19"/>
  <c r="K177" i="19"/>
  <c r="J178" i="19"/>
  <c r="K178" i="19"/>
  <c r="J179" i="19"/>
  <c r="K179" i="19"/>
  <c r="J180" i="19"/>
  <c r="K180" i="19"/>
  <c r="J181" i="19"/>
  <c r="K181" i="19"/>
  <c r="J182" i="19"/>
  <c r="K182" i="19"/>
  <c r="J183" i="19"/>
  <c r="K183" i="19"/>
  <c r="J184" i="19"/>
  <c r="K184" i="19"/>
  <c r="J185" i="19"/>
  <c r="K185" i="19"/>
  <c r="J186" i="19"/>
  <c r="K186" i="19"/>
  <c r="J187" i="19"/>
  <c r="K187" i="19"/>
  <c r="J188" i="19"/>
  <c r="K188" i="19"/>
  <c r="J189" i="19"/>
  <c r="K189" i="19"/>
  <c r="K190" i="19"/>
  <c r="J190" i="19"/>
  <c r="J191" i="19"/>
  <c r="K191" i="19"/>
  <c r="J192" i="19"/>
  <c r="K192" i="19"/>
  <c r="J193" i="19"/>
  <c r="K193" i="19"/>
  <c r="J194" i="19"/>
  <c r="K194" i="19"/>
  <c r="J195" i="19"/>
  <c r="K195" i="19"/>
  <c r="J196" i="19"/>
  <c r="K196" i="19"/>
  <c r="K197" i="19"/>
  <c r="J197" i="19"/>
  <c r="J198" i="19"/>
  <c r="K198" i="19"/>
  <c r="J199" i="19"/>
  <c r="K199" i="19"/>
  <c r="H550" i="19"/>
  <c r="H551" i="19"/>
  <c r="H552" i="19"/>
  <c r="H553" i="19"/>
  <c r="H554" i="19"/>
  <c r="H555" i="19"/>
  <c r="H556" i="19"/>
  <c r="H557" i="19"/>
  <c r="H558" i="19"/>
  <c r="H559" i="19"/>
  <c r="H560" i="19"/>
  <c r="H561" i="19"/>
  <c r="H562" i="19"/>
  <c r="H563" i="19"/>
  <c r="H564" i="19"/>
  <c r="H565" i="19"/>
  <c r="H566" i="19"/>
  <c r="H567" i="19"/>
  <c r="H568" i="19"/>
  <c r="H569" i="19"/>
  <c r="H570" i="19"/>
  <c r="H571" i="19"/>
  <c r="H572" i="19"/>
  <c r="H573" i="19"/>
  <c r="H574" i="19"/>
  <c r="H575" i="19"/>
  <c r="H576" i="19"/>
  <c r="H577" i="19"/>
  <c r="H578" i="19"/>
  <c r="H579" i="19"/>
  <c r="H580" i="19"/>
  <c r="H581" i="19"/>
  <c r="H582" i="19"/>
  <c r="H583" i="19"/>
  <c r="H584" i="19"/>
  <c r="H585" i="19"/>
  <c r="H586" i="19"/>
  <c r="H587" i="19"/>
  <c r="H588" i="19"/>
  <c r="H589" i="19"/>
  <c r="H590" i="19"/>
  <c r="H591" i="19"/>
  <c r="H592" i="19"/>
  <c r="H593" i="19"/>
  <c r="H594" i="19"/>
  <c r="H595" i="19"/>
  <c r="H596" i="19"/>
  <c r="H597" i="19"/>
  <c r="H598" i="19"/>
  <c r="H599" i="19"/>
  <c r="H600" i="19"/>
  <c r="H601" i="19"/>
  <c r="H602" i="19"/>
  <c r="H603" i="19"/>
  <c r="H604" i="19"/>
  <c r="H605" i="19"/>
  <c r="H606" i="19"/>
  <c r="H607" i="19"/>
  <c r="H608" i="19"/>
  <c r="H609" i="19"/>
  <c r="H610" i="19"/>
  <c r="H611" i="19"/>
  <c r="H612" i="19"/>
  <c r="H613" i="19"/>
  <c r="H614" i="19"/>
  <c r="H615" i="19"/>
  <c r="H616" i="19"/>
  <c r="H617" i="19"/>
  <c r="H618" i="19"/>
  <c r="H619" i="19"/>
  <c r="H620" i="19"/>
  <c r="H621" i="19"/>
  <c r="H622" i="19"/>
  <c r="H623" i="19"/>
  <c r="H624" i="19"/>
  <c r="H625" i="19"/>
  <c r="H626" i="19"/>
  <c r="H627" i="19"/>
  <c r="H628" i="19"/>
  <c r="H629" i="19"/>
  <c r="H630" i="19"/>
  <c r="H631" i="19"/>
  <c r="H632" i="19"/>
  <c r="H633" i="19"/>
  <c r="H634" i="19"/>
  <c r="H635" i="19"/>
  <c r="H636" i="19"/>
  <c r="H637" i="19"/>
  <c r="H638" i="19"/>
  <c r="H639" i="19"/>
  <c r="H640" i="19"/>
  <c r="H641" i="19"/>
  <c r="H642" i="19"/>
  <c r="H643" i="19"/>
  <c r="H644" i="19"/>
  <c r="H645" i="19"/>
  <c r="H646" i="19"/>
  <c r="H647" i="19"/>
  <c r="H648" i="19"/>
  <c r="H649" i="19"/>
  <c r="H650" i="19"/>
  <c r="H651" i="19"/>
  <c r="H652" i="19"/>
  <c r="H653" i="19"/>
  <c r="H654" i="19"/>
  <c r="H655" i="19"/>
  <c r="H656" i="19"/>
  <c r="H657" i="19"/>
  <c r="H658" i="19"/>
  <c r="H659" i="19"/>
  <c r="H660" i="19"/>
  <c r="H661" i="19"/>
  <c r="H662" i="19"/>
  <c r="H663" i="19"/>
  <c r="H664" i="19"/>
  <c r="H665" i="19"/>
  <c r="H666" i="19"/>
  <c r="H667" i="19"/>
  <c r="H668" i="19"/>
  <c r="H669" i="19"/>
  <c r="H670" i="19"/>
  <c r="H671" i="19"/>
  <c r="H672" i="19"/>
  <c r="H673" i="19"/>
  <c r="H674" i="19"/>
  <c r="H675" i="19"/>
  <c r="H676" i="19"/>
  <c r="H677" i="19"/>
  <c r="H678" i="19"/>
  <c r="H679" i="19"/>
  <c r="H680" i="19"/>
  <c r="H681" i="19"/>
  <c r="H682" i="19"/>
  <c r="H683" i="19"/>
  <c r="H684" i="19"/>
  <c r="H685" i="19"/>
  <c r="H686" i="19"/>
  <c r="H687" i="19"/>
  <c r="H688" i="19"/>
  <c r="H689" i="19"/>
  <c r="H690" i="19"/>
  <c r="H691" i="19"/>
  <c r="H692" i="19"/>
  <c r="H693" i="19"/>
  <c r="H694" i="19"/>
  <c r="H695" i="19"/>
  <c r="H696" i="19"/>
  <c r="H697" i="19"/>
  <c r="H698" i="19"/>
  <c r="H699" i="19"/>
  <c r="H700" i="19"/>
  <c r="H701" i="19"/>
  <c r="H702" i="19"/>
  <c r="H703" i="19"/>
  <c r="H704" i="19"/>
  <c r="H705" i="19"/>
  <c r="H706" i="19"/>
  <c r="H707" i="19"/>
  <c r="H708" i="19"/>
  <c r="H709" i="19"/>
  <c r="H710" i="19"/>
  <c r="H711" i="19"/>
  <c r="H712" i="19"/>
  <c r="H713" i="19"/>
  <c r="H714" i="19"/>
  <c r="H715" i="19"/>
  <c r="H716" i="19"/>
  <c r="H717" i="19"/>
  <c r="H718" i="19"/>
  <c r="H719" i="19"/>
  <c r="H720" i="19"/>
  <c r="H721" i="19"/>
  <c r="H722" i="19"/>
  <c r="H723" i="19"/>
  <c r="H724" i="19"/>
  <c r="H725" i="19"/>
  <c r="H726" i="19"/>
  <c r="H727" i="19"/>
  <c r="H728" i="19"/>
  <c r="H729" i="19"/>
  <c r="H730" i="19"/>
  <c r="H731" i="19"/>
  <c r="H732" i="19"/>
  <c r="H733" i="19"/>
  <c r="H734" i="19"/>
  <c r="H735" i="19"/>
  <c r="H736" i="19"/>
  <c r="H737" i="19"/>
  <c r="H738" i="19"/>
  <c r="H739" i="19"/>
  <c r="H740" i="19"/>
  <c r="H741" i="19"/>
  <c r="H742" i="19"/>
  <c r="H743" i="19"/>
  <c r="H744" i="19"/>
  <c r="H745" i="19"/>
  <c r="H746" i="19"/>
  <c r="H747" i="19"/>
  <c r="H748" i="19"/>
  <c r="H749" i="19"/>
  <c r="H750" i="19"/>
  <c r="H751" i="19"/>
  <c r="H752" i="19"/>
  <c r="H753" i="19"/>
  <c r="H754" i="19"/>
  <c r="H755" i="19"/>
  <c r="H756" i="19"/>
  <c r="H757" i="19"/>
  <c r="H758" i="19"/>
  <c r="H759" i="19"/>
  <c r="H760" i="19"/>
  <c r="H761" i="19"/>
  <c r="H762" i="19"/>
  <c r="H763" i="19"/>
  <c r="H764" i="19"/>
  <c r="H765" i="19"/>
  <c r="H766" i="19"/>
  <c r="H767" i="19"/>
  <c r="H768" i="19"/>
  <c r="H769" i="19"/>
  <c r="H770" i="19"/>
  <c r="H771" i="19"/>
  <c r="H772" i="19"/>
  <c r="H773" i="19"/>
  <c r="H774" i="19"/>
  <c r="H775" i="19"/>
  <c r="H776" i="19"/>
  <c r="H777" i="19"/>
  <c r="H778" i="19"/>
  <c r="H779" i="19"/>
  <c r="H780" i="19"/>
  <c r="H781" i="19"/>
  <c r="H782" i="19"/>
  <c r="H783" i="19"/>
  <c r="H784" i="19"/>
  <c r="H785" i="19"/>
  <c r="H786" i="19"/>
  <c r="H787" i="19"/>
  <c r="H788" i="19"/>
  <c r="H789" i="19"/>
  <c r="H790" i="19"/>
  <c r="H791" i="19"/>
  <c r="H792" i="19"/>
  <c r="H793" i="19"/>
  <c r="H794" i="19"/>
  <c r="H795" i="19"/>
  <c r="H796" i="19"/>
  <c r="H797" i="19"/>
  <c r="H798" i="19"/>
  <c r="H799" i="19"/>
  <c r="H800" i="19"/>
  <c r="H801" i="19"/>
  <c r="H802" i="19"/>
  <c r="H803" i="19"/>
  <c r="H804" i="19"/>
  <c r="H805" i="19"/>
  <c r="H806" i="19"/>
  <c r="H807" i="19"/>
  <c r="H808" i="19"/>
  <c r="H809" i="19"/>
  <c r="H810" i="19"/>
  <c r="H811" i="19"/>
  <c r="H812" i="19"/>
  <c r="H813" i="19"/>
  <c r="H814" i="19"/>
  <c r="H815" i="19"/>
  <c r="H816" i="19"/>
  <c r="H817" i="19"/>
  <c r="H818" i="19"/>
  <c r="H819" i="19"/>
  <c r="H820" i="19"/>
  <c r="H821" i="19"/>
  <c r="H822" i="19"/>
  <c r="H823" i="19"/>
  <c r="H824" i="19"/>
  <c r="H825" i="19"/>
  <c r="H826" i="19"/>
  <c r="H827" i="19"/>
  <c r="H828" i="19"/>
  <c r="H829" i="19"/>
  <c r="H830" i="19"/>
  <c r="H831" i="19"/>
  <c r="H832" i="19"/>
  <c r="H833" i="19"/>
  <c r="H834" i="19"/>
  <c r="H835" i="19"/>
  <c r="H836" i="19"/>
  <c r="H837" i="19"/>
  <c r="H838" i="19"/>
  <c r="H839" i="19"/>
  <c r="H840" i="19"/>
  <c r="H841" i="19"/>
  <c r="H842" i="19"/>
  <c r="H843" i="19"/>
  <c r="H844" i="19"/>
  <c r="H845" i="19"/>
  <c r="H846" i="19"/>
  <c r="H847" i="19"/>
  <c r="H848" i="19"/>
  <c r="H849" i="19"/>
  <c r="H850" i="19"/>
  <c r="H851" i="19"/>
  <c r="H852" i="19"/>
  <c r="H853" i="19"/>
  <c r="H854" i="19"/>
  <c r="H855" i="19"/>
  <c r="H856" i="19"/>
  <c r="H857" i="19"/>
  <c r="H858" i="19"/>
  <c r="H859" i="19"/>
  <c r="H860" i="19"/>
  <c r="H861" i="19"/>
  <c r="H862" i="19"/>
  <c r="H863" i="19"/>
  <c r="H864" i="19"/>
  <c r="H865" i="19"/>
  <c r="H866" i="19"/>
  <c r="H867" i="19"/>
  <c r="H868" i="19"/>
  <c r="H869" i="19"/>
  <c r="H870" i="19"/>
  <c r="H871" i="19"/>
  <c r="H872" i="19"/>
  <c r="H873" i="19"/>
  <c r="H874" i="19"/>
  <c r="H875" i="19"/>
  <c r="H876" i="19"/>
  <c r="H877" i="19"/>
  <c r="H878" i="19"/>
  <c r="H879" i="19"/>
  <c r="H880" i="19"/>
  <c r="H881" i="19"/>
  <c r="H882" i="19"/>
  <c r="H883" i="19"/>
  <c r="H884" i="19"/>
  <c r="H885" i="19"/>
  <c r="H886" i="19"/>
  <c r="H887" i="19"/>
  <c r="H888" i="19"/>
  <c r="H889" i="19"/>
  <c r="H890" i="19"/>
  <c r="H891" i="19"/>
  <c r="H892" i="19"/>
  <c r="H893" i="19"/>
  <c r="H894" i="19"/>
  <c r="H895" i="19"/>
  <c r="H896" i="19"/>
  <c r="H897" i="19"/>
  <c r="H898" i="19"/>
  <c r="H899" i="19"/>
  <c r="H900" i="19"/>
  <c r="H901" i="19"/>
  <c r="H902" i="19"/>
  <c r="H903" i="19"/>
  <c r="H904" i="19"/>
  <c r="H905" i="19"/>
  <c r="H906" i="19"/>
  <c r="H907" i="19"/>
  <c r="H908" i="19"/>
  <c r="H909" i="19"/>
  <c r="H910" i="19"/>
  <c r="H911" i="19"/>
  <c r="H912" i="19"/>
  <c r="H913" i="19"/>
  <c r="H914" i="19"/>
  <c r="H915" i="19"/>
  <c r="H916" i="19"/>
  <c r="H917" i="19"/>
  <c r="H918" i="19"/>
  <c r="H919" i="19"/>
  <c r="H920" i="19"/>
  <c r="H921" i="19"/>
  <c r="H922" i="19"/>
  <c r="H923" i="19"/>
  <c r="H924" i="19"/>
  <c r="H925" i="19"/>
  <c r="H926" i="19"/>
  <c r="H927" i="19"/>
  <c r="H928" i="19"/>
  <c r="H929" i="19"/>
  <c r="H930" i="19"/>
  <c r="H931" i="19"/>
  <c r="H932" i="19"/>
  <c r="H933" i="19"/>
  <c r="H934" i="19"/>
  <c r="H935" i="19"/>
  <c r="H936" i="19"/>
  <c r="H937" i="19"/>
  <c r="H938" i="19"/>
  <c r="H939" i="19"/>
  <c r="H940" i="19"/>
  <c r="H941" i="19"/>
  <c r="H942" i="19"/>
  <c r="H943" i="19"/>
  <c r="H944" i="19"/>
  <c r="H945" i="19"/>
  <c r="H946" i="19"/>
  <c r="H947" i="19"/>
  <c r="H948" i="19"/>
  <c r="H949" i="19"/>
  <c r="H950" i="19"/>
  <c r="H951" i="19"/>
  <c r="H952" i="19"/>
  <c r="H953" i="19"/>
  <c r="H954" i="19"/>
  <c r="H955" i="19"/>
  <c r="H956" i="19"/>
  <c r="H957" i="19"/>
  <c r="H958" i="19"/>
  <c r="H959" i="19"/>
  <c r="H960" i="19"/>
  <c r="H961" i="19"/>
  <c r="H962" i="19"/>
  <c r="H963" i="19"/>
  <c r="H964" i="19"/>
  <c r="H965" i="19"/>
  <c r="H966" i="19"/>
  <c r="H967" i="19"/>
  <c r="H968" i="19"/>
  <c r="H969" i="19"/>
  <c r="H970" i="19"/>
  <c r="H971" i="19"/>
  <c r="H972" i="19"/>
  <c r="H973" i="19"/>
  <c r="H974" i="19"/>
  <c r="H975" i="19"/>
  <c r="H976" i="19"/>
  <c r="H977" i="19"/>
  <c r="H978" i="19"/>
  <c r="H979" i="19"/>
  <c r="H980" i="19"/>
  <c r="H981" i="19"/>
  <c r="H982" i="19"/>
  <c r="H983" i="19"/>
  <c r="H984" i="19"/>
  <c r="H985" i="19"/>
  <c r="H986" i="19"/>
  <c r="H987" i="19"/>
  <c r="H988" i="19"/>
  <c r="H989" i="19"/>
  <c r="H990" i="19"/>
  <c r="H991" i="19"/>
  <c r="H992" i="19"/>
  <c r="H993" i="19"/>
  <c r="H994" i="19"/>
  <c r="H995" i="19"/>
  <c r="H996" i="19"/>
  <c r="H997" i="19"/>
  <c r="H998" i="19"/>
  <c r="H999" i="19"/>
  <c r="H1000" i="19"/>
  <c r="H1001" i="19"/>
  <c r="H1002" i="19"/>
  <c r="H1003" i="19"/>
  <c r="H1004" i="19"/>
  <c r="H1005" i="19"/>
  <c r="H1006" i="19"/>
  <c r="H1007" i="19"/>
  <c r="H1008" i="19"/>
  <c r="H1009" i="19"/>
  <c r="H1010" i="19"/>
  <c r="H1011" i="19"/>
  <c r="H1012" i="19"/>
  <c r="H1013" i="19"/>
  <c r="H1014" i="19"/>
  <c r="H1015" i="19"/>
  <c r="H1016" i="19"/>
  <c r="H1017" i="19"/>
  <c r="H1018" i="19"/>
  <c r="H1019" i="19"/>
  <c r="H1020" i="19"/>
  <c r="H1021" i="19"/>
  <c r="H1022" i="19"/>
  <c r="H1023" i="19"/>
  <c r="H1024" i="19"/>
  <c r="H1025" i="19"/>
  <c r="H1026" i="19"/>
  <c r="H1027" i="19"/>
  <c r="B1028" i="19"/>
  <c r="B1029" i="19"/>
  <c r="B1030" i="19"/>
  <c r="B1031" i="19"/>
  <c r="B1032" i="19"/>
  <c r="B1033" i="19"/>
  <c r="B1034" i="19"/>
  <c r="B1035" i="19"/>
  <c r="I1035" i="19" s="1"/>
  <c r="B1036" i="19"/>
  <c r="B1037" i="19"/>
  <c r="B1038" i="19"/>
  <c r="B1039" i="19"/>
  <c r="B1040" i="19"/>
  <c r="B1041" i="19"/>
  <c r="B1042" i="19"/>
  <c r="B1043" i="19"/>
  <c r="B1044" i="19"/>
  <c r="B1045" i="19"/>
  <c r="H1046" i="19"/>
  <c r="H1047" i="19"/>
  <c r="H1048" i="19"/>
  <c r="H1049" i="19"/>
  <c r="H1050" i="19"/>
  <c r="H1051" i="19"/>
  <c r="H1052" i="19"/>
  <c r="H1053" i="19"/>
  <c r="H1054" i="19"/>
  <c r="H1055" i="19"/>
  <c r="H1056" i="19"/>
  <c r="H1057" i="19"/>
  <c r="H1058" i="19"/>
  <c r="H1059" i="19"/>
  <c r="H1060" i="19"/>
  <c r="H1061" i="19"/>
  <c r="H1062" i="19"/>
  <c r="H1063" i="19"/>
  <c r="B1064" i="19"/>
  <c r="B1065" i="19"/>
  <c r="B1066" i="19"/>
  <c r="B1067" i="19"/>
  <c r="B1068" i="19"/>
  <c r="B1069" i="19"/>
  <c r="B1070" i="19"/>
  <c r="B1071" i="19"/>
  <c r="B1072" i="19"/>
  <c r="B1073" i="19"/>
  <c r="B1074" i="19"/>
  <c r="B1075" i="19"/>
  <c r="B1076" i="19"/>
  <c r="B1077" i="19"/>
  <c r="I1077" i="19" s="1"/>
  <c r="B1078" i="19"/>
  <c r="B1079" i="19"/>
  <c r="B1080" i="19"/>
  <c r="B1081" i="19"/>
  <c r="H1082" i="19"/>
  <c r="H1083" i="19"/>
  <c r="H1084" i="19"/>
  <c r="H1085" i="19"/>
  <c r="H1086" i="19"/>
  <c r="H1087" i="19"/>
  <c r="B1208" i="19"/>
  <c r="B1209" i="19"/>
  <c r="B1210" i="19"/>
  <c r="B1211" i="19"/>
  <c r="B1212" i="19"/>
  <c r="B1213" i="19"/>
  <c r="B1214" i="19"/>
  <c r="B1215" i="19"/>
  <c r="B1216" i="19"/>
  <c r="B1217" i="19"/>
  <c r="B1218" i="19"/>
  <c r="B1219" i="19"/>
  <c r="B1220" i="19"/>
  <c r="B1221" i="19"/>
  <c r="B1222" i="19"/>
  <c r="B1223" i="19"/>
  <c r="B1224" i="19"/>
  <c r="B1225" i="19"/>
  <c r="B1226" i="19"/>
  <c r="B1227" i="19"/>
  <c r="B1228" i="19"/>
  <c r="B1229" i="19"/>
  <c r="B1230" i="19"/>
  <c r="B1231" i="19"/>
  <c r="B1232" i="19"/>
  <c r="B1233" i="19"/>
  <c r="B1234" i="19"/>
  <c r="B1235" i="19"/>
  <c r="B1236" i="19"/>
  <c r="B1237" i="19"/>
  <c r="B1238" i="19"/>
  <c r="B1239" i="19"/>
  <c r="B1240" i="19"/>
  <c r="B1241" i="19"/>
  <c r="B1242" i="19"/>
  <c r="B1243" i="19"/>
  <c r="B1244" i="19"/>
  <c r="B1245" i="19"/>
  <c r="B1246" i="19"/>
  <c r="B1247" i="19"/>
  <c r="B1248" i="19"/>
  <c r="B1249" i="19"/>
  <c r="B1250" i="19"/>
  <c r="B1251" i="19"/>
  <c r="B1252" i="19"/>
  <c r="B1253" i="19"/>
  <c r="B1254" i="19"/>
  <c r="B1255" i="19"/>
  <c r="B1256" i="19"/>
  <c r="B1257" i="19"/>
  <c r="B1258" i="19"/>
  <c r="B1259" i="19"/>
  <c r="B1260" i="19"/>
  <c r="B1261" i="19"/>
  <c r="B1262" i="19"/>
  <c r="B1263" i="19"/>
  <c r="B1264" i="19"/>
  <c r="B1265" i="19"/>
  <c r="B1266" i="19"/>
  <c r="B1267"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I1075" i="19" l="1"/>
  <c r="I1033" i="19"/>
  <c r="I1074" i="19"/>
  <c r="I1032" i="19"/>
  <c r="I1072" i="19"/>
  <c r="I1044" i="19"/>
  <c r="I1071" i="19"/>
  <c r="I1043" i="19"/>
  <c r="I1029" i="19"/>
  <c r="I1076" i="19"/>
  <c r="I1034" i="19"/>
  <c r="I1073" i="19"/>
  <c r="I1045" i="19"/>
  <c r="I1031" i="19"/>
  <c r="I1030" i="19"/>
  <c r="I1070" i="19"/>
  <c r="I1042" i="19"/>
  <c r="I1153" i="19"/>
  <c r="I1146" i="19"/>
  <c r="I1139" i="19"/>
  <c r="I12" i="19"/>
  <c r="K12" i="19" s="1"/>
  <c r="H1153" i="19"/>
  <c r="H1146" i="19"/>
  <c r="H1139" i="19"/>
  <c r="I13" i="19"/>
  <c r="I27" i="19"/>
  <c r="K27" i="19" s="1"/>
  <c r="I41" i="19"/>
  <c r="K41" i="19" s="1"/>
  <c r="I55" i="19"/>
  <c r="K55" i="19" s="1"/>
  <c r="I1152" i="19"/>
  <c r="I1028" i="19"/>
  <c r="I1069" i="19"/>
  <c r="I1040" i="19"/>
  <c r="I1041" i="19"/>
  <c r="I1067" i="19"/>
  <c r="I1068" i="19"/>
  <c r="I1081" i="19"/>
  <c r="I1039" i="19"/>
  <c r="I1080" i="19"/>
  <c r="I1066" i="19"/>
  <c r="I1038" i="19"/>
  <c r="I1079" i="19"/>
  <c r="I1065" i="19"/>
  <c r="I1037" i="19"/>
  <c r="I1078" i="19"/>
  <c r="I1064" i="19"/>
  <c r="I1036" i="19"/>
  <c r="H1074" i="19"/>
  <c r="Z4" i="21"/>
  <c r="AN4" i="21"/>
  <c r="AE4" i="21"/>
  <c r="AF4" i="21"/>
  <c r="AH4" i="21"/>
  <c r="AI4" i="21"/>
  <c r="AJ4" i="21"/>
  <c r="AK4" i="21"/>
  <c r="X4" i="21"/>
  <c r="AL4" i="21"/>
  <c r="AG4" i="21"/>
  <c r="Y4" i="21"/>
  <c r="AM4" i="21"/>
  <c r="AB4" i="21"/>
  <c r="AA4" i="21"/>
  <c r="AC4" i="21"/>
  <c r="AD4" i="21"/>
  <c r="H1029" i="19"/>
  <c r="H1043" i="19"/>
  <c r="H1088" i="19"/>
  <c r="H1089" i="19"/>
  <c r="H1096" i="19"/>
  <c r="H1103" i="19"/>
  <c r="H1110" i="19"/>
  <c r="H1117" i="19"/>
  <c r="B3" i="2" a="1"/>
  <c r="B3" i="2" s="1"/>
  <c r="H1090" i="19"/>
  <c r="H1097" i="19"/>
  <c r="H1104" i="19"/>
  <c r="C2" i="4" a="1"/>
  <c r="H1091" i="19"/>
  <c r="H1098" i="19"/>
  <c r="H1105" i="19"/>
  <c r="H1112" i="19"/>
  <c r="H1092" i="19"/>
  <c r="H1099" i="19"/>
  <c r="H1106" i="19"/>
  <c r="A5" i="5" a="1"/>
  <c r="A5" i="5" s="1"/>
  <c r="H1093" i="19"/>
  <c r="H1100" i="19"/>
  <c r="A6" i="20" a="1"/>
  <c r="A6" i="20" s="1"/>
  <c r="H1068" i="19"/>
  <c r="H1073" i="19"/>
  <c r="H1077" i="19"/>
  <c r="H1034" i="19"/>
  <c r="H1040" i="19"/>
  <c r="J3" i="19"/>
  <c r="J44" i="19"/>
  <c r="J86" i="19"/>
  <c r="A5" i="21" a="1"/>
  <c r="J51" i="19"/>
  <c r="J52" i="19"/>
  <c r="J10" i="19"/>
  <c r="J65" i="19"/>
  <c r="J17" i="19"/>
  <c r="J66" i="19"/>
  <c r="J24" i="19"/>
  <c r="J73" i="19"/>
  <c r="J31" i="19"/>
  <c r="J7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K83" i="19"/>
  <c r="K76" i="19"/>
  <c r="K69" i="19"/>
  <c r="K62" i="19"/>
  <c r="K48" i="19"/>
  <c r="K34" i="19"/>
  <c r="K20" i="19"/>
  <c r="K13" i="19"/>
  <c r="K6" i="19"/>
  <c r="H1033" i="19"/>
  <c r="J83" i="19"/>
  <c r="J76" i="19"/>
  <c r="J69" i="19"/>
  <c r="J62" i="19"/>
  <c r="J55" i="19"/>
  <c r="J48" i="19"/>
  <c r="J41" i="19"/>
  <c r="J34" i="19"/>
  <c r="J27" i="19"/>
  <c r="J20" i="19"/>
  <c r="J13" i="19"/>
  <c r="J6" i="19"/>
  <c r="K86" i="19"/>
  <c r="K79" i="19"/>
  <c r="K72" i="19"/>
  <c r="K65" i="19"/>
  <c r="K58" i="19"/>
  <c r="K51" i="19"/>
  <c r="K44" i="19"/>
  <c r="K37" i="19"/>
  <c r="K30" i="19"/>
  <c r="K23" i="19"/>
  <c r="K16" i="19"/>
  <c r="K9" i="19"/>
  <c r="J16" i="19"/>
  <c r="J9" i="19"/>
  <c r="H1067" i="19"/>
  <c r="H1028" i="19"/>
  <c r="H1066" i="19"/>
  <c r="H1032" i="19"/>
  <c r="K68" i="19"/>
  <c r="K61" i="19"/>
  <c r="K54" i="19"/>
  <c r="K47" i="19"/>
  <c r="K40" i="19"/>
  <c r="K33" i="19"/>
  <c r="K26" i="19"/>
  <c r="K19" i="19"/>
  <c r="I5" i="19"/>
  <c r="K5" i="19" s="1"/>
  <c r="H1071" i="19"/>
  <c r="J82" i="19"/>
  <c r="J75" i="19"/>
  <c r="J68" i="19"/>
  <c r="J61" i="19"/>
  <c r="J54" i="19"/>
  <c r="J47" i="19"/>
  <c r="J40" i="19"/>
  <c r="J33" i="19"/>
  <c r="J26" i="19"/>
  <c r="J19" i="19"/>
  <c r="J12" i="19"/>
  <c r="J5" i="19"/>
  <c r="H1081" i="19"/>
  <c r="H1076" i="19"/>
  <c r="H1042" i="19"/>
  <c r="H1041" i="19"/>
  <c r="K85" i="19"/>
  <c r="K78" i="19"/>
  <c r="K71" i="19"/>
  <c r="K64" i="19"/>
  <c r="K57" i="19"/>
  <c r="K50" i="19"/>
  <c r="K43" i="19"/>
  <c r="K36" i="19"/>
  <c r="K29" i="19"/>
  <c r="K22" i="19"/>
  <c r="K15" i="19"/>
  <c r="K8" i="19"/>
  <c r="H1037" i="19"/>
  <c r="H1075" i="19"/>
  <c r="H1031" i="19"/>
  <c r="J85" i="19"/>
  <c r="J78" i="19"/>
  <c r="J71" i="19"/>
  <c r="J64" i="19"/>
  <c r="J57" i="19"/>
  <c r="J50" i="19"/>
  <c r="J43" i="19"/>
  <c r="J36" i="19"/>
  <c r="J29" i="19"/>
  <c r="J22" i="19"/>
  <c r="J15" i="19"/>
  <c r="J8" i="19"/>
  <c r="H1072" i="19"/>
  <c r="H1038" i="19"/>
  <c r="H1080" i="19"/>
  <c r="H1070" i="19"/>
  <c r="H1036" i="19"/>
  <c r="H1079" i="19"/>
  <c r="H1065" i="19"/>
  <c r="H1045" i="19"/>
  <c r="K81" i="19"/>
  <c r="K74" i="19"/>
  <c r="K67" i="19"/>
  <c r="K60" i="19"/>
  <c r="K53" i="19"/>
  <c r="K46" i="19"/>
  <c r="K39" i="19"/>
  <c r="K32" i="19"/>
  <c r="K25" i="19"/>
  <c r="K18" i="19"/>
  <c r="K11" i="19"/>
  <c r="I4" i="19"/>
  <c r="K4" i="19" s="1"/>
  <c r="J81" i="19"/>
  <c r="J74" i="19"/>
  <c r="J67" i="19"/>
  <c r="J60" i="19"/>
  <c r="J53" i="19"/>
  <c r="J46" i="19"/>
  <c r="J39" i="19"/>
  <c r="J32" i="19"/>
  <c r="J25" i="19"/>
  <c r="J18" i="19"/>
  <c r="J11" i="19"/>
  <c r="J4" i="19"/>
  <c r="K84" i="19"/>
  <c r="K77" i="19"/>
  <c r="K70" i="19"/>
  <c r="K63" i="19"/>
  <c r="K56" i="19"/>
  <c r="K49" i="19"/>
  <c r="K42" i="19"/>
  <c r="K35" i="19"/>
  <c r="K28" i="19"/>
  <c r="K21" i="19"/>
  <c r="K14" i="19"/>
  <c r="K7" i="19"/>
  <c r="H1035" i="19"/>
  <c r="H1078" i="19"/>
  <c r="H1064" i="19"/>
  <c r="H1044" i="19"/>
  <c r="H1039" i="19"/>
  <c r="J84" i="19"/>
  <c r="J77" i="19"/>
  <c r="J70" i="19"/>
  <c r="J63" i="19"/>
  <c r="J56" i="19"/>
  <c r="J49" i="19"/>
  <c r="J42" i="19"/>
  <c r="J35" i="19"/>
  <c r="J28" i="19"/>
  <c r="J21" i="19"/>
  <c r="J14" i="19"/>
  <c r="J7" i="19"/>
  <c r="H1069" i="19"/>
  <c r="H1030" i="19"/>
  <c r="K80" i="19"/>
  <c r="K73" i="19"/>
  <c r="K66" i="19"/>
  <c r="K59" i="19"/>
  <c r="K52" i="19"/>
  <c r="K45" i="19"/>
  <c r="K38" i="19"/>
  <c r="K31" i="19"/>
  <c r="K24" i="19"/>
  <c r="K17" i="19"/>
  <c r="K10" i="19"/>
  <c r="I3" i="19"/>
  <c r="K3" i="19" s="1"/>
  <c r="A7" i="16"/>
  <c r="U7" i="16"/>
  <c r="J2" i="4" a="1"/>
  <c r="J2" i="4" s="1"/>
  <c r="K49" i="4"/>
  <c r="J49" i="4"/>
  <c r="K48" i="4"/>
  <c r="J48" i="4"/>
  <c r="K47" i="4"/>
  <c r="J47" i="4"/>
  <c r="K46" i="4"/>
  <c r="J46" i="4"/>
  <c r="K45" i="4"/>
  <c r="J45" i="4"/>
  <c r="K44" i="4"/>
  <c r="J44" i="4"/>
  <c r="K43" i="4"/>
  <c r="J43" i="4"/>
  <c r="J23" i="21" l="1" a="1"/>
  <c r="J23" i="21" s="1"/>
  <c r="K23" i="21" a="1"/>
  <c r="K23" i="21" s="1"/>
  <c r="L23" i="21" a="1"/>
  <c r="L23" i="21" s="1"/>
  <c r="M23" i="21" a="1"/>
  <c r="M23" i="21" s="1"/>
  <c r="N23" i="21" a="1"/>
  <c r="N23" i="21" s="1"/>
  <c r="O23" i="21" a="1"/>
  <c r="O23" i="21" s="1"/>
  <c r="P23" i="21" a="1"/>
  <c r="P23" i="21" s="1"/>
  <c r="C23" i="21" a="1"/>
  <c r="C23" i="21" s="1"/>
  <c r="Q23" i="21" a="1"/>
  <c r="Q23" i="21" s="1"/>
  <c r="D23" i="21" a="1"/>
  <c r="D23" i="21" s="1"/>
  <c r="R23" i="21" a="1"/>
  <c r="R23" i="21" s="1"/>
  <c r="E23" i="21" a="1"/>
  <c r="E23" i="21" s="1"/>
  <c r="S23" i="21" a="1"/>
  <c r="S23" i="21" s="1"/>
  <c r="F23" i="21" a="1"/>
  <c r="F23" i="21" s="1"/>
  <c r="T23" i="21" a="1"/>
  <c r="T23" i="21" s="1"/>
  <c r="G23" i="21" a="1"/>
  <c r="G23" i="21" s="1"/>
  <c r="H23" i="21" a="1"/>
  <c r="H23" i="21" s="1"/>
  <c r="I23" i="21" a="1"/>
  <c r="I23" i="21" s="1"/>
  <c r="O7" i="20"/>
  <c r="R22" i="21" a="1"/>
  <c r="R22" i="21" s="1"/>
  <c r="H22" i="21" a="1"/>
  <c r="H22" i="21" s="1"/>
  <c r="K22" i="21" a="1"/>
  <c r="K22" i="21" s="1"/>
  <c r="J22" i="21" a="1"/>
  <c r="J22" i="21" s="1"/>
  <c r="L22" i="21" a="1"/>
  <c r="L22" i="21" s="1"/>
  <c r="M22" i="21" a="1"/>
  <c r="M22" i="21" s="1"/>
  <c r="P22" i="21" a="1"/>
  <c r="P22" i="21" s="1"/>
  <c r="N22" i="21" a="1"/>
  <c r="N22" i="21" s="1"/>
  <c r="D22" i="21" a="1"/>
  <c r="D22" i="21" s="1"/>
  <c r="F22" i="21" a="1"/>
  <c r="F22" i="21" s="1"/>
  <c r="T22" i="21" a="1"/>
  <c r="T22" i="21" s="1"/>
  <c r="O22" i="21" a="1"/>
  <c r="O22" i="21" s="1"/>
  <c r="Q22" i="21" a="1"/>
  <c r="Q22" i="21" s="1"/>
  <c r="E22" i="21" a="1"/>
  <c r="E22" i="21" s="1"/>
  <c r="S22" i="21" a="1"/>
  <c r="S22" i="21" s="1"/>
  <c r="G22" i="21" a="1"/>
  <c r="G22" i="21" s="1"/>
  <c r="C22" i="21" a="1"/>
  <c r="C22" i="21" s="1"/>
  <c r="I22" i="21" a="1"/>
  <c r="I22" i="21" s="1"/>
  <c r="C2" i="4"/>
  <c r="V18" i="21" s="1" a="1"/>
  <c r="V18" i="21" s="1"/>
  <c r="A20" i="4"/>
  <c r="A21" i="4"/>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I3" i="20" s="1" a="1"/>
  <c r="I3" i="20" s="1"/>
  <c r="L6" i="20"/>
  <c r="P6" i="20"/>
  <c r="C6" i="20"/>
  <c r="R6" i="20"/>
  <c r="S6" i="20"/>
  <c r="J6" i="20"/>
  <c r="O6" i="20"/>
  <c r="E6" i="20"/>
  <c r="E3" i="20" s="1" a="1"/>
  <c r="E3" i="20" s="1"/>
  <c r="K6" i="20"/>
  <c r="M6" i="20"/>
  <c r="N6" i="20"/>
  <c r="Q6" i="20"/>
  <c r="D6" i="20"/>
  <c r="F6" i="20"/>
  <c r="G6" i="20"/>
  <c r="H6" i="20"/>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50" i="17"/>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50" i="17"/>
  <c r="O2" i="17"/>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C3" i="20" l="1" a="1"/>
  <c r="C3" i="20" s="1"/>
  <c r="H3" i="20" a="1"/>
  <c r="H3" i="20" s="1"/>
  <c r="B23" i="21"/>
  <c r="AK23" i="21" s="1"/>
  <c r="AC23" i="21"/>
  <c r="B22" i="21"/>
  <c r="X22" i="21" s="1"/>
  <c r="V23" i="21" a="1"/>
  <c r="V23" i="21" s="1"/>
  <c r="S3" i="20" a="1"/>
  <c r="S3" i="20" s="1"/>
  <c r="U23" i="21" a="1"/>
  <c r="U23" i="21" s="1"/>
  <c r="AJ22" i="21"/>
  <c r="B14" i="21"/>
  <c r="AM14" i="21" s="1"/>
  <c r="V11" i="21" a="1"/>
  <c r="V11" i="21" s="1"/>
  <c r="B6" i="21"/>
  <c r="B12" i="21"/>
  <c r="V20" i="21" a="1"/>
  <c r="V20" i="21" s="1"/>
  <c r="F3" i="20" a="1"/>
  <c r="F3" i="20" s="1"/>
  <c r="B8" i="21"/>
  <c r="B17" i="21"/>
  <c r="U17" i="21" a="1"/>
  <c r="U17" i="21" s="1"/>
  <c r="V13" i="21" a="1"/>
  <c r="V13" i="21" s="1"/>
  <c r="U10" i="21" a="1"/>
  <c r="U10" i="21" s="1"/>
  <c r="V15" i="21" a="1"/>
  <c r="V15" i="21" s="1"/>
  <c r="V6" i="21" a="1"/>
  <c r="V6" i="21" s="1"/>
  <c r="B9" i="21"/>
  <c r="U20" i="21" a="1"/>
  <c r="U20" i="21" s="1"/>
  <c r="V8" i="21" a="1"/>
  <c r="V8" i="21" s="1"/>
  <c r="U13" i="21" a="1"/>
  <c r="U13" i="21" s="1"/>
  <c r="U21" i="21" a="1"/>
  <c r="U21" i="21" s="1"/>
  <c r="U15" i="21" a="1"/>
  <c r="U15" i="21" s="1"/>
  <c r="U6" i="21" a="1"/>
  <c r="U6" i="21" s="1"/>
  <c r="U11" i="21" a="1"/>
  <c r="U11" i="21" s="1"/>
  <c r="U8" i="21" a="1"/>
  <c r="U8" i="21" s="1"/>
  <c r="V19" i="21" a="1"/>
  <c r="V19" i="21" s="1"/>
  <c r="B13" i="21"/>
  <c r="B15" i="21"/>
  <c r="AC15" i="21" s="1"/>
  <c r="V12" i="21" a="1"/>
  <c r="V12" i="21" s="1"/>
  <c r="V17" i="21" a="1"/>
  <c r="V17" i="21" s="1"/>
  <c r="V21" i="21" a="1"/>
  <c r="V21" i="21" s="1"/>
  <c r="V22" i="21" a="1"/>
  <c r="V22" i="21" s="1"/>
  <c r="B7" i="21"/>
  <c r="AD7" i="21" s="1"/>
  <c r="V10" i="21" a="1"/>
  <c r="V10" i="21" s="1"/>
  <c r="V16" i="21" a="1"/>
  <c r="V16" i="21" s="1"/>
  <c r="V14" i="21" a="1"/>
  <c r="V14" i="21" s="1"/>
  <c r="U12" i="21" a="1"/>
  <c r="U12" i="21" s="1"/>
  <c r="B18" i="21"/>
  <c r="B20" i="21"/>
  <c r="AN20" i="21" s="1"/>
  <c r="V9" i="21" a="1"/>
  <c r="V9" i="21" s="1"/>
  <c r="V7" i="21" a="1"/>
  <c r="V7" i="21" s="1"/>
  <c r="U22" i="21" a="1"/>
  <c r="U22" i="21" s="1"/>
  <c r="U16" i="21" a="1"/>
  <c r="U16" i="21" s="1"/>
  <c r="U14" i="21" a="1"/>
  <c r="U14" i="21" s="1"/>
  <c r="U19" i="21" a="1"/>
  <c r="U19" i="21" s="1"/>
  <c r="B16" i="21"/>
  <c r="AJ16" i="21" s="1"/>
  <c r="B11" i="21"/>
  <c r="Y11" i="21" s="1"/>
  <c r="B21" i="21"/>
  <c r="X21" i="21" s="1"/>
  <c r="U9" i="21" a="1"/>
  <c r="U9" i="21" s="1"/>
  <c r="U7" i="21" a="1"/>
  <c r="U7" i="21" s="1"/>
  <c r="B10" i="21"/>
  <c r="X10" i="21" s="1"/>
  <c r="B19" i="21"/>
  <c r="U18" i="21" a="1"/>
  <c r="U18" i="21" s="1"/>
  <c r="V5" i="2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W19"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Y22" i="21" l="1"/>
  <c r="AM22" i="21"/>
  <c r="AA22" i="21"/>
  <c r="AN22" i="21"/>
  <c r="Y23" i="21"/>
  <c r="AI22" i="21"/>
  <c r="AI23" i="21"/>
  <c r="AK22" i="21"/>
  <c r="AG23" i="21"/>
  <c r="X23" i="21"/>
  <c r="AL22" i="21"/>
  <c r="AL23" i="21"/>
  <c r="AM23" i="21"/>
  <c r="AB22" i="21"/>
  <c r="W23" i="21"/>
  <c r="AN23" i="21"/>
  <c r="AJ23" i="21"/>
  <c r="AE22" i="21"/>
  <c r="AD23" i="21"/>
  <c r="AB23" i="21"/>
  <c r="W22" i="21"/>
  <c r="AE23" i="21"/>
  <c r="AA23" i="21"/>
  <c r="AD22" i="21"/>
  <c r="AF23" i="21"/>
  <c r="Z23" i="21"/>
  <c r="AH22" i="21"/>
  <c r="AH23" i="21"/>
  <c r="Z22" i="21"/>
  <c r="AC22" i="21"/>
  <c r="AF22" i="21"/>
  <c r="AG22" i="21"/>
  <c r="M45" i="17" a="1"/>
  <c r="M45" i="17" s="1"/>
  <c r="N49" i="17"/>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O92" i="16" s="1"/>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H106" i="16" s="1"/>
  <c r="I106" i="16" s="1"/>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K120" i="16" s="1"/>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J134" i="16" s="1"/>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N148" i="16" s="1"/>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H162" i="16" s="1"/>
  <c r="I162" i="16" s="1"/>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L176" i="16" s="1"/>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H6" i="16"/>
  <c r="I6" i="16" s="1"/>
  <c r="L6" i="16"/>
  <c r="K8" i="16"/>
  <c r="N8" i="16"/>
  <c r="O8" i="16"/>
  <c r="O9" i="16"/>
  <c r="H10" i="16"/>
  <c r="I10" i="16" s="1"/>
  <c r="J10" i="16"/>
  <c r="K10" i="16"/>
  <c r="N11" i="16"/>
  <c r="J23" i="16"/>
  <c r="K23" i="16"/>
  <c r="M25" i="16"/>
  <c r="O36" i="16"/>
  <c r="L37" i="16"/>
  <c r="O37" i="16"/>
  <c r="H38" i="16"/>
  <c r="I38" i="16" s="1"/>
  <c r="J38" i="16"/>
  <c r="K38" i="16"/>
  <c r="N47" i="16"/>
  <c r="J51" i="16"/>
  <c r="K51" i="16"/>
  <c r="L51" i="16"/>
  <c r="L53" i="16"/>
  <c r="H65" i="16"/>
  <c r="I65" i="16" s="1"/>
  <c r="L65" i="16"/>
  <c r="M66" i="16"/>
  <c r="N66" i="16"/>
  <c r="O68" i="16"/>
  <c r="M69" i="16"/>
  <c r="O78" i="16"/>
  <c r="H79" i="16"/>
  <c r="I79" i="16" s="1"/>
  <c r="J79" i="16"/>
  <c r="N79" i="16"/>
  <c r="N81" i="16"/>
  <c r="N87" i="16"/>
  <c r="O87" i="16"/>
  <c r="L92" i="16"/>
  <c r="M92" i="16"/>
  <c r="N92" i="16"/>
  <c r="J93" i="16"/>
  <c r="O93" i="16"/>
  <c r="H94" i="16"/>
  <c r="I94" i="16" s="1"/>
  <c r="J94" i="16"/>
  <c r="J101" i="16"/>
  <c r="K101" i="16"/>
  <c r="L101" i="16"/>
  <c r="K104" i="16"/>
  <c r="O104" i="16"/>
  <c r="H105" i="16"/>
  <c r="I105" i="16" s="1"/>
  <c r="J105" i="16"/>
  <c r="H107" i="16"/>
  <c r="I107" i="16" s="1"/>
  <c r="L107" i="16"/>
  <c r="M107" i="16"/>
  <c r="J108" i="16"/>
  <c r="J115" i="16"/>
  <c r="M120" i="16"/>
  <c r="N120" i="16"/>
  <c r="O120" i="16"/>
  <c r="H121" i="16"/>
  <c r="I121" i="16" s="1"/>
  <c r="M124" i="16"/>
  <c r="N124" i="16"/>
  <c r="O124" i="16"/>
  <c r="N128" i="16"/>
  <c r="M129" i="16"/>
  <c r="O130" i="16"/>
  <c r="L132" i="16"/>
  <c r="M132" i="16"/>
  <c r="L133" i="16"/>
  <c r="H134" i="16"/>
  <c r="I134" i="16" s="1"/>
  <c r="H135" i="16"/>
  <c r="I135" i="16" s="1"/>
  <c r="N135" i="16"/>
  <c r="M136" i="16"/>
  <c r="N136" i="16"/>
  <c r="L138" i="16"/>
  <c r="N142" i="16"/>
  <c r="O142" i="16"/>
  <c r="H143" i="16"/>
  <c r="I143" i="16" s="1"/>
  <c r="J143" i="16"/>
  <c r="M145" i="16"/>
  <c r="K148" i="16"/>
  <c r="L148" i="16"/>
  <c r="M148" i="16"/>
  <c r="J149" i="16"/>
  <c r="L150" i="16"/>
  <c r="M150" i="16"/>
  <c r="J157" i="16"/>
  <c r="K157" i="16"/>
  <c r="L157" i="16"/>
  <c r="N159" i="16"/>
  <c r="J160" i="16"/>
  <c r="K160" i="16"/>
  <c r="N160" i="16"/>
  <c r="H161" i="16"/>
  <c r="I161" i="16" s="1"/>
  <c r="H163" i="16"/>
  <c r="I163" i="16" s="1"/>
  <c r="J163" i="16"/>
  <c r="O166" i="16"/>
  <c r="H167" i="16"/>
  <c r="I167" i="16" s="1"/>
  <c r="O168" i="16"/>
  <c r="J171" i="16"/>
  <c r="K171" i="16"/>
  <c r="L171" i="16"/>
  <c r="N173" i="16"/>
  <c r="H176" i="16"/>
  <c r="I176" i="16" s="1"/>
  <c r="J176" i="16"/>
  <c r="K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0" i="17"/>
  <c r="K50" i="17" s="1"/>
  <c r="N50" i="17"/>
  <c r="P50" i="17"/>
  <c r="Q50" i="17"/>
  <c r="T50" i="17"/>
  <c r="V50" i="17"/>
  <c r="W50"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L174" i="16" l="1"/>
  <c r="N162" i="16"/>
  <c r="M159" i="16"/>
  <c r="O147" i="16"/>
  <c r="M131" i="16"/>
  <c r="J120" i="16"/>
  <c r="O106" i="16"/>
  <c r="M103" i="16"/>
  <c r="H92" i="16"/>
  <c r="I92" i="16" s="1"/>
  <c r="J78" i="16"/>
  <c r="K64" i="16"/>
  <c r="N50" i="16"/>
  <c r="J36" i="16"/>
  <c r="K22" i="16"/>
  <c r="J8" i="16"/>
  <c r="K174" i="16"/>
  <c r="M162" i="16"/>
  <c r="N147" i="16"/>
  <c r="J131" i="16"/>
  <c r="H120" i="16"/>
  <c r="I120" i="16" s="1"/>
  <c r="N106" i="16"/>
  <c r="O91" i="16"/>
  <c r="H78" i="16"/>
  <c r="I78" i="16" s="1"/>
  <c r="J64" i="16"/>
  <c r="K50" i="16"/>
  <c r="H36" i="16"/>
  <c r="I36" i="16" s="1"/>
  <c r="J22" i="16"/>
  <c r="H8" i="16"/>
  <c r="I8" i="16" s="1"/>
  <c r="N175" i="16"/>
  <c r="J148" i="16"/>
  <c r="L120" i="16"/>
  <c r="K92" i="16"/>
  <c r="O64" i="16"/>
  <c r="N36" i="16"/>
  <c r="O22" i="16"/>
  <c r="J174" i="16"/>
  <c r="L162" i="16"/>
  <c r="M147" i="16"/>
  <c r="K119" i="16"/>
  <c r="M106" i="16"/>
  <c r="N91" i="16"/>
  <c r="L77" i="16"/>
  <c r="H64" i="16"/>
  <c r="I64" i="16" s="1"/>
  <c r="J50" i="16"/>
  <c r="K35" i="16"/>
  <c r="H22" i="16"/>
  <c r="I22" i="16" s="1"/>
  <c r="N78" i="16"/>
  <c r="M174" i="16"/>
  <c r="H148" i="16"/>
  <c r="I148" i="16" s="1"/>
  <c r="K132" i="16"/>
  <c r="J104" i="16"/>
  <c r="N64" i="16"/>
  <c r="K36" i="16"/>
  <c r="K162" i="16"/>
  <c r="L147" i="16"/>
  <c r="O134" i="16"/>
  <c r="J119" i="16"/>
  <c r="L106" i="16"/>
  <c r="L91" i="16"/>
  <c r="K77" i="16"/>
  <c r="N63" i="16"/>
  <c r="H50" i="16"/>
  <c r="I50" i="16" s="1"/>
  <c r="J35" i="16"/>
  <c r="K21" i="16"/>
  <c r="J173" i="16"/>
  <c r="J162" i="16"/>
  <c r="N145" i="16"/>
  <c r="N134" i="16"/>
  <c r="H119" i="16"/>
  <c r="I119" i="16" s="1"/>
  <c r="K106" i="16"/>
  <c r="K91" i="16"/>
  <c r="J77" i="16"/>
  <c r="M62" i="16"/>
  <c r="K49" i="16"/>
  <c r="H35" i="16"/>
  <c r="I35" i="16" s="1"/>
  <c r="O19" i="16"/>
  <c r="O5" i="16"/>
  <c r="N19" i="16"/>
  <c r="M34" i="16"/>
  <c r="O162" i="16"/>
  <c r="J92" i="16"/>
  <c r="K78" i="16"/>
  <c r="O50" i="16"/>
  <c r="N22" i="16"/>
  <c r="O176" i="16"/>
  <c r="M134" i="16"/>
  <c r="J118" i="16"/>
  <c r="J106" i="16"/>
  <c r="H77" i="16"/>
  <c r="I77" i="16" s="1"/>
  <c r="J62" i="16"/>
  <c r="N176" i="16"/>
  <c r="L161" i="16"/>
  <c r="J145" i="16"/>
  <c r="L134" i="16"/>
  <c r="N117" i="16"/>
  <c r="H62" i="16"/>
  <c r="I62" i="16" s="1"/>
  <c r="L34" i="16"/>
  <c r="M176" i="16"/>
  <c r="K161" i="16"/>
  <c r="O148" i="16"/>
  <c r="H145" i="16"/>
  <c r="I145" i="16" s="1"/>
  <c r="K134" i="16"/>
  <c r="M117" i="16"/>
  <c r="L105" i="16"/>
  <c r="O61" i="16"/>
  <c r="O33" i="16"/>
  <c r="J161" i="16"/>
  <c r="K116" i="16"/>
  <c r="K105" i="16"/>
  <c r="N61" i="16"/>
  <c r="N33" i="16"/>
  <c r="AD1" i="21"/>
  <c r="D5" i="6"/>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C38" i="5"/>
  <c r="C45" i="5"/>
  <c r="C52" i="5"/>
  <c r="C59" i="5"/>
  <c r="C66" i="5"/>
  <c r="C73" i="5"/>
  <c r="C80" i="5"/>
  <c r="C87" i="5"/>
  <c r="C94" i="5"/>
  <c r="C101" i="5"/>
  <c r="C108" i="5"/>
  <c r="H108" i="5" s="1"/>
  <c r="C115" i="5"/>
  <c r="C122" i="5"/>
  <c r="C129" i="5"/>
  <c r="C136" i="5"/>
  <c r="C143" i="5"/>
  <c r="C150" i="5"/>
  <c r="C157" i="5"/>
  <c r="C164" i="5"/>
  <c r="C171" i="5"/>
  <c r="C178" i="5"/>
  <c r="C185" i="5"/>
  <c r="C192" i="5"/>
  <c r="C199" i="5"/>
  <c r="C206" i="5"/>
  <c r="C213" i="5"/>
  <c r="C220" i="5"/>
  <c r="C227" i="5"/>
  <c r="C234" i="5"/>
  <c r="C6" i="5"/>
  <c r="C35" i="5"/>
  <c r="C39" i="5"/>
  <c r="C43" i="5"/>
  <c r="C47" i="5"/>
  <c r="C51" i="5"/>
  <c r="C55" i="5"/>
  <c r="C84" i="5"/>
  <c r="C88" i="5"/>
  <c r="C92" i="5"/>
  <c r="C96" i="5"/>
  <c r="C100" i="5"/>
  <c r="C104" i="5"/>
  <c r="C133" i="5"/>
  <c r="C137" i="5"/>
  <c r="C141" i="5"/>
  <c r="C145" i="5"/>
  <c r="C149" i="5"/>
  <c r="C153" i="5"/>
  <c r="C182" i="5"/>
  <c r="C186" i="5"/>
  <c r="C190" i="5"/>
  <c r="C194" i="5"/>
  <c r="C198" i="5"/>
  <c r="C202" i="5"/>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C32" i="5"/>
  <c r="C36" i="5"/>
  <c r="C40" i="5"/>
  <c r="C44" i="5"/>
  <c r="C48" i="5"/>
  <c r="C77" i="5"/>
  <c r="C81" i="5"/>
  <c r="C85" i="5"/>
  <c r="C89" i="5"/>
  <c r="C93" i="5"/>
  <c r="C97" i="5"/>
  <c r="C126" i="5"/>
  <c r="C130" i="5"/>
  <c r="C134" i="5"/>
  <c r="C138" i="5"/>
  <c r="C142" i="5"/>
  <c r="C146" i="5"/>
  <c r="C175" i="5"/>
  <c r="C179" i="5"/>
  <c r="C183" i="5"/>
  <c r="C187" i="5"/>
  <c r="C191" i="5"/>
  <c r="C195" i="5"/>
  <c r="C224" i="5"/>
  <c r="C228" i="5"/>
  <c r="C232" i="5"/>
  <c r="C236" i="5"/>
  <c r="C240" i="5"/>
  <c r="C247" i="5"/>
  <c r="C254" i="5"/>
  <c r="C8" i="5"/>
  <c r="C12" i="5"/>
  <c r="C16" i="5"/>
  <c r="C20" i="5"/>
  <c r="H20" i="5" s="1"/>
  <c r="C49" i="5"/>
  <c r="C53" i="5"/>
  <c r="C57" i="5"/>
  <c r="C61" i="5"/>
  <c r="C65" i="5"/>
  <c r="C69" i="5"/>
  <c r="C98" i="5"/>
  <c r="C102" i="5"/>
  <c r="C106" i="5"/>
  <c r="C110" i="5"/>
  <c r="C114" i="5"/>
  <c r="C118" i="5"/>
  <c r="C147" i="5"/>
  <c r="C151" i="5"/>
  <c r="C155" i="5"/>
  <c r="C159" i="5"/>
  <c r="C163" i="5"/>
  <c r="C167" i="5"/>
  <c r="C196" i="5"/>
  <c r="C200" i="5"/>
  <c r="C204" i="5"/>
  <c r="C208" i="5"/>
  <c r="C212" i="5"/>
  <c r="C216" i="5"/>
  <c r="C244" i="5"/>
  <c r="C251" i="5"/>
  <c r="D14" i="5"/>
  <c r="D21" i="5"/>
  <c r="C27" i="5"/>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D158" i="5"/>
  <c r="I158" i="5" s="1"/>
  <c r="D204" i="5"/>
  <c r="I204" i="5" s="1"/>
  <c r="D215" i="5"/>
  <c r="D226" i="5"/>
  <c r="D243" i="5"/>
  <c r="D29" i="5"/>
  <c r="I29" i="5" s="1"/>
  <c r="C42" i="5"/>
  <c r="C67" i="5"/>
  <c r="D107" i="5"/>
  <c r="D119" i="5"/>
  <c r="D136" i="5"/>
  <c r="I136" i="5" s="1"/>
  <c r="D170" i="5"/>
  <c r="I170" i="5" s="1"/>
  <c r="D233" i="5"/>
  <c r="D244" i="5"/>
  <c r="D17" i="5"/>
  <c r="C15" i="5"/>
  <c r="D28" i="5"/>
  <c r="D59" i="5"/>
  <c r="D66" i="5"/>
  <c r="I66" i="5" s="1"/>
  <c r="C72" i="5"/>
  <c r="C78" i="5"/>
  <c r="C83" i="5"/>
  <c r="D89" i="5"/>
  <c r="C95" i="5"/>
  <c r="C112" i="5"/>
  <c r="C135" i="5"/>
  <c r="C152" i="5"/>
  <c r="C158" i="5"/>
  <c r="C169" i="5"/>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C60" i="5"/>
  <c r="D72" i="5"/>
  <c r="I72" i="5" s="1"/>
  <c r="D78" i="5"/>
  <c r="D95" i="5"/>
  <c r="D101" i="5"/>
  <c r="I101" i="5" s="1"/>
  <c r="D112" i="5"/>
  <c r="I112" i="5" s="1"/>
  <c r="D135" i="5"/>
  <c r="I135" i="5" s="1"/>
  <c r="D147" i="5"/>
  <c r="D164" i="5"/>
  <c r="D9" i="5"/>
  <c r="D16" i="5"/>
  <c r="C22" i="5"/>
  <c r="H22" i="5" s="1"/>
  <c r="C29" i="5"/>
  <c r="C54" i="5"/>
  <c r="D73" i="5"/>
  <c r="I73" i="5" s="1"/>
  <c r="C90" i="5"/>
  <c r="C107" i="5"/>
  <c r="H107" i="5" s="1"/>
  <c r="C113" i="5"/>
  <c r="C119" i="5"/>
  <c r="C124" i="5"/>
  <c r="D130" i="5"/>
  <c r="I130" i="5" s="1"/>
  <c r="C170" i="5"/>
  <c r="C176" i="5"/>
  <c r="C181" i="5"/>
  <c r="D187" i="5"/>
  <c r="I187" i="5" s="1"/>
  <c r="C193" i="5"/>
  <c r="C210" i="5"/>
  <c r="C233" i="5"/>
  <c r="D199" i="5"/>
  <c r="I199" i="5" s="1"/>
  <c r="D176" i="5"/>
  <c r="I176" i="5" s="1"/>
  <c r="D8" i="5"/>
  <c r="D42" i="5"/>
  <c r="D98" i="5"/>
  <c r="I98" i="5" s="1"/>
  <c r="C125" i="5"/>
  <c r="D143" i="5"/>
  <c r="I143" i="5" s="1"/>
  <c r="C160" i="5"/>
  <c r="D168" i="5"/>
  <c r="D177" i="5"/>
  <c r="C205" i="5"/>
  <c r="D213" i="5"/>
  <c r="D222" i="5"/>
  <c r="C230" i="5"/>
  <c r="D240" i="5"/>
  <c r="D37" i="5"/>
  <c r="I37" i="5" s="1"/>
  <c r="C11" i="5"/>
  <c r="D32" i="5"/>
  <c r="C62" i="5"/>
  <c r="D151" i="5"/>
  <c r="I151" i="5" s="1"/>
  <c r="C188" i="5"/>
  <c r="D196" i="5"/>
  <c r="D205" i="5"/>
  <c r="C223" i="5"/>
  <c r="D247" i="5"/>
  <c r="C21" i="5"/>
  <c r="H21" i="5" s="1"/>
  <c r="C71" i="5"/>
  <c r="D81" i="5"/>
  <c r="C91" i="5"/>
  <c r="D108" i="5"/>
  <c r="I108" i="5" s="1"/>
  <c r="C116" i="5"/>
  <c r="D126" i="5"/>
  <c r="C161" i="5"/>
  <c r="D171" i="5"/>
  <c r="I171" i="5" s="1"/>
  <c r="C241" i="5"/>
  <c r="C249" i="5"/>
  <c r="D12" i="5"/>
  <c r="D24" i="5"/>
  <c r="C33" i="5"/>
  <c r="C63" i="5"/>
  <c r="C74" i="5"/>
  <c r="D91" i="5"/>
  <c r="C99" i="5"/>
  <c r="C109" i="5"/>
  <c r="D116" i="5"/>
  <c r="D134" i="5"/>
  <c r="C144" i="5"/>
  <c r="C154" i="5"/>
  <c r="D161" i="5"/>
  <c r="I161" i="5" s="1"/>
  <c r="D179" i="5"/>
  <c r="C189" i="5"/>
  <c r="D206" i="5"/>
  <c r="C214" i="5"/>
  <c r="D224" i="5"/>
  <c r="D241" i="5"/>
  <c r="D249" i="5"/>
  <c r="C46" i="5"/>
  <c r="D57" i="5"/>
  <c r="I57" i="5" s="1"/>
  <c r="D67" i="5"/>
  <c r="D75" i="5"/>
  <c r="D93" i="5"/>
  <c r="I93" i="5" s="1"/>
  <c r="C103" i="5"/>
  <c r="C128" i="5"/>
  <c r="D138" i="5"/>
  <c r="C148" i="5"/>
  <c r="C173" i="5"/>
  <c r="D183" i="5"/>
  <c r="I183" i="5" s="1"/>
  <c r="C218" i="5"/>
  <c r="D228" i="5"/>
  <c r="C26" i="5"/>
  <c r="D49" i="5"/>
  <c r="I49" i="5" s="1"/>
  <c r="C68" i="5"/>
  <c r="C76" i="5"/>
  <c r="C86" i="5"/>
  <c r="D94" i="5"/>
  <c r="I94" i="5" s="1"/>
  <c r="D103" i="5"/>
  <c r="I103" i="5" s="1"/>
  <c r="C111" i="5"/>
  <c r="C121" i="5"/>
  <c r="C131" i="5"/>
  <c r="D148" i="5"/>
  <c r="C156" i="5"/>
  <c r="C166" i="5"/>
  <c r="D173" i="5"/>
  <c r="I173" i="5" s="1"/>
  <c r="D191" i="5"/>
  <c r="C201" i="5"/>
  <c r="D218" i="5"/>
  <c r="D236" i="5"/>
  <c r="C245" i="5"/>
  <c r="D26" i="5"/>
  <c r="I26" i="5" s="1"/>
  <c r="D38" i="5"/>
  <c r="I38" i="5" s="1"/>
  <c r="D86" i="5"/>
  <c r="I86" i="5" s="1"/>
  <c r="D121" i="5"/>
  <c r="D131" i="5"/>
  <c r="C139" i="5"/>
  <c r="D156" i="5"/>
  <c r="I156" i="5" s="1"/>
  <c r="D166" i="5"/>
  <c r="I166" i="5" s="1"/>
  <c r="C174" i="5"/>
  <c r="C184" i="5"/>
  <c r="D201" i="5"/>
  <c r="I201" i="5" s="1"/>
  <c r="D211" i="5"/>
  <c r="C219" i="5"/>
  <c r="C229" i="5"/>
  <c r="D245" i="5"/>
  <c r="C252" i="5"/>
  <c r="D33" i="5"/>
  <c r="I33" i="5" s="1"/>
  <c r="D44" i="5"/>
  <c r="D63" i="5"/>
  <c r="D74" i="5"/>
  <c r="C82" i="5"/>
  <c r="D99" i="5"/>
  <c r="I99" i="5" s="1"/>
  <c r="D109" i="5"/>
  <c r="I109" i="5" s="1"/>
  <c r="C117" i="5"/>
  <c r="C127" i="5"/>
  <c r="D144" i="5"/>
  <c r="I144" i="5" s="1"/>
  <c r="D154" i="5"/>
  <c r="C162" i="5"/>
  <c r="C172" i="5"/>
  <c r="D189" i="5"/>
  <c r="I189" i="5" s="1"/>
  <c r="C197" i="5"/>
  <c r="C207" i="5"/>
  <c r="C217" i="5"/>
  <c r="D234" i="5"/>
  <c r="C250" i="5"/>
  <c r="C25" i="5"/>
  <c r="H25" i="5" s="1"/>
  <c r="D36" i="5"/>
  <c r="I36" i="5" s="1"/>
  <c r="D45" i="5"/>
  <c r="C64" i="5"/>
  <c r="D82" i="5"/>
  <c r="I82" i="5" s="1"/>
  <c r="D127" i="5"/>
  <c r="D162" i="5"/>
  <c r="D172" i="5"/>
  <c r="I172" i="5" s="1"/>
  <c r="C180" i="5"/>
  <c r="D207" i="5"/>
  <c r="I207" i="5" s="1"/>
  <c r="D217" i="5"/>
  <c r="C225" i="5"/>
  <c r="D250" i="5"/>
  <c r="C14" i="5"/>
  <c r="D120" i="5"/>
  <c r="I120" i="5" s="1"/>
  <c r="D165" i="5"/>
  <c r="I165" i="5" s="1"/>
  <c r="C211" i="5"/>
  <c r="C13" i="5"/>
  <c r="D25" i="5"/>
  <c r="I25" i="5" s="1"/>
  <c r="C56" i="5"/>
  <c r="D110" i="5"/>
  <c r="D155" i="5"/>
  <c r="I155" i="5" s="1"/>
  <c r="D200" i="5"/>
  <c r="I200" i="5" s="1"/>
  <c r="D225" i="5"/>
  <c r="C242" i="5"/>
  <c r="C37" i="5"/>
  <c r="D65" i="5"/>
  <c r="C75" i="5"/>
  <c r="D85" i="5"/>
  <c r="I85" i="5" s="1"/>
  <c r="C120" i="5"/>
  <c r="C165" i="5"/>
  <c r="D208" i="5"/>
  <c r="I208" i="5" s="1"/>
  <c r="D251" i="5"/>
  <c r="C70" i="5"/>
  <c r="D114" i="5"/>
  <c r="D150" i="5"/>
  <c r="I150" i="5" s="1"/>
  <c r="C237" i="5"/>
  <c r="D70" i="5"/>
  <c r="I70" i="5" s="1"/>
  <c r="D30" i="5"/>
  <c r="C30" i="5"/>
  <c r="D77" i="5"/>
  <c r="C79" i="5"/>
  <c r="D122" i="5"/>
  <c r="I122" i="5" s="1"/>
  <c r="D79" i="5"/>
  <c r="I79" i="5" s="1"/>
  <c r="C203" i="5"/>
  <c r="C123" i="5"/>
  <c r="D87" i="5"/>
  <c r="I87" i="5" s="1"/>
  <c r="C168" i="5"/>
  <c r="D212" i="5"/>
  <c r="D254" i="5"/>
  <c r="C50" i="5"/>
  <c r="C132" i="5"/>
  <c r="D219" i="5"/>
  <c r="C7" i="5"/>
  <c r="D50" i="5"/>
  <c r="C177" i="5"/>
  <c r="D220" i="5"/>
  <c r="C58" i="5"/>
  <c r="C140" i="5"/>
  <c r="D184" i="5"/>
  <c r="I184" i="5" s="1"/>
  <c r="C222" i="5"/>
  <c r="C18" i="5"/>
  <c r="D58" i="5"/>
  <c r="D142" i="5"/>
  <c r="I142" i="5" s="1"/>
  <c r="D229" i="5"/>
  <c r="D18" i="5"/>
  <c r="C105" i="5"/>
  <c r="D185" i="5"/>
  <c r="C19" i="5"/>
  <c r="D105" i="5"/>
  <c r="I105" i="5" s="1"/>
  <c r="D115" i="5"/>
  <c r="I115" i="5" s="1"/>
  <c r="H94" i="5" l="1"/>
  <c r="H131" i="5"/>
  <c r="H176" i="5"/>
  <c r="H27" i="5"/>
  <c r="H155" i="5"/>
  <c r="H49" i="5"/>
  <c r="H187" i="5"/>
  <c r="H81" i="5"/>
  <c r="H190" i="5"/>
  <c r="H84" i="5"/>
  <c r="H192" i="5"/>
  <c r="H105" i="5"/>
  <c r="H207" i="5"/>
  <c r="H121" i="5"/>
  <c r="H160" i="5"/>
  <c r="H170" i="5"/>
  <c r="H166" i="5"/>
  <c r="H63" i="5"/>
  <c r="H193" i="5"/>
  <c r="H93" i="5"/>
  <c r="H96" i="5"/>
  <c r="H79" i="5"/>
  <c r="H82" i="5"/>
  <c r="H156" i="5"/>
  <c r="H33" i="5"/>
  <c r="H57" i="5"/>
  <c r="H195" i="5"/>
  <c r="H89" i="5"/>
  <c r="H173" i="5"/>
  <c r="H181" i="5"/>
  <c r="H95" i="5"/>
  <c r="H159" i="5"/>
  <c r="H191" i="5"/>
  <c r="H85" i="5"/>
  <c r="H194" i="5"/>
  <c r="H88" i="5"/>
  <c r="H199" i="5"/>
  <c r="H101" i="5"/>
  <c r="H30" i="5"/>
  <c r="H37" i="5"/>
  <c r="H148" i="5"/>
  <c r="H189" i="5"/>
  <c r="H132" i="5"/>
  <c r="H197" i="5"/>
  <c r="H111" i="5"/>
  <c r="H128" i="5"/>
  <c r="H188" i="5"/>
  <c r="H78" i="5"/>
  <c r="H42" i="5"/>
  <c r="H147" i="5"/>
  <c r="H179" i="5"/>
  <c r="H48" i="5"/>
  <c r="H182" i="5"/>
  <c r="H51" i="5"/>
  <c r="H178" i="5"/>
  <c r="H80" i="5"/>
  <c r="H153" i="5"/>
  <c r="H47" i="5"/>
  <c r="H171" i="5"/>
  <c r="H73" i="5"/>
  <c r="H167" i="5"/>
  <c r="H139" i="5"/>
  <c r="H50" i="5"/>
  <c r="H180" i="5"/>
  <c r="H154" i="5"/>
  <c r="H125" i="5"/>
  <c r="H124" i="5"/>
  <c r="H72" i="5"/>
  <c r="H175" i="5"/>
  <c r="H44" i="5"/>
  <c r="H172" i="5"/>
  <c r="H144" i="5"/>
  <c r="H62" i="5"/>
  <c r="H119" i="5"/>
  <c r="H146" i="5"/>
  <c r="H43" i="5"/>
  <c r="H164" i="5"/>
  <c r="H66" i="5"/>
  <c r="H103" i="5"/>
  <c r="H118" i="5"/>
  <c r="H161" i="5"/>
  <c r="H114" i="5"/>
  <c r="H40" i="5"/>
  <c r="H149" i="5"/>
  <c r="H162" i="5"/>
  <c r="H86" i="5"/>
  <c r="H113" i="5"/>
  <c r="H205" i="5"/>
  <c r="H90" i="5"/>
  <c r="H208" i="5"/>
  <c r="H102" i="5"/>
  <c r="H134" i="5"/>
  <c r="H28" i="5"/>
  <c r="H137" i="5"/>
  <c r="H143" i="5"/>
  <c r="H45" i="5"/>
  <c r="H177" i="5"/>
  <c r="H198" i="5"/>
  <c r="H168" i="5"/>
  <c r="H91" i="5"/>
  <c r="H204" i="5"/>
  <c r="H98" i="5"/>
  <c r="H130" i="5"/>
  <c r="H133" i="5"/>
  <c r="H136" i="5"/>
  <c r="H38" i="5"/>
  <c r="H135" i="5"/>
  <c r="H61" i="5"/>
  <c r="H202" i="5"/>
  <c r="H75" i="5"/>
  <c r="H112" i="5"/>
  <c r="H163" i="5"/>
  <c r="H92" i="5"/>
  <c r="H53" i="5"/>
  <c r="H56" i="5"/>
  <c r="H116" i="5"/>
  <c r="H68" i="5"/>
  <c r="H109" i="5"/>
  <c r="H123" i="5"/>
  <c r="H64" i="5"/>
  <c r="H127" i="5"/>
  <c r="H201" i="5"/>
  <c r="H46" i="5"/>
  <c r="H99" i="5"/>
  <c r="H60" i="5"/>
  <c r="H169" i="5"/>
  <c r="H140" i="5"/>
  <c r="H203" i="5"/>
  <c r="H165" i="5"/>
  <c r="H117" i="5"/>
  <c r="H184" i="5"/>
  <c r="H26" i="5"/>
  <c r="H54" i="5"/>
  <c r="H34" i="5"/>
  <c r="H158" i="5"/>
  <c r="H41" i="5"/>
  <c r="H200" i="5"/>
  <c r="H69" i="5"/>
  <c r="H126" i="5"/>
  <c r="H104" i="5"/>
  <c r="H129" i="5"/>
  <c r="H31" i="5"/>
  <c r="H115" i="5"/>
  <c r="H206" i="5"/>
  <c r="H70" i="5"/>
  <c r="H76" i="5"/>
  <c r="H58" i="5"/>
  <c r="H120" i="5"/>
  <c r="H174" i="5"/>
  <c r="H74" i="5"/>
  <c r="H71" i="5"/>
  <c r="H29" i="5"/>
  <c r="H152" i="5"/>
  <c r="H196" i="5"/>
  <c r="H65" i="5"/>
  <c r="H97" i="5"/>
  <c r="H100" i="5"/>
  <c r="H122" i="5"/>
  <c r="I22" i="5"/>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I2" i="4" l="1"/>
  <c r="CP12" i="4"/>
  <c r="H15" i="5"/>
  <c r="T12" i="4"/>
  <c r="U12" i="4"/>
  <c r="CQ12" i="4"/>
  <c r="I15" i="5"/>
  <c r="U2" i="4"/>
  <c r="CQ2" i="4"/>
  <c r="H5" i="5"/>
  <c r="CP2" i="4"/>
  <c r="T2" i="4"/>
  <c r="BS4" i="18" s="1" a="1"/>
  <c r="BS4" i="18" s="1"/>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<sst xmlns="http://schemas.openxmlformats.org/spreadsheetml/2006/main" count="4970" uniqueCount="318">
  <si>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</si>
  <si>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</si>
  <si>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</si>
  <si>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</si>
  <si>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</si>
  <si>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</si>
  <si>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</si>
  <si>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</si>
  <si>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</si>
  <si>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</si>
  <si>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</si>
  <si>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</si>
  <si>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</si>
  <si>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</si>
  <si>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</si>
  <si>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</si>
  <si>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</si>
  <si>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</si>
  <si>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</si>
  <si>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</si>
  <si>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</si>
  <si>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</si>
  <si>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</si>
  <si>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</si>
  <si>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</si>
  <si>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</si>
  <si>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</si>
  <si>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</si>
  <si>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</si>
  <si>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</si>
  <si>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</si>
  <si>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</si>
  <si>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</si>
  <si>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</si>
  <si>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</si>
  <si>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</si>
  <si>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</si>
  <si>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</si>
  <si>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</si>
  <si>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</si>
  <si>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</si>
  <si>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</si>
  <si>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</si>
  <si>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</si>
  <si>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</si>
  <si>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</si>
  <si>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</si>
  <si>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</si>
  <si>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</si>
  <si>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</si>
  <si>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</si>
  <si>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</si>
  <si>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</si>
  <si>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</si>
  <si>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</si>
  <si>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</si>
  <si>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</si>
  <si>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</si>
  <si>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</si>
  <si>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</si>
  <si>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</si>
  <si>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</si>
  <si>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</si>
  <si>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</si>
  <si>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</si>
  <si>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</si>
  <si>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</si>
  <si>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</si>
  <si>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</si>
  <si>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</si>
  <si>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</si>
  <si>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</si>
  <si>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</si>
  <si>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</si>
  <si>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</si>
  <si>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</si>
  <si>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</si>
  <si>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</si>
  <si>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</si>
  <si>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</si>
  <si>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</si>
  <si>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</si>
  <si>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</si>
  <si>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</si>
  <si>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</si>
  <si>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</si>
  <si>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</si>
  <si>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</si>
  <si>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</si>
  <si>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</si>
  <si>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</si>
  <si>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</si>
  <si>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</si>
  <si>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</si>
  <si>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</si>
  <si>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</si>
  <si>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</si>
  <si>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</si>
  <si>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</si>
  <si>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</si>
  <si>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</si>
  <si>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</si>
  <si>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</si>
  <si>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</si>
  <si>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</si>
  <si>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</si>
  <si>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</si>
  <si>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</si>
  <si>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</si>
  <si>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</si>
  <si>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</si>
  <si>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</si>
  <si>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</si>
  <si>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</si>
  <si>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</si>
  <si>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</si>
  <si>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</si>
  <si>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</si>
  <si>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</si>
  <si>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</si>
  <si>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</si>
  <si>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</si>
  <si>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</si>
  <si>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</si>
  <si>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</si>
  <si>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</si>
  <si>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</si>
  <si>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</si>
  <si>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</si>
  <si>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</si>
  <si>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</si>
  <si>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</si>
  <si>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</si>
  <si>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</si>
  <si>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</si>
  <si>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</si>
  <si>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</si>
  <si>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</si>
  <si>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</si>
  <si>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</si>
  <si>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</si>
  <si>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</si>
  <si>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</si>
  <si>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</si>
  <si>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</si>
  <si>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</si>
  <si>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</si>
  <si>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</si>
  <si>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</si>
  <si>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</si>
  <si>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</si>
  <si>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</si>
  <si>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</si>
  <si>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</si>
  <si>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</si>
  <si>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</si>
  <si>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</si>
  <si>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</si>
  <si>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</si>
  <si>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</si>
  <si>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</si>
  <si>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</si>
  <si>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</si>
  <si>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</si>
  <si>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</si>
  <si>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</si>
  <si>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</si>
  <si>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</si>
  <si>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</si>
  <si>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</si>
  <si>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</si>
  <si>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</si>
  <si>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</si>
  <si>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</si>
  <si>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</si>
  <si>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</si>
  <si>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</si>
  <si>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</si>
  <si>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</si>
  <si>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</si>
  <si>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</si>
  <si>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</si>
  <si>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</si>
  <si>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</si>
  <si>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</si>
  <si>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</si>
  <si>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</si>
  <si>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</si>
  <si>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</si>
  <si>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</si>
  <si>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</si>
  <si>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</si>
  <si>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</si>
  <si>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</si>
  <si>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</si>
  <si>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</si>
  <si>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</si>
  <si>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</si>
  <si>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</si>
  <si>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</si>
  <si>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</si>
  <si>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</si>
  <si>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</si>
  <si>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</si>
  <si>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</si>
  <si>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</si>
  <si>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</si>
  <si>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</si>
  <si>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</si>
  <si>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</si>
  <si>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</si>
  <si>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</si>
  <si>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</si>
  <si>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</si>
  <si>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</si>
  <si>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</si>
  <si>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</si>
  <si>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</si>
  <si>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</si>
  <si>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</si>
  <si>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</si>
  <si>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</si>
  <si>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</si>
  <si>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</si>
  <si>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</si>
  <si>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</si>
  <si>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</si>
  <si>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</si>
  <si>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</si>
  <si>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</si>
  <si>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</si>
  <si>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</si>
  <si>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</si>
  <si>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</si>
  <si>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</si>
  <si>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</si>
  <si>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</si>
  <si>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</si>
  <si>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</si>
  <si>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</si>
  <si>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</si>
  <si>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</si>
  <si>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</si>
  <si>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</si>
  <si>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</si>
  <si>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</si>
  <si>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</si>
  <si>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</si>
  <si>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</si>
  <si>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</si>
  <si>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</si>
  <si>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</si>
  <si>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</si>
  <si>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</si>
  <si>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</si>
  <si>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</si>
  <si>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</si>
  <si>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</si>
  <si>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</si>
  <si>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</si>
  <si>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</si>
  <si>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</si>
  <si>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</si>
  <si>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</si>
  <si>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</si>
  <si>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</si>
  <si>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</si>
  <si>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</si>
  <si>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</si>
  <si>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</si>
  <si>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</si>
  <si>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</si>
  <si>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</si>
  <si>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</si>
  <si>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</si>
  <si>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</si>
  <si>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</si>
  <si>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</si>
  <si>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</si>
  <si>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</si>
  <si>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</si>
  <si>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</si>
  <si>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</si>
  <si>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</si>
  <si>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</si>
  <si>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</si>
  <si>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</si>
  <si>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</si>
  <si>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</si>
  <si>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</si>
  <si>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</si>
  <si>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</si>
  <si>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</si>
  <si>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</si>
  <si>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</si>
  <si>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</si>
  <si>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</si>
  <si>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</si>
  <si>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</si>
  <si>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</si>
  <si>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</si>
  <si>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</si>
  <si>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</si>
  <si>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</si>
  <si>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</si>
  <si>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</si>
  <si>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</si>
  <si>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</si>
  <si>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</si>
  <si>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</si>
  <si>
    <r>
      <t xml:space="preserve">reset calibration - technique is hated by north wall cameras, very slow to calibrate. High body occlusion. Could not extend wand as far as wanted due to technique.
</t>
    </r>
    <r>
      <rPr>
        <b/>
        <sz val="10"/>
        <color theme="1"/>
        <rFont val="Arial"/>
        <family val="2"/>
      </rPr>
      <t>Brought new room thermostat - measuring temp at 25.6°C</t>
    </r>
  </si>
  <si>
    <t>20/08-error1</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</si>
  <si>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profile to prevent occlusion, and starting from inside of volume.</t>
    </r>
  </si>
  <si>
    <r>
      <rPr>
        <b/>
        <sz val="10"/>
        <color theme="1"/>
        <rFont val="Arial"/>
        <family val="2"/>
      </rPr>
      <t>remapped volume yesterday (18/08/2026)</t>
    </r>
    <r>
      <rPr>
        <sz val="10"/>
        <color theme="1"/>
        <rFont val="Arial"/>
        <family val="2"/>
      </rPr>
      <t xml:space="preserve"> - used wand to set origin &amp; 3 markers nearby to set plane</t>
    </r>
  </si>
  <si>
    <r>
      <t xml:space="preserve">reset calibration - to set floor plane had to use 9 markers over 3 due to several cameras (behind shelving) not sending rays at them
</t>
    </r>
    <r>
      <rPr>
        <b/>
        <sz val="10"/>
        <color theme="1"/>
        <rFont val="Arial"/>
        <family val="2"/>
      </rPr>
      <t>Brought new room thermostat - measuring temp at 25.6°C</t>
    </r>
  </si>
  <si>
    <r>
      <t xml:space="preserve">Camera 9 (SW corner), 13 (W wall), 15 (S wall) &amp; 16 (S wall) were all missing after having calibration reset. These were all bscured by metal shelving and near edge of volume.
</t>
    </r>
    <r>
      <rPr>
        <b/>
        <sz val="10"/>
        <color theme="1"/>
        <rFont val="Arial"/>
        <family val="2"/>
      </rPr>
      <t>Note no error for several of the cameras</t>
    </r>
  </si>
  <si>
    <t>3 markers to set floor plane - no rays captured from specific cameras (15/16/18 on s wall to se corner), however set accurately</t>
  </si>
  <si>
    <t>Forgot to reset calibration
Left greyscale mode all on from doing reflection/preview capturing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</si>
</sst>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1" formatCode="0.00000000"/>
  </numFmts>
  <fonts count="76"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9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171" fontId="35" fillId="39" borderId="11" xfId="0" applyNumberFormat="1" applyFont="1" applyFill="1" applyBorder="1" applyAlignment="1">
      <alignment horizontal="right" vertical="center" wrapText="1" indent="1"/>
    </xf>
    <xf numFmtId="171"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Border="1" applyAlignment="1">
      <alignment horizontal="center"/>
    </xf>
    <xf numFmtId="0" fontId="24" fillId="0" borderId="4" xfId="0" applyFont="1" applyBorder="1" applyAlignment="1">
      <alignment horizontal="center"/>
    </xf>
    <xf numFmtId="2" fontId="28" fillId="20" borderId="1"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xf numFmtId="171" fontId="28" fillId="21" borderId="1" xfId="0" applyNumberFormat="1" applyFont="1" applyFill="1" applyBorder="1" applyAlignment="1">
      <alignment horizontal="center" vertical="center"/>
    </xf>
    <xf numFmtId="164" fontId="44" fillId="0" borderId="0" xfId="0" applyNumberFormat="1" applyFont="1" applyAlignment="1">
      <alignment horizontal="center" vertical="center"/>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left" vertical="center"/>
    </xf>
    <xf numFmtId="0" fontId="8" fillId="10" borderId="21"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40" fillId="38" borderId="1" xfId="0" applyFont="1" applyFill="1" applyBorder="1" applyAlignment="1">
      <alignment horizontal="center" vertical="center"/>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56" fillId="0" borderId="1" xfId="0" applyFont="1" applyBorder="1" applyAlignment="1">
      <alignment horizontal="left" vertical="center" wrapText="1" indent="1"/>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5" fillId="0" borderId="1" xfId="0" applyFont="1" applyBorder="1" applyAlignment="1">
      <alignment horizontal="left" vertical="center" wrapText="1"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171" fontId="64" fillId="52" borderId="0" xfId="0" applyNumberFormat="1" applyFont="1" applyFill="1" applyAlignment="1">
      <alignment horizontal="center" vertical="center"/>
    </xf>
    <xf numFmtId="171" fontId="64" fillId="52" borderId="12" xfId="0" applyNumberFormat="1" applyFont="1" applyFill="1" applyBorder="1" applyAlignment="1">
      <alignment horizontal="center" vertical="center"/>
    </xf>
    <xf numFmtId="0" fontId="35" fillId="44" borderId="5" xfId="0" applyFont="1" applyFill="1" applyBorder="1" applyAlignment="1">
      <alignment horizontal="center" vertical="center" wrapText="1"/>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1" fontId="35" fillId="21" borderId="6" xfId="0" applyNumberFormat="1" applyFont="1" applyFill="1" applyBorder="1" applyAlignment="1">
      <alignment horizontal="center" vertic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0" fontId="75" fillId="52" borderId="12" xfId="0" applyFont="1" applyFill="1" applyBorder="1" applyAlignment="1">
      <alignment horizontal="center" vertical="center"/>
    </xf>
    <xf numFmtId="0" fontId="75" fillId="52" borderId="3" xfId="0" applyFont="1" applyFill="1" applyBorder="1" applyAlignment="1">
      <alignment horizontal="center" vertical="center"/>
    </xf>
    <xf numFmtId="14" fontId="35" fillId="39" borderId="0" xfId="0" applyNumberFormat="1" applyFont="1" applyFill="1" applyAlignment="1">
      <alignment horizontal="center" vertical="center"/>
    </xf>
    <xf numFmtId="14" fontId="35" fillId="39" borderId="12" xfId="0" applyNumberFormat="1" applyFont="1" applyFill="1" applyBorder="1" applyAlignment="1">
      <alignment horizontal="center" vertical="center"/>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41" borderId="1" xfId="0" applyFill="1" applyBorder="1" applyAlignment="1">
      <alignment horizontal="left" vertical="center" indent="1"/>
    </xf>
    <xf numFmtId="0" fontId="0" fillId="0" borderId="0" xfId="0" applyAlignment="1">
      <alignment horizontal="left" vertical="center" wrapText="1" indent="1"/>
    </xf>
    <xf numFmtId="0" fontId="23" fillId="0" borderId="0" xfId="0" applyFont="1" applyAlignment="1">
      <alignment horizontal="left" vertical="center" wrapText="1"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0" fontId="47" fillId="29" borderId="0" xfId="0" applyFont="1" applyFill="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cellXfs>
  <cellStyles count="1">
    <cellStyle name="Normal" xfId="0" builtinId="0"/>
  </cellStyles>
  <dxfs count="82">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val="0"/>
        <i val="0"/>
        <strike val="0"/>
        <color rgb="FFFF0000"/>
      </font>
      <fill>
        <patternFill patternType="none">
          <bgColor auto="1"/>
        </patternFill>
      </fill>
    </dxf>
    <dxf>
      <font>
        <b val="0"/>
        <i val="0"/>
        <strike val="0"/>
        <color rgb="FFFF7128"/>
      </font>
      <fill>
        <patternFill patternType="none">
          <bgColor auto="1"/>
        </patternFill>
      </fill>
    </dxf>
    <dxf>
      <font>
        <b/>
        <i val="0"/>
        <strike val="0"/>
        <color theme="0"/>
      </font>
      <fill>
        <patternFill>
          <bgColor theme="9" tint="-0.24994659260841701"/>
        </patternFill>
      </fill>
    </dxf>
    <dxf>
      <font>
        <b/>
        <i val="0"/>
        <strike val="0"/>
        <color theme="0"/>
      </font>
      <fill>
        <patternFill>
          <bgColor rgb="FFFF0000"/>
        </patternFill>
      </fill>
    </dxf>
    <dxf>
      <font>
        <b/>
        <i val="0"/>
        <strike val="0"/>
        <color theme="0"/>
      </font>
      <fill>
        <patternFill>
          <bgColor theme="1"/>
        </patternFill>
      </fill>
    </dxf>
    <dxf>
      <fill>
        <patternFill>
          <bgColor theme="0" tint="-0.14996795556505021"/>
        </patternFill>
      </fill>
    </dxf>
    <dxf>
      <font>
        <b/>
        <i val="0"/>
        <strike val="0"/>
        <color theme="0"/>
      </font>
      <fill>
        <patternFill>
          <bgColor theme="1"/>
        </patternFill>
      </fill>
    </dxf>
    <dxf>
      <fill>
        <patternFill>
          <bgColor theme="9" tint="0.59996337778862885"/>
        </patternFill>
      </fill>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pt idx="18">
                  <c:v>0.44992333333333334</c:v>
                </c:pt>
                <c:pt idx="19">
                  <c:v>0.54501322222222215</c:v>
                </c:pt>
                <c:pt idx="20">
                  <c:v>0.44261372222222223</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Visualisations!$CL$4:$CL$210</c:f>
              <c:numCache>
                <c:formatCode>General</c:formatCode>
                <c:ptCount val="207"/>
                <c:pt idx="0">
                  <c:v>0.41469928087167107</c:v>
                </c:pt>
                <c:pt idx="1">
                  <c:v>0.41469928087167107</c:v>
                </c:pt>
                <c:pt idx="2">
                  <c:v>0.41469928087167107</c:v>
                </c:pt>
                <c:pt idx="3">
                  <c:v>0.41469928087167107</c:v>
                </c:pt>
                <c:pt idx="4">
                  <c:v>0.41469928087167107</c:v>
                </c:pt>
                <c:pt idx="5">
                  <c:v>0.41469928087167107</c:v>
                </c:pt>
                <c:pt idx="6">
                  <c:v>0.41469928087167107</c:v>
                </c:pt>
                <c:pt idx="7">
                  <c:v>0.41469928087167107</c:v>
                </c:pt>
                <c:pt idx="8">
                  <c:v>0.41469928087167107</c:v>
                </c:pt>
                <c:pt idx="9">
                  <c:v>0.41469928087167107</c:v>
                </c:pt>
                <c:pt idx="10">
                  <c:v>0.41469928087167107</c:v>
                </c:pt>
                <c:pt idx="11">
                  <c:v>0.41469928087167107</c:v>
                </c:pt>
                <c:pt idx="12">
                  <c:v>0.41469928087167107</c:v>
                </c:pt>
                <c:pt idx="13">
                  <c:v>0.41469928087167107</c:v>
                </c:pt>
                <c:pt idx="14">
                  <c:v>0.41469928087167107</c:v>
                </c:pt>
                <c:pt idx="15">
                  <c:v>0.41469928087167107</c:v>
                </c:pt>
                <c:pt idx="16">
                  <c:v>0.41469928087167107</c:v>
                </c:pt>
                <c:pt idx="17">
                  <c:v>0.41469928087167107</c:v>
                </c:pt>
                <c:pt idx="18">
                  <c:v>0.41469928087167107</c:v>
                </c:pt>
                <c:pt idx="19">
                  <c:v>0.41469928087167107</c:v>
                </c:pt>
                <c:pt idx="20">
                  <c:v>0.41469928087167107</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pt idx="20">
                  <c:v>46252</c:v>
                </c:pt>
                <c:pt idx="21">
                  <c:v>46253</c:v>
                </c:pt>
                <c:pt idx="22">
                  <c:v>46254</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pt idx="18">
                  <c:v>1.8520000000000001</c:v>
                </c:pt>
                <c:pt idx="19">
                  <c:v>1.7113888888888888</c:v>
                </c:pt>
                <c:pt idx="20">
                  <c:v>1.7869999999999999</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0.367645</c:v>
                </c:pt>
                <c:pt idx="19">
                  <c:v>0.56932799999999995</c:v>
                </c:pt>
                <c:pt idx="20">
                  <c:v>0.36153600000000002</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0.44992333333333334</c:v>
                </c:pt>
                <c:pt idx="19">
                  <c:v>0.54501322222222215</c:v>
                </c:pt>
                <c:pt idx="20">
                  <c:v>0.44261372222222223</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8.7530300000000005E-2</c:v>
                </c:pt>
                <c:pt idx="19">
                  <c:v>0.13553999999999999</c:v>
                </c:pt>
                <c:pt idx="20">
                  <c:v>8.6050100000000004E-2</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46252</c:v>
                </c:pt>
                <c:pt idx="19">
                  <c:v>46253</c:v>
                </c:pt>
                <c:pt idx="20">
                  <c:v>46254</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1.875</c:v>
                </c:pt>
                <c:pt idx="19">
                  <c:v>1.2809999999999999</c:v>
                </c:pt>
                <c:pt idx="20">
                  <c:v>1.5049999999999999</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81" dataDxfId="80">
  <autoFilter ref="A3:F230" xr:uid="{00000000-0009-0000-0100-000001000000}"/>
  <tableColumns count="6">
    <tableColumn id="1" xr3:uid="{00000000-0010-0000-0000-000001000000}" name="Date" dataDxfId="79"/>
    <tableColumn id="2" xr3:uid="{00000000-0010-0000-0000-000002000000}" name="Camera" dataDxfId="78"/>
    <tableColumn id="3" xr3:uid="{00000000-0010-0000-0000-000003000000}" name="Wand Count" dataDxfId="77"/>
    <tableColumn id="4" xr3:uid="{00000000-0010-0000-0000-000004000000}" name="World Error" dataDxfId="76"/>
    <tableColumn id="5" xr3:uid="{00000000-0010-0000-0000-000005000000}" name="Image Error" dataDxfId="75"/>
    <tableColumn id="6" xr3:uid="{F2EEE9A3-6808-4A55-87D5-1A79EE123A0F}" name="World Error (Avg.)" dataDxfId="74">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73" dataDxfId="72">
  <autoFilter ref="C2:H549" xr:uid="{00000000-0009-0000-0100-000001000000}"/>
  <tableColumns count="6">
    <tableColumn id="1" xr3:uid="{51B67423-B1B1-4A16-BBCC-834944FAE191}" name="Date" dataDxfId="71"/>
    <tableColumn id="2" xr3:uid="{FABEBB3C-66EB-4956-95C9-CBB40C9E32E4}" name="Camera" dataDxfId="70"/>
    <tableColumn id="3" xr3:uid="{766E62E6-E8D6-460F-BDF5-449F20A2F47C}" name="Frame Count" dataDxfId="69"/>
    <tableColumn id="4" xr3:uid="{132E3B4C-B94B-4FD9-BB91-C8476EF47049}" name="World Error" dataDxfId="68"/>
    <tableColumn id="5" xr3:uid="{9AE105E3-C1BC-4C8A-A3F2-7EACB47F9196}" name="Image Error" dataDxfId="67"/>
    <tableColumn id="6" xr3:uid="{0CE6588A-9807-4091-8B8E-16270637A441}" name="World Error (Avg.)" dataDxfId="66">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3"/>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75" t="s">
        <v>213</v>
      </c>
      <c r="B1" s="276"/>
      <c r="C1" s="276"/>
      <c r="D1" s="276"/>
      <c r="E1" s="276"/>
      <c r="F1" s="276"/>
      <c r="G1" s="276"/>
      <c r="H1" s="276"/>
      <c r="I1" s="276"/>
      <c r="J1" s="276"/>
      <c r="K1" s="276"/>
      <c r="L1" s="276"/>
      <c r="M1" s="276"/>
      <c r="N1" s="276"/>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5">_xlfn.CHOOSECOLS(_xlfn.UNIQUE(_xlfn._xlws.FILTER(Log!$A:$C,Log!$A:$A="Daily")),3)</f>
        <v>46228</v>
      </c>
      <c r="C3" s="91" t="s">
        <v>91</v>
      </c>
      <c r="D3" s="51" t="str" cm="1">
        <f t="array" ref="D3:D9">_xlfn._xlws.SORT(_xlfn.UNIQUE(_xlfn._xlws.FILTER(Log!B3:B9962, Log!A3:A9962=C4)))</f>
        <v>03/08-error1</v>
      </c>
      <c r="E3" s="51" t="str" cm="1">
        <f t="array" ref="E3:E39">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20/08-error1</v>
      </c>
      <c r="E5" s="51" t="str">
        <v>auto-stop-1000-v3</v>
      </c>
      <c r="F5" s="51" t="str">
        <v>C</v>
      </c>
    </row>
    <row r="6" spans="1:14" x14ac:dyDescent="0.3">
      <c r="A6" s="144" t="s">
        <v>17</v>
      </c>
      <c r="B6" s="8">
        <v>46232</v>
      </c>
      <c r="D6" s="51" t="str">
        <v>31/07-error1</v>
      </c>
      <c r="E6" s="51" t="str">
        <v>auto-stop-1500-v1</v>
      </c>
      <c r="F6" s="51" t="str">
        <v>D</v>
      </c>
    </row>
    <row r="7" spans="1:14" x14ac:dyDescent="0.3">
      <c r="A7" s="144" t="s">
        <v>18</v>
      </c>
      <c r="B7" s="8">
        <v>46233</v>
      </c>
      <c r="D7" s="51" t="str">
        <v>31/07-error2</v>
      </c>
      <c r="E7" s="51" t="str">
        <v>auto-stop-1500-v2</v>
      </c>
      <c r="F7" s="51" t="str">
        <v>E</v>
      </c>
    </row>
    <row r="8" spans="1:14" x14ac:dyDescent="0.3">
      <c r="A8" s="144" t="s">
        <v>19</v>
      </c>
      <c r="B8" s="8">
        <v>46234</v>
      </c>
      <c r="D8" s="51" t="str">
        <v>cannot-set-volume</v>
      </c>
      <c r="E8" s="51" t="str">
        <v>auto-stop-2000-v1</v>
      </c>
      <c r="F8" s="51" t="str">
        <v>F</v>
      </c>
    </row>
    <row r="9" spans="1:14" x14ac:dyDescent="0.3">
      <c r="A9" s="144" t="s">
        <v>20</v>
      </c>
      <c r="B9" s="8">
        <v>46235</v>
      </c>
      <c r="D9" s="51" t="str">
        <v>didn't-set-volume</v>
      </c>
      <c r="E9" s="51" t="str">
        <v>auto-stop-2000-v2</v>
      </c>
      <c r="F9" s="51" t="str">
        <v>G</v>
      </c>
    </row>
    <row r="10" spans="1:14" x14ac:dyDescent="0.3">
      <c r="A10" s="144" t="s">
        <v>42</v>
      </c>
      <c r="B10" s="8">
        <v>46237</v>
      </c>
      <c r="E10" s="51" t="str">
        <v>shelf-baseline</v>
      </c>
      <c r="F10" s="51" t="str">
        <v>H</v>
      </c>
    </row>
    <row r="11" spans="1:14" x14ac:dyDescent="0.3">
      <c r="A11" s="144" t="s">
        <v>21</v>
      </c>
      <c r="B11" s="8">
        <v>46238</v>
      </c>
      <c r="E11" s="51" t="str">
        <v>shelf-trial</v>
      </c>
      <c r="F11" s="51" t="str">
        <v>I</v>
      </c>
    </row>
    <row r="12" spans="1:14" x14ac:dyDescent="0.3">
      <c r="A12" s="144" t="s">
        <v>22</v>
      </c>
      <c r="B12" s="8">
        <v>46239</v>
      </c>
      <c r="E12" s="51" t="str">
        <v>Wand-Wave-A1</v>
      </c>
      <c r="F12" s="51">
        <v>0</v>
      </c>
    </row>
    <row r="13" spans="1:14" x14ac:dyDescent="0.3">
      <c r="A13" s="144" t="s">
        <v>23</v>
      </c>
      <c r="B13" s="8">
        <v>46240</v>
      </c>
      <c r="E13" s="51" t="str">
        <v>Wand-Wave-A2</v>
      </c>
      <c r="F13" s="51">
        <v>0</v>
      </c>
    </row>
    <row r="14" spans="1:14" x14ac:dyDescent="0.3">
      <c r="A14" s="144" t="s">
        <v>24</v>
      </c>
      <c r="B14" s="50">
        <v>46242</v>
      </c>
      <c r="E14" s="51" t="str">
        <v>Wand-Wave-A3</v>
      </c>
      <c r="F14" s="51">
        <v>0</v>
      </c>
    </row>
    <row r="15" spans="1:14" x14ac:dyDescent="0.3">
      <c r="A15" s="144" t="s">
        <v>25</v>
      </c>
      <c r="B15" s="50">
        <v>46244</v>
      </c>
      <c r="E15" s="51" t="str">
        <v>Wand-Wave-A4</v>
      </c>
      <c r="F15" s="51">
        <v>0</v>
      </c>
    </row>
    <row r="16" spans="1:14" x14ac:dyDescent="0.3">
      <c r="A16" s="144" t="s">
        <v>26</v>
      </c>
      <c r="B16" s="50">
        <v>46245</v>
      </c>
      <c r="E16" s="51" t="str">
        <v>Wand-Wave-B1</v>
      </c>
      <c r="F16" s="51">
        <v>0</v>
      </c>
    </row>
    <row r="17" spans="1:6" x14ac:dyDescent="0.3">
      <c r="A17" s="144" t="s">
        <v>27</v>
      </c>
      <c r="B17" s="50">
        <v>46246</v>
      </c>
      <c r="E17" s="51" t="str">
        <v>Wand-Wave-B2</v>
      </c>
      <c r="F17" s="51">
        <v>0</v>
      </c>
    </row>
    <row r="18" spans="1:6" x14ac:dyDescent="0.3">
      <c r="A18" s="144" t="s">
        <v>28</v>
      </c>
      <c r="B18" s="50">
        <v>46247</v>
      </c>
      <c r="E18" s="51" t="str">
        <v>Wand-Wave-B3</v>
      </c>
      <c r="F18" s="51">
        <v>0</v>
      </c>
    </row>
    <row r="19" spans="1:6" x14ac:dyDescent="0.3">
      <c r="A19" s="144" t="s">
        <v>29</v>
      </c>
      <c r="B19" s="50">
        <v>46248</v>
      </c>
      <c r="E19" s="51" t="str">
        <v>Wand-Wave-B4</v>
      </c>
      <c r="F19" s="51">
        <v>0</v>
      </c>
    </row>
    <row r="20" spans="1:6" x14ac:dyDescent="0.3">
      <c r="A20" s="144" t="s">
        <v>30</v>
      </c>
      <c r="B20" s="50">
        <v>46251</v>
      </c>
      <c r="E20" s="51" t="str">
        <v>Wand-Wave-C1</v>
      </c>
      <c r="F20" s="51">
        <v>0</v>
      </c>
    </row>
    <row r="21" spans="1:6" x14ac:dyDescent="0.3">
      <c r="B21" s="50">
        <v>46251</v>
      </c>
      <c r="E21" s="51" t="str">
        <v>Wand-Wave-C2</v>
      </c>
      <c r="F21" s="51">
        <v>0</v>
      </c>
    </row>
    <row r="22" spans="1:6" x14ac:dyDescent="0.3">
      <c r="B22" s="50">
        <v>46251</v>
      </c>
      <c r="E22" s="51" t="str">
        <v>Wand-Wave-C3</v>
      </c>
      <c r="F22" s="51">
        <v>0</v>
      </c>
    </row>
    <row r="23" spans="1:6" x14ac:dyDescent="0.3">
      <c r="B23" s="50">
        <v>46252</v>
      </c>
      <c r="E23" s="51" t="str">
        <v>Wand-Wave-C4</v>
      </c>
      <c r="F23" s="51">
        <v>0</v>
      </c>
    </row>
    <row r="24" spans="1:6" x14ac:dyDescent="0.3">
      <c r="B24" s="50">
        <v>46253</v>
      </c>
      <c r="E24" s="51" t="str">
        <v>Wand-Wave-D1</v>
      </c>
      <c r="F24" s="51">
        <v>0</v>
      </c>
    </row>
    <row r="25" spans="1:6" x14ac:dyDescent="0.3">
      <c r="B25" s="50">
        <v>46254</v>
      </c>
      <c r="E25" s="51" t="str">
        <v>Wand-Wave-D2</v>
      </c>
      <c r="F25" s="51">
        <v>0</v>
      </c>
    </row>
    <row r="26" spans="1:6" x14ac:dyDescent="0.3">
      <c r="E26" s="51" t="str">
        <v>Wand-Wave-D3</v>
      </c>
      <c r="F26" s="51">
        <v>0</v>
      </c>
    </row>
    <row r="27" spans="1:6" x14ac:dyDescent="0.3">
      <c r="E27" s="51" t="str">
        <v>Wand-Wave-D4</v>
      </c>
      <c r="F27" s="51">
        <v>0</v>
      </c>
    </row>
    <row r="28" spans="1:6" x14ac:dyDescent="0.3">
      <c r="E28" s="51" t="str">
        <v>Wand-Wave-E1</v>
      </c>
      <c r="F28" s="51">
        <v>0</v>
      </c>
    </row>
    <row r="29" spans="1:6" x14ac:dyDescent="0.3">
      <c r="E29" s="51" t="str">
        <v>Wand-Wave-E2</v>
      </c>
      <c r="F29" s="51">
        <v>0</v>
      </c>
    </row>
    <row r="30" spans="1:6" x14ac:dyDescent="0.3">
      <c r="E30" s="51" t="str">
        <v>Wand-Wave-E3</v>
      </c>
      <c r="F30" s="51">
        <v>0</v>
      </c>
    </row>
    <row r="31" spans="1:6" x14ac:dyDescent="0.3">
      <c r="E31" s="51" t="str">
        <v>Wand-Wave-E4</v>
      </c>
      <c r="F31" s="51">
        <v>0</v>
      </c>
    </row>
    <row r="32" spans="1:6" x14ac:dyDescent="0.3">
      <c r="E32" s="51" t="str">
        <v>Wand-Wave-F1</v>
      </c>
      <c r="F32" s="51">
        <v>0</v>
      </c>
    </row>
    <row r="33" spans="5:6" x14ac:dyDescent="0.3">
      <c r="E33" s="51" t="str">
        <v>Wand-Wave-F2</v>
      </c>
      <c r="F33" s="51">
        <v>0</v>
      </c>
    </row>
    <row r="34" spans="5:6" x14ac:dyDescent="0.3">
      <c r="E34" s="51" t="str">
        <v>Wand-Wave-F3</v>
      </c>
      <c r="F34" s="51">
        <v>0</v>
      </c>
    </row>
    <row r="35" spans="5:6" x14ac:dyDescent="0.3">
      <c r="E35" s="51" t="str">
        <v>Wand-Wave-F4</v>
      </c>
      <c r="F35" s="51">
        <v>0</v>
      </c>
    </row>
    <row r="36" spans="5:6" x14ac:dyDescent="0.3">
      <c r="E36" s="51" t="str">
        <v>Wand-Wave-G1</v>
      </c>
      <c r="F36" s="51">
        <v>0</v>
      </c>
    </row>
    <row r="37" spans="5:6" x14ac:dyDescent="0.3">
      <c r="E37" s="51" t="str">
        <v>Wand-Wave-G2</v>
      </c>
      <c r="F37" s="51">
        <v>0</v>
      </c>
    </row>
    <row r="38" spans="5:6" x14ac:dyDescent="0.3">
      <c r="E38" s="51" t="str">
        <v>Wand-Wave-G3</v>
      </c>
      <c r="F38" s="51">
        <v>0</v>
      </c>
    </row>
    <row r="39" spans="5:6" x14ac:dyDescent="0.3">
      <c r="E39" s="51" t="str">
        <v>Wand-Wave-G4</v>
      </c>
      <c r="F39" s="51">
        <v>0</v>
      </c>
    </row>
    <row r="40" spans="5:6" x14ac:dyDescent="0.3">
      <c r="F40" s="51">
        <v>0</v>
      </c>
    </row>
    <row r="41" spans="5:6" x14ac:dyDescent="0.3">
      <c r="F41" s="51">
        <v>0</v>
      </c>
    </row>
    <row r="42" spans="5:6" x14ac:dyDescent="0.3">
      <c r="F42" s="51">
        <v>0</v>
      </c>
    </row>
    <row r="43" spans="5:6" x14ac:dyDescent="0.3">
      <c r="F43" s="51">
        <v>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211" customWidth="1"/>
    <col min="2" max="5" width="20.44140625" style="208" customWidth="1"/>
    <col min="6" max="9" width="10.77734375" style="208" customWidth="1"/>
    <col min="10" max="16" width="10.77734375" style="211" customWidth="1"/>
    <col min="17" max="17" width="0" style="211" hidden="1" customWidth="1"/>
    <col min="18" max="16384" width="8.88671875" style="211" hidden="1"/>
  </cols>
  <sheetData>
    <row r="1" spans="1:17" s="280" customFormat="1" ht="25.05" customHeight="1" x14ac:dyDescent="0.3">
      <c r="A1" s="277" t="s">
        <v>277</v>
      </c>
      <c r="B1" s="278"/>
      <c r="C1" s="278"/>
      <c r="D1" s="278"/>
      <c r="E1" s="278"/>
      <c r="F1" s="278"/>
      <c r="G1" s="278"/>
      <c r="H1" s="278"/>
      <c r="I1" s="278"/>
      <c r="J1" s="278"/>
      <c r="K1" s="278"/>
      <c r="L1" s="278"/>
      <c r="M1" s="278"/>
      <c r="N1" s="278"/>
      <c r="O1" s="278"/>
      <c r="P1" s="278"/>
      <c r="Q1" s="279"/>
    </row>
    <row r="2" spans="1:17" customFormat="1" ht="25.05" customHeight="1" x14ac:dyDescent="0.3">
      <c r="A2" s="25"/>
      <c r="B2" s="37"/>
      <c r="C2" s="36"/>
      <c r="D2" s="36"/>
      <c r="E2" s="36"/>
      <c r="F2" s="208"/>
      <c r="G2" s="36"/>
      <c r="H2" s="36"/>
      <c r="I2" s="36"/>
      <c r="J2" s="25"/>
      <c r="K2" s="25"/>
      <c r="L2" s="25"/>
      <c r="M2" s="25"/>
      <c r="N2" s="25"/>
      <c r="O2" s="25"/>
      <c r="P2" s="25"/>
    </row>
    <row r="3" spans="1:17" customFormat="1" ht="25.05" customHeight="1" x14ac:dyDescent="0.3">
      <c r="A3" s="25"/>
      <c r="B3" s="281" t="s">
        <v>276</v>
      </c>
      <c r="C3" s="282"/>
      <c r="D3" s="282"/>
      <c r="E3" s="282"/>
      <c r="F3" s="208"/>
      <c r="G3" s="36"/>
      <c r="H3" s="36"/>
      <c r="I3" s="36"/>
      <c r="J3" s="25"/>
      <c r="K3" s="25"/>
      <c r="L3" s="25"/>
      <c r="M3" s="25"/>
      <c r="N3" s="25"/>
      <c r="O3" s="25"/>
      <c r="P3" s="25"/>
    </row>
    <row r="4" spans="1:17" customFormat="1" ht="25.05" customHeight="1" x14ac:dyDescent="0.3">
      <c r="A4" s="25"/>
      <c r="B4" s="38" t="s">
        <v>44</v>
      </c>
      <c r="C4" s="38" t="s">
        <v>46</v>
      </c>
      <c r="D4" s="38" t="s">
        <v>45</v>
      </c>
      <c r="E4" s="39" t="s">
        <v>43</v>
      </c>
      <c r="F4" s="209"/>
      <c r="G4" s="283" t="s">
        <v>114</v>
      </c>
      <c r="H4" s="283"/>
      <c r="I4" s="211"/>
      <c r="J4" s="211"/>
      <c r="K4" s="210"/>
      <c r="L4" s="210"/>
      <c r="M4" s="210"/>
      <c r="N4" s="25"/>
      <c r="O4" s="25"/>
      <c r="P4" s="25"/>
    </row>
    <row r="5" spans="1:17" customFormat="1" ht="25.05" customHeight="1" x14ac:dyDescent="0.3">
      <c r="A5" s="25"/>
      <c r="B5" s="40" t="s">
        <v>14</v>
      </c>
      <c r="C5" s="41">
        <v>1</v>
      </c>
      <c r="D5" s="41">
        <v>1</v>
      </c>
      <c r="E5" s="41" t="str">
        <f>IF(C5=D5, "Yes", "No")</f>
        <v>Yes</v>
      </c>
      <c r="F5" s="208"/>
      <c r="G5" s="206"/>
      <c r="H5" s="284" t="s">
        <v>152</v>
      </c>
      <c r="I5" s="285"/>
      <c r="J5" s="286"/>
      <c r="K5" s="210"/>
      <c r="L5" s="210"/>
      <c r="M5" s="210"/>
      <c r="N5" s="25"/>
      <c r="O5" s="25"/>
      <c r="P5" s="25"/>
    </row>
    <row r="6" spans="1:17" customFormat="1" ht="25.05" customHeight="1" x14ac:dyDescent="0.3">
      <c r="A6" s="25"/>
      <c r="B6" s="40" t="s">
        <v>15</v>
      </c>
      <c r="C6" s="41">
        <v>2</v>
      </c>
      <c r="D6" s="41">
        <v>2</v>
      </c>
      <c r="E6" s="41" t="str">
        <f t="shared" ref="E6:E22" si="0">IF(C6=D6, "Yes", "No")</f>
        <v>Yes</v>
      </c>
      <c r="F6" s="208"/>
      <c r="G6" s="207"/>
      <c r="H6" s="284" t="s">
        <v>151</v>
      </c>
      <c r="I6" s="285"/>
      <c r="J6" s="286"/>
      <c r="K6" s="210"/>
      <c r="L6" s="210"/>
      <c r="M6" s="210"/>
      <c r="N6" s="25"/>
      <c r="O6" s="25"/>
      <c r="P6" s="25"/>
    </row>
    <row r="7" spans="1:17" customFormat="1" ht="25.05" customHeight="1" x14ac:dyDescent="0.3">
      <c r="A7" s="25"/>
      <c r="B7" s="40" t="s">
        <v>16</v>
      </c>
      <c r="C7" s="41">
        <v>3</v>
      </c>
      <c r="D7" s="41">
        <v>4</v>
      </c>
      <c r="E7" s="41" t="str">
        <f t="shared" si="0"/>
        <v>No</v>
      </c>
      <c r="F7" s="208"/>
      <c r="G7" s="171"/>
      <c r="H7" s="284" t="s">
        <v>113</v>
      </c>
      <c r="I7" s="285"/>
      <c r="J7" s="286"/>
      <c r="K7" s="210"/>
      <c r="L7" s="210"/>
      <c r="M7" s="210"/>
      <c r="N7" s="25"/>
      <c r="O7" s="25"/>
      <c r="P7" s="25"/>
    </row>
    <row r="8" spans="1:17" customFormat="1" ht="25.05" customHeight="1" x14ac:dyDescent="0.3">
      <c r="A8" s="25"/>
      <c r="B8" s="40" t="s">
        <v>17</v>
      </c>
      <c r="C8" s="41">
        <v>4</v>
      </c>
      <c r="D8" s="41">
        <v>18</v>
      </c>
      <c r="E8" s="41" t="str">
        <f t="shared" si="0"/>
        <v>No</v>
      </c>
      <c r="F8" s="208"/>
      <c r="G8" s="210"/>
      <c r="H8" s="210"/>
      <c r="I8" s="210"/>
      <c r="J8" s="210"/>
      <c r="K8" s="210"/>
      <c r="L8" s="210"/>
      <c r="M8" s="210"/>
      <c r="N8" s="25"/>
      <c r="O8" s="25"/>
      <c r="P8" s="25"/>
    </row>
    <row r="9" spans="1:17" customFormat="1" ht="25.05" customHeight="1" x14ac:dyDescent="0.3">
      <c r="A9" s="25"/>
      <c r="B9" s="40" t="s">
        <v>18</v>
      </c>
      <c r="C9" s="41">
        <v>5</v>
      </c>
      <c r="D9" s="41">
        <v>5</v>
      </c>
      <c r="E9" s="41" t="str">
        <f t="shared" si="0"/>
        <v>Yes</v>
      </c>
      <c r="F9" s="208"/>
      <c r="G9" s="288" t="s">
        <v>272</v>
      </c>
      <c r="H9" s="289"/>
      <c r="I9" s="289"/>
      <c r="J9" s="289"/>
      <c r="K9" s="289"/>
      <c r="L9" s="289"/>
      <c r="M9" s="210"/>
      <c r="N9" s="25"/>
      <c r="O9" s="25"/>
      <c r="P9" s="25"/>
    </row>
    <row r="10" spans="1:17" customFormat="1" ht="25.05" customHeight="1" x14ac:dyDescent="0.3">
      <c r="A10" s="25"/>
      <c r="B10" s="40" t="s">
        <v>19</v>
      </c>
      <c r="C10" s="41">
        <v>6</v>
      </c>
      <c r="D10" s="41">
        <v>6</v>
      </c>
      <c r="E10" s="41" t="str">
        <f t="shared" si="0"/>
        <v>Yes</v>
      </c>
      <c r="F10" s="208"/>
      <c r="G10" s="92" t="s">
        <v>82</v>
      </c>
      <c r="H10" s="290" t="s">
        <v>135</v>
      </c>
      <c r="I10" s="290"/>
      <c r="J10" s="290"/>
      <c r="K10" s="290"/>
      <c r="L10" s="290"/>
      <c r="M10" s="290"/>
      <c r="N10" s="290"/>
      <c r="O10" s="25"/>
      <c r="P10" s="25"/>
    </row>
    <row r="11" spans="1:17" customFormat="1" ht="25.05" customHeight="1" x14ac:dyDescent="0.3">
      <c r="A11" s="25"/>
      <c r="B11" s="40" t="s">
        <v>20</v>
      </c>
      <c r="C11" s="41">
        <v>7</v>
      </c>
      <c r="D11" s="41">
        <v>7</v>
      </c>
      <c r="E11" s="41" t="str">
        <f t="shared" si="0"/>
        <v>Yes</v>
      </c>
      <c r="F11" s="208"/>
      <c r="G11" s="92" t="s">
        <v>83</v>
      </c>
      <c r="H11" s="290" t="s">
        <v>134</v>
      </c>
      <c r="I11" s="290"/>
      <c r="J11" s="290"/>
      <c r="K11" s="290"/>
      <c r="L11" s="290"/>
      <c r="M11" s="290"/>
      <c r="N11" s="290"/>
      <c r="O11" s="25"/>
      <c r="P11" s="25"/>
    </row>
    <row r="12" spans="1:17" customFormat="1" ht="25.05" customHeight="1" x14ac:dyDescent="0.3">
      <c r="A12" s="25"/>
      <c r="B12" s="40" t="s">
        <v>42</v>
      </c>
      <c r="C12" s="41">
        <v>8</v>
      </c>
      <c r="D12" s="41">
        <v>8</v>
      </c>
      <c r="E12" s="41" t="str">
        <f t="shared" si="0"/>
        <v>Yes</v>
      </c>
      <c r="F12" s="208"/>
      <c r="G12" s="92" t="s">
        <v>85</v>
      </c>
      <c r="H12" s="290" t="s">
        <v>220</v>
      </c>
      <c r="I12" s="290"/>
      <c r="J12" s="290"/>
      <c r="K12" s="290"/>
      <c r="L12" s="290"/>
      <c r="M12" s="290"/>
      <c r="N12" s="290"/>
      <c r="O12" s="25"/>
      <c r="P12" s="25"/>
    </row>
    <row r="13" spans="1:17" customFormat="1" ht="25.05" customHeight="1" x14ac:dyDescent="0.3">
      <c r="A13" s="25"/>
      <c r="B13" s="40" t="s">
        <v>21</v>
      </c>
      <c r="C13" s="41">
        <v>9</v>
      </c>
      <c r="D13" s="41">
        <v>14</v>
      </c>
      <c r="E13" s="41" t="str">
        <f t="shared" si="0"/>
        <v>No</v>
      </c>
      <c r="F13" s="208"/>
      <c r="G13" s="92" t="s">
        <v>182</v>
      </c>
      <c r="H13" s="290" t="s">
        <v>184</v>
      </c>
      <c r="I13" s="290"/>
      <c r="J13" s="290"/>
      <c r="K13" s="290"/>
      <c r="L13" s="290"/>
      <c r="M13" s="290"/>
      <c r="N13" s="290"/>
      <c r="O13" s="25"/>
      <c r="P13" s="25"/>
    </row>
    <row r="14" spans="1:17" customFormat="1" ht="25.05" customHeight="1" x14ac:dyDescent="0.3">
      <c r="A14" s="25"/>
      <c r="B14" s="40" t="s">
        <v>22</v>
      </c>
      <c r="C14" s="41">
        <v>10</v>
      </c>
      <c r="D14" s="41">
        <v>10</v>
      </c>
      <c r="E14" s="41" t="str">
        <f t="shared" si="0"/>
        <v>Yes</v>
      </c>
      <c r="F14" s="208"/>
      <c r="G14" s="92" t="s">
        <v>183</v>
      </c>
      <c r="H14" s="290" t="s">
        <v>218</v>
      </c>
      <c r="I14" s="290"/>
      <c r="J14" s="290"/>
      <c r="K14" s="290"/>
      <c r="L14" s="290"/>
      <c r="M14" s="290"/>
      <c r="N14" s="290"/>
      <c r="O14" s="25"/>
      <c r="P14" s="25"/>
    </row>
    <row r="15" spans="1:17" customFormat="1" ht="25.05" customHeight="1" x14ac:dyDescent="0.3">
      <c r="A15" s="25"/>
      <c r="B15" s="40" t="s">
        <v>23</v>
      </c>
      <c r="C15" s="41">
        <v>11</v>
      </c>
      <c r="D15" s="41">
        <v>11</v>
      </c>
      <c r="E15" s="41" t="str">
        <f t="shared" si="0"/>
        <v>Yes</v>
      </c>
      <c r="F15" s="208"/>
      <c r="G15" s="92" t="s">
        <v>185</v>
      </c>
      <c r="H15" s="290" t="s">
        <v>187</v>
      </c>
      <c r="I15" s="290"/>
      <c r="J15" s="290"/>
      <c r="K15" s="290"/>
      <c r="L15" s="290"/>
      <c r="M15" s="290"/>
      <c r="N15" s="290"/>
      <c r="O15" s="25"/>
      <c r="P15" s="25"/>
    </row>
    <row r="16" spans="1:17" customFormat="1" ht="25.05" customHeight="1" x14ac:dyDescent="0.3">
      <c r="A16" s="25"/>
      <c r="B16" s="40" t="s">
        <v>24</v>
      </c>
      <c r="C16" s="41">
        <v>12</v>
      </c>
      <c r="D16" s="41">
        <v>12</v>
      </c>
      <c r="E16" s="41" t="str">
        <f t="shared" si="0"/>
        <v>Yes</v>
      </c>
      <c r="F16" s="208"/>
      <c r="G16" s="92" t="s">
        <v>186</v>
      </c>
      <c r="H16" s="290" t="s">
        <v>219</v>
      </c>
      <c r="I16" s="290"/>
      <c r="J16" s="290"/>
      <c r="K16" s="290"/>
      <c r="L16" s="290"/>
      <c r="M16" s="290"/>
      <c r="N16" s="290"/>
      <c r="O16" s="25"/>
      <c r="P16" s="25"/>
    </row>
    <row r="17" spans="1:16" customFormat="1" ht="25.05" customHeight="1" x14ac:dyDescent="0.3">
      <c r="A17" s="25"/>
      <c r="B17" s="40" t="s">
        <v>25</v>
      </c>
      <c r="C17" s="41">
        <v>13</v>
      </c>
      <c r="D17" s="41">
        <v>13</v>
      </c>
      <c r="E17" s="41" t="str">
        <f t="shared" si="0"/>
        <v>Yes</v>
      </c>
      <c r="F17" s="208"/>
      <c r="G17" s="212" t="s">
        <v>270</v>
      </c>
      <c r="H17" s="287" t="s">
        <v>297</v>
      </c>
      <c r="I17" s="287"/>
      <c r="J17" s="287"/>
      <c r="K17" s="287"/>
      <c r="L17" s="287"/>
      <c r="M17" s="287"/>
      <c r="N17" s="287"/>
      <c r="O17" s="25"/>
      <c r="P17" s="25"/>
    </row>
    <row r="18" spans="1:16" customFormat="1" ht="25.05" customHeight="1" x14ac:dyDescent="0.3">
      <c r="A18" s="25"/>
      <c r="B18" s="40" t="s">
        <v>26</v>
      </c>
      <c r="C18" s="41">
        <v>14</v>
      </c>
      <c r="D18" s="41">
        <v>14</v>
      </c>
      <c r="E18" s="41" t="str">
        <f t="shared" si="0"/>
        <v>Yes</v>
      </c>
      <c r="F18" s="208"/>
      <c r="G18" s="212" t="s">
        <v>298</v>
      </c>
      <c r="H18" s="287" t="s">
        <v>312</v>
      </c>
      <c r="I18" s="287"/>
      <c r="J18" s="287"/>
      <c r="K18" s="287"/>
      <c r="L18" s="287"/>
      <c r="M18" s="287"/>
      <c r="N18" s="287"/>
      <c r="O18" s="25"/>
      <c r="P18" s="25"/>
    </row>
    <row r="19" spans="1:16" customFormat="1" ht="25.05" customHeight="1" x14ac:dyDescent="0.3">
      <c r="A19" s="25"/>
      <c r="B19" s="40" t="s">
        <v>27</v>
      </c>
      <c r="C19" s="41">
        <v>15</v>
      </c>
      <c r="D19" s="41">
        <v>15</v>
      </c>
      <c r="E19" s="41" t="str">
        <f t="shared" si="0"/>
        <v>Yes</v>
      </c>
      <c r="F19" s="208"/>
      <c r="G19" s="208"/>
      <c r="H19" s="208"/>
      <c r="I19" s="208"/>
      <c r="J19" s="211"/>
      <c r="K19" s="25"/>
      <c r="L19" s="25"/>
      <c r="M19" s="25"/>
      <c r="N19" s="25"/>
      <c r="O19" s="25"/>
      <c r="P19" s="25"/>
    </row>
    <row r="20" spans="1:16" customFormat="1" ht="25.05" customHeight="1" x14ac:dyDescent="0.3">
      <c r="A20" s="25"/>
      <c r="B20" s="40" t="s">
        <v>28</v>
      </c>
      <c r="C20" s="41">
        <v>16</v>
      </c>
      <c r="D20" s="41">
        <v>16</v>
      </c>
      <c r="E20" s="41" t="str">
        <f t="shared" si="0"/>
        <v>Yes</v>
      </c>
      <c r="F20" s="208"/>
      <c r="G20" s="208"/>
      <c r="H20" s="208"/>
      <c r="I20" s="208"/>
      <c r="J20" s="211"/>
      <c r="K20" s="25"/>
      <c r="L20" s="25"/>
      <c r="M20" s="25"/>
      <c r="N20" s="25"/>
      <c r="O20" s="25"/>
      <c r="P20" s="25"/>
    </row>
    <row r="21" spans="1:16" customFormat="1" ht="25.05" customHeight="1" x14ac:dyDescent="0.3">
      <c r="A21" s="25"/>
      <c r="B21" s="40" t="s">
        <v>29</v>
      </c>
      <c r="C21" s="41">
        <v>17</v>
      </c>
      <c r="D21" s="41">
        <v>3</v>
      </c>
      <c r="E21" s="41" t="str">
        <f t="shared" si="0"/>
        <v>No</v>
      </c>
      <c r="F21" s="208"/>
      <c r="G21" s="208"/>
      <c r="H21" s="208"/>
      <c r="I21" s="208"/>
      <c r="J21" s="211"/>
      <c r="K21" s="25"/>
      <c r="L21" s="25"/>
      <c r="M21" s="25"/>
      <c r="N21" s="25"/>
      <c r="O21" s="25"/>
      <c r="P21" s="25"/>
    </row>
    <row r="22" spans="1:16" customFormat="1" ht="25.05" customHeight="1" x14ac:dyDescent="0.3">
      <c r="A22" s="25"/>
      <c r="B22" s="40" t="s">
        <v>30</v>
      </c>
      <c r="C22" s="41">
        <v>18</v>
      </c>
      <c r="D22" s="41">
        <v>17</v>
      </c>
      <c r="E22" s="41" t="str">
        <f t="shared" si="0"/>
        <v>No</v>
      </c>
      <c r="F22" s="208"/>
      <c r="G22" s="208"/>
      <c r="H22" s="208"/>
      <c r="I22" s="208"/>
      <c r="J22" s="211"/>
      <c r="K22" s="25"/>
      <c r="L22" s="25"/>
      <c r="M22" s="25"/>
      <c r="N22" s="25"/>
      <c r="O22" s="25"/>
      <c r="P22" s="25"/>
    </row>
    <row r="23" spans="1:16" customFormat="1" ht="25.05" customHeight="1" x14ac:dyDescent="0.3">
      <c r="A23" s="25"/>
      <c r="B23" s="36"/>
      <c r="C23" s="36"/>
      <c r="D23" s="36"/>
      <c r="E23" s="36"/>
      <c r="F23" s="208"/>
      <c r="G23" s="208"/>
      <c r="H23" s="208"/>
      <c r="I23" s="208"/>
      <c r="J23" s="211"/>
      <c r="K23" s="25"/>
      <c r="L23" s="25"/>
      <c r="M23" s="25"/>
      <c r="N23" s="25"/>
      <c r="O23" s="25"/>
      <c r="P23" s="25"/>
    </row>
    <row r="24" spans="1:16" customFormat="1" ht="25.05" customHeight="1" x14ac:dyDescent="0.3">
      <c r="A24" s="25"/>
      <c r="B24" s="36"/>
      <c r="C24" s="36"/>
      <c r="D24" s="36"/>
      <c r="E24" s="36"/>
      <c r="F24" s="208"/>
      <c r="G24" s="36"/>
      <c r="H24" s="36"/>
      <c r="I24" s="36"/>
      <c r="J24" s="25"/>
      <c r="K24" s="25"/>
      <c r="L24" s="25"/>
      <c r="M24" s="25"/>
      <c r="N24" s="25"/>
      <c r="O24" s="25"/>
      <c r="P24" s="25"/>
    </row>
  </sheetData>
  <sheetProtection selectLockedCells="1" selectUnlockedCells="1"/>
  <mergeCells count="16">
    <mergeCell ref="H18:N18"/>
    <mergeCell ref="H7:J7"/>
    <mergeCell ref="G9:L9"/>
    <mergeCell ref="H17:N17"/>
    <mergeCell ref="H15:N15"/>
    <mergeCell ref="H16:N16"/>
    <mergeCell ref="H13:N13"/>
    <mergeCell ref="H14:N14"/>
    <mergeCell ref="H10:N10"/>
    <mergeCell ref="H11:N11"/>
    <mergeCell ref="H12:N12"/>
    <mergeCell ref="A1:XFD1"/>
    <mergeCell ref="B3:E3"/>
    <mergeCell ref="G4:H4"/>
    <mergeCell ref="H5:J5"/>
    <mergeCell ref="H6:J6"/>
  </mergeCells>
  <conditionalFormatting sqref="B5:E22">
    <cfRule type="expression" dxfId="65"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296" t="s">
        <v>90</v>
      </c>
      <c r="B1" s="297"/>
      <c r="C1" s="297"/>
      <c r="D1" s="297"/>
      <c r="E1" s="297"/>
      <c r="F1" s="297"/>
      <c r="G1" s="297"/>
      <c r="H1" s="297"/>
      <c r="I1" s="297"/>
    </row>
    <row r="2" spans="1:9" ht="15.6" customHeight="1" x14ac:dyDescent="0.25">
      <c r="A2" s="294" t="s">
        <v>38</v>
      </c>
      <c r="B2" s="294"/>
      <c r="C2" s="295"/>
      <c r="D2" s="292" t="s">
        <v>35</v>
      </c>
      <c r="E2" s="292"/>
      <c r="F2" s="291" t="s">
        <v>48</v>
      </c>
      <c r="G2" s="291"/>
      <c r="H2" s="293" t="s">
        <v>39</v>
      </c>
      <c r="I2" s="293"/>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64" priority="1" operator="equal">
      <formula>"No"</formula>
    </cfRule>
    <cfRule type="cellIs" dxfId="63"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zoomScaleNormal="100" workbookViewId="0">
      <pane ySplit="2" topLeftCell="A1169" activePane="bottomLeft" state="frozen"/>
      <selection pane="bottomLeft" activeCell="F1186" sqref="F1186"/>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308" t="s">
        <v>117</v>
      </c>
      <c r="B1" s="309"/>
      <c r="C1" s="309"/>
      <c r="D1" s="309"/>
      <c r="E1" s="310"/>
      <c r="F1" s="313" t="s">
        <v>103</v>
      </c>
      <c r="G1" s="313"/>
      <c r="H1" s="314" t="s">
        <v>102</v>
      </c>
      <c r="I1" s="314"/>
      <c r="J1" s="315" t="s">
        <v>39</v>
      </c>
      <c r="K1" s="315"/>
    </row>
    <row r="2" spans="1:21" s="106" customFormat="1" ht="34.950000000000003" customHeight="1" x14ac:dyDescent="0.3">
      <c r="A2" s="140" t="s">
        <v>96</v>
      </c>
      <c r="B2" s="137" t="s">
        <v>144</v>
      </c>
      <c r="C2" s="121" t="s">
        <v>31</v>
      </c>
      <c r="D2" s="122" t="s">
        <v>13</v>
      </c>
      <c r="E2" s="205"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IFERROR(AVERAGEIFS($G:$G, $A:$A, $A3, $B:$B,$B3, $C:$C,$C3),"")</f>
        <v>9.2278499999999999E-2</v>
      </c>
      <c r="J3" s="109" t="str">
        <f t="shared" ref="J3:J34" si="1">IF(AND(F3&lt;&gt;"", H3&lt;&gt;""), IF(F3&lt;H3,"Yes","No"), "")</f>
        <v>Yes</v>
      </c>
      <c r="K3" s="110" t="str">
        <f t="shared" ref="K3:K34" si="2">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IFERROR(AVERAGEIFS($G:$G, $A:$A, $A4, $B:$B,$B4, $C:$C,$C4),"")</f>
        <v>9.2278499999999999E-2</v>
      </c>
      <c r="J4" s="109" t="str">
        <f t="shared" si="1"/>
        <v>No</v>
      </c>
      <c r="K4" s="110" t="str">
        <f t="shared" si="2"/>
        <v>No</v>
      </c>
      <c r="M4" s="316" t="s">
        <v>116</v>
      </c>
      <c r="N4" s="316"/>
      <c r="O4" s="316"/>
    </row>
    <row r="5" spans="1:21" x14ac:dyDescent="0.3">
      <c r="A5" s="115" t="s">
        <v>91</v>
      </c>
      <c r="B5" s="128" t="s">
        <v>101</v>
      </c>
      <c r="C5" s="116">
        <v>46228</v>
      </c>
      <c r="D5" s="117" t="s">
        <v>16</v>
      </c>
      <c r="E5" s="115">
        <v>1810</v>
      </c>
      <c r="F5" s="118">
        <v>0.39858399999999999</v>
      </c>
      <c r="G5" s="119">
        <v>9.2427499999999996E-2</v>
      </c>
      <c r="H5" s="112">
        <f t="shared" si="0"/>
        <v>0.3911837647058824</v>
      </c>
      <c r="I5" s="113">
        <f>IFERROR(AVERAGEIFS($G:$G, $A:$A, $A5, $B:$B,$B5, $C:$C,$C5),"")</f>
        <v>9.2278499999999999E-2</v>
      </c>
      <c r="J5" s="109" t="str">
        <f t="shared" si="1"/>
        <v>No</v>
      </c>
      <c r="K5" s="110" t="str">
        <f t="shared" si="2"/>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ref="I6:I66" si="3">IFERROR(AVERAGEIFS($G:$G, $A:$A, $A6, $B:$B,$B6, $C:$C,$C6),"")</f>
        <v>9.2278499999999999E-2</v>
      </c>
      <c r="J6" s="109" t="str">
        <f t="shared" si="1"/>
        <v>No</v>
      </c>
      <c r="K6" s="110" t="str">
        <f t="shared" si="2"/>
        <v>No</v>
      </c>
      <c r="M6" s="317" t="s">
        <v>115</v>
      </c>
      <c r="N6" s="318"/>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3"/>
        <v>9.2278499999999999E-2</v>
      </c>
      <c r="J7" s="109" t="str">
        <f t="shared" si="1"/>
        <v>Yes</v>
      </c>
      <c r="K7" s="110" t="str">
        <f t="shared" si="2"/>
        <v>Yes</v>
      </c>
      <c r="M7" s="311" t="s">
        <v>95</v>
      </c>
      <c r="N7" s="312"/>
      <c r="O7" s="303" t="s">
        <v>110</v>
      </c>
      <c r="P7" s="304"/>
      <c r="Q7" s="304"/>
      <c r="R7" s="304"/>
      <c r="S7" s="304"/>
      <c r="T7" s="304"/>
      <c r="U7" s="305"/>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3"/>
        <v>9.2278499999999999E-2</v>
      </c>
      <c r="J8" s="109" t="str">
        <f t="shared" si="1"/>
        <v>No</v>
      </c>
      <c r="K8" s="110" t="str">
        <f t="shared" si="2"/>
        <v>Yes</v>
      </c>
      <c r="M8" s="311" t="s">
        <v>100</v>
      </c>
      <c r="N8" s="312"/>
      <c r="O8" s="303" t="s">
        <v>111</v>
      </c>
      <c r="P8" s="304"/>
      <c r="Q8" s="304"/>
      <c r="R8" s="304"/>
      <c r="S8" s="304"/>
      <c r="T8" s="304"/>
      <c r="U8" s="305"/>
    </row>
    <row r="9" spans="1:21" x14ac:dyDescent="0.3">
      <c r="A9" s="115" t="s">
        <v>91</v>
      </c>
      <c r="B9" s="128" t="s">
        <v>101</v>
      </c>
      <c r="C9" s="116">
        <v>46228</v>
      </c>
      <c r="D9" s="117" t="s">
        <v>20</v>
      </c>
      <c r="E9" s="115">
        <v>3007</v>
      </c>
      <c r="F9" s="118">
        <v>0.50989600000000002</v>
      </c>
      <c r="G9" s="119">
        <v>0.102799</v>
      </c>
      <c r="H9" s="112">
        <f t="shared" si="0"/>
        <v>0.3911837647058824</v>
      </c>
      <c r="I9" s="113">
        <f t="shared" si="3"/>
        <v>9.2278499999999999E-2</v>
      </c>
      <c r="J9" s="109" t="str">
        <f t="shared" si="1"/>
        <v>No</v>
      </c>
      <c r="K9" s="110" t="str">
        <f t="shared" si="2"/>
        <v>No</v>
      </c>
      <c r="M9" s="311" t="s">
        <v>31</v>
      </c>
      <c r="N9" s="312"/>
      <c r="O9" s="303" t="s">
        <v>109</v>
      </c>
      <c r="P9" s="304"/>
      <c r="Q9" s="304"/>
      <c r="R9" s="304"/>
      <c r="S9" s="304"/>
      <c r="T9" s="304"/>
      <c r="U9" s="305"/>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3"/>
        <v>9.2278499999999999E-2</v>
      </c>
      <c r="J10" s="109" t="str">
        <f t="shared" si="1"/>
        <v>No</v>
      </c>
      <c r="K10" s="110" t="str">
        <f t="shared" si="2"/>
        <v>Yes</v>
      </c>
      <c r="M10" s="311" t="s">
        <v>13</v>
      </c>
      <c r="N10" s="312"/>
      <c r="O10" s="303" t="s">
        <v>108</v>
      </c>
      <c r="P10" s="304"/>
      <c r="Q10" s="304"/>
      <c r="R10" s="304"/>
      <c r="S10" s="304"/>
      <c r="T10" s="304"/>
      <c r="U10" s="305"/>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3"/>
        <v>9.2278499999999999E-2</v>
      </c>
      <c r="J11" s="109" t="str">
        <f t="shared" si="1"/>
        <v>No</v>
      </c>
      <c r="K11" s="110" t="str">
        <f t="shared" si="2"/>
        <v>No</v>
      </c>
      <c r="M11" s="306" t="s">
        <v>32</v>
      </c>
      <c r="N11" s="306"/>
      <c r="O11" s="307" t="s">
        <v>107</v>
      </c>
      <c r="P11" s="307"/>
      <c r="Q11" s="307"/>
      <c r="R11" s="307"/>
      <c r="S11" s="307"/>
      <c r="T11" s="307"/>
      <c r="U11" s="307"/>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3"/>
        <v>9.2278499999999999E-2</v>
      </c>
      <c r="J12" s="109" t="str">
        <f t="shared" si="1"/>
        <v>Yes</v>
      </c>
      <c r="K12" s="110" t="str">
        <f t="shared" si="2"/>
        <v>Yes</v>
      </c>
      <c r="M12" s="306" t="s">
        <v>33</v>
      </c>
      <c r="N12" s="306"/>
      <c r="O12" s="307" t="s">
        <v>106</v>
      </c>
      <c r="P12" s="307"/>
      <c r="Q12" s="307"/>
      <c r="R12" s="307"/>
      <c r="S12" s="307"/>
      <c r="T12" s="307"/>
      <c r="U12" s="307"/>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3"/>
        <v>9.2278499999999999E-2</v>
      </c>
      <c r="J13" s="109" t="str">
        <f t="shared" si="1"/>
        <v>No</v>
      </c>
      <c r="K13" s="110" t="str">
        <f t="shared" si="2"/>
        <v>No</v>
      </c>
      <c r="M13" s="306" t="s">
        <v>34</v>
      </c>
      <c r="N13" s="306"/>
      <c r="O13" s="307" t="s">
        <v>105</v>
      </c>
      <c r="P13" s="307"/>
      <c r="Q13" s="307"/>
      <c r="R13" s="307"/>
      <c r="S13" s="307"/>
      <c r="T13" s="307"/>
      <c r="U13" s="307"/>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3"/>
        <v>9.2278499999999999E-2</v>
      </c>
      <c r="J14" s="109" t="str">
        <f t="shared" si="1"/>
        <v>Yes</v>
      </c>
      <c r="K14" s="110" t="str">
        <f t="shared" si="2"/>
        <v>Yes</v>
      </c>
      <c r="M14" s="299" t="s">
        <v>104</v>
      </c>
      <c r="N14" s="300"/>
      <c r="O14" s="298" t="s">
        <v>118</v>
      </c>
      <c r="P14" s="298"/>
      <c r="Q14" s="298"/>
      <c r="R14" s="298"/>
      <c r="S14" s="298"/>
      <c r="T14" s="298"/>
      <c r="U14" s="298"/>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3"/>
        <v>9.2278499999999999E-2</v>
      </c>
      <c r="J15" s="109" t="str">
        <f t="shared" si="1"/>
        <v>Yes</v>
      </c>
      <c r="K15" s="110" t="str">
        <f t="shared" si="2"/>
        <v>Yes</v>
      </c>
      <c r="M15" s="301"/>
      <c r="N15" s="302"/>
      <c r="O15" s="298"/>
      <c r="P15" s="298"/>
      <c r="Q15" s="298"/>
      <c r="R15" s="298"/>
      <c r="S15" s="298"/>
      <c r="T15" s="298"/>
      <c r="U15" s="298"/>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3"/>
        <v>9.2278499999999999E-2</v>
      </c>
      <c r="J16" s="109" t="str">
        <f t="shared" si="1"/>
        <v>No</v>
      </c>
      <c r="K16" s="110" t="str">
        <f t="shared" si="2"/>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3"/>
        <v>9.2278499999999999E-2</v>
      </c>
      <c r="J17" s="109" t="str">
        <f t="shared" si="1"/>
        <v>No</v>
      </c>
      <c r="K17" s="110" t="str">
        <f t="shared" si="2"/>
        <v>No</v>
      </c>
      <c r="M17" s="283" t="s">
        <v>114</v>
      </c>
      <c r="N17" s="283"/>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3"/>
        <v>9.2278499999999999E-2</v>
      </c>
      <c r="J18" s="109" t="str">
        <f t="shared" si="1"/>
        <v>Yes</v>
      </c>
      <c r="K18" s="110" t="str">
        <f t="shared" si="2"/>
        <v>Yes</v>
      </c>
      <c r="M18" s="319"/>
      <c r="N18" s="319"/>
      <c r="O18" s="321" t="s">
        <v>112</v>
      </c>
      <c r="P18" s="321"/>
      <c r="Q18" s="321"/>
      <c r="R18" s="321"/>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3"/>
        <v>9.2278499999999999E-2</v>
      </c>
      <c r="J19" s="109" t="str">
        <f t="shared" si="1"/>
        <v>No</v>
      </c>
      <c r="K19" s="110" t="str">
        <f t="shared" si="2"/>
        <v>No</v>
      </c>
      <c r="M19" s="320"/>
      <c r="N19" s="320"/>
      <c r="O19" s="321" t="s">
        <v>113</v>
      </c>
      <c r="P19" s="321"/>
      <c r="Q19" s="321"/>
      <c r="R19" s="321"/>
    </row>
    <row r="20" spans="1:18" x14ac:dyDescent="0.3">
      <c r="A20" s="115" t="s">
        <v>91</v>
      </c>
      <c r="B20" s="128" t="s">
        <v>101</v>
      </c>
      <c r="C20" s="116">
        <v>46230</v>
      </c>
      <c r="D20" s="117" t="s">
        <v>14</v>
      </c>
      <c r="E20" s="115">
        <v>1939</v>
      </c>
      <c r="F20" s="118">
        <v>0.38631799999999999</v>
      </c>
      <c r="G20" s="119">
        <v>0.10861</v>
      </c>
      <c r="H20" s="112">
        <f t="shared" si="0"/>
        <v>0.3804177222222222</v>
      </c>
      <c r="I20" s="113">
        <f t="shared" si="3"/>
        <v>9.1966633333333339E-2</v>
      </c>
      <c r="J20" s="109" t="str">
        <f t="shared" si="1"/>
        <v>No</v>
      </c>
      <c r="K20" s="110" t="str">
        <f t="shared" si="2"/>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3"/>
        <v>9.1966633333333339E-2</v>
      </c>
      <c r="J21" s="109" t="str">
        <f t="shared" si="1"/>
        <v>No</v>
      </c>
      <c r="K21" s="110" t="str">
        <f t="shared" si="2"/>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3"/>
        <v>9.1966633333333339E-2</v>
      </c>
      <c r="J22" s="109" t="str">
        <f t="shared" si="1"/>
        <v>No</v>
      </c>
      <c r="K22" s="110" t="str">
        <f t="shared" si="2"/>
        <v>No</v>
      </c>
    </row>
    <row r="23" spans="1:18" x14ac:dyDescent="0.3">
      <c r="A23" s="115" t="s">
        <v>91</v>
      </c>
      <c r="B23" s="128" t="s">
        <v>101</v>
      </c>
      <c r="C23" s="116">
        <v>46230</v>
      </c>
      <c r="D23" s="117" t="s">
        <v>17</v>
      </c>
      <c r="E23" s="115">
        <v>1819</v>
      </c>
      <c r="F23" s="118">
        <v>0.610344</v>
      </c>
      <c r="G23" s="119">
        <v>0.120907</v>
      </c>
      <c r="H23" s="112">
        <f t="shared" si="0"/>
        <v>0.3804177222222222</v>
      </c>
      <c r="I23" s="113">
        <f t="shared" si="3"/>
        <v>9.1966633333333339E-2</v>
      </c>
      <c r="J23" s="109" t="str">
        <f t="shared" si="1"/>
        <v>No</v>
      </c>
      <c r="K23" s="110" t="str">
        <f t="shared" si="2"/>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3"/>
        <v>9.1966633333333339E-2</v>
      </c>
      <c r="J24" s="109" t="str">
        <f t="shared" si="1"/>
        <v>Yes</v>
      </c>
      <c r="K24" s="110" t="str">
        <f t="shared" si="2"/>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3"/>
        <v>9.1966633333333339E-2</v>
      </c>
      <c r="J25" s="109" t="str">
        <f t="shared" si="1"/>
        <v>Yes</v>
      </c>
      <c r="K25" s="110" t="str">
        <f t="shared" si="2"/>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3"/>
        <v>9.1966633333333339E-2</v>
      </c>
      <c r="J26" s="109" t="str">
        <f t="shared" si="1"/>
        <v>Yes</v>
      </c>
      <c r="K26" s="110" t="str">
        <f t="shared" si="2"/>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3"/>
        <v>9.1966633333333339E-2</v>
      </c>
      <c r="J27" s="109" t="str">
        <f t="shared" si="1"/>
        <v>Yes</v>
      </c>
      <c r="K27" s="110" t="str">
        <f t="shared" si="2"/>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3"/>
        <v>9.1966633333333339E-2</v>
      </c>
      <c r="J28" s="109" t="str">
        <f t="shared" si="1"/>
        <v>No</v>
      </c>
      <c r="K28" s="110" t="str">
        <f t="shared" si="2"/>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3"/>
        <v>9.1966633333333339E-2</v>
      </c>
      <c r="J29" s="109" t="str">
        <f t="shared" si="1"/>
        <v>No</v>
      </c>
      <c r="K29" s="110" t="str">
        <f t="shared" si="2"/>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3"/>
        <v>9.1966633333333339E-2</v>
      </c>
      <c r="J30" s="109" t="str">
        <f t="shared" si="1"/>
        <v>No</v>
      </c>
      <c r="K30" s="110" t="str">
        <f t="shared" si="2"/>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3"/>
        <v>9.1966633333333339E-2</v>
      </c>
      <c r="J31" s="109" t="str">
        <f t="shared" si="1"/>
        <v>Yes</v>
      </c>
      <c r="K31" s="110" t="str">
        <f t="shared" si="2"/>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3"/>
        <v>9.1966633333333339E-2</v>
      </c>
      <c r="J32" s="109" t="str">
        <f t="shared" si="1"/>
        <v>Yes</v>
      </c>
      <c r="K32" s="110" t="str">
        <f t="shared" si="2"/>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3"/>
        <v>9.1966633333333339E-2</v>
      </c>
      <c r="J33" s="109" t="str">
        <f t="shared" si="1"/>
        <v>Yes</v>
      </c>
      <c r="K33" s="110" t="str">
        <f t="shared" si="2"/>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3"/>
        <v>9.1966633333333339E-2</v>
      </c>
      <c r="J34" s="109" t="str">
        <f t="shared" si="1"/>
        <v>No</v>
      </c>
      <c r="K34" s="110" t="str">
        <f t="shared" si="2"/>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3"/>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3"/>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3"/>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3"/>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3"/>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3"/>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3"/>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3"/>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3"/>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3"/>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3"/>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3"/>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3"/>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3"/>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3"/>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3"/>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3"/>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3"/>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3"/>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3"/>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3"/>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3"/>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3"/>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3"/>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3"/>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3"/>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3"/>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3"/>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3"/>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3"/>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3"/>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3"/>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49"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 t="shared" ref="H550:H613" si="28">IFERROR(AVERAGEIFS($F:$F, $A:$A, $A550, $B:$B,$B550, $C:$C,$C550),"")</f>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 t="shared" si="28"/>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 t="shared" si="28"/>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 t="shared" si="28"/>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 t="shared" si="28"/>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 t="shared" si="28"/>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 t="shared" si="28"/>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 t="shared" si="28"/>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 t="shared" si="28"/>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 t="shared" si="28"/>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 t="shared" si="28"/>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 t="shared" si="28"/>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 t="shared" si="28"/>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 t="shared" si="28"/>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 t="shared" si="28"/>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 t="shared" si="28"/>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 t="shared" si="28"/>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 t="shared" si="28"/>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 t="shared" si="28"/>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 t="shared" si="28"/>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 t="shared" si="28"/>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 t="shared" si="28"/>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 t="shared" si="28"/>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 t="shared" si="28"/>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 t="shared" si="28"/>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 t="shared" si="28"/>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 t="shared" si="28"/>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 t="shared" si="28"/>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 t="shared" si="28"/>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 t="shared" si="28"/>
        <v>0.40640135294117646</v>
      </c>
      <c r="I579" s="113">
        <f t="shared" ref="I579:I642" si="29">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228</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228</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228</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228</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228</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228</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228</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228</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228</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228</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228</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228</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228</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228</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228</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200</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200</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200</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200</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200</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200</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200</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200</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200</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200</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200</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200</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200</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200</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200</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200</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200</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200</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201</v>
      </c>
      <c r="C614" s="116">
        <v>46245</v>
      </c>
      <c r="D614" s="110" t="s">
        <v>14</v>
      </c>
      <c r="E614" s="120">
        <v>2216</v>
      </c>
      <c r="F614" s="109">
        <v>0.54661599999999999</v>
      </c>
      <c r="G614" s="111">
        <v>0.15504499999999999</v>
      </c>
      <c r="H614" s="112">
        <f t="shared" ref="H614:H677" si="30">IFERROR(AVERAGEIFS($F:$F, $A:$A, $A614, $B:$B,$B614, $C:$C,$C614),"")</f>
        <v>0.35505961111111106</v>
      </c>
      <c r="I614" s="113">
        <f t="shared" si="29"/>
        <v>8.6578638888888892E-2</v>
      </c>
    </row>
    <row r="615" spans="1:9" x14ac:dyDescent="0.3">
      <c r="A615" s="120" t="s">
        <v>99</v>
      </c>
      <c r="B615" s="129" t="s">
        <v>201</v>
      </c>
      <c r="C615" s="116">
        <v>46245</v>
      </c>
      <c r="D615" s="110" t="s">
        <v>15</v>
      </c>
      <c r="E615" s="120">
        <v>2211</v>
      </c>
      <c r="F615" s="109">
        <v>0.47216799999999998</v>
      </c>
      <c r="G615" s="111">
        <v>0.12520300000000001</v>
      </c>
      <c r="H615" s="112">
        <f t="shared" si="30"/>
        <v>0.35505961111111106</v>
      </c>
      <c r="I615" s="113">
        <f t="shared" si="29"/>
        <v>8.6578638888888892E-2</v>
      </c>
    </row>
    <row r="616" spans="1:9" x14ac:dyDescent="0.3">
      <c r="A616" s="120" t="s">
        <v>99</v>
      </c>
      <c r="B616" s="129" t="s">
        <v>201</v>
      </c>
      <c r="C616" s="116">
        <v>46245</v>
      </c>
      <c r="D616" s="110" t="s">
        <v>16</v>
      </c>
      <c r="E616" s="120">
        <v>1665</v>
      </c>
      <c r="F616" s="109">
        <v>0.417495</v>
      </c>
      <c r="G616" s="111">
        <v>9.8415000000000002E-2</v>
      </c>
      <c r="H616" s="112">
        <f t="shared" si="30"/>
        <v>0.35505961111111106</v>
      </c>
      <c r="I616" s="113">
        <f t="shared" si="29"/>
        <v>8.6578638888888892E-2</v>
      </c>
    </row>
    <row r="617" spans="1:9" x14ac:dyDescent="0.3">
      <c r="A617" s="120" t="s">
        <v>99</v>
      </c>
      <c r="B617" s="129" t="s">
        <v>201</v>
      </c>
      <c r="C617" s="116">
        <v>46245</v>
      </c>
      <c r="D617" s="110" t="s">
        <v>17</v>
      </c>
      <c r="E617" s="120">
        <v>1901</v>
      </c>
      <c r="F617" s="109">
        <v>0.47767500000000002</v>
      </c>
      <c r="G617" s="111">
        <v>9.3883099999999997E-2</v>
      </c>
      <c r="H617" s="112">
        <f t="shared" si="30"/>
        <v>0.35505961111111106</v>
      </c>
      <c r="I617" s="113">
        <f t="shared" si="29"/>
        <v>8.6578638888888892E-2</v>
      </c>
    </row>
    <row r="618" spans="1:9" x14ac:dyDescent="0.3">
      <c r="A618" s="120" t="s">
        <v>99</v>
      </c>
      <c r="B618" s="129" t="s">
        <v>201</v>
      </c>
      <c r="C618" s="116">
        <v>46245</v>
      </c>
      <c r="D618" s="110" t="s">
        <v>18</v>
      </c>
      <c r="E618" s="120">
        <v>1966</v>
      </c>
      <c r="F618" s="109">
        <v>0.27741399999999999</v>
      </c>
      <c r="G618" s="111">
        <v>6.6127400000000003E-2</v>
      </c>
      <c r="H618" s="112">
        <f t="shared" si="30"/>
        <v>0.35505961111111106</v>
      </c>
      <c r="I618" s="113">
        <f t="shared" si="29"/>
        <v>8.6578638888888892E-2</v>
      </c>
    </row>
    <row r="619" spans="1:9" x14ac:dyDescent="0.3">
      <c r="A619" s="120" t="s">
        <v>99</v>
      </c>
      <c r="B619" s="129" t="s">
        <v>201</v>
      </c>
      <c r="C619" s="116">
        <v>46245</v>
      </c>
      <c r="D619" s="110" t="s">
        <v>19</v>
      </c>
      <c r="E619" s="120">
        <v>1519</v>
      </c>
      <c r="F619" s="109">
        <v>0.44321899999999997</v>
      </c>
      <c r="G619" s="111">
        <v>9.3189900000000006E-2</v>
      </c>
      <c r="H619" s="112">
        <f t="shared" si="30"/>
        <v>0.35505961111111106</v>
      </c>
      <c r="I619" s="113">
        <f t="shared" si="29"/>
        <v>8.6578638888888892E-2</v>
      </c>
    </row>
    <row r="620" spans="1:9" x14ac:dyDescent="0.3">
      <c r="A620" s="120" t="s">
        <v>99</v>
      </c>
      <c r="B620" s="129" t="s">
        <v>201</v>
      </c>
      <c r="C620" s="116">
        <v>46245</v>
      </c>
      <c r="D620" s="110" t="s">
        <v>20</v>
      </c>
      <c r="E620" s="120">
        <v>1471</v>
      </c>
      <c r="F620" s="109">
        <v>0.536694</v>
      </c>
      <c r="G620" s="111">
        <v>0.112083</v>
      </c>
      <c r="H620" s="112">
        <f t="shared" si="30"/>
        <v>0.35505961111111106</v>
      </c>
      <c r="I620" s="113">
        <f t="shared" si="29"/>
        <v>8.6578638888888892E-2</v>
      </c>
    </row>
    <row r="621" spans="1:9" x14ac:dyDescent="0.3">
      <c r="A621" s="120" t="s">
        <v>99</v>
      </c>
      <c r="B621" s="129" t="s">
        <v>201</v>
      </c>
      <c r="C621" s="116">
        <v>46245</v>
      </c>
      <c r="D621" s="110" t="s">
        <v>42</v>
      </c>
      <c r="E621" s="120">
        <v>1075</v>
      </c>
      <c r="F621" s="109">
        <v>0.25842799999999999</v>
      </c>
      <c r="G621" s="111">
        <v>7.7899399999999994E-2</v>
      </c>
      <c r="H621" s="112">
        <f t="shared" si="30"/>
        <v>0.35505961111111106</v>
      </c>
      <c r="I621" s="113">
        <f t="shared" si="29"/>
        <v>8.6578638888888892E-2</v>
      </c>
    </row>
    <row r="622" spans="1:9" x14ac:dyDescent="0.3">
      <c r="A622" s="120" t="s">
        <v>99</v>
      </c>
      <c r="B622" s="129" t="s">
        <v>201</v>
      </c>
      <c r="C622" s="116">
        <v>46245</v>
      </c>
      <c r="D622" s="110" t="s">
        <v>21</v>
      </c>
      <c r="E622" s="120">
        <v>2632</v>
      </c>
      <c r="F622" s="109">
        <v>0.23228499999999999</v>
      </c>
      <c r="G622" s="111">
        <v>4.5185700000000002E-2</v>
      </c>
      <c r="H622" s="112">
        <f t="shared" si="30"/>
        <v>0.35505961111111106</v>
      </c>
      <c r="I622" s="113">
        <f t="shared" si="29"/>
        <v>8.6578638888888892E-2</v>
      </c>
    </row>
    <row r="623" spans="1:9" x14ac:dyDescent="0.3">
      <c r="A623" s="120" t="s">
        <v>99</v>
      </c>
      <c r="B623" s="129" t="s">
        <v>201</v>
      </c>
      <c r="C623" s="116">
        <v>46245</v>
      </c>
      <c r="D623" s="110" t="s">
        <v>22</v>
      </c>
      <c r="E623" s="120">
        <v>2230</v>
      </c>
      <c r="F623" s="109">
        <v>0.49068299999999998</v>
      </c>
      <c r="G623" s="111">
        <v>0.13217400000000001</v>
      </c>
      <c r="H623" s="112">
        <f t="shared" si="30"/>
        <v>0.35505961111111106</v>
      </c>
      <c r="I623" s="113">
        <f t="shared" si="29"/>
        <v>8.6578638888888892E-2</v>
      </c>
    </row>
    <row r="624" spans="1:9" x14ac:dyDescent="0.3">
      <c r="A624" s="120" t="s">
        <v>99</v>
      </c>
      <c r="B624" s="129" t="s">
        <v>201</v>
      </c>
      <c r="C624" s="116">
        <v>46245</v>
      </c>
      <c r="D624" s="110" t="s">
        <v>23</v>
      </c>
      <c r="E624" s="120">
        <v>1045</v>
      </c>
      <c r="F624" s="109">
        <v>0.21654300000000001</v>
      </c>
      <c r="G624" s="111">
        <v>7.1738499999999997E-2</v>
      </c>
      <c r="H624" s="112">
        <f t="shared" si="30"/>
        <v>0.35505961111111106</v>
      </c>
      <c r="I624" s="113">
        <f t="shared" si="29"/>
        <v>8.6578638888888892E-2</v>
      </c>
    </row>
    <row r="625" spans="1:9" x14ac:dyDescent="0.3">
      <c r="A625" s="120" t="s">
        <v>99</v>
      </c>
      <c r="B625" s="129" t="s">
        <v>201</v>
      </c>
      <c r="C625" s="116">
        <v>46245</v>
      </c>
      <c r="D625" s="110" t="s">
        <v>24</v>
      </c>
      <c r="E625" s="120">
        <v>2191</v>
      </c>
      <c r="F625" s="109">
        <v>0.31936300000000001</v>
      </c>
      <c r="G625" s="111">
        <v>9.8980499999999999E-2</v>
      </c>
      <c r="H625" s="112">
        <f t="shared" si="30"/>
        <v>0.35505961111111106</v>
      </c>
      <c r="I625" s="113">
        <f t="shared" si="29"/>
        <v>8.6578638888888892E-2</v>
      </c>
    </row>
    <row r="626" spans="1:9" x14ac:dyDescent="0.3">
      <c r="A626" s="120" t="s">
        <v>99</v>
      </c>
      <c r="B626" s="129" t="s">
        <v>201</v>
      </c>
      <c r="C626" s="116">
        <v>46245</v>
      </c>
      <c r="D626" s="110" t="s">
        <v>25</v>
      </c>
      <c r="E626" s="120">
        <v>1027</v>
      </c>
      <c r="F626" s="109">
        <v>0.17457500000000001</v>
      </c>
      <c r="G626" s="111">
        <v>4.1752299999999999E-2</v>
      </c>
      <c r="H626" s="112">
        <f t="shared" si="30"/>
        <v>0.35505961111111106</v>
      </c>
      <c r="I626" s="113">
        <f t="shared" si="29"/>
        <v>8.6578638888888892E-2</v>
      </c>
    </row>
    <row r="627" spans="1:9" x14ac:dyDescent="0.3">
      <c r="A627" s="120" t="s">
        <v>99</v>
      </c>
      <c r="B627" s="129" t="s">
        <v>201</v>
      </c>
      <c r="C627" s="116">
        <v>46245</v>
      </c>
      <c r="D627" s="110" t="s">
        <v>26</v>
      </c>
      <c r="E627" s="120">
        <v>2038</v>
      </c>
      <c r="F627" s="109">
        <v>0.21984100000000001</v>
      </c>
      <c r="G627" s="111">
        <v>7.0038900000000001E-2</v>
      </c>
      <c r="H627" s="112">
        <f t="shared" si="30"/>
        <v>0.35505961111111106</v>
      </c>
      <c r="I627" s="113">
        <f t="shared" si="29"/>
        <v>8.6578638888888892E-2</v>
      </c>
    </row>
    <row r="628" spans="1:9" x14ac:dyDescent="0.3">
      <c r="A628" s="120" t="s">
        <v>99</v>
      </c>
      <c r="B628" s="129" t="s">
        <v>201</v>
      </c>
      <c r="C628" s="116">
        <v>46245</v>
      </c>
      <c r="D628" s="110" t="s">
        <v>27</v>
      </c>
      <c r="E628" s="120">
        <v>1994</v>
      </c>
      <c r="F628" s="109">
        <v>0.19936000000000001</v>
      </c>
      <c r="G628" s="111">
        <v>4.55343E-2</v>
      </c>
      <c r="H628" s="112">
        <f t="shared" si="30"/>
        <v>0.35505961111111106</v>
      </c>
      <c r="I628" s="113">
        <f t="shared" si="29"/>
        <v>8.6578638888888892E-2</v>
      </c>
    </row>
    <row r="629" spans="1:9" x14ac:dyDescent="0.3">
      <c r="A629" s="120" t="s">
        <v>99</v>
      </c>
      <c r="B629" s="129" t="s">
        <v>201</v>
      </c>
      <c r="C629" s="116">
        <v>46245</v>
      </c>
      <c r="D629" s="110" t="s">
        <v>28</v>
      </c>
      <c r="E629" s="120">
        <v>1005</v>
      </c>
      <c r="F629" s="109">
        <v>0.26792700000000003</v>
      </c>
      <c r="G629" s="111">
        <v>5.9843399999999998E-2</v>
      </c>
      <c r="H629" s="112">
        <f t="shared" si="30"/>
        <v>0.35505961111111106</v>
      </c>
      <c r="I629" s="113">
        <f t="shared" si="29"/>
        <v>8.6578638888888892E-2</v>
      </c>
    </row>
    <row r="630" spans="1:9" x14ac:dyDescent="0.3">
      <c r="A630" s="120" t="s">
        <v>99</v>
      </c>
      <c r="B630" s="129" t="s">
        <v>201</v>
      </c>
      <c r="C630" s="116">
        <v>46245</v>
      </c>
      <c r="D630" s="110" t="s">
        <v>29</v>
      </c>
      <c r="E630" s="120">
        <v>1719</v>
      </c>
      <c r="F630" s="109">
        <v>0.38500800000000002</v>
      </c>
      <c r="G630" s="111">
        <v>8.0166000000000001E-2</v>
      </c>
      <c r="H630" s="112">
        <f t="shared" si="30"/>
        <v>0.35505961111111106</v>
      </c>
      <c r="I630" s="113">
        <f t="shared" si="29"/>
        <v>8.6578638888888892E-2</v>
      </c>
    </row>
    <row r="631" spans="1:9" x14ac:dyDescent="0.3">
      <c r="A631" s="120" t="s">
        <v>99</v>
      </c>
      <c r="B631" s="129" t="s">
        <v>201</v>
      </c>
      <c r="C631" s="116">
        <v>46245</v>
      </c>
      <c r="D631" s="110" t="s">
        <v>30</v>
      </c>
      <c r="E631" s="120">
        <v>1176</v>
      </c>
      <c r="F631" s="109">
        <v>0.45577899999999999</v>
      </c>
      <c r="G631" s="111">
        <v>9.1156100000000004E-2</v>
      </c>
      <c r="H631" s="112">
        <f t="shared" si="30"/>
        <v>0.35505961111111106</v>
      </c>
      <c r="I631" s="113">
        <f t="shared" si="29"/>
        <v>8.6578638888888892E-2</v>
      </c>
    </row>
    <row r="632" spans="1:9" x14ac:dyDescent="0.3">
      <c r="A632" s="120" t="s">
        <v>99</v>
      </c>
      <c r="B632" s="129" t="s">
        <v>202</v>
      </c>
      <c r="C632" s="116">
        <v>46245</v>
      </c>
      <c r="D632" s="110" t="s">
        <v>14</v>
      </c>
      <c r="E632" s="120">
        <v>1896</v>
      </c>
      <c r="F632" s="109">
        <v>0.73990800000000001</v>
      </c>
      <c r="G632" s="111">
        <v>0.20802999999999999</v>
      </c>
      <c r="H632" s="112">
        <f t="shared" si="30"/>
        <v>0.41515294444444445</v>
      </c>
      <c r="I632" s="113">
        <f t="shared" si="29"/>
        <v>0.10087679444444447</v>
      </c>
    </row>
    <row r="633" spans="1:9" x14ac:dyDescent="0.3">
      <c r="A633" s="120" t="s">
        <v>99</v>
      </c>
      <c r="B633" s="129" t="s">
        <v>202</v>
      </c>
      <c r="C633" s="116">
        <v>46245</v>
      </c>
      <c r="D633" s="110" t="s">
        <v>15</v>
      </c>
      <c r="E633" s="120">
        <v>2085</v>
      </c>
      <c r="F633" s="109">
        <v>0.52351599999999998</v>
      </c>
      <c r="G633" s="111">
        <v>0.13792099999999999</v>
      </c>
      <c r="H633" s="112">
        <f t="shared" si="30"/>
        <v>0.41515294444444445</v>
      </c>
      <c r="I633" s="113">
        <f t="shared" si="29"/>
        <v>0.10087679444444447</v>
      </c>
    </row>
    <row r="634" spans="1:9" x14ac:dyDescent="0.3">
      <c r="A634" s="120" t="s">
        <v>99</v>
      </c>
      <c r="B634" s="129" t="s">
        <v>202</v>
      </c>
      <c r="C634" s="116">
        <v>46245</v>
      </c>
      <c r="D634" s="110" t="s">
        <v>16</v>
      </c>
      <c r="E634" s="120">
        <v>1683</v>
      </c>
      <c r="F634" s="109">
        <v>0.47475299999999998</v>
      </c>
      <c r="G634" s="111">
        <v>0.111329</v>
      </c>
      <c r="H634" s="112">
        <f t="shared" si="30"/>
        <v>0.41515294444444445</v>
      </c>
      <c r="I634" s="113">
        <f t="shared" si="29"/>
        <v>0.10087679444444447</v>
      </c>
    </row>
    <row r="635" spans="1:9" x14ac:dyDescent="0.3">
      <c r="A635" s="120" t="s">
        <v>99</v>
      </c>
      <c r="B635" s="129" t="s">
        <v>202</v>
      </c>
      <c r="C635" s="116">
        <v>46245</v>
      </c>
      <c r="D635" s="110" t="s">
        <v>17</v>
      </c>
      <c r="E635" s="120">
        <v>2001</v>
      </c>
      <c r="F635" s="109">
        <v>0.56546600000000002</v>
      </c>
      <c r="G635" s="111">
        <v>0.111805</v>
      </c>
      <c r="H635" s="112">
        <f t="shared" si="30"/>
        <v>0.41515294444444445</v>
      </c>
      <c r="I635" s="113">
        <f t="shared" si="29"/>
        <v>0.10087679444444447</v>
      </c>
    </row>
    <row r="636" spans="1:9" x14ac:dyDescent="0.3">
      <c r="A636" s="120" t="s">
        <v>99</v>
      </c>
      <c r="B636" s="129" t="s">
        <v>202</v>
      </c>
      <c r="C636" s="116">
        <v>46245</v>
      </c>
      <c r="D636" s="110" t="s">
        <v>18</v>
      </c>
      <c r="E636" s="120">
        <v>2062</v>
      </c>
      <c r="F636" s="109">
        <v>0.23252100000000001</v>
      </c>
      <c r="G636" s="111">
        <v>5.5301599999999999E-2</v>
      </c>
      <c r="H636" s="112">
        <f t="shared" si="30"/>
        <v>0.41515294444444445</v>
      </c>
      <c r="I636" s="113">
        <f t="shared" si="29"/>
        <v>0.10087679444444447</v>
      </c>
    </row>
    <row r="637" spans="1:9" x14ac:dyDescent="0.3">
      <c r="A637" s="120" t="s">
        <v>99</v>
      </c>
      <c r="B637" s="129" t="s">
        <v>202</v>
      </c>
      <c r="C637" s="116">
        <v>46245</v>
      </c>
      <c r="D637" s="110" t="s">
        <v>19</v>
      </c>
      <c r="E637" s="120">
        <v>1596</v>
      </c>
      <c r="F637" s="109">
        <v>0.39438099999999998</v>
      </c>
      <c r="G637" s="111">
        <v>8.2907800000000004E-2</v>
      </c>
      <c r="H637" s="112">
        <f t="shared" si="30"/>
        <v>0.41515294444444445</v>
      </c>
      <c r="I637" s="113">
        <f t="shared" si="29"/>
        <v>0.10087679444444447</v>
      </c>
    </row>
    <row r="638" spans="1:9" x14ac:dyDescent="0.3">
      <c r="A638" s="120" t="s">
        <v>99</v>
      </c>
      <c r="B638" s="129" t="s">
        <v>202</v>
      </c>
      <c r="C638" s="116">
        <v>46245</v>
      </c>
      <c r="D638" s="110" t="s">
        <v>20</v>
      </c>
      <c r="E638" s="120">
        <v>1522</v>
      </c>
      <c r="F638" s="109">
        <v>0.40736699999999998</v>
      </c>
      <c r="G638" s="111">
        <v>8.5178599999999993E-2</v>
      </c>
      <c r="H638" s="112">
        <f t="shared" si="30"/>
        <v>0.41515294444444445</v>
      </c>
      <c r="I638" s="113">
        <f t="shared" si="29"/>
        <v>0.10087679444444447</v>
      </c>
    </row>
    <row r="639" spans="1:9" x14ac:dyDescent="0.3">
      <c r="A639" s="120" t="s">
        <v>99</v>
      </c>
      <c r="B639" s="129" t="s">
        <v>202</v>
      </c>
      <c r="C639" s="116">
        <v>46245</v>
      </c>
      <c r="D639" s="110" t="s">
        <v>42</v>
      </c>
      <c r="E639" s="120">
        <v>1051</v>
      </c>
      <c r="F639" s="109">
        <v>0.23259199999999999</v>
      </c>
      <c r="G639" s="111">
        <v>7.0458099999999996E-2</v>
      </c>
      <c r="H639" s="112">
        <f t="shared" si="30"/>
        <v>0.41515294444444445</v>
      </c>
      <c r="I639" s="113">
        <f t="shared" si="29"/>
        <v>0.10087679444444447</v>
      </c>
    </row>
    <row r="640" spans="1:9" x14ac:dyDescent="0.3">
      <c r="A640" s="120" t="s">
        <v>99</v>
      </c>
      <c r="B640" s="129" t="s">
        <v>202</v>
      </c>
      <c r="C640" s="116">
        <v>46245</v>
      </c>
      <c r="D640" s="110" t="s">
        <v>21</v>
      </c>
      <c r="E640" s="120">
        <v>3031</v>
      </c>
      <c r="F640" s="109">
        <v>0.54395899999999997</v>
      </c>
      <c r="G640" s="111">
        <v>0.10575900000000001</v>
      </c>
      <c r="H640" s="112">
        <f t="shared" si="30"/>
        <v>0.41515294444444445</v>
      </c>
      <c r="I640" s="113">
        <f t="shared" si="29"/>
        <v>0.10087679444444447</v>
      </c>
    </row>
    <row r="641" spans="1:9" x14ac:dyDescent="0.3">
      <c r="A641" s="120" t="s">
        <v>99</v>
      </c>
      <c r="B641" s="129" t="s">
        <v>202</v>
      </c>
      <c r="C641" s="116">
        <v>46245</v>
      </c>
      <c r="D641" s="110" t="s">
        <v>22</v>
      </c>
      <c r="E641" s="120">
        <v>2042</v>
      </c>
      <c r="F641" s="109">
        <v>0.49671900000000002</v>
      </c>
      <c r="G641" s="111">
        <v>0.13489799999999999</v>
      </c>
      <c r="H641" s="112">
        <f t="shared" si="30"/>
        <v>0.41515294444444445</v>
      </c>
      <c r="I641" s="113">
        <f t="shared" si="29"/>
        <v>0.10087679444444447</v>
      </c>
    </row>
    <row r="642" spans="1:9" x14ac:dyDescent="0.3">
      <c r="A642" s="120" t="s">
        <v>99</v>
      </c>
      <c r="B642" s="129" t="s">
        <v>202</v>
      </c>
      <c r="C642" s="116">
        <v>46245</v>
      </c>
      <c r="D642" s="110" t="s">
        <v>23</v>
      </c>
      <c r="E642" s="120">
        <v>1118</v>
      </c>
      <c r="F642" s="109">
        <v>0.36133900000000002</v>
      </c>
      <c r="G642" s="111">
        <v>0.118544</v>
      </c>
      <c r="H642" s="112">
        <f t="shared" si="30"/>
        <v>0.41515294444444445</v>
      </c>
      <c r="I642" s="113">
        <f t="shared" si="29"/>
        <v>0.10087679444444447</v>
      </c>
    </row>
    <row r="643" spans="1:9" x14ac:dyDescent="0.3">
      <c r="A643" s="120" t="s">
        <v>99</v>
      </c>
      <c r="B643" s="129" t="s">
        <v>202</v>
      </c>
      <c r="C643" s="116">
        <v>46245</v>
      </c>
      <c r="D643" s="110" t="s">
        <v>24</v>
      </c>
      <c r="E643" s="120">
        <v>2336</v>
      </c>
      <c r="F643" s="109">
        <v>0.185832</v>
      </c>
      <c r="G643" s="111">
        <v>5.7234899999999998E-2</v>
      </c>
      <c r="H643" s="112">
        <f t="shared" si="30"/>
        <v>0.41515294444444445</v>
      </c>
      <c r="I643" s="113">
        <f t="shared" ref="I643:I706" si="31">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202</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202</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202</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202</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202</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229</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229</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229</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229</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229</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229</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229</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229</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229</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229</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229</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229</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229</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229</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229</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229</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229</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229</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230</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230</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230</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230</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230</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230</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230</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230</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230</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230</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230</v>
      </c>
      <c r="C678" s="116">
        <v>46245</v>
      </c>
      <c r="D678" s="110" t="s">
        <v>23</v>
      </c>
      <c r="E678" s="120">
        <v>1303</v>
      </c>
      <c r="F678" s="109">
        <v>0.34468399999999999</v>
      </c>
      <c r="G678" s="111">
        <v>0.113124</v>
      </c>
      <c r="H678" s="112">
        <f t="shared" ref="H678:H741" si="32">IFERROR(AVERAGEIFS($F:$F, $A:$A, $A678, $B:$B,$B678, $C:$C,$C678),"")</f>
        <v>0.29446205555555549</v>
      </c>
      <c r="I678" s="113">
        <f t="shared" si="31"/>
        <v>7.1127172222222229E-2</v>
      </c>
    </row>
    <row r="679" spans="1:9" x14ac:dyDescent="0.3">
      <c r="A679" s="120" t="s">
        <v>99</v>
      </c>
      <c r="B679" s="129" t="s">
        <v>230</v>
      </c>
      <c r="C679" s="116">
        <v>46245</v>
      </c>
      <c r="D679" s="110" t="s">
        <v>24</v>
      </c>
      <c r="E679" s="120">
        <v>2032</v>
      </c>
      <c r="F679" s="109">
        <v>0.21449599999999999</v>
      </c>
      <c r="G679" s="111">
        <v>6.61027E-2</v>
      </c>
      <c r="H679" s="112">
        <f t="shared" si="32"/>
        <v>0.29446205555555549</v>
      </c>
      <c r="I679" s="113">
        <f t="shared" si="31"/>
        <v>7.1127172222222229E-2</v>
      </c>
    </row>
    <row r="680" spans="1:9" x14ac:dyDescent="0.3">
      <c r="A680" s="120" t="s">
        <v>99</v>
      </c>
      <c r="B680" s="129" t="s">
        <v>230</v>
      </c>
      <c r="C680" s="116">
        <v>46245</v>
      </c>
      <c r="D680" s="110" t="s">
        <v>25</v>
      </c>
      <c r="E680" s="120">
        <v>1005</v>
      </c>
      <c r="F680" s="109">
        <v>0.29615900000000001</v>
      </c>
      <c r="G680" s="111">
        <v>7.1340799999999996E-2</v>
      </c>
      <c r="H680" s="112">
        <f t="shared" si="32"/>
        <v>0.29446205555555549</v>
      </c>
      <c r="I680" s="113">
        <f t="shared" si="31"/>
        <v>7.1127172222222229E-2</v>
      </c>
    </row>
    <row r="681" spans="1:9" x14ac:dyDescent="0.3">
      <c r="A681" s="120" t="s">
        <v>99</v>
      </c>
      <c r="B681" s="129" t="s">
        <v>230</v>
      </c>
      <c r="C681" s="116">
        <v>46245</v>
      </c>
      <c r="D681" s="110" t="s">
        <v>26</v>
      </c>
      <c r="E681" s="120">
        <v>1311</v>
      </c>
      <c r="F681" s="109">
        <v>0.17169300000000001</v>
      </c>
      <c r="G681" s="111">
        <v>5.5196099999999998E-2</v>
      </c>
      <c r="H681" s="112">
        <f t="shared" si="32"/>
        <v>0.29446205555555549</v>
      </c>
      <c r="I681" s="113">
        <f t="shared" si="31"/>
        <v>7.1127172222222229E-2</v>
      </c>
    </row>
    <row r="682" spans="1:9" x14ac:dyDescent="0.3">
      <c r="A682" s="120" t="s">
        <v>99</v>
      </c>
      <c r="B682" s="129" t="s">
        <v>230</v>
      </c>
      <c r="C682" s="116">
        <v>46245</v>
      </c>
      <c r="D682" s="110" t="s">
        <v>27</v>
      </c>
      <c r="E682" s="120">
        <v>1446</v>
      </c>
      <c r="F682" s="109">
        <v>0.35167100000000001</v>
      </c>
      <c r="G682" s="111">
        <v>7.9771400000000006E-2</v>
      </c>
      <c r="H682" s="112">
        <f t="shared" si="32"/>
        <v>0.29446205555555549</v>
      </c>
      <c r="I682" s="113">
        <f t="shared" si="31"/>
        <v>7.1127172222222229E-2</v>
      </c>
    </row>
    <row r="683" spans="1:9" x14ac:dyDescent="0.3">
      <c r="A683" s="120" t="s">
        <v>99</v>
      </c>
      <c r="B683" s="129" t="s">
        <v>230</v>
      </c>
      <c r="C683" s="116">
        <v>46245</v>
      </c>
      <c r="D683" s="110" t="s">
        <v>28</v>
      </c>
      <c r="E683" s="120">
        <v>1107</v>
      </c>
      <c r="F683" s="109">
        <v>0.300813</v>
      </c>
      <c r="G683" s="111">
        <v>6.7468299999999995E-2</v>
      </c>
      <c r="H683" s="112">
        <f t="shared" si="32"/>
        <v>0.29446205555555549</v>
      </c>
      <c r="I683" s="113">
        <f t="shared" si="31"/>
        <v>7.1127172222222229E-2</v>
      </c>
    </row>
    <row r="684" spans="1:9" x14ac:dyDescent="0.3">
      <c r="A684" s="120" t="s">
        <v>99</v>
      </c>
      <c r="B684" s="129" t="s">
        <v>230</v>
      </c>
      <c r="C684" s="116">
        <v>46245</v>
      </c>
      <c r="D684" s="110" t="s">
        <v>29</v>
      </c>
      <c r="E684" s="120">
        <v>1194</v>
      </c>
      <c r="F684" s="109">
        <v>0.29922399999999999</v>
      </c>
      <c r="G684" s="111">
        <v>6.19643E-2</v>
      </c>
      <c r="H684" s="112">
        <f t="shared" si="32"/>
        <v>0.29446205555555549</v>
      </c>
      <c r="I684" s="113">
        <f t="shared" si="31"/>
        <v>7.1127172222222229E-2</v>
      </c>
    </row>
    <row r="685" spans="1:9" x14ac:dyDescent="0.3">
      <c r="A685" s="120" t="s">
        <v>99</v>
      </c>
      <c r="B685" s="129" t="s">
        <v>230</v>
      </c>
      <c r="C685" s="116">
        <v>46245</v>
      </c>
      <c r="D685" s="110" t="s">
        <v>30</v>
      </c>
      <c r="E685" s="120">
        <v>1110</v>
      </c>
      <c r="F685" s="109">
        <v>0.321635</v>
      </c>
      <c r="G685" s="111">
        <v>6.4709199999999995E-2</v>
      </c>
      <c r="H685" s="112">
        <f t="shared" si="32"/>
        <v>0.29446205555555549</v>
      </c>
      <c r="I685" s="113">
        <f t="shared" si="31"/>
        <v>7.1127172222222229E-2</v>
      </c>
    </row>
    <row r="686" spans="1:9" x14ac:dyDescent="0.3">
      <c r="A686" s="120" t="s">
        <v>99</v>
      </c>
      <c r="B686" s="129" t="s">
        <v>231</v>
      </c>
      <c r="C686" s="116">
        <v>46245</v>
      </c>
      <c r="D686" s="110" t="s">
        <v>14</v>
      </c>
      <c r="E686" s="120">
        <v>2160</v>
      </c>
      <c r="F686" s="109">
        <v>0.25851800000000003</v>
      </c>
      <c r="G686" s="111">
        <v>7.2721099999999997E-2</v>
      </c>
      <c r="H686" s="112">
        <f t="shared" si="32"/>
        <v>0.29757333333333336</v>
      </c>
      <c r="I686" s="113">
        <f t="shared" si="31"/>
        <v>7.2018149999999989E-2</v>
      </c>
    </row>
    <row r="687" spans="1:9" x14ac:dyDescent="0.3">
      <c r="A687" s="120" t="s">
        <v>99</v>
      </c>
      <c r="B687" s="129" t="s">
        <v>231</v>
      </c>
      <c r="C687" s="116">
        <v>46245</v>
      </c>
      <c r="D687" s="110" t="s">
        <v>15</v>
      </c>
      <c r="E687" s="120">
        <v>1893</v>
      </c>
      <c r="F687" s="109">
        <v>0.37066399999999999</v>
      </c>
      <c r="G687" s="111">
        <v>9.7640299999999999E-2</v>
      </c>
      <c r="H687" s="112">
        <f t="shared" si="32"/>
        <v>0.29757333333333336</v>
      </c>
      <c r="I687" s="113">
        <f t="shared" si="31"/>
        <v>7.2018149999999989E-2</v>
      </c>
    </row>
    <row r="688" spans="1:9" x14ac:dyDescent="0.3">
      <c r="A688" s="120" t="s">
        <v>99</v>
      </c>
      <c r="B688" s="129" t="s">
        <v>231</v>
      </c>
      <c r="C688" s="116">
        <v>46245</v>
      </c>
      <c r="D688" s="110" t="s">
        <v>16</v>
      </c>
      <c r="E688" s="120">
        <v>1209</v>
      </c>
      <c r="F688" s="109">
        <v>0.35478100000000001</v>
      </c>
      <c r="G688" s="111">
        <v>8.3202799999999993E-2</v>
      </c>
      <c r="H688" s="112">
        <f t="shared" si="32"/>
        <v>0.29757333333333336</v>
      </c>
      <c r="I688" s="113">
        <f t="shared" si="31"/>
        <v>7.2018149999999989E-2</v>
      </c>
    </row>
    <row r="689" spans="1:9" x14ac:dyDescent="0.3">
      <c r="A689" s="120" t="s">
        <v>99</v>
      </c>
      <c r="B689" s="129" t="s">
        <v>231</v>
      </c>
      <c r="C689" s="116">
        <v>46245</v>
      </c>
      <c r="D689" s="110" t="s">
        <v>17</v>
      </c>
      <c r="E689" s="120">
        <v>1803</v>
      </c>
      <c r="F689" s="109">
        <v>0.395152</v>
      </c>
      <c r="G689" s="111">
        <v>7.8171699999999997E-2</v>
      </c>
      <c r="H689" s="112">
        <f t="shared" si="32"/>
        <v>0.29757333333333336</v>
      </c>
      <c r="I689" s="113">
        <f t="shared" si="31"/>
        <v>7.2018149999999989E-2</v>
      </c>
    </row>
    <row r="690" spans="1:9" x14ac:dyDescent="0.3">
      <c r="A690" s="120" t="s">
        <v>99</v>
      </c>
      <c r="B690" s="129" t="s">
        <v>231</v>
      </c>
      <c r="C690" s="116">
        <v>46245</v>
      </c>
      <c r="D690" s="110" t="s">
        <v>18</v>
      </c>
      <c r="E690" s="120">
        <v>1757</v>
      </c>
      <c r="F690" s="109">
        <v>0.21223900000000001</v>
      </c>
      <c r="G690" s="111">
        <v>5.0476E-2</v>
      </c>
      <c r="H690" s="112">
        <f t="shared" si="32"/>
        <v>0.29757333333333336</v>
      </c>
      <c r="I690" s="113">
        <f t="shared" si="31"/>
        <v>7.2018149999999989E-2</v>
      </c>
    </row>
    <row r="691" spans="1:9" x14ac:dyDescent="0.3">
      <c r="A691" s="120" t="s">
        <v>99</v>
      </c>
      <c r="B691" s="129" t="s">
        <v>231</v>
      </c>
      <c r="C691" s="116">
        <v>46245</v>
      </c>
      <c r="D691" s="110" t="s">
        <v>19</v>
      </c>
      <c r="E691" s="120">
        <v>1755</v>
      </c>
      <c r="F691" s="109">
        <v>0.317135</v>
      </c>
      <c r="G691" s="111">
        <v>6.6685400000000006E-2</v>
      </c>
      <c r="H691" s="112">
        <f t="shared" si="32"/>
        <v>0.29757333333333336</v>
      </c>
      <c r="I691" s="113">
        <f t="shared" si="31"/>
        <v>7.2018149999999989E-2</v>
      </c>
    </row>
    <row r="692" spans="1:9" x14ac:dyDescent="0.3">
      <c r="A692" s="120" t="s">
        <v>99</v>
      </c>
      <c r="B692" s="129" t="s">
        <v>231</v>
      </c>
      <c r="C692" s="116">
        <v>46245</v>
      </c>
      <c r="D692" s="110" t="s">
        <v>20</v>
      </c>
      <c r="E692" s="120">
        <v>1723</v>
      </c>
      <c r="F692" s="109">
        <v>0.29980299999999999</v>
      </c>
      <c r="G692" s="111">
        <v>6.2706399999999995E-2</v>
      </c>
      <c r="H692" s="112">
        <f t="shared" si="32"/>
        <v>0.29757333333333336</v>
      </c>
      <c r="I692" s="113">
        <f t="shared" si="31"/>
        <v>7.2018149999999989E-2</v>
      </c>
    </row>
    <row r="693" spans="1:9" x14ac:dyDescent="0.3">
      <c r="A693" s="120" t="s">
        <v>99</v>
      </c>
      <c r="B693" s="129" t="s">
        <v>231</v>
      </c>
      <c r="C693" s="116">
        <v>46245</v>
      </c>
      <c r="D693" s="110" t="s">
        <v>42</v>
      </c>
      <c r="E693" s="120">
        <v>1005</v>
      </c>
      <c r="F693" s="109">
        <v>0.17078399999999999</v>
      </c>
      <c r="G693" s="111">
        <v>5.1755799999999998E-2</v>
      </c>
      <c r="H693" s="112">
        <f t="shared" si="32"/>
        <v>0.29757333333333336</v>
      </c>
      <c r="I693" s="113">
        <f t="shared" si="31"/>
        <v>7.2018149999999989E-2</v>
      </c>
    </row>
    <row r="694" spans="1:9" x14ac:dyDescent="0.3">
      <c r="A694" s="120" t="s">
        <v>99</v>
      </c>
      <c r="B694" s="129" t="s">
        <v>231</v>
      </c>
      <c r="C694" s="116">
        <v>46245</v>
      </c>
      <c r="D694" s="110" t="s">
        <v>21</v>
      </c>
      <c r="E694" s="120">
        <v>2922</v>
      </c>
      <c r="F694" s="109">
        <v>0.42992399999999997</v>
      </c>
      <c r="G694" s="111">
        <v>8.3665799999999999E-2</v>
      </c>
      <c r="H694" s="112">
        <f t="shared" si="32"/>
        <v>0.29757333333333336</v>
      </c>
      <c r="I694" s="113">
        <f t="shared" si="31"/>
        <v>7.2018149999999989E-2</v>
      </c>
    </row>
    <row r="695" spans="1:9" x14ac:dyDescent="0.3">
      <c r="A695" s="120" t="s">
        <v>99</v>
      </c>
      <c r="B695" s="129" t="s">
        <v>231</v>
      </c>
      <c r="C695" s="116">
        <v>46245</v>
      </c>
      <c r="D695" s="110" t="s">
        <v>22</v>
      </c>
      <c r="E695" s="120">
        <v>1612</v>
      </c>
      <c r="F695" s="109">
        <v>0.28850300000000001</v>
      </c>
      <c r="G695" s="111">
        <v>7.8345600000000001E-2</v>
      </c>
      <c r="H695" s="112">
        <f t="shared" si="32"/>
        <v>0.29757333333333336</v>
      </c>
      <c r="I695" s="113">
        <f t="shared" si="31"/>
        <v>7.2018149999999989E-2</v>
      </c>
    </row>
    <row r="696" spans="1:9" x14ac:dyDescent="0.3">
      <c r="A696" s="120" t="s">
        <v>99</v>
      </c>
      <c r="B696" s="129" t="s">
        <v>231</v>
      </c>
      <c r="C696" s="116">
        <v>46245</v>
      </c>
      <c r="D696" s="110" t="s">
        <v>23</v>
      </c>
      <c r="E696" s="120">
        <v>1376</v>
      </c>
      <c r="F696" s="109">
        <v>0.38151099999999999</v>
      </c>
      <c r="G696" s="111">
        <v>0.12529399999999999</v>
      </c>
      <c r="H696" s="112">
        <f t="shared" si="32"/>
        <v>0.29757333333333336</v>
      </c>
      <c r="I696" s="113">
        <f t="shared" si="31"/>
        <v>7.2018149999999989E-2</v>
      </c>
    </row>
    <row r="697" spans="1:9" x14ac:dyDescent="0.3">
      <c r="A697" s="120" t="s">
        <v>99</v>
      </c>
      <c r="B697" s="129" t="s">
        <v>231</v>
      </c>
      <c r="C697" s="116">
        <v>46245</v>
      </c>
      <c r="D697" s="110" t="s">
        <v>24</v>
      </c>
      <c r="E697" s="120">
        <v>2334</v>
      </c>
      <c r="F697" s="109">
        <v>0.214696</v>
      </c>
      <c r="G697" s="111">
        <v>6.6133700000000004E-2</v>
      </c>
      <c r="H697" s="112">
        <f t="shared" si="32"/>
        <v>0.29757333333333336</v>
      </c>
      <c r="I697" s="113">
        <f t="shared" si="31"/>
        <v>7.2018149999999989E-2</v>
      </c>
    </row>
    <row r="698" spans="1:9" x14ac:dyDescent="0.3">
      <c r="A698" s="120" t="s">
        <v>99</v>
      </c>
      <c r="B698" s="129" t="s">
        <v>231</v>
      </c>
      <c r="C698" s="116">
        <v>46245</v>
      </c>
      <c r="D698" s="110" t="s">
        <v>25</v>
      </c>
      <c r="E698" s="120">
        <v>1162</v>
      </c>
      <c r="F698" s="109">
        <v>0.20059199999999999</v>
      </c>
      <c r="G698" s="111">
        <v>4.8247999999999999E-2</v>
      </c>
      <c r="H698" s="112">
        <f t="shared" si="32"/>
        <v>0.29757333333333336</v>
      </c>
      <c r="I698" s="113">
        <f t="shared" si="31"/>
        <v>7.2018149999999989E-2</v>
      </c>
    </row>
    <row r="699" spans="1:9" x14ac:dyDescent="0.3">
      <c r="A699" s="120" t="s">
        <v>99</v>
      </c>
      <c r="B699" s="129" t="s">
        <v>231</v>
      </c>
      <c r="C699" s="116">
        <v>46245</v>
      </c>
      <c r="D699" s="110" t="s">
        <v>26</v>
      </c>
      <c r="E699" s="120">
        <v>1378</v>
      </c>
      <c r="F699" s="109">
        <v>0.17598800000000001</v>
      </c>
      <c r="G699" s="111">
        <v>5.6594600000000002E-2</v>
      </c>
      <c r="H699" s="112">
        <f t="shared" si="32"/>
        <v>0.29757333333333336</v>
      </c>
      <c r="I699" s="113">
        <f t="shared" si="31"/>
        <v>7.2018149999999989E-2</v>
      </c>
    </row>
    <row r="700" spans="1:9" x14ac:dyDescent="0.3">
      <c r="A700" s="120" t="s">
        <v>99</v>
      </c>
      <c r="B700" s="129" t="s">
        <v>231</v>
      </c>
      <c r="C700" s="116">
        <v>46245</v>
      </c>
      <c r="D700" s="110" t="s">
        <v>27</v>
      </c>
      <c r="E700" s="120">
        <v>1262</v>
      </c>
      <c r="F700" s="109">
        <v>0.27875299999999997</v>
      </c>
      <c r="G700" s="111">
        <v>6.3267400000000001E-2</v>
      </c>
      <c r="H700" s="112">
        <f t="shared" si="32"/>
        <v>0.29757333333333336</v>
      </c>
      <c r="I700" s="113">
        <f t="shared" si="31"/>
        <v>7.2018149999999989E-2</v>
      </c>
    </row>
    <row r="701" spans="1:9" x14ac:dyDescent="0.3">
      <c r="A701" s="120" t="s">
        <v>99</v>
      </c>
      <c r="B701" s="129" t="s">
        <v>231</v>
      </c>
      <c r="C701" s="116">
        <v>46245</v>
      </c>
      <c r="D701" s="110" t="s">
        <v>28</v>
      </c>
      <c r="E701" s="120">
        <v>1090</v>
      </c>
      <c r="F701" s="109">
        <v>0.28165800000000002</v>
      </c>
      <c r="G701" s="111">
        <v>6.3240699999999997E-2</v>
      </c>
      <c r="H701" s="112">
        <f t="shared" si="32"/>
        <v>0.29757333333333336</v>
      </c>
      <c r="I701" s="113">
        <f t="shared" si="31"/>
        <v>7.2018149999999989E-2</v>
      </c>
    </row>
    <row r="702" spans="1:9" x14ac:dyDescent="0.3">
      <c r="A702" s="120" t="s">
        <v>99</v>
      </c>
      <c r="B702" s="129" t="s">
        <v>231</v>
      </c>
      <c r="C702" s="116">
        <v>46245</v>
      </c>
      <c r="D702" s="110" t="s">
        <v>29</v>
      </c>
      <c r="E702" s="120">
        <v>1479</v>
      </c>
      <c r="F702" s="109">
        <v>0.373226</v>
      </c>
      <c r="G702" s="111">
        <v>7.7298900000000004E-2</v>
      </c>
      <c r="H702" s="112">
        <f t="shared" si="32"/>
        <v>0.29757333333333336</v>
      </c>
      <c r="I702" s="113">
        <f t="shared" si="31"/>
        <v>7.2018149999999989E-2</v>
      </c>
    </row>
    <row r="703" spans="1:9" x14ac:dyDescent="0.3">
      <c r="A703" s="120" t="s">
        <v>99</v>
      </c>
      <c r="B703" s="129" t="s">
        <v>231</v>
      </c>
      <c r="C703" s="116">
        <v>46245</v>
      </c>
      <c r="D703" s="110" t="s">
        <v>30</v>
      </c>
      <c r="E703" s="120">
        <v>1430</v>
      </c>
      <c r="F703" s="109">
        <v>0.35239300000000001</v>
      </c>
      <c r="G703" s="111">
        <v>7.0878499999999997E-2</v>
      </c>
      <c r="H703" s="112">
        <f t="shared" si="32"/>
        <v>0.29757333333333336</v>
      </c>
      <c r="I703" s="113">
        <f t="shared" si="31"/>
        <v>7.2018149999999989E-2</v>
      </c>
    </row>
    <row r="704" spans="1:9" x14ac:dyDescent="0.3">
      <c r="A704" s="120" t="s">
        <v>99</v>
      </c>
      <c r="B704" s="129" t="s">
        <v>232</v>
      </c>
      <c r="C704" s="116">
        <v>46245</v>
      </c>
      <c r="D704" s="110" t="s">
        <v>14</v>
      </c>
      <c r="E704" s="120">
        <v>2359</v>
      </c>
      <c r="F704" s="109">
        <v>0.339503</v>
      </c>
      <c r="G704" s="111">
        <v>9.5462199999999997E-2</v>
      </c>
      <c r="H704" s="112">
        <f t="shared" si="32"/>
        <v>0.3030937777777778</v>
      </c>
      <c r="I704" s="113">
        <f t="shared" si="31"/>
        <v>7.278691111111113E-2</v>
      </c>
    </row>
    <row r="705" spans="1:9" x14ac:dyDescent="0.3">
      <c r="A705" s="120" t="s">
        <v>99</v>
      </c>
      <c r="B705" s="129" t="s">
        <v>232</v>
      </c>
      <c r="C705" s="116">
        <v>46245</v>
      </c>
      <c r="D705" s="110" t="s">
        <v>15</v>
      </c>
      <c r="E705" s="120">
        <v>1901</v>
      </c>
      <c r="F705" s="109">
        <v>0.40394999999999998</v>
      </c>
      <c r="G705" s="111">
        <v>0.106374</v>
      </c>
      <c r="H705" s="112">
        <f t="shared" si="32"/>
        <v>0.3030937777777778</v>
      </c>
      <c r="I705" s="113">
        <f t="shared" si="31"/>
        <v>7.278691111111113E-2</v>
      </c>
    </row>
    <row r="706" spans="1:9" x14ac:dyDescent="0.3">
      <c r="A706" s="120" t="s">
        <v>99</v>
      </c>
      <c r="B706" s="129" t="s">
        <v>232</v>
      </c>
      <c r="C706" s="116">
        <v>46245</v>
      </c>
      <c r="D706" s="110" t="s">
        <v>16</v>
      </c>
      <c r="E706" s="120">
        <v>1216</v>
      </c>
      <c r="F706" s="109">
        <v>0.37232599999999999</v>
      </c>
      <c r="G706" s="111">
        <v>8.73414E-2</v>
      </c>
      <c r="H706" s="112">
        <f t="shared" si="32"/>
        <v>0.3030937777777778</v>
      </c>
      <c r="I706" s="113">
        <f t="shared" si="31"/>
        <v>7.278691111111113E-2</v>
      </c>
    </row>
    <row r="707" spans="1:9" x14ac:dyDescent="0.3">
      <c r="A707" s="120" t="s">
        <v>99</v>
      </c>
      <c r="B707" s="129" t="s">
        <v>232</v>
      </c>
      <c r="C707" s="116">
        <v>46245</v>
      </c>
      <c r="D707" s="110" t="s">
        <v>17</v>
      </c>
      <c r="E707" s="120">
        <v>2161</v>
      </c>
      <c r="F707" s="109">
        <v>0.42272399999999999</v>
      </c>
      <c r="G707" s="111">
        <v>8.3608100000000005E-2</v>
      </c>
      <c r="H707" s="112">
        <f t="shared" si="32"/>
        <v>0.3030937777777778</v>
      </c>
      <c r="I707" s="113">
        <f t="shared" ref="I707:I770" si="33">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232</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232</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232</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232</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232</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232</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232</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232</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232</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232</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232</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232</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232</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233</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233</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233</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233</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233</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233</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233</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233</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233</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233</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233</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233</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233</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233</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233</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233</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233</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233</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203</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203</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203</v>
      </c>
      <c r="C742" s="116">
        <v>46245</v>
      </c>
      <c r="D742" s="110" t="s">
        <v>16</v>
      </c>
      <c r="E742" s="120">
        <v>1001</v>
      </c>
      <c r="F742" s="109">
        <v>0.56062400000000001</v>
      </c>
      <c r="G742" s="111">
        <v>0.13152700000000001</v>
      </c>
      <c r="H742" s="112">
        <f t="shared" ref="H742:H805" si="34">IFERROR(AVERAGEIFS($F:$F, $A:$A, $A742, $B:$B,$B742, $C:$C,$C742),"")</f>
        <v>0.43736677777777772</v>
      </c>
      <c r="I742" s="113">
        <f t="shared" si="33"/>
        <v>0.10567767222222221</v>
      </c>
    </row>
    <row r="743" spans="1:9" x14ac:dyDescent="0.3">
      <c r="A743" s="120" t="s">
        <v>99</v>
      </c>
      <c r="B743" s="129" t="s">
        <v>203</v>
      </c>
      <c r="C743" s="116">
        <v>46245</v>
      </c>
      <c r="D743" s="110" t="s">
        <v>17</v>
      </c>
      <c r="E743" s="120">
        <v>1623</v>
      </c>
      <c r="F743" s="109">
        <v>0.43410199999999999</v>
      </c>
      <c r="G743" s="111">
        <v>8.5828100000000004E-2</v>
      </c>
      <c r="H743" s="112">
        <f t="shared" si="34"/>
        <v>0.43736677777777772</v>
      </c>
      <c r="I743" s="113">
        <f t="shared" si="33"/>
        <v>0.10567767222222221</v>
      </c>
    </row>
    <row r="744" spans="1:9" x14ac:dyDescent="0.3">
      <c r="A744" s="120" t="s">
        <v>99</v>
      </c>
      <c r="B744" s="129" t="s">
        <v>203</v>
      </c>
      <c r="C744" s="116">
        <v>46245</v>
      </c>
      <c r="D744" s="110" t="s">
        <v>18</v>
      </c>
      <c r="E744" s="120">
        <v>1298</v>
      </c>
      <c r="F744" s="109">
        <v>0.37738500000000003</v>
      </c>
      <c r="G744" s="111">
        <v>8.9770000000000003E-2</v>
      </c>
      <c r="H744" s="112">
        <f t="shared" si="34"/>
        <v>0.43736677777777772</v>
      </c>
      <c r="I744" s="113">
        <f t="shared" si="33"/>
        <v>0.10567767222222221</v>
      </c>
    </row>
    <row r="745" spans="1:9" x14ac:dyDescent="0.3">
      <c r="A745" s="120" t="s">
        <v>99</v>
      </c>
      <c r="B745" s="129" t="s">
        <v>203</v>
      </c>
      <c r="C745" s="116">
        <v>46245</v>
      </c>
      <c r="D745" s="110" t="s">
        <v>19</v>
      </c>
      <c r="E745" s="120">
        <v>1152</v>
      </c>
      <c r="F745" s="109">
        <v>0.57615300000000003</v>
      </c>
      <c r="G745" s="111">
        <v>0.121161</v>
      </c>
      <c r="H745" s="112">
        <f t="shared" si="34"/>
        <v>0.43736677777777772</v>
      </c>
      <c r="I745" s="113">
        <f t="shared" si="33"/>
        <v>0.10567767222222221</v>
      </c>
    </row>
    <row r="746" spans="1:9" x14ac:dyDescent="0.3">
      <c r="A746" s="120" t="s">
        <v>99</v>
      </c>
      <c r="B746" s="129" t="s">
        <v>203</v>
      </c>
      <c r="C746" s="116">
        <v>46245</v>
      </c>
      <c r="D746" s="110" t="s">
        <v>20</v>
      </c>
      <c r="E746" s="120">
        <v>1037</v>
      </c>
      <c r="F746" s="109">
        <v>0.58007799999999998</v>
      </c>
      <c r="G746" s="111">
        <v>0.121346</v>
      </c>
      <c r="H746" s="112">
        <f t="shared" si="34"/>
        <v>0.43736677777777772</v>
      </c>
      <c r="I746" s="113">
        <f t="shared" si="33"/>
        <v>0.10567767222222221</v>
      </c>
    </row>
    <row r="747" spans="1:9" x14ac:dyDescent="0.3">
      <c r="A747" s="120" t="s">
        <v>99</v>
      </c>
      <c r="B747" s="129" t="s">
        <v>203</v>
      </c>
      <c r="C747" s="116">
        <v>46245</v>
      </c>
      <c r="D747" s="110" t="s">
        <v>42</v>
      </c>
      <c r="E747" s="120">
        <v>1238</v>
      </c>
      <c r="F747" s="109">
        <v>0.21996299999999999</v>
      </c>
      <c r="G747" s="111">
        <v>6.6624699999999995E-2</v>
      </c>
      <c r="H747" s="112">
        <f t="shared" si="34"/>
        <v>0.43736677777777772</v>
      </c>
      <c r="I747" s="113">
        <f t="shared" si="33"/>
        <v>0.10567767222222221</v>
      </c>
    </row>
    <row r="748" spans="1:9" x14ac:dyDescent="0.3">
      <c r="A748" s="120" t="s">
        <v>99</v>
      </c>
      <c r="B748" s="129" t="s">
        <v>203</v>
      </c>
      <c r="C748" s="116">
        <v>46245</v>
      </c>
      <c r="D748" s="110" t="s">
        <v>21</v>
      </c>
      <c r="E748" s="120">
        <v>1963</v>
      </c>
      <c r="F748" s="109">
        <v>0.55201299999999998</v>
      </c>
      <c r="G748" s="111">
        <v>0.107331</v>
      </c>
      <c r="H748" s="112">
        <f t="shared" si="34"/>
        <v>0.43736677777777772</v>
      </c>
      <c r="I748" s="113">
        <f t="shared" si="33"/>
        <v>0.10567767222222221</v>
      </c>
    </row>
    <row r="749" spans="1:9" x14ac:dyDescent="0.3">
      <c r="A749" s="120" t="s">
        <v>99</v>
      </c>
      <c r="B749" s="129" t="s">
        <v>203</v>
      </c>
      <c r="C749" s="116">
        <v>46245</v>
      </c>
      <c r="D749" s="110" t="s">
        <v>22</v>
      </c>
      <c r="E749" s="120">
        <v>2056</v>
      </c>
      <c r="F749" s="109">
        <v>0.352099</v>
      </c>
      <c r="G749" s="111">
        <v>9.5616199999999998E-2</v>
      </c>
      <c r="H749" s="112">
        <f t="shared" si="34"/>
        <v>0.43736677777777772</v>
      </c>
      <c r="I749" s="113">
        <f t="shared" si="33"/>
        <v>0.10567767222222221</v>
      </c>
    </row>
    <row r="750" spans="1:9" x14ac:dyDescent="0.3">
      <c r="A750" s="120" t="s">
        <v>99</v>
      </c>
      <c r="B750" s="129" t="s">
        <v>203</v>
      </c>
      <c r="C750" s="116">
        <v>46245</v>
      </c>
      <c r="D750" s="110" t="s">
        <v>23</v>
      </c>
      <c r="E750" s="120">
        <v>1672</v>
      </c>
      <c r="F750" s="109">
        <v>0.37148199999999998</v>
      </c>
      <c r="G750" s="111">
        <v>0.121811</v>
      </c>
      <c r="H750" s="112">
        <f t="shared" si="34"/>
        <v>0.43736677777777772</v>
      </c>
      <c r="I750" s="113">
        <f t="shared" si="33"/>
        <v>0.10567767222222221</v>
      </c>
    </row>
    <row r="751" spans="1:9" x14ac:dyDescent="0.3">
      <c r="A751" s="120" t="s">
        <v>99</v>
      </c>
      <c r="B751" s="129" t="s">
        <v>203</v>
      </c>
      <c r="C751" s="116">
        <v>46245</v>
      </c>
      <c r="D751" s="110" t="s">
        <v>24</v>
      </c>
      <c r="E751" s="120">
        <v>2539</v>
      </c>
      <c r="F751" s="109">
        <v>0.35958499999999999</v>
      </c>
      <c r="G751" s="111">
        <v>0.110737</v>
      </c>
      <c r="H751" s="112">
        <f t="shared" si="34"/>
        <v>0.43736677777777772</v>
      </c>
      <c r="I751" s="113">
        <f t="shared" si="33"/>
        <v>0.10567767222222221</v>
      </c>
    </row>
    <row r="752" spans="1:9" x14ac:dyDescent="0.3">
      <c r="A752" s="120" t="s">
        <v>99</v>
      </c>
      <c r="B752" s="129" t="s">
        <v>203</v>
      </c>
      <c r="C752" s="116">
        <v>46245</v>
      </c>
      <c r="D752" s="110" t="s">
        <v>25</v>
      </c>
      <c r="E752" s="120">
        <v>1143</v>
      </c>
      <c r="F752" s="109">
        <v>0.239338</v>
      </c>
      <c r="G752" s="111">
        <v>5.7532100000000003E-2</v>
      </c>
      <c r="H752" s="112">
        <f t="shared" si="34"/>
        <v>0.43736677777777772</v>
      </c>
      <c r="I752" s="113">
        <f t="shared" si="33"/>
        <v>0.10567767222222221</v>
      </c>
    </row>
    <row r="753" spans="1:9" x14ac:dyDescent="0.3">
      <c r="A753" s="120" t="s">
        <v>99</v>
      </c>
      <c r="B753" s="129" t="s">
        <v>203</v>
      </c>
      <c r="C753" s="116">
        <v>46245</v>
      </c>
      <c r="D753" s="110" t="s">
        <v>26</v>
      </c>
      <c r="E753" s="120">
        <v>2126</v>
      </c>
      <c r="F753" s="109">
        <v>0.33723999999999998</v>
      </c>
      <c r="G753" s="111">
        <v>0.108422</v>
      </c>
      <c r="H753" s="112">
        <f t="shared" si="34"/>
        <v>0.43736677777777772</v>
      </c>
      <c r="I753" s="113">
        <f t="shared" si="33"/>
        <v>0.10567767222222221</v>
      </c>
    </row>
    <row r="754" spans="1:9" x14ac:dyDescent="0.3">
      <c r="A754" s="120" t="s">
        <v>99</v>
      </c>
      <c r="B754" s="129" t="s">
        <v>203</v>
      </c>
      <c r="C754" s="116">
        <v>46245</v>
      </c>
      <c r="D754" s="110" t="s">
        <v>27</v>
      </c>
      <c r="E754" s="120">
        <v>1522</v>
      </c>
      <c r="F754" s="109">
        <v>0.57413099999999995</v>
      </c>
      <c r="G754" s="111">
        <v>0.130158</v>
      </c>
      <c r="H754" s="112">
        <f t="shared" si="34"/>
        <v>0.43736677777777772</v>
      </c>
      <c r="I754" s="113">
        <f t="shared" si="33"/>
        <v>0.10567767222222221</v>
      </c>
    </row>
    <row r="755" spans="1:9" x14ac:dyDescent="0.3">
      <c r="A755" s="120" t="s">
        <v>99</v>
      </c>
      <c r="B755" s="129" t="s">
        <v>203</v>
      </c>
      <c r="C755" s="116">
        <v>46245</v>
      </c>
      <c r="D755" s="110" t="s">
        <v>28</v>
      </c>
      <c r="E755" s="120">
        <v>1547</v>
      </c>
      <c r="F755" s="109">
        <v>0.49929699999999999</v>
      </c>
      <c r="G755" s="111">
        <v>0.112082</v>
      </c>
      <c r="H755" s="112">
        <f t="shared" si="34"/>
        <v>0.43736677777777772</v>
      </c>
      <c r="I755" s="113">
        <f t="shared" si="33"/>
        <v>0.10567767222222221</v>
      </c>
    </row>
    <row r="756" spans="1:9" x14ac:dyDescent="0.3">
      <c r="A756" s="120" t="s">
        <v>99</v>
      </c>
      <c r="B756" s="129" t="s">
        <v>203</v>
      </c>
      <c r="C756" s="116">
        <v>46245</v>
      </c>
      <c r="D756" s="110" t="s">
        <v>29</v>
      </c>
      <c r="E756" s="120">
        <v>1073</v>
      </c>
      <c r="F756" s="109">
        <v>0.42072199999999998</v>
      </c>
      <c r="G756" s="111">
        <v>8.7061399999999997E-2</v>
      </c>
      <c r="H756" s="112">
        <f t="shared" si="34"/>
        <v>0.43736677777777772</v>
      </c>
      <c r="I756" s="113">
        <f t="shared" si="33"/>
        <v>0.10567767222222221</v>
      </c>
    </row>
    <row r="757" spans="1:9" x14ac:dyDescent="0.3">
      <c r="A757" s="120" t="s">
        <v>99</v>
      </c>
      <c r="B757" s="129" t="s">
        <v>203</v>
      </c>
      <c r="C757" s="116">
        <v>46245</v>
      </c>
      <c r="D757" s="110" t="s">
        <v>30</v>
      </c>
      <c r="E757" s="120">
        <v>1121</v>
      </c>
      <c r="F757" s="109">
        <v>0.43172300000000002</v>
      </c>
      <c r="G757" s="111">
        <v>8.6823600000000001E-2</v>
      </c>
      <c r="H757" s="112">
        <f t="shared" si="34"/>
        <v>0.43736677777777772</v>
      </c>
      <c r="I757" s="113">
        <f t="shared" si="33"/>
        <v>0.10567767222222221</v>
      </c>
    </row>
    <row r="758" spans="1:9" x14ac:dyDescent="0.3">
      <c r="A758" s="120" t="s">
        <v>99</v>
      </c>
      <c r="B758" s="129" t="s">
        <v>206</v>
      </c>
      <c r="C758" s="116">
        <v>46245</v>
      </c>
      <c r="D758" s="110" t="s">
        <v>14</v>
      </c>
      <c r="E758" s="120">
        <v>2126</v>
      </c>
      <c r="F758" s="109">
        <v>0.48974200000000001</v>
      </c>
      <c r="G758" s="111">
        <v>0.137686</v>
      </c>
      <c r="H758" s="112">
        <f t="shared" si="34"/>
        <v>0.42161983333333336</v>
      </c>
      <c r="I758" s="113">
        <f t="shared" si="33"/>
        <v>0.10281456111111113</v>
      </c>
    </row>
    <row r="759" spans="1:9" x14ac:dyDescent="0.3">
      <c r="A759" s="120" t="s">
        <v>99</v>
      </c>
      <c r="B759" s="129" t="s">
        <v>206</v>
      </c>
      <c r="C759" s="116">
        <v>46245</v>
      </c>
      <c r="D759" s="110" t="s">
        <v>15</v>
      </c>
      <c r="E759" s="120">
        <v>1831</v>
      </c>
      <c r="F759" s="109">
        <v>0.50505</v>
      </c>
      <c r="G759" s="111">
        <v>0.13303000000000001</v>
      </c>
      <c r="H759" s="112">
        <f t="shared" si="34"/>
        <v>0.42161983333333336</v>
      </c>
      <c r="I759" s="113">
        <f t="shared" si="33"/>
        <v>0.10281456111111113</v>
      </c>
    </row>
    <row r="760" spans="1:9" x14ac:dyDescent="0.3">
      <c r="A760" s="120" t="s">
        <v>99</v>
      </c>
      <c r="B760" s="129" t="s">
        <v>206</v>
      </c>
      <c r="C760" s="116">
        <v>46245</v>
      </c>
      <c r="D760" s="110" t="s">
        <v>16</v>
      </c>
      <c r="E760" s="120">
        <v>1259</v>
      </c>
      <c r="F760" s="109">
        <v>0.47675800000000002</v>
      </c>
      <c r="G760" s="111">
        <v>0.111835</v>
      </c>
      <c r="H760" s="112">
        <f t="shared" si="34"/>
        <v>0.42161983333333336</v>
      </c>
      <c r="I760" s="113">
        <f t="shared" si="33"/>
        <v>0.10281456111111113</v>
      </c>
    </row>
    <row r="761" spans="1:9" x14ac:dyDescent="0.3">
      <c r="A761" s="120" t="s">
        <v>99</v>
      </c>
      <c r="B761" s="129" t="s">
        <v>206</v>
      </c>
      <c r="C761" s="116">
        <v>46245</v>
      </c>
      <c r="D761" s="110" t="s">
        <v>17</v>
      </c>
      <c r="E761" s="120">
        <v>1485</v>
      </c>
      <c r="F761" s="109">
        <v>0.493784</v>
      </c>
      <c r="G761" s="111">
        <v>9.7624900000000001E-2</v>
      </c>
      <c r="H761" s="112">
        <f t="shared" si="34"/>
        <v>0.42161983333333336</v>
      </c>
      <c r="I761" s="113">
        <f t="shared" si="33"/>
        <v>0.10281456111111113</v>
      </c>
    </row>
    <row r="762" spans="1:9" x14ac:dyDescent="0.3">
      <c r="A762" s="120" t="s">
        <v>99</v>
      </c>
      <c r="B762" s="129" t="s">
        <v>206</v>
      </c>
      <c r="C762" s="116">
        <v>46245</v>
      </c>
      <c r="D762" s="110" t="s">
        <v>18</v>
      </c>
      <c r="E762" s="120">
        <v>1386</v>
      </c>
      <c r="F762" s="109">
        <v>0.33268900000000001</v>
      </c>
      <c r="G762" s="111">
        <v>7.9132800000000003E-2</v>
      </c>
      <c r="H762" s="112">
        <f t="shared" si="34"/>
        <v>0.42161983333333336</v>
      </c>
      <c r="I762" s="113">
        <f t="shared" si="33"/>
        <v>0.10281456111111113</v>
      </c>
    </row>
    <row r="763" spans="1:9" x14ac:dyDescent="0.3">
      <c r="A763" s="120" t="s">
        <v>99</v>
      </c>
      <c r="B763" s="129" t="s">
        <v>206</v>
      </c>
      <c r="C763" s="116">
        <v>46245</v>
      </c>
      <c r="D763" s="110" t="s">
        <v>19</v>
      </c>
      <c r="E763" s="120">
        <v>1130</v>
      </c>
      <c r="F763" s="109">
        <v>0.46600799999999998</v>
      </c>
      <c r="G763" s="111">
        <v>9.80235E-2</v>
      </c>
      <c r="H763" s="112">
        <f t="shared" si="34"/>
        <v>0.42161983333333336</v>
      </c>
      <c r="I763" s="113">
        <f t="shared" si="33"/>
        <v>0.10281456111111113</v>
      </c>
    </row>
    <row r="764" spans="1:9" x14ac:dyDescent="0.3">
      <c r="A764" s="120" t="s">
        <v>99</v>
      </c>
      <c r="B764" s="129" t="s">
        <v>206</v>
      </c>
      <c r="C764" s="116">
        <v>46245</v>
      </c>
      <c r="D764" s="110" t="s">
        <v>20</v>
      </c>
      <c r="E764" s="120">
        <v>1106</v>
      </c>
      <c r="F764" s="109">
        <v>0.49461899999999998</v>
      </c>
      <c r="G764" s="111">
        <v>0.103464</v>
      </c>
      <c r="H764" s="112">
        <f t="shared" si="34"/>
        <v>0.42161983333333336</v>
      </c>
      <c r="I764" s="113">
        <f t="shared" si="33"/>
        <v>0.10281456111111113</v>
      </c>
    </row>
    <row r="765" spans="1:9" x14ac:dyDescent="0.3">
      <c r="A765" s="120" t="s">
        <v>99</v>
      </c>
      <c r="B765" s="129" t="s">
        <v>206</v>
      </c>
      <c r="C765" s="116">
        <v>46245</v>
      </c>
      <c r="D765" s="110" t="s">
        <v>42</v>
      </c>
      <c r="E765" s="120">
        <v>1331</v>
      </c>
      <c r="F765" s="109">
        <v>0.244757</v>
      </c>
      <c r="G765" s="111">
        <v>7.4161099999999994E-2</v>
      </c>
      <c r="H765" s="112">
        <f t="shared" si="34"/>
        <v>0.42161983333333336</v>
      </c>
      <c r="I765" s="113">
        <f t="shared" si="33"/>
        <v>0.10281456111111113</v>
      </c>
    </row>
    <row r="766" spans="1:9" x14ac:dyDescent="0.3">
      <c r="A766" s="120" t="s">
        <v>99</v>
      </c>
      <c r="B766" s="129" t="s">
        <v>206</v>
      </c>
      <c r="C766" s="116">
        <v>46245</v>
      </c>
      <c r="D766" s="110" t="s">
        <v>21</v>
      </c>
      <c r="E766" s="120">
        <v>1845</v>
      </c>
      <c r="F766" s="109">
        <v>0.52579100000000001</v>
      </c>
      <c r="G766" s="111">
        <v>0.10224</v>
      </c>
      <c r="H766" s="112">
        <f t="shared" si="34"/>
        <v>0.42161983333333336</v>
      </c>
      <c r="I766" s="113">
        <f t="shared" si="33"/>
        <v>0.10281456111111113</v>
      </c>
    </row>
    <row r="767" spans="1:9" x14ac:dyDescent="0.3">
      <c r="A767" s="120" t="s">
        <v>99</v>
      </c>
      <c r="B767" s="129" t="s">
        <v>206</v>
      </c>
      <c r="C767" s="116">
        <v>46245</v>
      </c>
      <c r="D767" s="110" t="s">
        <v>22</v>
      </c>
      <c r="E767" s="120">
        <v>1721</v>
      </c>
      <c r="F767" s="109">
        <v>0.352551</v>
      </c>
      <c r="G767" s="111">
        <v>9.5748100000000003E-2</v>
      </c>
      <c r="H767" s="112">
        <f t="shared" si="34"/>
        <v>0.42161983333333336</v>
      </c>
      <c r="I767" s="113">
        <f t="shared" si="33"/>
        <v>0.10281456111111113</v>
      </c>
    </row>
    <row r="768" spans="1:9" x14ac:dyDescent="0.3">
      <c r="A768" s="120" t="s">
        <v>99</v>
      </c>
      <c r="B768" s="129" t="s">
        <v>206</v>
      </c>
      <c r="C768" s="116">
        <v>46245</v>
      </c>
      <c r="D768" s="110" t="s">
        <v>23</v>
      </c>
      <c r="E768" s="120">
        <v>1567</v>
      </c>
      <c r="F768" s="109">
        <v>0.44954699999999997</v>
      </c>
      <c r="G768" s="111">
        <v>0.147393</v>
      </c>
      <c r="H768" s="112">
        <f t="shared" si="34"/>
        <v>0.42161983333333336</v>
      </c>
      <c r="I768" s="113">
        <f t="shared" si="33"/>
        <v>0.10281456111111113</v>
      </c>
    </row>
    <row r="769" spans="1:9" x14ac:dyDescent="0.3">
      <c r="A769" s="120" t="s">
        <v>99</v>
      </c>
      <c r="B769" s="129" t="s">
        <v>206</v>
      </c>
      <c r="C769" s="116">
        <v>46245</v>
      </c>
      <c r="D769" s="110" t="s">
        <v>24</v>
      </c>
      <c r="E769" s="120">
        <v>2351</v>
      </c>
      <c r="F769" s="109">
        <v>0.32375900000000002</v>
      </c>
      <c r="G769" s="111">
        <v>9.9718899999999999E-2</v>
      </c>
      <c r="H769" s="112">
        <f t="shared" si="34"/>
        <v>0.42161983333333336</v>
      </c>
      <c r="I769" s="113">
        <f t="shared" si="33"/>
        <v>0.10281456111111113</v>
      </c>
    </row>
    <row r="770" spans="1:9" x14ac:dyDescent="0.3">
      <c r="A770" s="120" t="s">
        <v>99</v>
      </c>
      <c r="B770" s="129" t="s">
        <v>206</v>
      </c>
      <c r="C770" s="116">
        <v>46245</v>
      </c>
      <c r="D770" s="110" t="s">
        <v>25</v>
      </c>
      <c r="E770" s="120">
        <v>1120</v>
      </c>
      <c r="F770" s="109">
        <v>0.28159499999999998</v>
      </c>
      <c r="G770" s="111">
        <v>6.7692199999999994E-2</v>
      </c>
      <c r="H770" s="112">
        <f t="shared" si="34"/>
        <v>0.42161983333333336</v>
      </c>
      <c r="I770" s="113">
        <f t="shared" si="33"/>
        <v>0.10281456111111113</v>
      </c>
    </row>
    <row r="771" spans="1:9" x14ac:dyDescent="0.3">
      <c r="A771" s="120" t="s">
        <v>99</v>
      </c>
      <c r="B771" s="129" t="s">
        <v>206</v>
      </c>
      <c r="C771" s="116">
        <v>46245</v>
      </c>
      <c r="D771" s="110" t="s">
        <v>26</v>
      </c>
      <c r="E771" s="120">
        <v>1852</v>
      </c>
      <c r="F771" s="109">
        <v>0.348329</v>
      </c>
      <c r="G771" s="111">
        <v>0.112027</v>
      </c>
      <c r="H771" s="112">
        <f t="shared" si="34"/>
        <v>0.42161983333333336</v>
      </c>
      <c r="I771" s="113">
        <f t="shared" ref="I771:I834" si="35">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206</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206</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206</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207</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207</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207</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207</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207</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207</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207</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207</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207</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207</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207</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207</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207</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207</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207</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207</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207</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207</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234</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234</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234</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234</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234</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234</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234</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234</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234</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234</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234</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234</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234</v>
      </c>
      <c r="C806" s="116">
        <v>46246</v>
      </c>
      <c r="D806" s="110" t="s">
        <v>25</v>
      </c>
      <c r="E806" s="120">
        <v>1142</v>
      </c>
      <c r="F806" s="109">
        <v>0.29338199999999998</v>
      </c>
      <c r="G806" s="111">
        <v>7.0546300000000006E-2</v>
      </c>
      <c r="H806" s="112">
        <f t="shared" ref="H806:H869" si="36">IFERROR(AVERAGEIFS($F:$F, $A:$A, $A806, $B:$B,$B806, $C:$C,$C806),"")</f>
        <v>0.40350788235294116</v>
      </c>
      <c r="I806" s="113">
        <f t="shared" si="35"/>
        <v>9.9487094117647043E-2</v>
      </c>
    </row>
    <row r="807" spans="1:9" x14ac:dyDescent="0.3">
      <c r="A807" s="120" t="s">
        <v>99</v>
      </c>
      <c r="B807" s="129" t="s">
        <v>234</v>
      </c>
      <c r="C807" s="116">
        <v>46246</v>
      </c>
      <c r="D807" s="110" t="s">
        <v>26</v>
      </c>
      <c r="E807" s="120">
        <v>1448</v>
      </c>
      <c r="F807" s="109">
        <v>0.43177399999999999</v>
      </c>
      <c r="G807" s="111">
        <v>0.13891100000000001</v>
      </c>
      <c r="H807" s="112">
        <f t="shared" si="36"/>
        <v>0.40350788235294116</v>
      </c>
      <c r="I807" s="113">
        <f t="shared" si="35"/>
        <v>9.9487094117647043E-2</v>
      </c>
    </row>
    <row r="808" spans="1:9" x14ac:dyDescent="0.3">
      <c r="A808" s="120" t="s">
        <v>99</v>
      </c>
      <c r="B808" s="129" t="s">
        <v>234</v>
      </c>
      <c r="C808" s="116">
        <v>46246</v>
      </c>
      <c r="D808" s="110" t="s">
        <v>27</v>
      </c>
      <c r="E808" s="120">
        <v>1254</v>
      </c>
      <c r="F808" s="109">
        <v>0.54694299999999996</v>
      </c>
      <c r="G808" s="111">
        <v>0.124066</v>
      </c>
      <c r="H808" s="112">
        <f t="shared" si="36"/>
        <v>0.40350788235294116</v>
      </c>
      <c r="I808" s="113">
        <f t="shared" si="35"/>
        <v>9.9487094117647043E-2</v>
      </c>
    </row>
    <row r="809" spans="1:9" x14ac:dyDescent="0.3">
      <c r="A809" s="120" t="s">
        <v>99</v>
      </c>
      <c r="B809" s="129" t="s">
        <v>234</v>
      </c>
      <c r="C809" s="116">
        <v>46246</v>
      </c>
      <c r="D809" s="110" t="s">
        <v>28</v>
      </c>
      <c r="E809" s="120">
        <v>1015</v>
      </c>
      <c r="F809" s="109">
        <v>0.41905300000000001</v>
      </c>
      <c r="G809" s="111">
        <v>9.4061800000000001E-2</v>
      </c>
      <c r="H809" s="112">
        <f t="shared" si="36"/>
        <v>0.40350788235294116</v>
      </c>
      <c r="I809" s="113">
        <f t="shared" si="35"/>
        <v>9.9487094117647043E-2</v>
      </c>
    </row>
    <row r="810" spans="1:9" x14ac:dyDescent="0.3">
      <c r="A810" s="120" t="s">
        <v>99</v>
      </c>
      <c r="B810" s="129" t="s">
        <v>234</v>
      </c>
      <c r="C810" s="116">
        <v>46246</v>
      </c>
      <c r="D810" s="110" t="s">
        <v>29</v>
      </c>
      <c r="E810" s="120">
        <v>1183</v>
      </c>
      <c r="F810" s="109">
        <v>0.40120899999999998</v>
      </c>
      <c r="G810" s="111">
        <v>8.3087800000000003E-2</v>
      </c>
      <c r="H810" s="112">
        <f t="shared" si="36"/>
        <v>0.40350788235294116</v>
      </c>
      <c r="I810" s="113">
        <f t="shared" si="35"/>
        <v>9.9487094117647043E-2</v>
      </c>
    </row>
    <row r="811" spans="1:9" x14ac:dyDescent="0.3">
      <c r="A811" s="120" t="s">
        <v>99</v>
      </c>
      <c r="B811" s="129" t="s">
        <v>234</v>
      </c>
      <c r="C811" s="116">
        <v>46245</v>
      </c>
      <c r="D811" s="110" t="s">
        <v>30</v>
      </c>
      <c r="E811" s="120">
        <v>1002</v>
      </c>
      <c r="F811" s="109">
        <v>0.43513600000000002</v>
      </c>
      <c r="G811" s="111">
        <v>8.7566599999999994E-2</v>
      </c>
      <c r="H811" s="112">
        <f t="shared" si="36"/>
        <v>0.43513600000000002</v>
      </c>
      <c r="I811" s="113">
        <f t="shared" si="35"/>
        <v>8.7566599999999994E-2</v>
      </c>
    </row>
    <row r="812" spans="1:9" x14ac:dyDescent="0.3">
      <c r="A812" s="120" t="s">
        <v>99</v>
      </c>
      <c r="B812" s="129" t="s">
        <v>204</v>
      </c>
      <c r="C812" s="116">
        <v>46245</v>
      </c>
      <c r="D812" s="110" t="s">
        <v>14</v>
      </c>
      <c r="E812" s="120">
        <v>1729</v>
      </c>
      <c r="F812" s="109">
        <v>0.27206599999999997</v>
      </c>
      <c r="G812" s="111">
        <v>7.6504100000000005E-2</v>
      </c>
      <c r="H812" s="112">
        <f t="shared" si="36"/>
        <v>0.31395694444444439</v>
      </c>
      <c r="I812" s="113">
        <f t="shared" si="35"/>
        <v>7.4516150000000003E-2</v>
      </c>
    </row>
    <row r="813" spans="1:9" x14ac:dyDescent="0.3">
      <c r="A813" s="120" t="s">
        <v>99</v>
      </c>
      <c r="B813" s="129" t="s">
        <v>204</v>
      </c>
      <c r="C813" s="116">
        <v>46245</v>
      </c>
      <c r="D813" s="110" t="s">
        <v>15</v>
      </c>
      <c r="E813" s="120">
        <v>1287</v>
      </c>
      <c r="F813" s="109">
        <v>0.29014299999999998</v>
      </c>
      <c r="G813" s="111">
        <v>7.6466599999999996E-2</v>
      </c>
      <c r="H813" s="112">
        <f t="shared" si="36"/>
        <v>0.31395694444444439</v>
      </c>
      <c r="I813" s="113">
        <f t="shared" si="35"/>
        <v>7.4516150000000003E-2</v>
      </c>
    </row>
    <row r="814" spans="1:9" x14ac:dyDescent="0.3">
      <c r="A814" s="120" t="s">
        <v>99</v>
      </c>
      <c r="B814" s="129" t="s">
        <v>204</v>
      </c>
      <c r="C814" s="116">
        <v>46245</v>
      </c>
      <c r="D814" s="110" t="s">
        <v>16</v>
      </c>
      <c r="E814" s="120">
        <v>1224</v>
      </c>
      <c r="F814" s="109">
        <v>0.39331700000000003</v>
      </c>
      <c r="G814" s="111">
        <v>9.2281699999999994E-2</v>
      </c>
      <c r="H814" s="112">
        <f t="shared" si="36"/>
        <v>0.31395694444444439</v>
      </c>
      <c r="I814" s="113">
        <f t="shared" si="35"/>
        <v>7.4516150000000003E-2</v>
      </c>
    </row>
    <row r="815" spans="1:9" x14ac:dyDescent="0.3">
      <c r="A815" s="120" t="s">
        <v>99</v>
      </c>
      <c r="B815" s="129" t="s">
        <v>204</v>
      </c>
      <c r="C815" s="116">
        <v>46245</v>
      </c>
      <c r="D815" s="110" t="s">
        <v>17</v>
      </c>
      <c r="E815" s="120">
        <v>1546</v>
      </c>
      <c r="F815" s="109">
        <v>0.38747199999999998</v>
      </c>
      <c r="G815" s="111">
        <v>7.6756900000000003E-2</v>
      </c>
      <c r="H815" s="112">
        <f t="shared" si="36"/>
        <v>0.31395694444444439</v>
      </c>
      <c r="I815" s="113">
        <f t="shared" si="35"/>
        <v>7.4516150000000003E-2</v>
      </c>
    </row>
    <row r="816" spans="1:9" x14ac:dyDescent="0.3">
      <c r="A816" s="120" t="s">
        <v>99</v>
      </c>
      <c r="B816" s="129" t="s">
        <v>204</v>
      </c>
      <c r="C816" s="116">
        <v>46245</v>
      </c>
      <c r="D816" s="110" t="s">
        <v>18</v>
      </c>
      <c r="E816" s="120">
        <v>1417</v>
      </c>
      <c r="F816" s="109">
        <v>0.19647999999999999</v>
      </c>
      <c r="G816" s="111">
        <v>4.6718000000000003E-2</v>
      </c>
      <c r="H816" s="112">
        <f t="shared" si="36"/>
        <v>0.31395694444444439</v>
      </c>
      <c r="I816" s="113">
        <f t="shared" si="35"/>
        <v>7.4516150000000003E-2</v>
      </c>
    </row>
    <row r="817" spans="1:9" x14ac:dyDescent="0.3">
      <c r="A817" s="120" t="s">
        <v>99</v>
      </c>
      <c r="B817" s="129" t="s">
        <v>204</v>
      </c>
      <c r="C817" s="116">
        <v>46245</v>
      </c>
      <c r="D817" s="110" t="s">
        <v>19</v>
      </c>
      <c r="E817" s="120">
        <v>1292</v>
      </c>
      <c r="F817" s="109">
        <v>0.52198199999999995</v>
      </c>
      <c r="G817" s="111">
        <v>0.109517</v>
      </c>
      <c r="H817" s="112">
        <f t="shared" si="36"/>
        <v>0.31395694444444439</v>
      </c>
      <c r="I817" s="113">
        <f t="shared" si="35"/>
        <v>7.4516150000000003E-2</v>
      </c>
    </row>
    <row r="818" spans="1:9" x14ac:dyDescent="0.3">
      <c r="A818" s="120" t="s">
        <v>99</v>
      </c>
      <c r="B818" s="129" t="s">
        <v>204</v>
      </c>
      <c r="C818" s="116">
        <v>46245</v>
      </c>
      <c r="D818" s="110" t="s">
        <v>20</v>
      </c>
      <c r="E818" s="120">
        <v>1192</v>
      </c>
      <c r="F818" s="109">
        <v>0.31654399999999999</v>
      </c>
      <c r="G818" s="111">
        <v>6.6189700000000004E-2</v>
      </c>
      <c r="H818" s="112">
        <f t="shared" si="36"/>
        <v>0.31395694444444439</v>
      </c>
      <c r="I818" s="113">
        <f t="shared" si="35"/>
        <v>7.4516150000000003E-2</v>
      </c>
    </row>
    <row r="819" spans="1:9" x14ac:dyDescent="0.3">
      <c r="A819" s="120" t="s">
        <v>99</v>
      </c>
      <c r="B819" s="129" t="s">
        <v>204</v>
      </c>
      <c r="C819" s="116">
        <v>46245</v>
      </c>
      <c r="D819" s="110" t="s">
        <v>42</v>
      </c>
      <c r="E819" s="120">
        <v>1133</v>
      </c>
      <c r="F819" s="109">
        <v>0.198407</v>
      </c>
      <c r="G819" s="111">
        <v>6.0118100000000001E-2</v>
      </c>
      <c r="H819" s="112">
        <f t="shared" si="36"/>
        <v>0.31395694444444439</v>
      </c>
      <c r="I819" s="113">
        <f t="shared" si="35"/>
        <v>7.4516150000000003E-2</v>
      </c>
    </row>
    <row r="820" spans="1:9" x14ac:dyDescent="0.3">
      <c r="A820" s="120" t="s">
        <v>99</v>
      </c>
      <c r="B820" s="129" t="s">
        <v>204</v>
      </c>
      <c r="C820" s="116">
        <v>46245</v>
      </c>
      <c r="D820" s="110" t="s">
        <v>21</v>
      </c>
      <c r="E820" s="120">
        <v>2048</v>
      </c>
      <c r="F820" s="109">
        <v>0.57077599999999995</v>
      </c>
      <c r="G820" s="111">
        <v>0.111293</v>
      </c>
      <c r="H820" s="112">
        <f t="shared" si="36"/>
        <v>0.31395694444444439</v>
      </c>
      <c r="I820" s="113">
        <f t="shared" si="35"/>
        <v>7.4516150000000003E-2</v>
      </c>
    </row>
    <row r="821" spans="1:9" x14ac:dyDescent="0.3">
      <c r="A821" s="120" t="s">
        <v>99</v>
      </c>
      <c r="B821" s="129" t="s">
        <v>204</v>
      </c>
      <c r="C821" s="116">
        <v>46245</v>
      </c>
      <c r="D821" s="110" t="s">
        <v>22</v>
      </c>
      <c r="E821" s="120">
        <v>1353</v>
      </c>
      <c r="F821" s="109">
        <v>0.288995</v>
      </c>
      <c r="G821" s="111">
        <v>7.8518400000000002E-2</v>
      </c>
      <c r="H821" s="112">
        <f t="shared" si="36"/>
        <v>0.31395694444444439</v>
      </c>
      <c r="I821" s="113">
        <f t="shared" si="35"/>
        <v>7.4516150000000003E-2</v>
      </c>
    </row>
    <row r="822" spans="1:9" x14ac:dyDescent="0.3">
      <c r="A822" s="120" t="s">
        <v>99</v>
      </c>
      <c r="B822" s="129" t="s">
        <v>204</v>
      </c>
      <c r="C822" s="116">
        <v>46245</v>
      </c>
      <c r="D822" s="110" t="s">
        <v>23</v>
      </c>
      <c r="E822" s="120">
        <v>1458</v>
      </c>
      <c r="F822" s="109">
        <v>0.227017</v>
      </c>
      <c r="G822" s="111">
        <v>7.4515700000000004E-2</v>
      </c>
      <c r="H822" s="112">
        <f t="shared" si="36"/>
        <v>0.31395694444444439</v>
      </c>
      <c r="I822" s="113">
        <f t="shared" si="35"/>
        <v>7.4516150000000003E-2</v>
      </c>
    </row>
    <row r="823" spans="1:9" x14ac:dyDescent="0.3">
      <c r="A823" s="120" t="s">
        <v>99</v>
      </c>
      <c r="B823" s="129" t="s">
        <v>204</v>
      </c>
      <c r="C823" s="116">
        <v>46245</v>
      </c>
      <c r="D823" s="110" t="s">
        <v>24</v>
      </c>
      <c r="E823" s="120">
        <v>2035</v>
      </c>
      <c r="F823" s="109">
        <v>0.214695</v>
      </c>
      <c r="G823" s="111">
        <v>6.6109899999999999E-2</v>
      </c>
      <c r="H823" s="112">
        <f t="shared" si="36"/>
        <v>0.31395694444444439</v>
      </c>
      <c r="I823" s="113">
        <f t="shared" si="35"/>
        <v>7.4516150000000003E-2</v>
      </c>
    </row>
    <row r="824" spans="1:9" x14ac:dyDescent="0.3">
      <c r="A824" s="120" t="s">
        <v>99</v>
      </c>
      <c r="B824" s="129" t="s">
        <v>204</v>
      </c>
      <c r="C824" s="116">
        <v>46245</v>
      </c>
      <c r="D824" s="110" t="s">
        <v>25</v>
      </c>
      <c r="E824" s="120">
        <v>1025</v>
      </c>
      <c r="F824" s="109">
        <v>0.231985</v>
      </c>
      <c r="G824" s="111">
        <v>5.58868E-2</v>
      </c>
      <c r="H824" s="112">
        <f t="shared" si="36"/>
        <v>0.31395694444444439</v>
      </c>
      <c r="I824" s="113">
        <f t="shared" si="35"/>
        <v>7.4516150000000003E-2</v>
      </c>
    </row>
    <row r="825" spans="1:9" x14ac:dyDescent="0.3">
      <c r="A825" s="120" t="s">
        <v>99</v>
      </c>
      <c r="B825" s="129" t="s">
        <v>204</v>
      </c>
      <c r="C825" s="116">
        <v>46245</v>
      </c>
      <c r="D825" s="110" t="s">
        <v>26</v>
      </c>
      <c r="E825" s="120">
        <v>1284</v>
      </c>
      <c r="F825" s="109">
        <v>0.19952</v>
      </c>
      <c r="G825" s="111">
        <v>6.4153100000000005E-2</v>
      </c>
      <c r="H825" s="112">
        <f t="shared" si="36"/>
        <v>0.31395694444444439</v>
      </c>
      <c r="I825" s="113">
        <f t="shared" si="35"/>
        <v>7.4516150000000003E-2</v>
      </c>
    </row>
    <row r="826" spans="1:9" x14ac:dyDescent="0.3">
      <c r="A826" s="120" t="s">
        <v>99</v>
      </c>
      <c r="B826" s="129" t="s">
        <v>204</v>
      </c>
      <c r="C826" s="116">
        <v>46245</v>
      </c>
      <c r="D826" s="110" t="s">
        <v>27</v>
      </c>
      <c r="E826" s="120">
        <v>1005</v>
      </c>
      <c r="F826" s="109">
        <v>0.36130299999999999</v>
      </c>
      <c r="G826" s="111">
        <v>8.2003500000000007E-2</v>
      </c>
      <c r="H826" s="112">
        <f t="shared" si="36"/>
        <v>0.31395694444444439</v>
      </c>
      <c r="I826" s="113">
        <f t="shared" si="35"/>
        <v>7.4516150000000003E-2</v>
      </c>
    </row>
    <row r="827" spans="1:9" x14ac:dyDescent="0.3">
      <c r="A827" s="120" t="s">
        <v>99</v>
      </c>
      <c r="B827" s="129" t="s">
        <v>204</v>
      </c>
      <c r="C827" s="116">
        <v>46245</v>
      </c>
      <c r="D827" s="110" t="s">
        <v>28</v>
      </c>
      <c r="E827" s="120">
        <v>1015</v>
      </c>
      <c r="F827" s="109">
        <v>0.21158199999999999</v>
      </c>
      <c r="G827" s="111">
        <v>4.7496700000000003E-2</v>
      </c>
      <c r="H827" s="112">
        <f t="shared" si="36"/>
        <v>0.31395694444444439</v>
      </c>
      <c r="I827" s="113">
        <f t="shared" si="35"/>
        <v>7.4516150000000003E-2</v>
      </c>
    </row>
    <row r="828" spans="1:9" x14ac:dyDescent="0.3">
      <c r="A828" s="120" t="s">
        <v>99</v>
      </c>
      <c r="B828" s="129" t="s">
        <v>204</v>
      </c>
      <c r="C828" s="116">
        <v>46245</v>
      </c>
      <c r="D828" s="110" t="s">
        <v>29</v>
      </c>
      <c r="E828" s="120">
        <v>1168</v>
      </c>
      <c r="F828" s="109">
        <v>0.300956</v>
      </c>
      <c r="G828" s="111">
        <v>6.2354600000000003E-2</v>
      </c>
      <c r="H828" s="112">
        <f t="shared" si="36"/>
        <v>0.31395694444444439</v>
      </c>
      <c r="I828" s="113">
        <f t="shared" si="35"/>
        <v>7.4516150000000003E-2</v>
      </c>
    </row>
    <row r="829" spans="1:9" x14ac:dyDescent="0.3">
      <c r="A829" s="120" t="s">
        <v>99</v>
      </c>
      <c r="B829" s="129" t="s">
        <v>204</v>
      </c>
      <c r="C829" s="116">
        <v>46245</v>
      </c>
      <c r="D829" s="110" t="s">
        <v>30</v>
      </c>
      <c r="E829" s="120">
        <v>1263</v>
      </c>
      <c r="F829" s="109">
        <v>0.46798499999999998</v>
      </c>
      <c r="G829" s="111">
        <v>9.4406900000000002E-2</v>
      </c>
      <c r="H829" s="112">
        <f t="shared" si="36"/>
        <v>0.31395694444444439</v>
      </c>
      <c r="I829" s="113">
        <f t="shared" si="35"/>
        <v>7.4516150000000003E-2</v>
      </c>
    </row>
    <row r="830" spans="1:9" x14ac:dyDescent="0.3">
      <c r="A830" s="120" t="s">
        <v>99</v>
      </c>
      <c r="B830" s="129" t="s">
        <v>208</v>
      </c>
      <c r="C830" s="116">
        <v>46245</v>
      </c>
      <c r="D830" s="110" t="s">
        <v>25</v>
      </c>
      <c r="E830" s="120">
        <v>1003</v>
      </c>
      <c r="F830" s="109">
        <v>0.23594699999999999</v>
      </c>
      <c r="G830" s="111">
        <v>5.4762499999999999E-2</v>
      </c>
      <c r="H830" s="112">
        <f t="shared" si="36"/>
        <v>0.28085299999999996</v>
      </c>
      <c r="I830" s="113">
        <f t="shared" si="35"/>
        <v>6.8297388888888894E-2</v>
      </c>
    </row>
    <row r="831" spans="1:9" x14ac:dyDescent="0.3">
      <c r="A831" s="120" t="s">
        <v>99</v>
      </c>
      <c r="B831" s="129" t="s">
        <v>208</v>
      </c>
      <c r="C831" s="116">
        <v>46245</v>
      </c>
      <c r="D831" s="110" t="s">
        <v>42</v>
      </c>
      <c r="E831" s="120">
        <v>1102</v>
      </c>
      <c r="F831" s="109">
        <v>0.21417900000000001</v>
      </c>
      <c r="G831" s="111">
        <v>6.6183400000000003E-2</v>
      </c>
      <c r="H831" s="112">
        <f t="shared" si="36"/>
        <v>0.28085299999999996</v>
      </c>
      <c r="I831" s="113">
        <f t="shared" si="35"/>
        <v>6.8297388888888894E-2</v>
      </c>
    </row>
    <row r="832" spans="1:9" x14ac:dyDescent="0.3">
      <c r="A832" s="120" t="s">
        <v>99</v>
      </c>
      <c r="B832" s="129" t="s">
        <v>208</v>
      </c>
      <c r="C832" s="116">
        <v>46245</v>
      </c>
      <c r="D832" s="110" t="s">
        <v>16</v>
      </c>
      <c r="E832" s="120">
        <v>1145</v>
      </c>
      <c r="F832" s="109">
        <v>0.33857700000000002</v>
      </c>
      <c r="G832" s="111">
        <v>8.4584500000000007E-2</v>
      </c>
      <c r="H832" s="112">
        <f t="shared" si="36"/>
        <v>0.28085299999999996</v>
      </c>
      <c r="I832" s="113">
        <f t="shared" si="35"/>
        <v>6.8297388888888894E-2</v>
      </c>
    </row>
    <row r="833" spans="1:9" x14ac:dyDescent="0.3">
      <c r="A833" s="120" t="s">
        <v>99</v>
      </c>
      <c r="B833" s="129" t="s">
        <v>208</v>
      </c>
      <c r="C833" s="116">
        <v>46245</v>
      </c>
      <c r="D833" s="110" t="s">
        <v>28</v>
      </c>
      <c r="E833" s="120">
        <v>1162</v>
      </c>
      <c r="F833" s="109">
        <v>0.21158199999999999</v>
      </c>
      <c r="G833" s="111">
        <v>4.7496700000000003E-2</v>
      </c>
      <c r="H833" s="112">
        <f t="shared" si="36"/>
        <v>0.28085299999999996</v>
      </c>
      <c r="I833" s="113">
        <f t="shared" si="35"/>
        <v>6.8297388888888894E-2</v>
      </c>
    </row>
    <row r="834" spans="1:9" x14ac:dyDescent="0.3">
      <c r="A834" s="120" t="s">
        <v>99</v>
      </c>
      <c r="B834" s="129" t="s">
        <v>208</v>
      </c>
      <c r="C834" s="116">
        <v>46245</v>
      </c>
      <c r="D834" s="110" t="s">
        <v>20</v>
      </c>
      <c r="E834" s="120">
        <v>1236</v>
      </c>
      <c r="F834" s="109">
        <v>0.284049</v>
      </c>
      <c r="G834" s="111">
        <v>6.1347899999999997E-2</v>
      </c>
      <c r="H834" s="112">
        <f t="shared" si="36"/>
        <v>0.28085299999999996</v>
      </c>
      <c r="I834" s="113">
        <f t="shared" si="35"/>
        <v>6.8297388888888894E-2</v>
      </c>
    </row>
    <row r="835" spans="1:9" x14ac:dyDescent="0.3">
      <c r="A835" s="120" t="s">
        <v>99</v>
      </c>
      <c r="B835" s="129" t="s">
        <v>208</v>
      </c>
      <c r="C835" s="116">
        <v>46245</v>
      </c>
      <c r="D835" s="110" t="s">
        <v>29</v>
      </c>
      <c r="E835" s="120">
        <v>1249</v>
      </c>
      <c r="F835" s="109">
        <v>0.24942300000000001</v>
      </c>
      <c r="G835" s="111">
        <v>5.4318400000000003E-2</v>
      </c>
      <c r="H835" s="112">
        <f t="shared" si="36"/>
        <v>0.28085299999999996</v>
      </c>
      <c r="I835" s="113">
        <f t="shared" ref="I835:I898" si="37">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208</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208</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208</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208</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208</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208</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208</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208</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208</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208</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208</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209</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209</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209</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209</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209</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209</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209</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209</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209</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209</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209</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209</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209</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209</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209</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209</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209</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209</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235</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235</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235</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235</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235</v>
      </c>
      <c r="C870" s="116">
        <v>46246</v>
      </c>
      <c r="D870" s="110" t="s">
        <v>18</v>
      </c>
      <c r="E870" s="120">
        <v>1790</v>
      </c>
      <c r="F870" s="109">
        <v>0.28914099999999998</v>
      </c>
      <c r="G870" s="111">
        <v>6.7369799999999994E-2</v>
      </c>
      <c r="H870" s="112">
        <f t="shared" ref="H870:H933" si="38">IFERROR(AVERAGEIFS($F:$F, $A:$A, $A870, $B:$B,$B870, $C:$C,$C870),"")</f>
        <v>0.38141035294117642</v>
      </c>
      <c r="I870" s="113">
        <f t="shared" si="37"/>
        <v>9.3228123529411774E-2</v>
      </c>
    </row>
    <row r="871" spans="1:9" x14ac:dyDescent="0.3">
      <c r="A871" s="120" t="s">
        <v>99</v>
      </c>
      <c r="B871" s="129" t="s">
        <v>235</v>
      </c>
      <c r="C871" s="116">
        <v>46246</v>
      </c>
      <c r="D871" s="110" t="s">
        <v>19</v>
      </c>
      <c r="E871" s="120">
        <v>1983</v>
      </c>
      <c r="F871" s="109">
        <v>0.44439200000000001</v>
      </c>
      <c r="G871" s="111">
        <v>9.2895699999999998E-2</v>
      </c>
      <c r="H871" s="112">
        <f t="shared" si="38"/>
        <v>0.38141035294117642</v>
      </c>
      <c r="I871" s="113">
        <f t="shared" si="37"/>
        <v>9.3228123529411774E-2</v>
      </c>
    </row>
    <row r="872" spans="1:9" x14ac:dyDescent="0.3">
      <c r="A872" s="120" t="s">
        <v>99</v>
      </c>
      <c r="B872" s="129" t="s">
        <v>235</v>
      </c>
      <c r="C872" s="116">
        <v>46246</v>
      </c>
      <c r="D872" s="110" t="s">
        <v>20</v>
      </c>
      <c r="E872" s="120">
        <v>1908</v>
      </c>
      <c r="F872" s="109">
        <v>0.34362500000000001</v>
      </c>
      <c r="G872" s="111">
        <v>7.2266700000000003E-2</v>
      </c>
      <c r="H872" s="112">
        <f t="shared" si="38"/>
        <v>0.38141035294117642</v>
      </c>
      <c r="I872" s="113">
        <f t="shared" si="37"/>
        <v>9.3228123529411774E-2</v>
      </c>
    </row>
    <row r="873" spans="1:9" x14ac:dyDescent="0.3">
      <c r="A873" s="120" t="s">
        <v>99</v>
      </c>
      <c r="B873" s="129" t="s">
        <v>235</v>
      </c>
      <c r="C873" s="116">
        <v>46246</v>
      </c>
      <c r="D873" s="110" t="s">
        <v>42</v>
      </c>
      <c r="E873" s="120">
        <v>1131</v>
      </c>
      <c r="F873" s="109">
        <v>0.21276300000000001</v>
      </c>
      <c r="G873" s="111">
        <v>6.6497399999999998E-2</v>
      </c>
      <c r="H873" s="112">
        <f t="shared" si="38"/>
        <v>0.38141035294117642</v>
      </c>
      <c r="I873" s="113">
        <f t="shared" si="37"/>
        <v>9.3228123529411774E-2</v>
      </c>
    </row>
    <row r="874" spans="1:9" x14ac:dyDescent="0.3">
      <c r="A874" s="120" t="s">
        <v>99</v>
      </c>
      <c r="B874" s="129" t="s">
        <v>235</v>
      </c>
      <c r="C874" s="116">
        <v>46246</v>
      </c>
      <c r="D874" s="110" t="s">
        <v>21</v>
      </c>
      <c r="E874" s="120">
        <v>3124</v>
      </c>
      <c r="F874" s="109">
        <v>0.52111399999999997</v>
      </c>
      <c r="G874" s="111">
        <v>0.101732</v>
      </c>
      <c r="H874" s="112">
        <f t="shared" si="38"/>
        <v>0.38141035294117642</v>
      </c>
      <c r="I874" s="113">
        <f t="shared" si="37"/>
        <v>9.3228123529411774E-2</v>
      </c>
    </row>
    <row r="875" spans="1:9" x14ac:dyDescent="0.3">
      <c r="A875" s="120" t="s">
        <v>99</v>
      </c>
      <c r="B875" s="129" t="s">
        <v>235</v>
      </c>
      <c r="C875" s="116">
        <v>46246</v>
      </c>
      <c r="D875" s="110" t="s">
        <v>22</v>
      </c>
      <c r="E875" s="120">
        <v>2106</v>
      </c>
      <c r="F875" s="109">
        <v>0.28700199999999998</v>
      </c>
      <c r="G875" s="111">
        <v>8.2809099999999997E-2</v>
      </c>
      <c r="H875" s="112">
        <f t="shared" si="38"/>
        <v>0.38141035294117642</v>
      </c>
      <c r="I875" s="113">
        <f t="shared" si="37"/>
        <v>9.3228123529411774E-2</v>
      </c>
    </row>
    <row r="876" spans="1:9" x14ac:dyDescent="0.3">
      <c r="A876" s="120" t="s">
        <v>99</v>
      </c>
      <c r="B876" s="129" t="s">
        <v>235</v>
      </c>
      <c r="C876" s="116">
        <v>46246</v>
      </c>
      <c r="D876" s="110" t="s">
        <v>23</v>
      </c>
      <c r="E876" s="120">
        <v>1002</v>
      </c>
      <c r="F876" s="109">
        <v>0.411939</v>
      </c>
      <c r="G876" s="111">
        <v>0.12675500000000001</v>
      </c>
      <c r="H876" s="112">
        <f t="shared" si="38"/>
        <v>0.38141035294117642</v>
      </c>
      <c r="I876" s="113">
        <f t="shared" si="37"/>
        <v>9.3228123529411774E-2</v>
      </c>
    </row>
    <row r="877" spans="1:9" x14ac:dyDescent="0.3">
      <c r="A877" s="120" t="s">
        <v>99</v>
      </c>
      <c r="B877" s="129" t="s">
        <v>235</v>
      </c>
      <c r="C877" s="116">
        <v>46246</v>
      </c>
      <c r="D877" s="110" t="s">
        <v>24</v>
      </c>
      <c r="E877" s="120">
        <v>2341</v>
      </c>
      <c r="F877" s="109">
        <v>0.21904699999999999</v>
      </c>
      <c r="G877" s="111">
        <v>6.4852499999999993E-2</v>
      </c>
      <c r="H877" s="112">
        <f t="shared" si="38"/>
        <v>0.38141035294117642</v>
      </c>
      <c r="I877" s="113">
        <f t="shared" si="37"/>
        <v>9.3228123529411774E-2</v>
      </c>
    </row>
    <row r="878" spans="1:9" x14ac:dyDescent="0.3">
      <c r="A878" s="120" t="s">
        <v>99</v>
      </c>
      <c r="B878" s="129" t="s">
        <v>235</v>
      </c>
      <c r="C878" s="116">
        <v>46246</v>
      </c>
      <c r="D878" s="110" t="s">
        <v>25</v>
      </c>
      <c r="E878" s="120">
        <v>1095</v>
      </c>
      <c r="F878" s="109">
        <v>0.24135499999999999</v>
      </c>
      <c r="G878" s="111">
        <v>5.7526300000000002E-2</v>
      </c>
      <c r="H878" s="112">
        <f t="shared" si="38"/>
        <v>0.38141035294117642</v>
      </c>
      <c r="I878" s="113">
        <f t="shared" si="37"/>
        <v>9.3228123529411774E-2</v>
      </c>
    </row>
    <row r="879" spans="1:9" x14ac:dyDescent="0.3">
      <c r="A879" s="120" t="s">
        <v>99</v>
      </c>
      <c r="B879" s="129" t="s">
        <v>235</v>
      </c>
      <c r="C879" s="116">
        <v>46246</v>
      </c>
      <c r="D879" s="110" t="s">
        <v>26</v>
      </c>
      <c r="E879" s="120">
        <v>1895</v>
      </c>
      <c r="F879" s="109">
        <v>0.17096500000000001</v>
      </c>
      <c r="G879" s="111">
        <v>5.8447199999999998E-2</v>
      </c>
      <c r="H879" s="112">
        <f t="shared" si="38"/>
        <v>0.38141035294117642</v>
      </c>
      <c r="I879" s="113">
        <f t="shared" si="37"/>
        <v>9.3228123529411774E-2</v>
      </c>
    </row>
    <row r="880" spans="1:9" x14ac:dyDescent="0.3">
      <c r="A880" s="120" t="s">
        <v>99</v>
      </c>
      <c r="B880" s="129" t="s">
        <v>235</v>
      </c>
      <c r="C880" s="116">
        <v>46246</v>
      </c>
      <c r="D880" s="110" t="s">
        <v>27</v>
      </c>
      <c r="E880" s="120">
        <v>1591</v>
      </c>
      <c r="F880" s="109">
        <v>0.337507</v>
      </c>
      <c r="G880" s="111">
        <v>7.7844700000000003E-2</v>
      </c>
      <c r="H880" s="112">
        <f t="shared" si="38"/>
        <v>0.38141035294117642</v>
      </c>
      <c r="I880" s="113">
        <f t="shared" si="37"/>
        <v>9.3228123529411774E-2</v>
      </c>
    </row>
    <row r="881" spans="1:9" x14ac:dyDescent="0.3">
      <c r="A881" s="120" t="s">
        <v>99</v>
      </c>
      <c r="B881" s="129" t="s">
        <v>235</v>
      </c>
      <c r="C881" s="116">
        <v>46246</v>
      </c>
      <c r="D881" s="110" t="s">
        <v>28</v>
      </c>
      <c r="E881" s="120">
        <v>1029</v>
      </c>
      <c r="F881" s="109">
        <v>0.45597500000000002</v>
      </c>
      <c r="G881" s="111">
        <v>0.105598</v>
      </c>
      <c r="H881" s="112">
        <f t="shared" si="38"/>
        <v>0.38141035294117642</v>
      </c>
      <c r="I881" s="113">
        <f t="shared" si="37"/>
        <v>9.3228123529411774E-2</v>
      </c>
    </row>
    <row r="882" spans="1:9" x14ac:dyDescent="0.3">
      <c r="A882" s="120" t="s">
        <v>99</v>
      </c>
      <c r="B882" s="129" t="s">
        <v>235</v>
      </c>
      <c r="C882" s="116">
        <v>46246</v>
      </c>
      <c r="D882" s="110" t="s">
        <v>29</v>
      </c>
      <c r="E882" s="120">
        <v>1274</v>
      </c>
      <c r="F882" s="109">
        <v>0.31540200000000002</v>
      </c>
      <c r="G882" s="111">
        <v>6.2736799999999995E-2</v>
      </c>
      <c r="H882" s="112">
        <f t="shared" si="38"/>
        <v>0.38141035294117642</v>
      </c>
      <c r="I882" s="113">
        <f t="shared" si="37"/>
        <v>9.3228123529411774E-2</v>
      </c>
    </row>
    <row r="883" spans="1:9" x14ac:dyDescent="0.3">
      <c r="A883" s="120" t="s">
        <v>99</v>
      </c>
      <c r="B883" s="129" t="s">
        <v>235</v>
      </c>
      <c r="C883" s="116">
        <v>46245</v>
      </c>
      <c r="D883" s="110" t="s">
        <v>30</v>
      </c>
      <c r="E883" s="120">
        <v>1459</v>
      </c>
      <c r="F883" s="109">
        <v>0.78098199999999995</v>
      </c>
      <c r="G883" s="111">
        <v>0.16389999999999999</v>
      </c>
      <c r="H883" s="112">
        <f t="shared" si="38"/>
        <v>0.78098199999999995</v>
      </c>
      <c r="I883" s="113">
        <f t="shared" si="37"/>
        <v>0.16389999999999999</v>
      </c>
    </row>
    <row r="884" spans="1:9" x14ac:dyDescent="0.3">
      <c r="A884" s="120" t="s">
        <v>99</v>
      </c>
      <c r="B884" s="129" t="s">
        <v>205</v>
      </c>
      <c r="C884" s="116">
        <v>46246</v>
      </c>
      <c r="D884" s="110" t="s">
        <v>14</v>
      </c>
      <c r="E884" s="120">
        <v>2075</v>
      </c>
      <c r="F884" s="109">
        <v>0.61073299999999997</v>
      </c>
      <c r="G884" s="111">
        <v>0.17188100000000001</v>
      </c>
      <c r="H884" s="112">
        <f t="shared" si="38"/>
        <v>0.51211722222222211</v>
      </c>
      <c r="I884" s="113">
        <f t="shared" si="37"/>
        <v>0.12117922222222226</v>
      </c>
    </row>
    <row r="885" spans="1:9" x14ac:dyDescent="0.3">
      <c r="A885" s="120" t="s">
        <v>99</v>
      </c>
      <c r="B885" s="129" t="s">
        <v>205</v>
      </c>
      <c r="C885" s="116">
        <v>46246</v>
      </c>
      <c r="D885" s="110" t="s">
        <v>15</v>
      </c>
      <c r="E885" s="120">
        <v>1803</v>
      </c>
      <c r="F885" s="109">
        <v>0.836808</v>
      </c>
      <c r="G885" s="111">
        <v>0.22062999999999999</v>
      </c>
      <c r="H885" s="112">
        <f t="shared" si="38"/>
        <v>0.51211722222222211</v>
      </c>
      <c r="I885" s="113">
        <f t="shared" si="37"/>
        <v>0.12117922222222226</v>
      </c>
    </row>
    <row r="886" spans="1:9" x14ac:dyDescent="0.3">
      <c r="A886" s="120" t="s">
        <v>99</v>
      </c>
      <c r="B886" s="129" t="s">
        <v>205</v>
      </c>
      <c r="C886" s="116">
        <v>46246</v>
      </c>
      <c r="D886" s="110" t="s">
        <v>16</v>
      </c>
      <c r="E886" s="120">
        <v>1248</v>
      </c>
      <c r="F886" s="109">
        <v>0.422099</v>
      </c>
      <c r="G886" s="111">
        <v>9.8858100000000004E-2</v>
      </c>
      <c r="H886" s="112">
        <f t="shared" si="38"/>
        <v>0.51211722222222211</v>
      </c>
      <c r="I886" s="113">
        <f t="shared" si="37"/>
        <v>0.12117922222222226</v>
      </c>
    </row>
    <row r="887" spans="1:9" x14ac:dyDescent="0.3">
      <c r="A887" s="120" t="s">
        <v>99</v>
      </c>
      <c r="B887" s="129" t="s">
        <v>205</v>
      </c>
      <c r="C887" s="116">
        <v>46246</v>
      </c>
      <c r="D887" s="110" t="s">
        <v>17</v>
      </c>
      <c r="E887" s="120">
        <v>1814</v>
      </c>
      <c r="F887" s="109">
        <v>0.42316799999999999</v>
      </c>
      <c r="G887" s="111">
        <v>8.3366099999999999E-2</v>
      </c>
      <c r="H887" s="112">
        <f t="shared" si="38"/>
        <v>0.51211722222222211</v>
      </c>
      <c r="I887" s="113">
        <f t="shared" si="37"/>
        <v>0.12117922222222226</v>
      </c>
    </row>
    <row r="888" spans="1:9" x14ac:dyDescent="0.3">
      <c r="A888" s="120" t="s">
        <v>99</v>
      </c>
      <c r="B888" s="129" t="s">
        <v>205</v>
      </c>
      <c r="C888" s="116">
        <v>46246</v>
      </c>
      <c r="D888" s="110" t="s">
        <v>18</v>
      </c>
      <c r="E888" s="120">
        <v>1407</v>
      </c>
      <c r="F888" s="109">
        <v>0.59568299999999996</v>
      </c>
      <c r="G888" s="111">
        <v>0.14131199999999999</v>
      </c>
      <c r="H888" s="112">
        <f t="shared" si="38"/>
        <v>0.51211722222222211</v>
      </c>
      <c r="I888" s="113">
        <f t="shared" si="37"/>
        <v>0.12117922222222226</v>
      </c>
    </row>
    <row r="889" spans="1:9" x14ac:dyDescent="0.3">
      <c r="A889" s="120" t="s">
        <v>99</v>
      </c>
      <c r="B889" s="129" t="s">
        <v>205</v>
      </c>
      <c r="C889" s="116">
        <v>46246</v>
      </c>
      <c r="D889" s="110" t="s">
        <v>19</v>
      </c>
      <c r="E889" s="120">
        <v>1521</v>
      </c>
      <c r="F889" s="109">
        <v>1.4746300000000001</v>
      </c>
      <c r="G889" s="111">
        <v>0.30990099999999998</v>
      </c>
      <c r="H889" s="112">
        <f t="shared" si="38"/>
        <v>0.51211722222222211</v>
      </c>
      <c r="I889" s="113">
        <f t="shared" si="37"/>
        <v>0.12117922222222226</v>
      </c>
    </row>
    <row r="890" spans="1:9" x14ac:dyDescent="0.3">
      <c r="A890" s="120" t="s">
        <v>99</v>
      </c>
      <c r="B890" s="129" t="s">
        <v>205</v>
      </c>
      <c r="C890" s="116">
        <v>46246</v>
      </c>
      <c r="D890" s="110" t="s">
        <v>20</v>
      </c>
      <c r="E890" s="120">
        <v>1511</v>
      </c>
      <c r="F890" s="109">
        <v>0.77268899999999996</v>
      </c>
      <c r="G890" s="111">
        <v>0.16123699999999999</v>
      </c>
      <c r="H890" s="112">
        <f t="shared" si="38"/>
        <v>0.51211722222222211</v>
      </c>
      <c r="I890" s="113">
        <f t="shared" si="37"/>
        <v>0.12117922222222226</v>
      </c>
    </row>
    <row r="891" spans="1:9" x14ac:dyDescent="0.3">
      <c r="A891" s="120" t="s">
        <v>99</v>
      </c>
      <c r="B891" s="129" t="s">
        <v>205</v>
      </c>
      <c r="C891" s="116">
        <v>46246</v>
      </c>
      <c r="D891" s="110" t="s">
        <v>42</v>
      </c>
      <c r="E891" s="120">
        <v>1089</v>
      </c>
      <c r="F891" s="109">
        <v>0.31725700000000001</v>
      </c>
      <c r="G891" s="111">
        <v>9.5367800000000003E-2</v>
      </c>
      <c r="H891" s="112">
        <f t="shared" si="38"/>
        <v>0.51211722222222211</v>
      </c>
      <c r="I891" s="113">
        <f t="shared" si="37"/>
        <v>0.12117922222222226</v>
      </c>
    </row>
    <row r="892" spans="1:9" x14ac:dyDescent="0.3">
      <c r="A892" s="120" t="s">
        <v>99</v>
      </c>
      <c r="B892" s="129" t="s">
        <v>205</v>
      </c>
      <c r="C892" s="116">
        <v>46246</v>
      </c>
      <c r="D892" s="110" t="s">
        <v>21</v>
      </c>
      <c r="E892" s="120">
        <v>2360</v>
      </c>
      <c r="F892" s="109">
        <v>0.52617499999999995</v>
      </c>
      <c r="G892" s="111">
        <v>0.10256999999999999</v>
      </c>
      <c r="H892" s="112">
        <f t="shared" si="38"/>
        <v>0.51211722222222211</v>
      </c>
      <c r="I892" s="113">
        <f t="shared" si="37"/>
        <v>0.12117922222222226</v>
      </c>
    </row>
    <row r="893" spans="1:9" x14ac:dyDescent="0.3">
      <c r="A893" s="120" t="s">
        <v>99</v>
      </c>
      <c r="B893" s="129" t="s">
        <v>205</v>
      </c>
      <c r="C893" s="116">
        <v>46246</v>
      </c>
      <c r="D893" s="110" t="s">
        <v>22</v>
      </c>
      <c r="E893" s="120">
        <v>1402</v>
      </c>
      <c r="F893" s="109">
        <v>0.29166399999999998</v>
      </c>
      <c r="G893" s="111">
        <v>7.8948299999999999E-2</v>
      </c>
      <c r="H893" s="112">
        <f t="shared" si="38"/>
        <v>0.51211722222222211</v>
      </c>
      <c r="I893" s="113">
        <f t="shared" si="37"/>
        <v>0.12117922222222226</v>
      </c>
    </row>
    <row r="894" spans="1:9" x14ac:dyDescent="0.3">
      <c r="A894" s="120" t="s">
        <v>99</v>
      </c>
      <c r="B894" s="129" t="s">
        <v>205</v>
      </c>
      <c r="C894" s="116">
        <v>46246</v>
      </c>
      <c r="D894" s="110" t="s">
        <v>23</v>
      </c>
      <c r="E894" s="120">
        <v>1537</v>
      </c>
      <c r="F894" s="109">
        <v>0.41604099999999999</v>
      </c>
      <c r="G894" s="111">
        <v>0.13688900000000001</v>
      </c>
      <c r="H894" s="112">
        <f t="shared" si="38"/>
        <v>0.51211722222222211</v>
      </c>
      <c r="I894" s="113">
        <f t="shared" si="37"/>
        <v>0.12117922222222226</v>
      </c>
    </row>
    <row r="895" spans="1:9" x14ac:dyDescent="0.3">
      <c r="A895" s="120" t="s">
        <v>99</v>
      </c>
      <c r="B895" s="129" t="s">
        <v>205</v>
      </c>
      <c r="C895" s="116">
        <v>46246</v>
      </c>
      <c r="D895" s="110" t="s">
        <v>24</v>
      </c>
      <c r="E895" s="120">
        <v>2059</v>
      </c>
      <c r="F895" s="109">
        <v>0.18245900000000001</v>
      </c>
      <c r="G895" s="111">
        <v>5.6480700000000002E-2</v>
      </c>
      <c r="H895" s="112">
        <f t="shared" si="38"/>
        <v>0.51211722222222211</v>
      </c>
      <c r="I895" s="113">
        <f t="shared" si="37"/>
        <v>0.12117922222222226</v>
      </c>
    </row>
    <row r="896" spans="1:9" x14ac:dyDescent="0.3">
      <c r="A896" s="120" t="s">
        <v>99</v>
      </c>
      <c r="B896" s="129" t="s">
        <v>205</v>
      </c>
      <c r="C896" s="116">
        <v>46246</v>
      </c>
      <c r="D896" s="110" t="s">
        <v>25</v>
      </c>
      <c r="E896" s="120">
        <v>1004</v>
      </c>
      <c r="F896" s="109">
        <v>0.27812900000000002</v>
      </c>
      <c r="G896" s="111">
        <v>6.7163399999999998E-2</v>
      </c>
      <c r="H896" s="112">
        <f t="shared" si="38"/>
        <v>0.51211722222222211</v>
      </c>
      <c r="I896" s="113">
        <f t="shared" si="37"/>
        <v>0.12117922222222226</v>
      </c>
    </row>
    <row r="897" spans="1:9" x14ac:dyDescent="0.3">
      <c r="A897" s="120" t="s">
        <v>99</v>
      </c>
      <c r="B897" s="129" t="s">
        <v>205</v>
      </c>
      <c r="C897" s="116">
        <v>46246</v>
      </c>
      <c r="D897" s="110" t="s">
        <v>26</v>
      </c>
      <c r="E897" s="120">
        <v>1310</v>
      </c>
      <c r="F897" s="109">
        <v>0.19995299999999999</v>
      </c>
      <c r="G897" s="111">
        <v>6.3817100000000002E-2</v>
      </c>
      <c r="H897" s="112">
        <f t="shared" si="38"/>
        <v>0.51211722222222211</v>
      </c>
      <c r="I897" s="113">
        <f t="shared" si="37"/>
        <v>0.12117922222222226</v>
      </c>
    </row>
    <row r="898" spans="1:9" x14ac:dyDescent="0.3">
      <c r="A898" s="120" t="s">
        <v>99</v>
      </c>
      <c r="B898" s="129" t="s">
        <v>205</v>
      </c>
      <c r="C898" s="116">
        <v>46246</v>
      </c>
      <c r="D898" s="110" t="s">
        <v>27</v>
      </c>
      <c r="E898" s="120">
        <v>1089</v>
      </c>
      <c r="F898" s="109">
        <v>0.31719000000000003</v>
      </c>
      <c r="G898" s="111">
        <v>7.1652800000000003E-2</v>
      </c>
      <c r="H898" s="112">
        <f t="shared" si="38"/>
        <v>0.51211722222222211</v>
      </c>
      <c r="I898" s="113">
        <f t="shared" si="37"/>
        <v>0.12117922222222226</v>
      </c>
    </row>
    <row r="899" spans="1:9" x14ac:dyDescent="0.3">
      <c r="A899" s="120" t="s">
        <v>99</v>
      </c>
      <c r="B899" s="129" t="s">
        <v>205</v>
      </c>
      <c r="C899" s="116">
        <v>46246</v>
      </c>
      <c r="D899" s="110" t="s">
        <v>28</v>
      </c>
      <c r="E899" s="120">
        <v>1192</v>
      </c>
      <c r="F899" s="109">
        <v>0.25763000000000003</v>
      </c>
      <c r="G899" s="111">
        <v>5.7515700000000003E-2</v>
      </c>
      <c r="H899" s="112">
        <f t="shared" si="38"/>
        <v>0.51211722222222211</v>
      </c>
      <c r="I899" s="113">
        <f t="shared" ref="I899:I962" si="39">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205</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210</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210</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210</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210</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210</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210</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210</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210</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210</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210</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210</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210</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210</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210</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210</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210</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210</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210</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211</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211</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211</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211</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211</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211</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211</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211</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211</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211</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211</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211</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211</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211</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211</v>
      </c>
      <c r="C934" s="116">
        <v>46246</v>
      </c>
      <c r="D934" s="110" t="s">
        <v>27</v>
      </c>
      <c r="E934" s="120">
        <v>1186</v>
      </c>
      <c r="F934" s="109">
        <v>0.55137800000000003</v>
      </c>
      <c r="G934" s="111">
        <v>0.12540499999999999</v>
      </c>
      <c r="H934" s="112">
        <f t="shared" ref="H934:H997" si="40">IFERROR(AVERAGEIFS($F:$F, $A:$A, $A934, $B:$B,$B934, $C:$C,$C934),"")</f>
        <v>0.86146366666666652</v>
      </c>
      <c r="I934" s="113">
        <f t="shared" si="39"/>
        <v>0.20853869444444445</v>
      </c>
    </row>
    <row r="935" spans="1:9" x14ac:dyDescent="0.3">
      <c r="A935" s="120" t="s">
        <v>99</v>
      </c>
      <c r="B935" s="129" t="s">
        <v>211</v>
      </c>
      <c r="C935" s="116">
        <v>46246</v>
      </c>
      <c r="D935" s="110" t="s">
        <v>28</v>
      </c>
      <c r="E935" s="120">
        <v>1114</v>
      </c>
      <c r="F935" s="109">
        <v>0.25556699999999999</v>
      </c>
      <c r="G935" s="111">
        <v>5.7430799999999997E-2</v>
      </c>
      <c r="H935" s="112">
        <f t="shared" si="40"/>
        <v>0.86146366666666652</v>
      </c>
      <c r="I935" s="113">
        <f t="shared" si="39"/>
        <v>0.20853869444444445</v>
      </c>
    </row>
    <row r="936" spans="1:9" x14ac:dyDescent="0.3">
      <c r="A936" s="120" t="s">
        <v>99</v>
      </c>
      <c r="B936" s="129" t="s">
        <v>211</v>
      </c>
      <c r="C936" s="116">
        <v>46246</v>
      </c>
      <c r="D936" s="110" t="s">
        <v>29</v>
      </c>
      <c r="E936" s="120">
        <v>1155</v>
      </c>
      <c r="F936" s="109">
        <v>0.59922799999999998</v>
      </c>
      <c r="G936" s="111">
        <v>0.124347</v>
      </c>
      <c r="H936" s="112">
        <f t="shared" si="40"/>
        <v>0.86146366666666652</v>
      </c>
      <c r="I936" s="113">
        <f t="shared" si="39"/>
        <v>0.20853869444444445</v>
      </c>
    </row>
    <row r="937" spans="1:9" x14ac:dyDescent="0.3">
      <c r="A937" s="120" t="s">
        <v>99</v>
      </c>
      <c r="B937" s="129" t="s">
        <v>211</v>
      </c>
      <c r="C937" s="116">
        <v>46246</v>
      </c>
      <c r="D937" s="110" t="s">
        <v>30</v>
      </c>
      <c r="E937" s="120">
        <v>1362</v>
      </c>
      <c r="F937" s="109">
        <v>0.78241700000000003</v>
      </c>
      <c r="G937" s="111">
        <v>0.15779799999999999</v>
      </c>
      <c r="H937" s="112">
        <f t="shared" si="40"/>
        <v>0.86146366666666652</v>
      </c>
      <c r="I937" s="113">
        <f t="shared" si="39"/>
        <v>0.20853869444444445</v>
      </c>
    </row>
    <row r="938" spans="1:9" x14ac:dyDescent="0.3">
      <c r="A938" s="120" t="s">
        <v>99</v>
      </c>
      <c r="B938" s="129" t="s">
        <v>236</v>
      </c>
      <c r="C938" s="116">
        <v>46246</v>
      </c>
      <c r="D938" s="110" t="s">
        <v>14</v>
      </c>
      <c r="E938" s="120">
        <v>1683</v>
      </c>
      <c r="F938" s="109">
        <v>0.28791800000000001</v>
      </c>
      <c r="G938" s="111">
        <v>8.0959900000000001E-2</v>
      </c>
      <c r="H938" s="112">
        <f t="shared" si="40"/>
        <v>0.3096255555555556</v>
      </c>
      <c r="I938" s="113">
        <f t="shared" si="39"/>
        <v>7.498857222222223E-2</v>
      </c>
    </row>
    <row r="939" spans="1:9" x14ac:dyDescent="0.3">
      <c r="A939" s="120" t="s">
        <v>99</v>
      </c>
      <c r="B939" s="129" t="s">
        <v>236</v>
      </c>
      <c r="C939" s="116">
        <v>46246</v>
      </c>
      <c r="D939" s="110" t="s">
        <v>15</v>
      </c>
      <c r="E939" s="120">
        <v>1542</v>
      </c>
      <c r="F939" s="109">
        <v>0.37459399999999998</v>
      </c>
      <c r="G939" s="111">
        <v>9.8652500000000004E-2</v>
      </c>
      <c r="H939" s="112">
        <f t="shared" si="40"/>
        <v>0.3096255555555556</v>
      </c>
      <c r="I939" s="113">
        <f t="shared" si="39"/>
        <v>7.498857222222223E-2</v>
      </c>
    </row>
    <row r="940" spans="1:9" x14ac:dyDescent="0.3">
      <c r="A940" s="120" t="s">
        <v>99</v>
      </c>
      <c r="B940" s="129" t="s">
        <v>236</v>
      </c>
      <c r="C940" s="116">
        <v>46246</v>
      </c>
      <c r="D940" s="110" t="s">
        <v>16</v>
      </c>
      <c r="E940" s="120">
        <v>1003</v>
      </c>
      <c r="F940" s="109">
        <v>0.38369700000000001</v>
      </c>
      <c r="G940" s="111">
        <v>9.0057999999999999E-2</v>
      </c>
      <c r="H940" s="112">
        <f t="shared" si="40"/>
        <v>0.3096255555555556</v>
      </c>
      <c r="I940" s="113">
        <f t="shared" si="39"/>
        <v>7.498857222222223E-2</v>
      </c>
    </row>
    <row r="941" spans="1:9" x14ac:dyDescent="0.3">
      <c r="A941" s="120" t="s">
        <v>99</v>
      </c>
      <c r="B941" s="129" t="s">
        <v>236</v>
      </c>
      <c r="C941" s="116">
        <v>46246</v>
      </c>
      <c r="D941" s="110" t="s">
        <v>17</v>
      </c>
      <c r="E941" s="120">
        <v>2037</v>
      </c>
      <c r="F941" s="109">
        <v>0.45769599999999999</v>
      </c>
      <c r="G941" s="111">
        <v>9.0551999999999994E-2</v>
      </c>
      <c r="H941" s="112">
        <f t="shared" si="40"/>
        <v>0.3096255555555556</v>
      </c>
      <c r="I941" s="113">
        <f t="shared" si="39"/>
        <v>7.498857222222223E-2</v>
      </c>
    </row>
    <row r="942" spans="1:9" x14ac:dyDescent="0.3">
      <c r="A942" s="120" t="s">
        <v>99</v>
      </c>
      <c r="B942" s="129" t="s">
        <v>236</v>
      </c>
      <c r="C942" s="116">
        <v>46246</v>
      </c>
      <c r="D942" s="110" t="s">
        <v>18</v>
      </c>
      <c r="E942" s="120">
        <v>1376</v>
      </c>
      <c r="F942" s="109">
        <v>0.24545800000000001</v>
      </c>
      <c r="G942" s="111">
        <v>5.8411200000000003E-2</v>
      </c>
      <c r="H942" s="112">
        <f t="shared" si="40"/>
        <v>0.3096255555555556</v>
      </c>
      <c r="I942" s="113">
        <f t="shared" si="39"/>
        <v>7.498857222222223E-2</v>
      </c>
    </row>
    <row r="943" spans="1:9" x14ac:dyDescent="0.3">
      <c r="A943" s="120" t="s">
        <v>99</v>
      </c>
      <c r="B943" s="129" t="s">
        <v>236</v>
      </c>
      <c r="C943" s="116">
        <v>46246</v>
      </c>
      <c r="D943" s="110" t="s">
        <v>19</v>
      </c>
      <c r="E943" s="120">
        <v>1716</v>
      </c>
      <c r="F943" s="109">
        <v>0.33059899999999998</v>
      </c>
      <c r="G943" s="111">
        <v>6.9513400000000003E-2</v>
      </c>
      <c r="H943" s="112">
        <f t="shared" si="40"/>
        <v>0.3096255555555556</v>
      </c>
      <c r="I943" s="113">
        <f t="shared" si="39"/>
        <v>7.498857222222223E-2</v>
      </c>
    </row>
    <row r="944" spans="1:9" x14ac:dyDescent="0.3">
      <c r="A944" s="120" t="s">
        <v>99</v>
      </c>
      <c r="B944" s="129" t="s">
        <v>236</v>
      </c>
      <c r="C944" s="116">
        <v>46246</v>
      </c>
      <c r="D944" s="110" t="s">
        <v>20</v>
      </c>
      <c r="E944" s="120">
        <v>1710</v>
      </c>
      <c r="F944" s="109">
        <v>0.40410600000000002</v>
      </c>
      <c r="G944" s="111">
        <v>8.4524000000000002E-2</v>
      </c>
      <c r="H944" s="112">
        <f t="shared" si="40"/>
        <v>0.3096255555555556</v>
      </c>
      <c r="I944" s="113">
        <f t="shared" si="39"/>
        <v>7.498857222222223E-2</v>
      </c>
    </row>
    <row r="945" spans="1:9" x14ac:dyDescent="0.3">
      <c r="A945" s="120" t="s">
        <v>99</v>
      </c>
      <c r="B945" s="129" t="s">
        <v>236</v>
      </c>
      <c r="C945" s="116">
        <v>46246</v>
      </c>
      <c r="D945" s="110" t="s">
        <v>42</v>
      </c>
      <c r="E945" s="120">
        <v>1163</v>
      </c>
      <c r="F945" s="109">
        <v>0.20267299999999999</v>
      </c>
      <c r="G945" s="111">
        <v>6.1436400000000002E-2</v>
      </c>
      <c r="H945" s="112">
        <f t="shared" si="40"/>
        <v>0.3096255555555556</v>
      </c>
      <c r="I945" s="113">
        <f t="shared" si="39"/>
        <v>7.498857222222223E-2</v>
      </c>
    </row>
    <row r="946" spans="1:9" x14ac:dyDescent="0.3">
      <c r="A946" s="120" t="s">
        <v>99</v>
      </c>
      <c r="B946" s="129" t="s">
        <v>236</v>
      </c>
      <c r="C946" s="116">
        <v>46246</v>
      </c>
      <c r="D946" s="110" t="s">
        <v>21</v>
      </c>
      <c r="E946" s="120">
        <v>2627</v>
      </c>
      <c r="F946" s="109">
        <v>0.35921599999999998</v>
      </c>
      <c r="G946" s="111">
        <v>6.98965E-2</v>
      </c>
      <c r="H946" s="112">
        <f t="shared" si="40"/>
        <v>0.3096255555555556</v>
      </c>
      <c r="I946" s="113">
        <f t="shared" si="39"/>
        <v>7.498857222222223E-2</v>
      </c>
    </row>
    <row r="947" spans="1:9" x14ac:dyDescent="0.3">
      <c r="A947" s="120" t="s">
        <v>99</v>
      </c>
      <c r="B947" s="129" t="s">
        <v>236</v>
      </c>
      <c r="C947" s="116">
        <v>46246</v>
      </c>
      <c r="D947" s="110" t="s">
        <v>22</v>
      </c>
      <c r="E947" s="120">
        <v>1493</v>
      </c>
      <c r="F947" s="109">
        <v>0.34558699999999998</v>
      </c>
      <c r="G947" s="111">
        <v>9.3879599999999994E-2</v>
      </c>
      <c r="H947" s="112">
        <f t="shared" si="40"/>
        <v>0.3096255555555556</v>
      </c>
      <c r="I947" s="113">
        <f t="shared" si="39"/>
        <v>7.498857222222223E-2</v>
      </c>
    </row>
    <row r="948" spans="1:9" x14ac:dyDescent="0.3">
      <c r="A948" s="120" t="s">
        <v>99</v>
      </c>
      <c r="B948" s="129" t="s">
        <v>236</v>
      </c>
      <c r="C948" s="116">
        <v>46246</v>
      </c>
      <c r="D948" s="110" t="s">
        <v>23</v>
      </c>
      <c r="E948" s="120">
        <v>1093</v>
      </c>
      <c r="F948" s="109">
        <v>0.328629</v>
      </c>
      <c r="G948" s="111">
        <v>0.10785699999999999</v>
      </c>
      <c r="H948" s="112">
        <f t="shared" si="40"/>
        <v>0.3096255555555556</v>
      </c>
      <c r="I948" s="113">
        <f t="shared" si="39"/>
        <v>7.498857222222223E-2</v>
      </c>
    </row>
    <row r="949" spans="1:9" x14ac:dyDescent="0.3">
      <c r="A949" s="120" t="s">
        <v>99</v>
      </c>
      <c r="B949" s="129" t="s">
        <v>236</v>
      </c>
      <c r="C949" s="116">
        <v>46246</v>
      </c>
      <c r="D949" s="110" t="s">
        <v>24</v>
      </c>
      <c r="E949" s="120">
        <v>1769</v>
      </c>
      <c r="F949" s="109">
        <v>0.23980599999999999</v>
      </c>
      <c r="G949" s="111">
        <v>7.3883699999999997E-2</v>
      </c>
      <c r="H949" s="112">
        <f t="shared" si="40"/>
        <v>0.3096255555555556</v>
      </c>
      <c r="I949" s="113">
        <f t="shared" si="39"/>
        <v>7.498857222222223E-2</v>
      </c>
    </row>
    <row r="950" spans="1:9" x14ac:dyDescent="0.3">
      <c r="A950" s="120" t="s">
        <v>99</v>
      </c>
      <c r="B950" s="129" t="s">
        <v>236</v>
      </c>
      <c r="C950" s="116">
        <v>46246</v>
      </c>
      <c r="D950" s="110" t="s">
        <v>25</v>
      </c>
      <c r="E950" s="120">
        <v>1062</v>
      </c>
      <c r="F950" s="109">
        <v>0.20179</v>
      </c>
      <c r="G950" s="111">
        <v>4.8508799999999998E-2</v>
      </c>
      <c r="H950" s="112">
        <f t="shared" si="40"/>
        <v>0.3096255555555556</v>
      </c>
      <c r="I950" s="113">
        <f t="shared" si="39"/>
        <v>7.498857222222223E-2</v>
      </c>
    </row>
    <row r="951" spans="1:9" x14ac:dyDescent="0.3">
      <c r="A951" s="120" t="s">
        <v>99</v>
      </c>
      <c r="B951" s="129" t="s">
        <v>236</v>
      </c>
      <c r="C951" s="116">
        <v>46246</v>
      </c>
      <c r="D951" s="110" t="s">
        <v>26</v>
      </c>
      <c r="E951" s="120">
        <v>1622</v>
      </c>
      <c r="F951" s="109">
        <v>0.193277</v>
      </c>
      <c r="G951" s="111">
        <v>6.21506E-2</v>
      </c>
      <c r="H951" s="112">
        <f t="shared" si="40"/>
        <v>0.3096255555555556</v>
      </c>
      <c r="I951" s="113">
        <f t="shared" si="39"/>
        <v>7.498857222222223E-2</v>
      </c>
    </row>
    <row r="952" spans="1:9" x14ac:dyDescent="0.3">
      <c r="A952" s="120" t="s">
        <v>99</v>
      </c>
      <c r="B952" s="129" t="s">
        <v>236</v>
      </c>
      <c r="C952" s="116">
        <v>46246</v>
      </c>
      <c r="D952" s="110" t="s">
        <v>27</v>
      </c>
      <c r="E952" s="120">
        <v>1489</v>
      </c>
      <c r="F952" s="109">
        <v>0.27049299999999998</v>
      </c>
      <c r="G952" s="111">
        <v>6.13748E-2</v>
      </c>
      <c r="H952" s="112">
        <f t="shared" si="40"/>
        <v>0.3096255555555556</v>
      </c>
      <c r="I952" s="113">
        <f t="shared" si="39"/>
        <v>7.498857222222223E-2</v>
      </c>
    </row>
    <row r="953" spans="1:9" x14ac:dyDescent="0.3">
      <c r="A953" s="120" t="s">
        <v>99</v>
      </c>
      <c r="B953" s="129" t="s">
        <v>236</v>
      </c>
      <c r="C953" s="116">
        <v>46246</v>
      </c>
      <c r="D953" s="110" t="s">
        <v>28</v>
      </c>
      <c r="E953" s="120">
        <v>1456</v>
      </c>
      <c r="F953" s="109">
        <v>0.23838899999999999</v>
      </c>
      <c r="G953" s="111">
        <v>5.3503700000000001E-2</v>
      </c>
      <c r="H953" s="112">
        <f t="shared" si="40"/>
        <v>0.3096255555555556</v>
      </c>
      <c r="I953" s="113">
        <f t="shared" si="39"/>
        <v>7.498857222222223E-2</v>
      </c>
    </row>
    <row r="954" spans="1:9" x14ac:dyDescent="0.3">
      <c r="A954" s="120" t="s">
        <v>99</v>
      </c>
      <c r="B954" s="129" t="s">
        <v>236</v>
      </c>
      <c r="C954" s="116">
        <v>46246</v>
      </c>
      <c r="D954" s="110" t="s">
        <v>29</v>
      </c>
      <c r="E954" s="120">
        <v>1192</v>
      </c>
      <c r="F954" s="109">
        <v>0.31917299999999998</v>
      </c>
      <c r="G954" s="111">
        <v>6.6100599999999995E-2</v>
      </c>
      <c r="H954" s="112">
        <f t="shared" si="40"/>
        <v>0.3096255555555556</v>
      </c>
      <c r="I954" s="113">
        <f t="shared" si="39"/>
        <v>7.498857222222223E-2</v>
      </c>
    </row>
    <row r="955" spans="1:9" x14ac:dyDescent="0.3">
      <c r="A955" s="120" t="s">
        <v>99</v>
      </c>
      <c r="B955" s="129" t="s">
        <v>236</v>
      </c>
      <c r="C955" s="116">
        <v>46246</v>
      </c>
      <c r="D955" s="110" t="s">
        <v>30</v>
      </c>
      <c r="E955" s="120">
        <v>1261</v>
      </c>
      <c r="F955" s="109">
        <v>0.39015899999999998</v>
      </c>
      <c r="G955" s="111">
        <v>7.8531599999999993E-2</v>
      </c>
      <c r="H955" s="112">
        <f t="shared" si="40"/>
        <v>0.3096255555555556</v>
      </c>
      <c r="I955" s="113">
        <f t="shared" si="39"/>
        <v>7.498857222222223E-2</v>
      </c>
    </row>
    <row r="956" spans="1:9" x14ac:dyDescent="0.3">
      <c r="A956" s="120" t="s">
        <v>99</v>
      </c>
      <c r="B956" s="129" t="s">
        <v>214</v>
      </c>
      <c r="C956" s="116">
        <v>46246</v>
      </c>
      <c r="D956" s="110" t="s">
        <v>14</v>
      </c>
      <c r="E956" s="120">
        <v>2560</v>
      </c>
      <c r="F956" s="109">
        <v>0.43761499999999998</v>
      </c>
      <c r="G956" s="111">
        <v>0.123062</v>
      </c>
      <c r="H956" s="112">
        <f t="shared" si="40"/>
        <v>0.34042788888888892</v>
      </c>
      <c r="I956" s="113">
        <f t="shared" si="39"/>
        <v>8.3619938888888898E-2</v>
      </c>
    </row>
    <row r="957" spans="1:9" x14ac:dyDescent="0.3">
      <c r="A957" s="120" t="s">
        <v>99</v>
      </c>
      <c r="B957" s="129" t="s">
        <v>214</v>
      </c>
      <c r="C957" s="116">
        <v>46246</v>
      </c>
      <c r="D957" s="110" t="s">
        <v>15</v>
      </c>
      <c r="E957" s="120">
        <v>2050</v>
      </c>
      <c r="F957" s="109">
        <v>0.50001200000000001</v>
      </c>
      <c r="G957" s="111">
        <v>0.131749</v>
      </c>
      <c r="H957" s="112">
        <f t="shared" si="40"/>
        <v>0.34042788888888892</v>
      </c>
      <c r="I957" s="113">
        <f t="shared" si="39"/>
        <v>8.3619938888888898E-2</v>
      </c>
    </row>
    <row r="958" spans="1:9" x14ac:dyDescent="0.3">
      <c r="A958" s="120" t="s">
        <v>99</v>
      </c>
      <c r="B958" s="129" t="s">
        <v>214</v>
      </c>
      <c r="C958" s="116">
        <v>46246</v>
      </c>
      <c r="D958" s="110" t="s">
        <v>16</v>
      </c>
      <c r="E958" s="120">
        <v>1004</v>
      </c>
      <c r="F958" s="109">
        <v>0.396677</v>
      </c>
      <c r="G958" s="111">
        <v>9.3064800000000003E-2</v>
      </c>
      <c r="H958" s="112">
        <f t="shared" si="40"/>
        <v>0.34042788888888892</v>
      </c>
      <c r="I958" s="113">
        <f t="shared" si="39"/>
        <v>8.3619938888888898E-2</v>
      </c>
    </row>
    <row r="959" spans="1:9" x14ac:dyDescent="0.3">
      <c r="A959" s="120" t="s">
        <v>99</v>
      </c>
      <c r="B959" s="129" t="s">
        <v>214</v>
      </c>
      <c r="C959" s="116">
        <v>46246</v>
      </c>
      <c r="D959" s="110" t="s">
        <v>17</v>
      </c>
      <c r="E959" s="120">
        <v>1927</v>
      </c>
      <c r="F959" s="109">
        <v>0.42604999999999998</v>
      </c>
      <c r="G959" s="111">
        <v>8.4276400000000001E-2</v>
      </c>
      <c r="H959" s="112">
        <f t="shared" si="40"/>
        <v>0.34042788888888892</v>
      </c>
      <c r="I959" s="113">
        <f t="shared" si="39"/>
        <v>8.3619938888888898E-2</v>
      </c>
    </row>
    <row r="960" spans="1:9" x14ac:dyDescent="0.3">
      <c r="A960" s="120" t="s">
        <v>99</v>
      </c>
      <c r="B960" s="129" t="s">
        <v>214</v>
      </c>
      <c r="C960" s="116">
        <v>46246</v>
      </c>
      <c r="D960" s="110" t="s">
        <v>18</v>
      </c>
      <c r="E960" s="120">
        <v>1648</v>
      </c>
      <c r="F960" s="109">
        <v>0.23693500000000001</v>
      </c>
      <c r="G960" s="111">
        <v>5.6362200000000001E-2</v>
      </c>
      <c r="H960" s="112">
        <f t="shared" si="40"/>
        <v>0.34042788888888892</v>
      </c>
      <c r="I960" s="113">
        <f t="shared" si="39"/>
        <v>8.3619938888888898E-2</v>
      </c>
    </row>
    <row r="961" spans="1:9" x14ac:dyDescent="0.3">
      <c r="A961" s="120" t="s">
        <v>99</v>
      </c>
      <c r="B961" s="129" t="s">
        <v>214</v>
      </c>
      <c r="C961" s="116">
        <v>46246</v>
      </c>
      <c r="D961" s="110" t="s">
        <v>19</v>
      </c>
      <c r="E961" s="120">
        <v>1785</v>
      </c>
      <c r="F961" s="109">
        <v>0.30307200000000001</v>
      </c>
      <c r="G961" s="111">
        <v>6.3706200000000004E-2</v>
      </c>
      <c r="H961" s="112">
        <f t="shared" si="40"/>
        <v>0.34042788888888892</v>
      </c>
      <c r="I961" s="113">
        <f t="shared" si="39"/>
        <v>8.3619938888888898E-2</v>
      </c>
    </row>
    <row r="962" spans="1:9" x14ac:dyDescent="0.3">
      <c r="A962" s="120" t="s">
        <v>99</v>
      </c>
      <c r="B962" s="129" t="s">
        <v>214</v>
      </c>
      <c r="C962" s="116">
        <v>46246</v>
      </c>
      <c r="D962" s="110" t="s">
        <v>20</v>
      </c>
      <c r="E962" s="120">
        <v>1632</v>
      </c>
      <c r="F962" s="109">
        <v>0.29898000000000002</v>
      </c>
      <c r="G962" s="111">
        <v>6.2529699999999994E-2</v>
      </c>
      <c r="H962" s="112">
        <f t="shared" si="40"/>
        <v>0.34042788888888892</v>
      </c>
      <c r="I962" s="113">
        <f t="shared" si="39"/>
        <v>8.3619938888888898E-2</v>
      </c>
    </row>
    <row r="963" spans="1:9" x14ac:dyDescent="0.3">
      <c r="A963" s="120" t="s">
        <v>99</v>
      </c>
      <c r="B963" s="129" t="s">
        <v>214</v>
      </c>
      <c r="C963" s="116">
        <v>46246</v>
      </c>
      <c r="D963" s="110" t="s">
        <v>42</v>
      </c>
      <c r="E963" s="120">
        <v>1124</v>
      </c>
      <c r="F963" s="109">
        <v>0.23336999999999999</v>
      </c>
      <c r="G963" s="111">
        <v>7.0697200000000002E-2</v>
      </c>
      <c r="H963" s="112">
        <f t="shared" si="40"/>
        <v>0.34042788888888892</v>
      </c>
      <c r="I963" s="113">
        <f t="shared" ref="I963:I1026" si="41">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214</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214</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214</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214</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214</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214</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214</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214</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214</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215</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215</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215</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215</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215</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215</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215</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215</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215</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215</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215</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215</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215</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215</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215</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215</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215</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215</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216</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216</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216</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216</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216</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216</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216</v>
      </c>
      <c r="C998" s="116">
        <v>46246</v>
      </c>
      <c r="D998" s="110" t="s">
        <v>20</v>
      </c>
      <c r="E998" s="120">
        <v>1687</v>
      </c>
      <c r="F998" s="109">
        <v>0.35856399999999999</v>
      </c>
      <c r="G998" s="111">
        <v>7.49697E-2</v>
      </c>
      <c r="H998" s="112">
        <f t="shared" ref="H998:H1061" si="42">IFERROR(AVERAGEIFS($F:$F, $A:$A, $A998, $B:$B,$B998, $C:$C,$C998),"")</f>
        <v>0.32077516666666672</v>
      </c>
      <c r="I998" s="113">
        <f t="shared" si="41"/>
        <v>7.789879999999999E-2</v>
      </c>
    </row>
    <row r="999" spans="1:9" x14ac:dyDescent="0.3">
      <c r="A999" s="120" t="s">
        <v>99</v>
      </c>
      <c r="B999" s="129" t="s">
        <v>216</v>
      </c>
      <c r="C999" s="116">
        <v>46246</v>
      </c>
      <c r="D999" s="110" t="s">
        <v>42</v>
      </c>
      <c r="E999" s="120">
        <v>1007</v>
      </c>
      <c r="F999" s="109">
        <v>0.21589</v>
      </c>
      <c r="G999" s="111">
        <v>6.5395499999999995E-2</v>
      </c>
      <c r="H999" s="112">
        <f t="shared" si="42"/>
        <v>0.32077516666666672</v>
      </c>
      <c r="I999" s="113">
        <f t="shared" si="41"/>
        <v>7.789879999999999E-2</v>
      </c>
    </row>
    <row r="1000" spans="1:9" x14ac:dyDescent="0.3">
      <c r="A1000" s="120" t="s">
        <v>99</v>
      </c>
      <c r="B1000" s="129" t="s">
        <v>216</v>
      </c>
      <c r="C1000" s="116">
        <v>46246</v>
      </c>
      <c r="D1000" s="110" t="s">
        <v>21</v>
      </c>
      <c r="E1000" s="120">
        <v>2559</v>
      </c>
      <c r="F1000" s="109">
        <v>0.43557200000000001</v>
      </c>
      <c r="G1000" s="111">
        <v>8.4743100000000002E-2</v>
      </c>
      <c r="H1000" s="112">
        <f t="shared" si="42"/>
        <v>0.32077516666666672</v>
      </c>
      <c r="I1000" s="113">
        <f t="shared" si="41"/>
        <v>7.789879999999999E-2</v>
      </c>
    </row>
    <row r="1001" spans="1:9" x14ac:dyDescent="0.3">
      <c r="A1001" s="120" t="s">
        <v>99</v>
      </c>
      <c r="B1001" s="129" t="s">
        <v>216</v>
      </c>
      <c r="C1001" s="116">
        <v>46246</v>
      </c>
      <c r="D1001" s="110" t="s">
        <v>22</v>
      </c>
      <c r="E1001" s="120">
        <v>1960</v>
      </c>
      <c r="F1001" s="109">
        <v>0.37569200000000003</v>
      </c>
      <c r="G1001" s="111">
        <v>0.102023</v>
      </c>
      <c r="H1001" s="112">
        <f t="shared" si="42"/>
        <v>0.32077516666666672</v>
      </c>
      <c r="I1001" s="113">
        <f t="shared" si="41"/>
        <v>7.789879999999999E-2</v>
      </c>
    </row>
    <row r="1002" spans="1:9" x14ac:dyDescent="0.3">
      <c r="A1002" s="120" t="s">
        <v>99</v>
      </c>
      <c r="B1002" s="129" t="s">
        <v>216</v>
      </c>
      <c r="C1002" s="116">
        <v>46246</v>
      </c>
      <c r="D1002" s="110" t="s">
        <v>23</v>
      </c>
      <c r="E1002" s="120">
        <v>1278</v>
      </c>
      <c r="F1002" s="109">
        <v>0.43094399999999999</v>
      </c>
      <c r="G1002" s="111">
        <v>0.14143</v>
      </c>
      <c r="H1002" s="112">
        <f t="shared" si="42"/>
        <v>0.32077516666666672</v>
      </c>
      <c r="I1002" s="113">
        <f t="shared" si="41"/>
        <v>7.789879999999999E-2</v>
      </c>
    </row>
    <row r="1003" spans="1:9" x14ac:dyDescent="0.3">
      <c r="A1003" s="120" t="s">
        <v>99</v>
      </c>
      <c r="B1003" s="129" t="s">
        <v>216</v>
      </c>
      <c r="C1003" s="116">
        <v>46246</v>
      </c>
      <c r="D1003" s="110" t="s">
        <v>24</v>
      </c>
      <c r="E1003" s="120">
        <v>2164</v>
      </c>
      <c r="F1003" s="109">
        <v>0.141343</v>
      </c>
      <c r="G1003" s="111">
        <v>4.3519099999999998E-2</v>
      </c>
      <c r="H1003" s="112">
        <f t="shared" si="42"/>
        <v>0.32077516666666672</v>
      </c>
      <c r="I1003" s="113">
        <f t="shared" si="41"/>
        <v>7.789879999999999E-2</v>
      </c>
    </row>
    <row r="1004" spans="1:9" x14ac:dyDescent="0.3">
      <c r="A1004" s="120" t="s">
        <v>99</v>
      </c>
      <c r="B1004" s="129" t="s">
        <v>216</v>
      </c>
      <c r="C1004" s="116">
        <v>46246</v>
      </c>
      <c r="D1004" s="110" t="s">
        <v>25</v>
      </c>
      <c r="E1004" s="120">
        <v>1036</v>
      </c>
      <c r="F1004" s="109">
        <v>0.31674000000000002</v>
      </c>
      <c r="G1004" s="111">
        <v>7.6238600000000004E-2</v>
      </c>
      <c r="H1004" s="112">
        <f t="shared" si="42"/>
        <v>0.32077516666666672</v>
      </c>
      <c r="I1004" s="113">
        <f t="shared" si="41"/>
        <v>7.789879999999999E-2</v>
      </c>
    </row>
    <row r="1005" spans="1:9" x14ac:dyDescent="0.3">
      <c r="A1005" s="120" t="s">
        <v>99</v>
      </c>
      <c r="B1005" s="129" t="s">
        <v>216</v>
      </c>
      <c r="C1005" s="116">
        <v>46246</v>
      </c>
      <c r="D1005" s="110" t="s">
        <v>26</v>
      </c>
      <c r="E1005" s="120">
        <v>1663</v>
      </c>
      <c r="F1005" s="109">
        <v>0.134521</v>
      </c>
      <c r="G1005" s="111">
        <v>4.3235999999999997E-2</v>
      </c>
      <c r="H1005" s="112">
        <f t="shared" si="42"/>
        <v>0.32077516666666672</v>
      </c>
      <c r="I1005" s="113">
        <f t="shared" si="41"/>
        <v>7.789879999999999E-2</v>
      </c>
    </row>
    <row r="1006" spans="1:9" x14ac:dyDescent="0.3">
      <c r="A1006" s="120" t="s">
        <v>99</v>
      </c>
      <c r="B1006" s="129" t="s">
        <v>216</v>
      </c>
      <c r="C1006" s="116">
        <v>46246</v>
      </c>
      <c r="D1006" s="110" t="s">
        <v>27</v>
      </c>
      <c r="E1006" s="120">
        <v>1160</v>
      </c>
      <c r="F1006" s="109">
        <v>0.31430399999999997</v>
      </c>
      <c r="G1006" s="111">
        <v>7.1301799999999999E-2</v>
      </c>
      <c r="H1006" s="112">
        <f t="shared" si="42"/>
        <v>0.32077516666666672</v>
      </c>
      <c r="I1006" s="113">
        <f t="shared" si="41"/>
        <v>7.789879999999999E-2</v>
      </c>
    </row>
    <row r="1007" spans="1:9" x14ac:dyDescent="0.3">
      <c r="A1007" s="120" t="s">
        <v>99</v>
      </c>
      <c r="B1007" s="129" t="s">
        <v>216</v>
      </c>
      <c r="C1007" s="116">
        <v>46246</v>
      </c>
      <c r="D1007" s="110" t="s">
        <v>28</v>
      </c>
      <c r="E1007" s="120">
        <v>1113</v>
      </c>
      <c r="F1007" s="109">
        <v>0.29616500000000001</v>
      </c>
      <c r="G1007" s="111">
        <v>6.6450200000000001E-2</v>
      </c>
      <c r="H1007" s="112">
        <f t="shared" si="42"/>
        <v>0.32077516666666672</v>
      </c>
      <c r="I1007" s="113">
        <f t="shared" si="41"/>
        <v>7.789879999999999E-2</v>
      </c>
    </row>
    <row r="1008" spans="1:9" x14ac:dyDescent="0.3">
      <c r="A1008" s="120" t="s">
        <v>99</v>
      </c>
      <c r="B1008" s="129" t="s">
        <v>216</v>
      </c>
      <c r="C1008" s="116">
        <v>46246</v>
      </c>
      <c r="D1008" s="110" t="s">
        <v>29</v>
      </c>
      <c r="E1008" s="120">
        <v>1210</v>
      </c>
      <c r="F1008" s="109">
        <v>0.29637000000000002</v>
      </c>
      <c r="G1008" s="111">
        <v>6.1366299999999999E-2</v>
      </c>
      <c r="H1008" s="112">
        <f t="shared" si="42"/>
        <v>0.32077516666666672</v>
      </c>
      <c r="I1008" s="113">
        <f t="shared" si="41"/>
        <v>7.789879999999999E-2</v>
      </c>
    </row>
    <row r="1009" spans="1:9" x14ac:dyDescent="0.3">
      <c r="A1009" s="120" t="s">
        <v>99</v>
      </c>
      <c r="B1009" s="129" t="s">
        <v>216</v>
      </c>
      <c r="C1009" s="116">
        <v>46246</v>
      </c>
      <c r="D1009" s="110" t="s">
        <v>30</v>
      </c>
      <c r="E1009" s="120">
        <v>1321</v>
      </c>
      <c r="F1009" s="109">
        <v>0.38237900000000002</v>
      </c>
      <c r="G1009" s="111">
        <v>7.6910900000000004E-2</v>
      </c>
      <c r="H1009" s="112">
        <f t="shared" si="42"/>
        <v>0.32077516666666672</v>
      </c>
      <c r="I1009" s="113">
        <f t="shared" si="41"/>
        <v>7.789879999999999E-2</v>
      </c>
    </row>
    <row r="1010" spans="1:9" x14ac:dyDescent="0.3">
      <c r="A1010" s="120" t="s">
        <v>99</v>
      </c>
      <c r="B1010" s="129" t="s">
        <v>237</v>
      </c>
      <c r="C1010" s="116">
        <v>46246</v>
      </c>
      <c r="D1010" s="110" t="s">
        <v>14</v>
      </c>
      <c r="E1010" s="120">
        <v>2527</v>
      </c>
      <c r="F1010" s="109">
        <v>0.39891100000000002</v>
      </c>
      <c r="G1010" s="111">
        <v>0.121493</v>
      </c>
      <c r="H1010" s="112">
        <f t="shared" si="42"/>
        <v>0.33022572222222224</v>
      </c>
      <c r="I1010" s="113">
        <f t="shared" si="41"/>
        <v>8.0754166666666669E-2</v>
      </c>
    </row>
    <row r="1011" spans="1:9" x14ac:dyDescent="0.3">
      <c r="A1011" s="120" t="s">
        <v>99</v>
      </c>
      <c r="B1011" s="129" t="s">
        <v>237</v>
      </c>
      <c r="C1011" s="116">
        <v>46246</v>
      </c>
      <c r="D1011" s="110" t="s">
        <v>15</v>
      </c>
      <c r="E1011" s="120">
        <v>2167</v>
      </c>
      <c r="F1011" s="109">
        <v>0.46268300000000001</v>
      </c>
      <c r="G1011" s="111">
        <v>0.12789</v>
      </c>
      <c r="H1011" s="112">
        <f t="shared" si="42"/>
        <v>0.33022572222222224</v>
      </c>
      <c r="I1011" s="113">
        <f t="shared" si="41"/>
        <v>8.0754166666666669E-2</v>
      </c>
    </row>
    <row r="1012" spans="1:9" x14ac:dyDescent="0.3">
      <c r="A1012" s="120" t="s">
        <v>99</v>
      </c>
      <c r="B1012" s="129" t="s">
        <v>237</v>
      </c>
      <c r="C1012" s="116">
        <v>46246</v>
      </c>
      <c r="D1012" s="110" t="s">
        <v>16</v>
      </c>
      <c r="E1012" s="120">
        <v>1004</v>
      </c>
      <c r="F1012" s="109">
        <v>0.421323</v>
      </c>
      <c r="G1012" s="111">
        <v>0.100045</v>
      </c>
      <c r="H1012" s="112">
        <f t="shared" si="42"/>
        <v>0.33022572222222224</v>
      </c>
      <c r="I1012" s="113">
        <f t="shared" si="41"/>
        <v>8.0754166666666669E-2</v>
      </c>
    </row>
    <row r="1013" spans="1:9" x14ac:dyDescent="0.3">
      <c r="A1013" s="120" t="s">
        <v>99</v>
      </c>
      <c r="B1013" s="129" t="s">
        <v>237</v>
      </c>
      <c r="C1013" s="116">
        <v>46246</v>
      </c>
      <c r="D1013" s="110" t="s">
        <v>17</v>
      </c>
      <c r="E1013" s="120">
        <v>2108</v>
      </c>
      <c r="F1013" s="109">
        <v>0.45769599999999999</v>
      </c>
      <c r="G1013" s="111">
        <v>9.0551999999999994E-2</v>
      </c>
      <c r="H1013" s="112">
        <f t="shared" si="42"/>
        <v>0.33022572222222224</v>
      </c>
      <c r="I1013" s="113">
        <f t="shared" si="41"/>
        <v>8.0754166666666669E-2</v>
      </c>
    </row>
    <row r="1014" spans="1:9" x14ac:dyDescent="0.3">
      <c r="A1014" s="120" t="s">
        <v>99</v>
      </c>
      <c r="B1014" s="129" t="s">
        <v>237</v>
      </c>
      <c r="C1014" s="116">
        <v>46246</v>
      </c>
      <c r="D1014" s="110" t="s">
        <v>18</v>
      </c>
      <c r="E1014" s="120">
        <v>1583</v>
      </c>
      <c r="F1014" s="109">
        <v>0.203433</v>
      </c>
      <c r="G1014" s="111">
        <v>4.7329799999999998E-2</v>
      </c>
      <c r="H1014" s="112">
        <f t="shared" si="42"/>
        <v>0.33022572222222224</v>
      </c>
      <c r="I1014" s="113">
        <f t="shared" si="41"/>
        <v>8.0754166666666669E-2</v>
      </c>
    </row>
    <row r="1015" spans="1:9" x14ac:dyDescent="0.3">
      <c r="A1015" s="120" t="s">
        <v>99</v>
      </c>
      <c r="B1015" s="129" t="s">
        <v>237</v>
      </c>
      <c r="C1015" s="116">
        <v>46246</v>
      </c>
      <c r="D1015" s="110" t="s">
        <v>19</v>
      </c>
      <c r="E1015" s="120">
        <v>1931</v>
      </c>
      <c r="F1015" s="109">
        <v>0.33059899999999998</v>
      </c>
      <c r="G1015" s="111">
        <v>6.9513400000000003E-2</v>
      </c>
      <c r="H1015" s="112">
        <f t="shared" si="42"/>
        <v>0.33022572222222224</v>
      </c>
      <c r="I1015" s="113">
        <f t="shared" si="41"/>
        <v>8.0754166666666669E-2</v>
      </c>
    </row>
    <row r="1016" spans="1:9" x14ac:dyDescent="0.3">
      <c r="A1016" s="120" t="s">
        <v>99</v>
      </c>
      <c r="B1016" s="129" t="s">
        <v>237</v>
      </c>
      <c r="C1016" s="116">
        <v>46246</v>
      </c>
      <c r="D1016" s="110" t="s">
        <v>20</v>
      </c>
      <c r="E1016" s="120">
        <v>1887</v>
      </c>
      <c r="F1016" s="109">
        <v>0.396534</v>
      </c>
      <c r="G1016" s="111">
        <v>7.8763899999999998E-2</v>
      </c>
      <c r="H1016" s="112">
        <f t="shared" si="42"/>
        <v>0.33022572222222224</v>
      </c>
      <c r="I1016" s="113">
        <f t="shared" si="41"/>
        <v>8.0754166666666669E-2</v>
      </c>
    </row>
    <row r="1017" spans="1:9" x14ac:dyDescent="0.3">
      <c r="A1017" s="120" t="s">
        <v>99</v>
      </c>
      <c r="B1017" s="129" t="s">
        <v>237</v>
      </c>
      <c r="C1017" s="116">
        <v>46246</v>
      </c>
      <c r="D1017" s="110" t="s">
        <v>42</v>
      </c>
      <c r="E1017" s="120">
        <v>1073</v>
      </c>
      <c r="F1017" s="109">
        <v>0.190972</v>
      </c>
      <c r="G1017" s="111">
        <v>5.27853E-2</v>
      </c>
      <c r="H1017" s="112">
        <f t="shared" si="42"/>
        <v>0.33022572222222224</v>
      </c>
      <c r="I1017" s="113">
        <f t="shared" si="41"/>
        <v>8.0754166666666669E-2</v>
      </c>
    </row>
    <row r="1018" spans="1:9" x14ac:dyDescent="0.3">
      <c r="A1018" s="120" t="s">
        <v>99</v>
      </c>
      <c r="B1018" s="129" t="s">
        <v>237</v>
      </c>
      <c r="C1018" s="116">
        <v>46246</v>
      </c>
      <c r="D1018" s="110" t="s">
        <v>21</v>
      </c>
      <c r="E1018" s="120">
        <v>2758</v>
      </c>
      <c r="F1018" s="109">
        <v>0.49648700000000001</v>
      </c>
      <c r="G1018" s="111">
        <v>0.100312</v>
      </c>
      <c r="H1018" s="112">
        <f t="shared" si="42"/>
        <v>0.33022572222222224</v>
      </c>
      <c r="I1018" s="113">
        <f t="shared" si="41"/>
        <v>8.0754166666666669E-2</v>
      </c>
    </row>
    <row r="1019" spans="1:9" x14ac:dyDescent="0.3">
      <c r="A1019" s="120" t="s">
        <v>99</v>
      </c>
      <c r="B1019" s="129" t="s">
        <v>237</v>
      </c>
      <c r="C1019" s="116">
        <v>46246</v>
      </c>
      <c r="D1019" s="110" t="s">
        <v>22</v>
      </c>
      <c r="E1019" s="120">
        <v>2226</v>
      </c>
      <c r="F1019" s="109">
        <v>0.27875</v>
      </c>
      <c r="G1019" s="111">
        <v>7.0153599999999997E-2</v>
      </c>
      <c r="H1019" s="112">
        <f t="shared" si="42"/>
        <v>0.33022572222222224</v>
      </c>
      <c r="I1019" s="113">
        <f t="shared" si="41"/>
        <v>8.0754166666666669E-2</v>
      </c>
    </row>
    <row r="1020" spans="1:9" x14ac:dyDescent="0.3">
      <c r="A1020" s="120" t="s">
        <v>99</v>
      </c>
      <c r="B1020" s="129" t="s">
        <v>237</v>
      </c>
      <c r="C1020" s="116">
        <v>46246</v>
      </c>
      <c r="D1020" s="110" t="s">
        <v>23</v>
      </c>
      <c r="E1020" s="120">
        <v>1402</v>
      </c>
      <c r="F1020" s="109">
        <v>0.351775</v>
      </c>
      <c r="G1020" s="111">
        <v>0.12987599999999999</v>
      </c>
      <c r="H1020" s="112">
        <f t="shared" si="42"/>
        <v>0.33022572222222224</v>
      </c>
      <c r="I1020" s="113">
        <f t="shared" si="41"/>
        <v>8.0754166666666669E-2</v>
      </c>
    </row>
    <row r="1021" spans="1:9" x14ac:dyDescent="0.3">
      <c r="A1021" s="120" t="s">
        <v>99</v>
      </c>
      <c r="B1021" s="129" t="s">
        <v>237</v>
      </c>
      <c r="C1021" s="116">
        <v>46246</v>
      </c>
      <c r="D1021" s="110" t="s">
        <v>24</v>
      </c>
      <c r="E1021" s="120">
        <v>2182</v>
      </c>
      <c r="F1021" s="109">
        <v>0.13330800000000001</v>
      </c>
      <c r="G1021" s="111">
        <v>4.5813899999999998E-2</v>
      </c>
      <c r="H1021" s="112">
        <f t="shared" si="42"/>
        <v>0.33022572222222224</v>
      </c>
      <c r="I1021" s="113">
        <f t="shared" si="41"/>
        <v>8.0754166666666669E-2</v>
      </c>
    </row>
    <row r="1022" spans="1:9" x14ac:dyDescent="0.3">
      <c r="A1022" s="120" t="s">
        <v>99</v>
      </c>
      <c r="B1022" s="129" t="s">
        <v>237</v>
      </c>
      <c r="C1022" s="116">
        <v>46246</v>
      </c>
      <c r="D1022" s="110" t="s">
        <v>25</v>
      </c>
      <c r="E1022" s="120">
        <v>1092</v>
      </c>
      <c r="F1022" s="109">
        <v>0.26752399999999998</v>
      </c>
      <c r="G1022" s="111">
        <v>6.8503900000000006E-2</v>
      </c>
      <c r="H1022" s="112">
        <f t="shared" si="42"/>
        <v>0.33022572222222224</v>
      </c>
      <c r="I1022" s="113">
        <f t="shared" si="41"/>
        <v>8.0754166666666669E-2</v>
      </c>
    </row>
    <row r="1023" spans="1:9" x14ac:dyDescent="0.3">
      <c r="A1023" s="120" t="s">
        <v>99</v>
      </c>
      <c r="B1023" s="129" t="s">
        <v>237</v>
      </c>
      <c r="C1023" s="116">
        <v>46246</v>
      </c>
      <c r="D1023" s="110" t="s">
        <v>26</v>
      </c>
      <c r="E1023" s="120">
        <v>2017</v>
      </c>
      <c r="F1023" s="109">
        <v>0.25748700000000002</v>
      </c>
      <c r="G1023" s="111">
        <v>7.4466000000000004E-2</v>
      </c>
      <c r="H1023" s="112">
        <f t="shared" si="42"/>
        <v>0.33022572222222224</v>
      </c>
      <c r="I1023" s="113">
        <f t="shared" si="41"/>
        <v>8.0754166666666669E-2</v>
      </c>
    </row>
    <row r="1024" spans="1:9" x14ac:dyDescent="0.3">
      <c r="A1024" s="120" t="s">
        <v>99</v>
      </c>
      <c r="B1024" s="129" t="s">
        <v>237</v>
      </c>
      <c r="C1024" s="116">
        <v>46246</v>
      </c>
      <c r="D1024" s="110" t="s">
        <v>27</v>
      </c>
      <c r="E1024" s="120">
        <v>1479</v>
      </c>
      <c r="F1024" s="109">
        <v>0.28928199999999998</v>
      </c>
      <c r="G1024" s="111">
        <v>6.6886100000000004E-2</v>
      </c>
      <c r="H1024" s="112">
        <f t="shared" si="42"/>
        <v>0.33022572222222224</v>
      </c>
      <c r="I1024" s="113">
        <f t="shared" si="41"/>
        <v>8.0754166666666669E-2</v>
      </c>
    </row>
    <row r="1025" spans="1:9" x14ac:dyDescent="0.3">
      <c r="A1025" s="120" t="s">
        <v>99</v>
      </c>
      <c r="B1025" s="129" t="s">
        <v>237</v>
      </c>
      <c r="C1025" s="116">
        <v>46246</v>
      </c>
      <c r="D1025" s="110" t="s">
        <v>28</v>
      </c>
      <c r="E1025" s="120">
        <v>1072</v>
      </c>
      <c r="F1025" s="109">
        <v>0.27339799999999997</v>
      </c>
      <c r="G1025" s="111">
        <v>6.0473499999999999E-2</v>
      </c>
      <c r="H1025" s="112">
        <f t="shared" si="42"/>
        <v>0.33022572222222224</v>
      </c>
      <c r="I1025" s="113">
        <f t="shared" si="41"/>
        <v>8.0754166666666669E-2</v>
      </c>
    </row>
    <row r="1026" spans="1:9" x14ac:dyDescent="0.3">
      <c r="A1026" s="120" t="s">
        <v>99</v>
      </c>
      <c r="B1026" s="129" t="s">
        <v>237</v>
      </c>
      <c r="C1026" s="116">
        <v>46246</v>
      </c>
      <c r="D1026" s="110" t="s">
        <v>29</v>
      </c>
      <c r="E1026" s="120">
        <v>1425</v>
      </c>
      <c r="F1026" s="109">
        <v>0.30196200000000001</v>
      </c>
      <c r="G1026" s="111">
        <v>6.4735600000000004E-2</v>
      </c>
      <c r="H1026" s="112">
        <f t="shared" si="42"/>
        <v>0.33022572222222224</v>
      </c>
      <c r="I1026" s="113">
        <f t="shared" si="41"/>
        <v>8.0754166666666669E-2</v>
      </c>
    </row>
    <row r="1027" spans="1:9" x14ac:dyDescent="0.3">
      <c r="A1027" s="120" t="s">
        <v>99</v>
      </c>
      <c r="B1027" s="129" t="s">
        <v>237</v>
      </c>
      <c r="C1027" s="116">
        <v>46246</v>
      </c>
      <c r="D1027" s="110" t="s">
        <v>30</v>
      </c>
      <c r="E1027" s="120">
        <v>1442</v>
      </c>
      <c r="F1027" s="109">
        <v>0.43193900000000002</v>
      </c>
      <c r="G1027" s="111">
        <v>8.3982000000000001E-2</v>
      </c>
      <c r="H1027" s="112">
        <f t="shared" si="42"/>
        <v>0.33022572222222224</v>
      </c>
      <c r="I1027" s="113">
        <f t="shared" ref="I1027:I1090" si="43">IFERROR(AVERAGEIFS($G:$G, $A:$A, $A1027, $B:$B,$B1027, $C:$C,$C1027),"")</f>
        <v>8.0754166666666669E-2</v>
      </c>
    </row>
    <row r="1028" spans="1:9" x14ac:dyDescent="0.3">
      <c r="A1028" s="120" t="s">
        <v>91</v>
      </c>
      <c r="B1028" s="129" t="str">
        <f t="shared" ref="B1028:B1045" si="44">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si="44"/>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274</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274</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274</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274</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274</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274</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274</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274</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274</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274</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274</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274</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274</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274</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274</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274</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274</v>
      </c>
      <c r="C1062" s="116">
        <v>46248</v>
      </c>
      <c r="D1062" s="110" t="s">
        <v>29</v>
      </c>
      <c r="E1062" s="120">
        <v>1000</v>
      </c>
      <c r="F1062" s="109">
        <v>0.46846599999999999</v>
      </c>
      <c r="G1062" s="111">
        <v>9.6959400000000001E-2</v>
      </c>
      <c r="H1062" s="112">
        <f t="shared" ref="H1062:H1125" si="45">IFERROR(AVERAGEIFS($F:$F, $A:$A, $A1062, $B:$B,$B1062, $C:$C,$C1062),"")</f>
        <v>0.42893455555555554</v>
      </c>
      <c r="I1062" s="113">
        <f t="shared" si="43"/>
        <v>0.10444114444444445</v>
      </c>
    </row>
    <row r="1063" spans="1:9" x14ac:dyDescent="0.3">
      <c r="A1063" s="120" t="s">
        <v>92</v>
      </c>
      <c r="B1063" s="129" t="s">
        <v>274</v>
      </c>
      <c r="C1063" s="116">
        <v>46248</v>
      </c>
      <c r="D1063" s="110" t="s">
        <v>30</v>
      </c>
      <c r="E1063" s="120">
        <v>1119</v>
      </c>
      <c r="F1063" s="109">
        <v>0.44700499999999999</v>
      </c>
      <c r="G1063" s="111">
        <v>8.9905399999999996E-2</v>
      </c>
      <c r="H1063" s="112">
        <f t="shared" si="45"/>
        <v>0.42893455555555554</v>
      </c>
      <c r="I1063" s="113">
        <f t="shared" si="43"/>
        <v>0.10444114444444445</v>
      </c>
    </row>
    <row r="1064" spans="1:9" x14ac:dyDescent="0.3">
      <c r="A1064" s="120" t="s">
        <v>91</v>
      </c>
      <c r="B1064" s="129" t="str">
        <f t="shared" ref="B1064:B1127" si="46">IF($A1064="Daily", "n/a", "")</f>
        <v>n/a</v>
      </c>
      <c r="C1064" s="116">
        <v>46248</v>
      </c>
      <c r="D1064" s="110" t="s">
        <v>14</v>
      </c>
      <c r="E1064" s="120">
        <v>1899</v>
      </c>
      <c r="F1064" s="109">
        <v>0.43187500000000001</v>
      </c>
      <c r="G1064" s="111">
        <v>0.12145400000000001</v>
      </c>
      <c r="H1064" s="112">
        <f t="shared" si="45"/>
        <v>0.39099744444444445</v>
      </c>
      <c r="I1064" s="113">
        <f t="shared" si="43"/>
        <v>9.5190122222222215E-2</v>
      </c>
    </row>
    <row r="1065" spans="1:9" x14ac:dyDescent="0.3">
      <c r="A1065" s="120" t="s">
        <v>91</v>
      </c>
      <c r="B1065" s="129" t="str">
        <f t="shared" si="46"/>
        <v>n/a</v>
      </c>
      <c r="C1065" s="116">
        <v>46248</v>
      </c>
      <c r="D1065" s="110" t="s">
        <v>15</v>
      </c>
      <c r="E1065" s="120">
        <v>1509</v>
      </c>
      <c r="F1065" s="109">
        <v>0.40726699999999999</v>
      </c>
      <c r="G1065" s="111">
        <v>0.107267</v>
      </c>
      <c r="H1065" s="112">
        <f t="shared" si="45"/>
        <v>0.39099744444444445</v>
      </c>
      <c r="I1065" s="113">
        <f t="shared" si="43"/>
        <v>9.5190122222222215E-2</v>
      </c>
    </row>
    <row r="1066" spans="1:9" x14ac:dyDescent="0.3">
      <c r="A1066" s="120" t="s">
        <v>91</v>
      </c>
      <c r="B1066" s="129" t="str">
        <f t="shared" si="46"/>
        <v>n/a</v>
      </c>
      <c r="C1066" s="116">
        <v>46248</v>
      </c>
      <c r="D1066" s="110" t="s">
        <v>16</v>
      </c>
      <c r="E1066" s="120">
        <v>1159</v>
      </c>
      <c r="F1066" s="109">
        <v>0.44434699999999999</v>
      </c>
      <c r="G1066" s="111">
        <v>0.10422099999999999</v>
      </c>
      <c r="H1066" s="112">
        <f t="shared" si="45"/>
        <v>0.39099744444444445</v>
      </c>
      <c r="I1066" s="113">
        <f t="shared" si="43"/>
        <v>9.5190122222222215E-2</v>
      </c>
    </row>
    <row r="1067" spans="1:9" x14ac:dyDescent="0.3">
      <c r="A1067" s="120" t="s">
        <v>91</v>
      </c>
      <c r="B1067" s="129" t="str">
        <f t="shared" si="46"/>
        <v>n/a</v>
      </c>
      <c r="C1067" s="116">
        <v>46248</v>
      </c>
      <c r="D1067" s="110" t="s">
        <v>17</v>
      </c>
      <c r="E1067" s="120">
        <v>1721</v>
      </c>
      <c r="F1067" s="109">
        <v>0.458926</v>
      </c>
      <c r="G1067" s="111">
        <v>9.0715000000000004E-2</v>
      </c>
      <c r="H1067" s="112">
        <f t="shared" si="45"/>
        <v>0.39099744444444445</v>
      </c>
      <c r="I1067" s="113">
        <f t="shared" si="43"/>
        <v>9.5190122222222215E-2</v>
      </c>
    </row>
    <row r="1068" spans="1:9" x14ac:dyDescent="0.3">
      <c r="A1068" s="120" t="s">
        <v>91</v>
      </c>
      <c r="B1068" s="129" t="str">
        <f t="shared" si="46"/>
        <v>n/a</v>
      </c>
      <c r="C1068" s="116">
        <v>46248</v>
      </c>
      <c r="D1068" s="110" t="s">
        <v>18</v>
      </c>
      <c r="E1068" s="120">
        <v>1370</v>
      </c>
      <c r="F1068" s="109">
        <v>0.29020200000000002</v>
      </c>
      <c r="G1068" s="111">
        <v>6.9010299999999997E-2</v>
      </c>
      <c r="H1068" s="112">
        <f t="shared" si="45"/>
        <v>0.39099744444444445</v>
      </c>
      <c r="I1068" s="113">
        <f t="shared" si="43"/>
        <v>9.5190122222222215E-2</v>
      </c>
    </row>
    <row r="1069" spans="1:9" x14ac:dyDescent="0.3">
      <c r="A1069" s="120" t="s">
        <v>91</v>
      </c>
      <c r="B1069" s="129" t="str">
        <f t="shared" si="46"/>
        <v>n/a</v>
      </c>
      <c r="C1069" s="116">
        <v>46248</v>
      </c>
      <c r="D1069" s="110" t="s">
        <v>19</v>
      </c>
      <c r="E1069" s="120">
        <v>1316</v>
      </c>
      <c r="F1069" s="109">
        <v>0.482379</v>
      </c>
      <c r="G1069" s="111">
        <v>0.101456</v>
      </c>
      <c r="H1069" s="112">
        <f t="shared" si="45"/>
        <v>0.39099744444444445</v>
      </c>
      <c r="I1069" s="113">
        <f t="shared" si="43"/>
        <v>9.5190122222222215E-2</v>
      </c>
    </row>
    <row r="1070" spans="1:9" x14ac:dyDescent="0.3">
      <c r="A1070" s="120" t="s">
        <v>91</v>
      </c>
      <c r="B1070" s="129" t="str">
        <f t="shared" si="46"/>
        <v>n/a</v>
      </c>
      <c r="C1070" s="116">
        <v>46248</v>
      </c>
      <c r="D1070" s="110" t="s">
        <v>20</v>
      </c>
      <c r="E1070" s="120">
        <v>1162</v>
      </c>
      <c r="F1070" s="109">
        <v>0.50386299999999995</v>
      </c>
      <c r="G1070" s="111">
        <v>0.10539</v>
      </c>
      <c r="H1070" s="112">
        <f t="shared" si="45"/>
        <v>0.39099744444444445</v>
      </c>
      <c r="I1070" s="113">
        <f t="shared" si="43"/>
        <v>9.5190122222222215E-2</v>
      </c>
    </row>
    <row r="1071" spans="1:9" x14ac:dyDescent="0.3">
      <c r="A1071" s="120" t="s">
        <v>91</v>
      </c>
      <c r="B1071" s="129" t="str">
        <f t="shared" si="46"/>
        <v>n/a</v>
      </c>
      <c r="C1071" s="116">
        <v>46248</v>
      </c>
      <c r="D1071" s="110" t="s">
        <v>42</v>
      </c>
      <c r="E1071" s="120">
        <v>1310</v>
      </c>
      <c r="F1071" s="109">
        <v>0.26705099999999998</v>
      </c>
      <c r="G1071" s="111">
        <v>8.0909599999999998E-2</v>
      </c>
      <c r="H1071" s="112">
        <f t="shared" si="45"/>
        <v>0.39099744444444445</v>
      </c>
      <c r="I1071" s="113">
        <f t="shared" si="43"/>
        <v>9.5190122222222215E-2</v>
      </c>
    </row>
    <row r="1072" spans="1:9" x14ac:dyDescent="0.3">
      <c r="A1072" s="120" t="s">
        <v>91</v>
      </c>
      <c r="B1072" s="129" t="str">
        <f t="shared" si="46"/>
        <v>n/a</v>
      </c>
      <c r="C1072" s="116">
        <v>46248</v>
      </c>
      <c r="D1072" s="110" t="s">
        <v>21</v>
      </c>
      <c r="E1072" s="120">
        <v>2288</v>
      </c>
      <c r="F1072" s="109">
        <v>0.45082499999999998</v>
      </c>
      <c r="G1072" s="111">
        <v>8.7667900000000007E-2</v>
      </c>
      <c r="H1072" s="112">
        <f t="shared" si="45"/>
        <v>0.39099744444444445</v>
      </c>
      <c r="I1072" s="113">
        <f t="shared" si="43"/>
        <v>9.5190122222222215E-2</v>
      </c>
    </row>
    <row r="1073" spans="1:9" x14ac:dyDescent="0.3">
      <c r="A1073" s="120" t="s">
        <v>91</v>
      </c>
      <c r="B1073" s="129" t="str">
        <f t="shared" si="46"/>
        <v>n/a</v>
      </c>
      <c r="C1073" s="116">
        <v>46248</v>
      </c>
      <c r="D1073" s="110" t="s">
        <v>22</v>
      </c>
      <c r="E1073" s="120">
        <v>1848</v>
      </c>
      <c r="F1073" s="109">
        <v>0.33244299999999999</v>
      </c>
      <c r="G1073" s="111">
        <v>9.0296399999999999E-2</v>
      </c>
      <c r="H1073" s="112">
        <f t="shared" si="45"/>
        <v>0.39099744444444445</v>
      </c>
      <c r="I1073" s="113">
        <f t="shared" si="43"/>
        <v>9.5190122222222215E-2</v>
      </c>
    </row>
    <row r="1074" spans="1:9" x14ac:dyDescent="0.3">
      <c r="A1074" s="120" t="s">
        <v>91</v>
      </c>
      <c r="B1074" s="129" t="str">
        <f t="shared" si="46"/>
        <v>n/a</v>
      </c>
      <c r="C1074" s="116">
        <v>46248</v>
      </c>
      <c r="D1074" s="110" t="s">
        <v>23</v>
      </c>
      <c r="E1074" s="120">
        <v>1451</v>
      </c>
      <c r="F1074" s="109">
        <v>0.36969099999999999</v>
      </c>
      <c r="G1074" s="111">
        <v>0.121264</v>
      </c>
      <c r="H1074" s="112">
        <f t="shared" si="45"/>
        <v>0.39099744444444445</v>
      </c>
      <c r="I1074" s="113">
        <f t="shared" si="43"/>
        <v>9.5190122222222215E-2</v>
      </c>
    </row>
    <row r="1075" spans="1:9" x14ac:dyDescent="0.3">
      <c r="A1075" s="120" t="s">
        <v>91</v>
      </c>
      <c r="B1075" s="129" t="str">
        <f t="shared" si="46"/>
        <v>n/a</v>
      </c>
      <c r="C1075" s="116">
        <v>46248</v>
      </c>
      <c r="D1075" s="110" t="s">
        <v>24</v>
      </c>
      <c r="E1075" s="120">
        <v>2023</v>
      </c>
      <c r="F1075" s="109">
        <v>0.29422399999999999</v>
      </c>
      <c r="G1075" s="111">
        <v>9.0599100000000002E-2</v>
      </c>
      <c r="H1075" s="112">
        <f t="shared" si="45"/>
        <v>0.39099744444444445</v>
      </c>
      <c r="I1075" s="113">
        <f t="shared" si="43"/>
        <v>9.5190122222222215E-2</v>
      </c>
    </row>
    <row r="1076" spans="1:9" x14ac:dyDescent="0.3">
      <c r="A1076" s="120" t="s">
        <v>91</v>
      </c>
      <c r="B1076" s="129" t="str">
        <f t="shared" si="46"/>
        <v>n/a</v>
      </c>
      <c r="C1076" s="116">
        <v>46248</v>
      </c>
      <c r="D1076" s="110" t="s">
        <v>25</v>
      </c>
      <c r="E1076" s="120">
        <v>1341</v>
      </c>
      <c r="F1076" s="109">
        <v>0.284999</v>
      </c>
      <c r="G1076" s="111">
        <v>6.8542400000000003E-2</v>
      </c>
      <c r="H1076" s="112">
        <f t="shared" si="45"/>
        <v>0.39099744444444445</v>
      </c>
      <c r="I1076" s="113">
        <f t="shared" si="43"/>
        <v>9.5190122222222215E-2</v>
      </c>
    </row>
    <row r="1077" spans="1:9" x14ac:dyDescent="0.3">
      <c r="A1077" s="120" t="s">
        <v>91</v>
      </c>
      <c r="B1077" s="129" t="str">
        <f t="shared" si="46"/>
        <v>n/a</v>
      </c>
      <c r="C1077" s="116">
        <v>46248</v>
      </c>
      <c r="D1077" s="110" t="s">
        <v>26</v>
      </c>
      <c r="E1077" s="120">
        <v>1721</v>
      </c>
      <c r="F1077" s="109">
        <v>0.37112299999999998</v>
      </c>
      <c r="G1077" s="111">
        <v>0.11930399999999999</v>
      </c>
      <c r="H1077" s="112">
        <f t="shared" si="45"/>
        <v>0.39099744444444445</v>
      </c>
      <c r="I1077" s="113">
        <f t="shared" si="43"/>
        <v>9.5190122222222215E-2</v>
      </c>
    </row>
    <row r="1078" spans="1:9" x14ac:dyDescent="0.3">
      <c r="A1078" s="120" t="s">
        <v>91</v>
      </c>
      <c r="B1078" s="129" t="str">
        <f t="shared" si="46"/>
        <v>n/a</v>
      </c>
      <c r="C1078" s="116">
        <v>46248</v>
      </c>
      <c r="D1078" s="110" t="s">
        <v>27</v>
      </c>
      <c r="E1078" s="120">
        <v>1333</v>
      </c>
      <c r="F1078" s="109">
        <v>0.444878</v>
      </c>
      <c r="G1078" s="111">
        <v>0.100879</v>
      </c>
      <c r="H1078" s="112">
        <f t="shared" si="45"/>
        <v>0.39099744444444445</v>
      </c>
      <c r="I1078" s="113">
        <f t="shared" si="43"/>
        <v>9.5190122222222215E-2</v>
      </c>
    </row>
    <row r="1079" spans="1:9" x14ac:dyDescent="0.3">
      <c r="A1079" s="120" t="s">
        <v>91</v>
      </c>
      <c r="B1079" s="129" t="str">
        <f t="shared" si="46"/>
        <v>n/a</v>
      </c>
      <c r="C1079" s="116">
        <v>46248</v>
      </c>
      <c r="D1079" s="110" t="s">
        <v>28</v>
      </c>
      <c r="E1079" s="120">
        <v>1002</v>
      </c>
      <c r="F1079" s="109">
        <v>0.43327399999999999</v>
      </c>
      <c r="G1079" s="111">
        <v>9.7245799999999993E-2</v>
      </c>
      <c r="H1079" s="112">
        <f t="shared" si="45"/>
        <v>0.39099744444444445</v>
      </c>
      <c r="I1079" s="113">
        <f t="shared" si="43"/>
        <v>9.5190122222222215E-2</v>
      </c>
    </row>
    <row r="1080" spans="1:9" x14ac:dyDescent="0.3">
      <c r="A1080" s="120" t="s">
        <v>91</v>
      </c>
      <c r="B1080" s="129" t="str">
        <f t="shared" si="46"/>
        <v>n/a</v>
      </c>
      <c r="C1080" s="116">
        <v>46248</v>
      </c>
      <c r="D1080" s="110" t="s">
        <v>29</v>
      </c>
      <c r="E1080" s="120">
        <v>1083</v>
      </c>
      <c r="F1080" s="109">
        <v>0.37295600000000001</v>
      </c>
      <c r="G1080" s="111">
        <v>7.7229000000000006E-2</v>
      </c>
      <c r="H1080" s="112">
        <f t="shared" si="45"/>
        <v>0.39099744444444445</v>
      </c>
      <c r="I1080" s="113">
        <f t="shared" si="43"/>
        <v>9.5190122222222215E-2</v>
      </c>
    </row>
    <row r="1081" spans="1:9" x14ac:dyDescent="0.3">
      <c r="A1081" s="120" t="s">
        <v>91</v>
      </c>
      <c r="B1081" s="129" t="str">
        <f t="shared" si="46"/>
        <v>n/a</v>
      </c>
      <c r="C1081" s="116">
        <v>46248</v>
      </c>
      <c r="D1081" s="110" t="s">
        <v>30</v>
      </c>
      <c r="E1081" s="120">
        <v>1311</v>
      </c>
      <c r="F1081" s="109">
        <v>0.39763100000000001</v>
      </c>
      <c r="G1081" s="111">
        <v>7.9971700000000007E-2</v>
      </c>
      <c r="H1081" s="112">
        <f t="shared" si="45"/>
        <v>0.39099744444444445</v>
      </c>
      <c r="I1081" s="113">
        <f t="shared" si="43"/>
        <v>9.5190122222222215E-2</v>
      </c>
    </row>
    <row r="1082" spans="1:9" x14ac:dyDescent="0.3">
      <c r="A1082" s="120" t="s">
        <v>91</v>
      </c>
      <c r="B1082" s="129" t="s">
        <v>300</v>
      </c>
      <c r="C1082" s="116">
        <v>46251</v>
      </c>
      <c r="D1082" s="110" t="s">
        <v>14</v>
      </c>
      <c r="E1082" s="120">
        <v>2066</v>
      </c>
      <c r="F1082" s="109">
        <v>0.50405199999999994</v>
      </c>
      <c r="G1082" s="111">
        <v>0.14171300000000001</v>
      </c>
      <c r="H1082" s="112">
        <f t="shared" si="45"/>
        <v>0.4757022222222223</v>
      </c>
      <c r="I1082" s="113">
        <f t="shared" si="43"/>
        <v>0.11488596111111112</v>
      </c>
    </row>
    <row r="1083" spans="1:9" x14ac:dyDescent="0.3">
      <c r="A1083" s="120" t="s">
        <v>91</v>
      </c>
      <c r="B1083" s="129" t="s">
        <v>300</v>
      </c>
      <c r="C1083" s="116">
        <v>46251</v>
      </c>
      <c r="D1083" s="110" t="s">
        <v>15</v>
      </c>
      <c r="E1083" s="120">
        <v>1635</v>
      </c>
      <c r="F1083" s="109">
        <v>0.42883700000000002</v>
      </c>
      <c r="G1083" s="111">
        <v>0.112932</v>
      </c>
      <c r="H1083" s="112">
        <f t="shared" si="45"/>
        <v>0.4757022222222223</v>
      </c>
      <c r="I1083" s="113">
        <f t="shared" si="43"/>
        <v>0.11488596111111112</v>
      </c>
    </row>
    <row r="1084" spans="1:9" x14ac:dyDescent="0.3">
      <c r="A1084" s="120" t="s">
        <v>91</v>
      </c>
      <c r="B1084" s="129" t="s">
        <v>300</v>
      </c>
      <c r="C1084" s="116">
        <v>46251</v>
      </c>
      <c r="D1084" s="110" t="s">
        <v>16</v>
      </c>
      <c r="E1084" s="120">
        <v>1376</v>
      </c>
      <c r="F1084" s="109">
        <v>0.58386400000000005</v>
      </c>
      <c r="G1084" s="111">
        <v>0.136906</v>
      </c>
      <c r="H1084" s="112">
        <f t="shared" si="45"/>
        <v>0.4757022222222223</v>
      </c>
      <c r="I1084" s="113">
        <f t="shared" si="43"/>
        <v>0.11488596111111112</v>
      </c>
    </row>
    <row r="1085" spans="1:9" x14ac:dyDescent="0.3">
      <c r="A1085" s="120" t="s">
        <v>91</v>
      </c>
      <c r="B1085" s="129" t="s">
        <v>300</v>
      </c>
      <c r="C1085" s="116">
        <v>46251</v>
      </c>
      <c r="D1085" s="110" t="s">
        <v>17</v>
      </c>
      <c r="E1085" s="120">
        <v>1683</v>
      </c>
      <c r="F1085" s="109">
        <v>0.61798799999999998</v>
      </c>
      <c r="G1085" s="111">
        <v>0.122215</v>
      </c>
      <c r="H1085" s="112">
        <f t="shared" si="45"/>
        <v>0.4757022222222223</v>
      </c>
      <c r="I1085" s="113">
        <f t="shared" si="43"/>
        <v>0.11488596111111112</v>
      </c>
    </row>
    <row r="1086" spans="1:9" x14ac:dyDescent="0.3">
      <c r="A1086" s="120" t="s">
        <v>91</v>
      </c>
      <c r="B1086" s="129" t="s">
        <v>300</v>
      </c>
      <c r="C1086" s="116">
        <v>46251</v>
      </c>
      <c r="D1086" s="110" t="s">
        <v>18</v>
      </c>
      <c r="E1086" s="120">
        <v>1548</v>
      </c>
      <c r="F1086" s="109">
        <v>0.39536300000000002</v>
      </c>
      <c r="G1086" s="111">
        <v>9.4000600000000004E-2</v>
      </c>
      <c r="H1086" s="112">
        <f t="shared" si="45"/>
        <v>0.4757022222222223</v>
      </c>
      <c r="I1086" s="113">
        <f t="shared" si="43"/>
        <v>0.11488596111111112</v>
      </c>
    </row>
    <row r="1087" spans="1:9" x14ac:dyDescent="0.3">
      <c r="A1087" s="120" t="s">
        <v>91</v>
      </c>
      <c r="B1087" s="129" t="s">
        <v>300</v>
      </c>
      <c r="C1087" s="116">
        <v>46251</v>
      </c>
      <c r="D1087" s="110" t="s">
        <v>19</v>
      </c>
      <c r="E1087" s="120">
        <v>1307</v>
      </c>
      <c r="F1087" s="109">
        <v>0.546041</v>
      </c>
      <c r="G1087" s="111">
        <v>0.114838</v>
      </c>
      <c r="H1087" s="112">
        <f t="shared" si="45"/>
        <v>0.4757022222222223</v>
      </c>
      <c r="I1087" s="113">
        <f t="shared" si="43"/>
        <v>0.11488596111111112</v>
      </c>
    </row>
    <row r="1088" spans="1:9" x14ac:dyDescent="0.3">
      <c r="A1088" s="120" t="s">
        <v>91</v>
      </c>
      <c r="B1088" s="129" t="s">
        <v>300</v>
      </c>
      <c r="C1088" s="116">
        <v>46251</v>
      </c>
      <c r="D1088" s="110" t="s">
        <v>20</v>
      </c>
      <c r="E1088" s="120">
        <v>1264</v>
      </c>
      <c r="F1088" s="109">
        <v>0.53737500000000005</v>
      </c>
      <c r="G1088" s="111">
        <v>0.112399</v>
      </c>
      <c r="H1088" s="112">
        <f t="shared" si="45"/>
        <v>0.4757022222222223</v>
      </c>
      <c r="I1088" s="113">
        <f t="shared" si="43"/>
        <v>0.11488596111111112</v>
      </c>
    </row>
    <row r="1089" spans="1:9" x14ac:dyDescent="0.3">
      <c r="A1089" s="120" t="s">
        <v>91</v>
      </c>
      <c r="B1089" s="129" t="s">
        <v>300</v>
      </c>
      <c r="C1089" s="116">
        <v>46251</v>
      </c>
      <c r="D1089" s="110" t="s">
        <v>42</v>
      </c>
      <c r="E1089" s="120">
        <v>1286</v>
      </c>
      <c r="F1089" s="109">
        <v>0.27073900000000001</v>
      </c>
      <c r="G1089" s="111">
        <v>8.2005300000000003E-2</v>
      </c>
      <c r="H1089" s="112">
        <f t="shared" si="45"/>
        <v>0.4757022222222223</v>
      </c>
      <c r="I1089" s="113">
        <f t="shared" si="43"/>
        <v>0.11488596111111112</v>
      </c>
    </row>
    <row r="1090" spans="1:9" x14ac:dyDescent="0.3">
      <c r="A1090" s="120" t="s">
        <v>91</v>
      </c>
      <c r="B1090" s="129" t="s">
        <v>300</v>
      </c>
      <c r="C1090" s="116">
        <v>46251</v>
      </c>
      <c r="D1090" s="110" t="s">
        <v>21</v>
      </c>
      <c r="E1090" s="120">
        <v>1808</v>
      </c>
      <c r="F1090" s="109">
        <v>0.57258699999999996</v>
      </c>
      <c r="G1090" s="111">
        <v>0.111369</v>
      </c>
      <c r="H1090" s="112">
        <f t="shared" si="45"/>
        <v>0.4757022222222223</v>
      </c>
      <c r="I1090" s="113">
        <f t="shared" si="43"/>
        <v>0.11488596111111112</v>
      </c>
    </row>
    <row r="1091" spans="1:9" x14ac:dyDescent="0.3">
      <c r="A1091" s="120" t="s">
        <v>91</v>
      </c>
      <c r="B1091" s="129" t="s">
        <v>300</v>
      </c>
      <c r="C1091" s="116">
        <v>46251</v>
      </c>
      <c r="D1091" s="110" t="s">
        <v>22</v>
      </c>
      <c r="E1091" s="120">
        <v>1982</v>
      </c>
      <c r="F1091" s="109">
        <v>0.42099999999999999</v>
      </c>
      <c r="G1091" s="111">
        <v>0.11437</v>
      </c>
      <c r="H1091" s="112">
        <f t="shared" si="45"/>
        <v>0.4757022222222223</v>
      </c>
      <c r="I1091" s="113">
        <f t="shared" ref="I1091:I1152" si="47">IFERROR(AVERAGEIFS($G:$G, $A:$A, $A1091, $B:$B,$B1091, $C:$C,$C1091),"")</f>
        <v>0.11488596111111112</v>
      </c>
    </row>
    <row r="1092" spans="1:9" x14ac:dyDescent="0.3">
      <c r="A1092" s="120" t="s">
        <v>91</v>
      </c>
      <c r="B1092" s="129" t="s">
        <v>300</v>
      </c>
      <c r="C1092" s="116">
        <v>46251</v>
      </c>
      <c r="D1092" s="110" t="s">
        <v>23</v>
      </c>
      <c r="E1092" s="120">
        <v>1566</v>
      </c>
      <c r="F1092" s="109">
        <v>0.55238900000000002</v>
      </c>
      <c r="G1092" s="111">
        <v>0.18115400000000001</v>
      </c>
      <c r="H1092" s="112">
        <f t="shared" si="45"/>
        <v>0.4757022222222223</v>
      </c>
      <c r="I1092" s="113">
        <f t="shared" si="47"/>
        <v>0.11488596111111112</v>
      </c>
    </row>
    <row r="1093" spans="1:9" x14ac:dyDescent="0.3">
      <c r="A1093" s="120" t="s">
        <v>91</v>
      </c>
      <c r="B1093" s="129" t="s">
        <v>300</v>
      </c>
      <c r="C1093" s="116">
        <v>46251</v>
      </c>
      <c r="D1093" s="110" t="s">
        <v>24</v>
      </c>
      <c r="E1093" s="120">
        <v>2127</v>
      </c>
      <c r="F1093" s="109">
        <v>0.26756999999999997</v>
      </c>
      <c r="G1093" s="111">
        <v>8.2367899999999994E-2</v>
      </c>
      <c r="H1093" s="112">
        <f t="shared" si="45"/>
        <v>0.4757022222222223</v>
      </c>
      <c r="I1093" s="113">
        <f t="shared" si="47"/>
        <v>0.11488596111111112</v>
      </c>
    </row>
    <row r="1094" spans="1:9" x14ac:dyDescent="0.3">
      <c r="A1094" s="120" t="s">
        <v>91</v>
      </c>
      <c r="B1094" s="129" t="s">
        <v>300</v>
      </c>
      <c r="C1094" s="116">
        <v>46251</v>
      </c>
      <c r="D1094" s="110" t="s">
        <v>25</v>
      </c>
      <c r="E1094" s="120">
        <v>1002</v>
      </c>
      <c r="F1094" s="109">
        <v>0.38618400000000003</v>
      </c>
      <c r="G1094" s="111">
        <v>9.2931299999999994E-2</v>
      </c>
      <c r="H1094" s="112">
        <f t="shared" si="45"/>
        <v>0.4757022222222223</v>
      </c>
      <c r="I1094" s="113">
        <f t="shared" si="47"/>
        <v>0.11488596111111112</v>
      </c>
    </row>
    <row r="1095" spans="1:9" x14ac:dyDescent="0.3">
      <c r="A1095" s="120" t="s">
        <v>91</v>
      </c>
      <c r="B1095" s="129" t="s">
        <v>300</v>
      </c>
      <c r="C1095" s="116">
        <v>46251</v>
      </c>
      <c r="D1095" s="110" t="s">
        <v>26</v>
      </c>
      <c r="E1095" s="120">
        <v>2055</v>
      </c>
      <c r="F1095" s="109">
        <v>0.32248500000000002</v>
      </c>
      <c r="G1095" s="111">
        <v>0.10366599999999999</v>
      </c>
      <c r="H1095" s="112">
        <f t="shared" si="45"/>
        <v>0.4757022222222223</v>
      </c>
      <c r="I1095" s="113">
        <f t="shared" si="47"/>
        <v>0.11488596111111112</v>
      </c>
    </row>
    <row r="1096" spans="1:9" x14ac:dyDescent="0.3">
      <c r="A1096" s="120" t="s">
        <v>91</v>
      </c>
      <c r="B1096" s="129" t="s">
        <v>300</v>
      </c>
      <c r="C1096" s="116">
        <v>46251</v>
      </c>
      <c r="D1096" s="110" t="s">
        <v>27</v>
      </c>
      <c r="E1096" s="120">
        <v>1202</v>
      </c>
      <c r="F1096" s="109">
        <v>0.69558200000000003</v>
      </c>
      <c r="G1096" s="111">
        <v>0.157753</v>
      </c>
      <c r="H1096" s="112">
        <f t="shared" si="45"/>
        <v>0.4757022222222223</v>
      </c>
      <c r="I1096" s="113">
        <f t="shared" si="47"/>
        <v>0.11488596111111112</v>
      </c>
    </row>
    <row r="1097" spans="1:9" x14ac:dyDescent="0.3">
      <c r="A1097" s="120" t="s">
        <v>91</v>
      </c>
      <c r="B1097" s="129" t="s">
        <v>300</v>
      </c>
      <c r="C1097" s="116">
        <v>46251</v>
      </c>
      <c r="D1097" s="110" t="s">
        <v>28</v>
      </c>
      <c r="E1097" s="120">
        <v>1272</v>
      </c>
      <c r="F1097" s="109">
        <v>0.47101700000000002</v>
      </c>
      <c r="G1097" s="111">
        <v>0.10573200000000001</v>
      </c>
      <c r="H1097" s="112">
        <f t="shared" si="45"/>
        <v>0.4757022222222223</v>
      </c>
      <c r="I1097" s="113">
        <f t="shared" si="47"/>
        <v>0.11488596111111112</v>
      </c>
    </row>
    <row r="1098" spans="1:9" x14ac:dyDescent="0.3">
      <c r="A1098" s="120" t="s">
        <v>91</v>
      </c>
      <c r="B1098" s="129" t="s">
        <v>300</v>
      </c>
      <c r="C1098" s="116">
        <v>46251</v>
      </c>
      <c r="D1098" s="110" t="s">
        <v>29</v>
      </c>
      <c r="E1098" s="120">
        <v>1086</v>
      </c>
      <c r="F1098" s="109">
        <v>0.43622499999999997</v>
      </c>
      <c r="G1098" s="111">
        <v>9.0280200000000005E-2</v>
      </c>
      <c r="H1098" s="112">
        <f t="shared" si="45"/>
        <v>0.4757022222222223</v>
      </c>
      <c r="I1098" s="113">
        <f t="shared" si="47"/>
        <v>0.11488596111111112</v>
      </c>
    </row>
    <row r="1099" spans="1:9" x14ac:dyDescent="0.3">
      <c r="A1099" s="120" t="s">
        <v>91</v>
      </c>
      <c r="B1099" s="129" t="s">
        <v>300</v>
      </c>
      <c r="C1099" s="116">
        <v>46251</v>
      </c>
      <c r="D1099" s="110" t="s">
        <v>30</v>
      </c>
      <c r="E1099" s="120">
        <v>1096</v>
      </c>
      <c r="F1099" s="109">
        <v>0.553342</v>
      </c>
      <c r="G1099" s="111">
        <v>0.111315</v>
      </c>
      <c r="H1099" s="112">
        <f t="shared" si="45"/>
        <v>0.4757022222222223</v>
      </c>
      <c r="I1099" s="113">
        <f t="shared" si="47"/>
        <v>0.11488596111111112</v>
      </c>
    </row>
    <row r="1100" spans="1:9" x14ac:dyDescent="0.3">
      <c r="A1100" s="120" t="s">
        <v>91</v>
      </c>
      <c r="B1100" s="129" t="s">
        <v>301</v>
      </c>
      <c r="C1100" s="116">
        <v>46251</v>
      </c>
      <c r="D1100" s="110" t="s">
        <v>14</v>
      </c>
      <c r="E1100" s="120">
        <v>2625</v>
      </c>
      <c r="F1100" s="109">
        <v>0.32448399999999999</v>
      </c>
      <c r="G1100" s="111">
        <v>9.1342800000000002E-2</v>
      </c>
      <c r="H1100" s="112">
        <f t="shared" si="45"/>
        <v>0.43154094444444446</v>
      </c>
      <c r="I1100" s="113">
        <f t="shared" si="47"/>
        <v>0.10342318888888889</v>
      </c>
    </row>
    <row r="1101" spans="1:9" x14ac:dyDescent="0.3">
      <c r="A1101" s="120" t="s">
        <v>91</v>
      </c>
      <c r="B1101" s="129" t="s">
        <v>301</v>
      </c>
      <c r="C1101" s="116">
        <v>46251</v>
      </c>
      <c r="D1101" s="110" t="s">
        <v>15</v>
      </c>
      <c r="E1101" s="120">
        <v>1923</v>
      </c>
      <c r="F1101" s="109">
        <v>0.430589</v>
      </c>
      <c r="G1101" s="111">
        <v>0.113538</v>
      </c>
      <c r="H1101" s="112">
        <f t="shared" si="45"/>
        <v>0.43154094444444446</v>
      </c>
      <c r="I1101" s="113">
        <f t="shared" si="47"/>
        <v>0.10342318888888889</v>
      </c>
    </row>
    <row r="1102" spans="1:9" x14ac:dyDescent="0.3">
      <c r="A1102" s="120" t="s">
        <v>91</v>
      </c>
      <c r="B1102" s="129" t="s">
        <v>301</v>
      </c>
      <c r="C1102" s="116">
        <v>46251</v>
      </c>
      <c r="D1102" s="110" t="s">
        <v>16</v>
      </c>
      <c r="E1102" s="120">
        <v>1599</v>
      </c>
      <c r="F1102" s="109">
        <v>0.51976599999999995</v>
      </c>
      <c r="G1102" s="111">
        <v>0.122027</v>
      </c>
      <c r="H1102" s="112">
        <f t="shared" si="45"/>
        <v>0.43154094444444446</v>
      </c>
      <c r="I1102" s="113">
        <f t="shared" si="47"/>
        <v>0.10342318888888889</v>
      </c>
    </row>
    <row r="1103" spans="1:9" x14ac:dyDescent="0.3">
      <c r="A1103" s="120" t="s">
        <v>91</v>
      </c>
      <c r="B1103" s="129" t="s">
        <v>301</v>
      </c>
      <c r="C1103" s="116">
        <v>46251</v>
      </c>
      <c r="D1103" s="110" t="s">
        <v>17</v>
      </c>
      <c r="E1103" s="120">
        <v>1668</v>
      </c>
      <c r="F1103" s="109">
        <v>0.59371300000000005</v>
      </c>
      <c r="G1103" s="111">
        <v>0.117408</v>
      </c>
      <c r="H1103" s="112">
        <f t="shared" si="45"/>
        <v>0.43154094444444446</v>
      </c>
      <c r="I1103" s="113">
        <f t="shared" si="47"/>
        <v>0.10342318888888889</v>
      </c>
    </row>
    <row r="1104" spans="1:9" x14ac:dyDescent="0.3">
      <c r="A1104" s="120" t="s">
        <v>91</v>
      </c>
      <c r="B1104" s="129" t="s">
        <v>301</v>
      </c>
      <c r="C1104" s="116">
        <v>46251</v>
      </c>
      <c r="D1104" s="110" t="s">
        <v>18</v>
      </c>
      <c r="E1104" s="120">
        <v>1653</v>
      </c>
      <c r="F1104" s="109">
        <v>0.36810799999999999</v>
      </c>
      <c r="G1104" s="111">
        <v>8.7630100000000002E-2</v>
      </c>
      <c r="H1104" s="112">
        <f t="shared" si="45"/>
        <v>0.43154094444444446</v>
      </c>
      <c r="I1104" s="113">
        <f t="shared" si="47"/>
        <v>0.10342318888888889</v>
      </c>
    </row>
    <row r="1105" spans="1:9" x14ac:dyDescent="0.3">
      <c r="A1105" s="120" t="s">
        <v>91</v>
      </c>
      <c r="B1105" s="129" t="s">
        <v>301</v>
      </c>
      <c r="C1105" s="116">
        <v>46251</v>
      </c>
      <c r="D1105" s="110" t="s">
        <v>19</v>
      </c>
      <c r="E1105" s="120">
        <v>1321</v>
      </c>
      <c r="F1105" s="109">
        <v>0.57203800000000005</v>
      </c>
      <c r="G1105" s="111">
        <v>0.12042600000000001</v>
      </c>
      <c r="H1105" s="112">
        <f t="shared" si="45"/>
        <v>0.43154094444444446</v>
      </c>
      <c r="I1105" s="113">
        <f t="shared" si="47"/>
        <v>0.10342318888888889</v>
      </c>
    </row>
    <row r="1106" spans="1:9" x14ac:dyDescent="0.3">
      <c r="A1106" s="120" t="s">
        <v>91</v>
      </c>
      <c r="B1106" s="129" t="s">
        <v>301</v>
      </c>
      <c r="C1106" s="116">
        <v>46251</v>
      </c>
      <c r="D1106" s="110" t="s">
        <v>20</v>
      </c>
      <c r="E1106" s="120">
        <v>1153</v>
      </c>
      <c r="F1106" s="109">
        <v>0.52254199999999995</v>
      </c>
      <c r="G1106" s="111">
        <v>0.109412</v>
      </c>
      <c r="H1106" s="112">
        <f t="shared" si="45"/>
        <v>0.43154094444444446</v>
      </c>
      <c r="I1106" s="113">
        <f t="shared" si="47"/>
        <v>0.10342318888888889</v>
      </c>
    </row>
    <row r="1107" spans="1:9" x14ac:dyDescent="0.3">
      <c r="A1107" s="120" t="s">
        <v>91</v>
      </c>
      <c r="B1107" s="129" t="s">
        <v>301</v>
      </c>
      <c r="C1107" s="116">
        <v>46251</v>
      </c>
      <c r="D1107" s="110" t="s">
        <v>42</v>
      </c>
      <c r="E1107" s="120">
        <v>1555</v>
      </c>
      <c r="F1107" s="109">
        <v>0.28472399999999998</v>
      </c>
      <c r="G1107" s="111">
        <v>8.6307800000000004E-2</v>
      </c>
      <c r="H1107" s="112">
        <f t="shared" si="45"/>
        <v>0.43154094444444446</v>
      </c>
      <c r="I1107" s="113">
        <f t="shared" si="47"/>
        <v>0.10342318888888889</v>
      </c>
    </row>
    <row r="1108" spans="1:9" x14ac:dyDescent="0.3">
      <c r="A1108" s="120" t="s">
        <v>91</v>
      </c>
      <c r="B1108" s="129" t="s">
        <v>301</v>
      </c>
      <c r="C1108" s="116">
        <v>46251</v>
      </c>
      <c r="D1108" s="110" t="s">
        <v>21</v>
      </c>
      <c r="E1108" s="120">
        <v>1686</v>
      </c>
      <c r="F1108" s="109">
        <v>0.51975700000000002</v>
      </c>
      <c r="G1108" s="111">
        <v>0.101156</v>
      </c>
      <c r="H1108" s="112">
        <f t="shared" si="45"/>
        <v>0.43154094444444446</v>
      </c>
      <c r="I1108" s="113">
        <f t="shared" si="47"/>
        <v>0.10342318888888889</v>
      </c>
    </row>
    <row r="1109" spans="1:9" x14ac:dyDescent="0.3">
      <c r="A1109" s="120" t="s">
        <v>91</v>
      </c>
      <c r="B1109" s="129" t="s">
        <v>301</v>
      </c>
      <c r="C1109" s="116">
        <v>46251</v>
      </c>
      <c r="D1109" s="110" t="s">
        <v>22</v>
      </c>
      <c r="E1109" s="120">
        <v>1987</v>
      </c>
      <c r="F1109" s="109">
        <v>0.380083</v>
      </c>
      <c r="G1109" s="111">
        <v>0.103313</v>
      </c>
      <c r="H1109" s="112">
        <f t="shared" si="45"/>
        <v>0.43154094444444446</v>
      </c>
      <c r="I1109" s="113">
        <f t="shared" si="47"/>
        <v>0.10342318888888889</v>
      </c>
    </row>
    <row r="1110" spans="1:9" x14ac:dyDescent="0.3">
      <c r="A1110" s="120" t="s">
        <v>91</v>
      </c>
      <c r="B1110" s="129" t="s">
        <v>301</v>
      </c>
      <c r="C1110" s="116">
        <v>46251</v>
      </c>
      <c r="D1110" s="110" t="s">
        <v>23</v>
      </c>
      <c r="E1110" s="120">
        <v>2293</v>
      </c>
      <c r="F1110" s="109">
        <v>0.38328200000000001</v>
      </c>
      <c r="G1110" s="111">
        <v>0.125803</v>
      </c>
      <c r="H1110" s="112">
        <f t="shared" si="45"/>
        <v>0.43154094444444446</v>
      </c>
      <c r="I1110" s="113">
        <f t="shared" si="47"/>
        <v>0.10342318888888889</v>
      </c>
    </row>
    <row r="1111" spans="1:9" x14ac:dyDescent="0.3">
      <c r="A1111" s="120" t="s">
        <v>91</v>
      </c>
      <c r="B1111" s="129" t="s">
        <v>301</v>
      </c>
      <c r="C1111" s="116">
        <v>46251</v>
      </c>
      <c r="D1111" s="110" t="s">
        <v>24</v>
      </c>
      <c r="E1111" s="120">
        <v>2471</v>
      </c>
      <c r="F1111" s="109">
        <v>0.30921300000000002</v>
      </c>
      <c r="G1111" s="111">
        <v>9.5219700000000004E-2</v>
      </c>
      <c r="H1111" s="112">
        <f t="shared" si="45"/>
        <v>0.43154094444444446</v>
      </c>
      <c r="I1111" s="113">
        <f t="shared" si="47"/>
        <v>0.10342318888888889</v>
      </c>
    </row>
    <row r="1112" spans="1:9" x14ac:dyDescent="0.3">
      <c r="A1112" s="120" t="s">
        <v>91</v>
      </c>
      <c r="B1112" s="129" t="s">
        <v>301</v>
      </c>
      <c r="C1112" s="116">
        <v>46251</v>
      </c>
      <c r="D1112" s="110" t="s">
        <v>25</v>
      </c>
      <c r="E1112" s="120">
        <v>1172</v>
      </c>
      <c r="F1112" s="109">
        <v>0.32364399999999999</v>
      </c>
      <c r="G1112" s="111">
        <v>7.7815700000000002E-2</v>
      </c>
      <c r="H1112" s="112">
        <f t="shared" si="45"/>
        <v>0.43154094444444446</v>
      </c>
      <c r="I1112" s="113">
        <f t="shared" si="47"/>
        <v>0.10342318888888889</v>
      </c>
    </row>
    <row r="1113" spans="1:9" x14ac:dyDescent="0.3">
      <c r="A1113" s="120" t="s">
        <v>91</v>
      </c>
      <c r="B1113" s="129" t="s">
        <v>301</v>
      </c>
      <c r="C1113" s="116">
        <v>46251</v>
      </c>
      <c r="D1113" s="110" t="s">
        <v>26</v>
      </c>
      <c r="E1113" s="120">
        <v>1845</v>
      </c>
      <c r="F1113" s="109">
        <v>0.27182600000000001</v>
      </c>
      <c r="G1113" s="111">
        <v>8.7448100000000001E-2</v>
      </c>
      <c r="H1113" s="112">
        <f t="shared" si="45"/>
        <v>0.43154094444444446</v>
      </c>
      <c r="I1113" s="113">
        <f t="shared" si="47"/>
        <v>0.10342318888888889</v>
      </c>
    </row>
    <row r="1114" spans="1:9" x14ac:dyDescent="0.3">
      <c r="A1114" s="120" t="s">
        <v>91</v>
      </c>
      <c r="B1114" s="129" t="s">
        <v>301</v>
      </c>
      <c r="C1114" s="116">
        <v>46251</v>
      </c>
      <c r="D1114" s="110" t="s">
        <v>27</v>
      </c>
      <c r="E1114" s="120">
        <v>1001</v>
      </c>
      <c r="F1114" s="109">
        <v>0.60282599999999997</v>
      </c>
      <c r="G1114" s="111">
        <v>0.13685900000000001</v>
      </c>
      <c r="H1114" s="112">
        <f t="shared" si="45"/>
        <v>0.43154094444444446</v>
      </c>
      <c r="I1114" s="113">
        <f t="shared" si="47"/>
        <v>0.10342318888888889</v>
      </c>
    </row>
    <row r="1115" spans="1:9" x14ac:dyDescent="0.3">
      <c r="A1115" s="120" t="s">
        <v>91</v>
      </c>
      <c r="B1115" s="129" t="s">
        <v>301</v>
      </c>
      <c r="C1115" s="116">
        <v>46251</v>
      </c>
      <c r="D1115" s="110" t="s">
        <v>28</v>
      </c>
      <c r="E1115" s="120">
        <v>1416</v>
      </c>
      <c r="F1115" s="109">
        <v>0.42255999999999999</v>
      </c>
      <c r="G1115" s="111">
        <v>9.4866400000000004E-2</v>
      </c>
      <c r="H1115" s="112">
        <f t="shared" si="45"/>
        <v>0.43154094444444446</v>
      </c>
      <c r="I1115" s="113">
        <f t="shared" si="47"/>
        <v>0.10342318888888889</v>
      </c>
    </row>
    <row r="1116" spans="1:9" x14ac:dyDescent="0.3">
      <c r="A1116" s="120" t="s">
        <v>91</v>
      </c>
      <c r="B1116" s="129" t="s">
        <v>301</v>
      </c>
      <c r="C1116" s="116">
        <v>46251</v>
      </c>
      <c r="D1116" s="110" t="s">
        <v>29</v>
      </c>
      <c r="E1116" s="120">
        <v>1280</v>
      </c>
      <c r="F1116" s="109">
        <v>0.35569499999999998</v>
      </c>
      <c r="G1116" s="111">
        <v>7.3693800000000004E-2</v>
      </c>
      <c r="H1116" s="112">
        <f t="shared" si="45"/>
        <v>0.43154094444444446</v>
      </c>
      <c r="I1116" s="113">
        <f t="shared" si="47"/>
        <v>0.10342318888888889</v>
      </c>
    </row>
    <row r="1117" spans="1:9" x14ac:dyDescent="0.3">
      <c r="A1117" s="120" t="s">
        <v>91</v>
      </c>
      <c r="B1117" s="129" t="s">
        <v>301</v>
      </c>
      <c r="C1117" s="116">
        <v>46251</v>
      </c>
      <c r="D1117" s="110" t="s">
        <v>30</v>
      </c>
      <c r="E1117" s="120">
        <v>1111</v>
      </c>
      <c r="F1117" s="109">
        <v>0.58288700000000004</v>
      </c>
      <c r="G1117" s="111">
        <v>0.117351</v>
      </c>
      <c r="H1117" s="112">
        <f t="shared" si="45"/>
        <v>0.43154094444444446</v>
      </c>
      <c r="I1117" s="113">
        <f t="shared" si="47"/>
        <v>0.10342318888888889</v>
      </c>
    </row>
    <row r="1118" spans="1:9" x14ac:dyDescent="0.3">
      <c r="A1118" s="120" t="s">
        <v>91</v>
      </c>
      <c r="B1118" s="129" t="str">
        <f t="shared" si="46"/>
        <v>n/a</v>
      </c>
      <c r="C1118" s="116">
        <v>46251</v>
      </c>
      <c r="D1118" s="110" t="s">
        <v>14</v>
      </c>
      <c r="E1118" s="120">
        <v>2242</v>
      </c>
      <c r="F1118" s="109">
        <v>0.398567</v>
      </c>
      <c r="G1118" s="111">
        <v>0.11214499999999999</v>
      </c>
      <c r="H1118" s="112">
        <f t="shared" si="45"/>
        <v>0.42146349999999999</v>
      </c>
      <c r="I1118" s="113">
        <f t="shared" si="47"/>
        <v>0.10134896666666665</v>
      </c>
    </row>
    <row r="1119" spans="1:9" x14ac:dyDescent="0.3">
      <c r="A1119" s="120" t="s">
        <v>91</v>
      </c>
      <c r="B1119" s="129" t="str">
        <f t="shared" si="46"/>
        <v>n/a</v>
      </c>
      <c r="C1119" s="116">
        <v>46251</v>
      </c>
      <c r="D1119" s="110" t="s">
        <v>15</v>
      </c>
      <c r="E1119" s="120">
        <v>1709</v>
      </c>
      <c r="F1119" s="109">
        <v>0.36160999999999999</v>
      </c>
      <c r="G1119" s="111">
        <v>9.5325900000000005E-2</v>
      </c>
      <c r="H1119" s="112">
        <f t="shared" si="45"/>
        <v>0.42146349999999999</v>
      </c>
      <c r="I1119" s="113">
        <f t="shared" si="47"/>
        <v>0.10134896666666665</v>
      </c>
    </row>
    <row r="1120" spans="1:9" x14ac:dyDescent="0.3">
      <c r="A1120" s="120" t="s">
        <v>91</v>
      </c>
      <c r="B1120" s="129" t="str">
        <f t="shared" si="46"/>
        <v>n/a</v>
      </c>
      <c r="C1120" s="116">
        <v>46251</v>
      </c>
      <c r="D1120" s="110" t="s">
        <v>16</v>
      </c>
      <c r="E1120" s="120">
        <v>1583</v>
      </c>
      <c r="F1120" s="109">
        <v>0.48918</v>
      </c>
      <c r="G1120" s="111">
        <v>0.114796</v>
      </c>
      <c r="H1120" s="112">
        <f t="shared" si="45"/>
        <v>0.42146349999999999</v>
      </c>
      <c r="I1120" s="113">
        <f t="shared" si="47"/>
        <v>0.10134896666666665</v>
      </c>
    </row>
    <row r="1121" spans="1:9" x14ac:dyDescent="0.3">
      <c r="A1121" s="120" t="s">
        <v>91</v>
      </c>
      <c r="B1121" s="129" t="str">
        <f t="shared" si="46"/>
        <v>n/a</v>
      </c>
      <c r="C1121" s="116">
        <v>46251</v>
      </c>
      <c r="D1121" s="110" t="s">
        <v>17</v>
      </c>
      <c r="E1121" s="120">
        <v>1974</v>
      </c>
      <c r="F1121" s="109">
        <v>0.52810699999999999</v>
      </c>
      <c r="G1121" s="111">
        <v>0.104508</v>
      </c>
      <c r="H1121" s="112">
        <f t="shared" si="45"/>
        <v>0.42146349999999999</v>
      </c>
      <c r="I1121" s="113">
        <f t="shared" si="47"/>
        <v>0.10134896666666665</v>
      </c>
    </row>
    <row r="1122" spans="1:9" x14ac:dyDescent="0.3">
      <c r="A1122" s="120" t="s">
        <v>91</v>
      </c>
      <c r="B1122" s="129" t="str">
        <f t="shared" si="46"/>
        <v>n/a</v>
      </c>
      <c r="C1122" s="116">
        <v>46251</v>
      </c>
      <c r="D1122" s="110" t="s">
        <v>18</v>
      </c>
      <c r="E1122" s="120">
        <v>1672</v>
      </c>
      <c r="F1122" s="109">
        <v>0.35497099999999998</v>
      </c>
      <c r="G1122" s="111">
        <v>8.4469199999999994E-2</v>
      </c>
      <c r="H1122" s="112">
        <f t="shared" si="45"/>
        <v>0.42146349999999999</v>
      </c>
      <c r="I1122" s="113">
        <f t="shared" si="47"/>
        <v>0.10134896666666665</v>
      </c>
    </row>
    <row r="1123" spans="1:9" x14ac:dyDescent="0.3">
      <c r="A1123" s="120" t="s">
        <v>91</v>
      </c>
      <c r="B1123" s="129" t="str">
        <f t="shared" si="46"/>
        <v>n/a</v>
      </c>
      <c r="C1123" s="116">
        <v>46251</v>
      </c>
      <c r="D1123" s="110" t="s">
        <v>19</v>
      </c>
      <c r="E1123" s="120">
        <v>1670</v>
      </c>
      <c r="F1123" s="109">
        <v>0.53395000000000004</v>
      </c>
      <c r="G1123" s="111">
        <v>0.11239</v>
      </c>
      <c r="H1123" s="112">
        <f t="shared" si="45"/>
        <v>0.42146349999999999</v>
      </c>
      <c r="I1123" s="113">
        <f t="shared" si="47"/>
        <v>0.10134896666666665</v>
      </c>
    </row>
    <row r="1124" spans="1:9" x14ac:dyDescent="0.3">
      <c r="A1124" s="120" t="s">
        <v>91</v>
      </c>
      <c r="B1124" s="129" t="str">
        <f t="shared" si="46"/>
        <v>n/a</v>
      </c>
      <c r="C1124" s="116">
        <v>46251</v>
      </c>
      <c r="D1124" s="110" t="s">
        <v>20</v>
      </c>
      <c r="E1124" s="120">
        <v>1457</v>
      </c>
      <c r="F1124" s="109">
        <v>0.51797000000000004</v>
      </c>
      <c r="G1124" s="111">
        <v>0.108448</v>
      </c>
      <c r="H1124" s="112">
        <f t="shared" si="45"/>
        <v>0.42146349999999999</v>
      </c>
      <c r="I1124" s="113">
        <f t="shared" si="47"/>
        <v>0.10134896666666665</v>
      </c>
    </row>
    <row r="1125" spans="1:9" x14ac:dyDescent="0.3">
      <c r="A1125" s="120" t="s">
        <v>91</v>
      </c>
      <c r="B1125" s="129" t="str">
        <f t="shared" si="46"/>
        <v>n/a</v>
      </c>
      <c r="C1125" s="116">
        <v>46251</v>
      </c>
      <c r="D1125" s="110" t="s">
        <v>42</v>
      </c>
      <c r="E1125" s="120">
        <v>1754</v>
      </c>
      <c r="F1125" s="109">
        <v>0.29023500000000002</v>
      </c>
      <c r="G1125" s="111">
        <v>8.7974200000000002E-2</v>
      </c>
      <c r="H1125" s="112">
        <f t="shared" si="45"/>
        <v>0.42146349999999999</v>
      </c>
      <c r="I1125" s="113">
        <f t="shared" si="47"/>
        <v>0.10134896666666665</v>
      </c>
    </row>
    <row r="1126" spans="1:9" x14ac:dyDescent="0.3">
      <c r="A1126" s="120" t="s">
        <v>91</v>
      </c>
      <c r="B1126" s="129" t="str">
        <f t="shared" si="46"/>
        <v>n/a</v>
      </c>
      <c r="C1126" s="116">
        <v>46251</v>
      </c>
      <c r="D1126" s="110" t="s">
        <v>21</v>
      </c>
      <c r="E1126" s="120">
        <v>1608</v>
      </c>
      <c r="F1126" s="109">
        <v>0.48822300000000002</v>
      </c>
      <c r="G1126" s="111">
        <v>9.5040399999999997E-2</v>
      </c>
      <c r="H1126" s="112">
        <f t="shared" ref="H1126:H1189" si="48">IFERROR(AVERAGEIFS($F:$F, $A:$A, $A1126, $B:$B,$B1126, $C:$C,$C1126),"")</f>
        <v>0.42146349999999999</v>
      </c>
      <c r="I1126" s="113">
        <f t="shared" si="47"/>
        <v>0.10134896666666665</v>
      </c>
    </row>
    <row r="1127" spans="1:9" x14ac:dyDescent="0.3">
      <c r="A1127" s="120" t="s">
        <v>91</v>
      </c>
      <c r="B1127" s="129" t="str">
        <f t="shared" si="46"/>
        <v>n/a</v>
      </c>
      <c r="C1127" s="116">
        <v>46251</v>
      </c>
      <c r="D1127" s="110" t="s">
        <v>22</v>
      </c>
      <c r="E1127" s="120">
        <v>2311</v>
      </c>
      <c r="F1127" s="109">
        <v>0.34321800000000002</v>
      </c>
      <c r="G1127" s="111">
        <v>9.3296199999999996E-2</v>
      </c>
      <c r="H1127" s="112">
        <f t="shared" si="48"/>
        <v>0.42146349999999999</v>
      </c>
      <c r="I1127" s="113">
        <f t="shared" si="47"/>
        <v>0.10134896666666665</v>
      </c>
    </row>
    <row r="1128" spans="1:9" x14ac:dyDescent="0.3">
      <c r="A1128" s="120" t="s">
        <v>91</v>
      </c>
      <c r="B1128" s="129" t="str">
        <f t="shared" ref="B1128:B1135" si="49">IF($A1128="Daily", "n/a", "")</f>
        <v>n/a</v>
      </c>
      <c r="C1128" s="116">
        <v>46251</v>
      </c>
      <c r="D1128" s="110" t="s">
        <v>23</v>
      </c>
      <c r="E1128" s="120">
        <v>1723</v>
      </c>
      <c r="F1128" s="109">
        <v>0.35619899999999999</v>
      </c>
      <c r="G1128" s="111">
        <v>0.116948</v>
      </c>
      <c r="H1128" s="112">
        <f t="shared" si="48"/>
        <v>0.42146349999999999</v>
      </c>
      <c r="I1128" s="113">
        <f t="shared" si="47"/>
        <v>0.10134896666666665</v>
      </c>
    </row>
    <row r="1129" spans="1:9" x14ac:dyDescent="0.3">
      <c r="A1129" s="120" t="s">
        <v>91</v>
      </c>
      <c r="B1129" s="129" t="str">
        <f t="shared" si="49"/>
        <v>n/a</v>
      </c>
      <c r="C1129" s="116">
        <v>46251</v>
      </c>
      <c r="D1129" s="110" t="s">
        <v>24</v>
      </c>
      <c r="E1129" s="120">
        <v>2320</v>
      </c>
      <c r="F1129" s="109">
        <v>0.31590299999999999</v>
      </c>
      <c r="G1129" s="111">
        <v>9.7337800000000002E-2</v>
      </c>
      <c r="H1129" s="112">
        <f t="shared" si="48"/>
        <v>0.42146349999999999</v>
      </c>
      <c r="I1129" s="113">
        <f t="shared" si="47"/>
        <v>0.10134896666666665</v>
      </c>
    </row>
    <row r="1130" spans="1:9" x14ac:dyDescent="0.3">
      <c r="A1130" s="120" t="s">
        <v>91</v>
      </c>
      <c r="B1130" s="129" t="str">
        <f t="shared" si="49"/>
        <v>n/a</v>
      </c>
      <c r="C1130" s="116">
        <v>46251</v>
      </c>
      <c r="D1130" s="110" t="s">
        <v>25</v>
      </c>
      <c r="E1130" s="120">
        <v>1012</v>
      </c>
      <c r="F1130" s="109">
        <v>0.39032899999999998</v>
      </c>
      <c r="G1130" s="111">
        <v>9.3941499999999997E-2</v>
      </c>
      <c r="H1130" s="112">
        <f t="shared" si="48"/>
        <v>0.42146349999999999</v>
      </c>
      <c r="I1130" s="113">
        <f t="shared" si="47"/>
        <v>0.10134896666666665</v>
      </c>
    </row>
    <row r="1131" spans="1:9" x14ac:dyDescent="0.3">
      <c r="A1131" s="120" t="s">
        <v>91</v>
      </c>
      <c r="B1131" s="129" t="str">
        <f t="shared" si="49"/>
        <v>n/a</v>
      </c>
      <c r="C1131" s="116">
        <v>46251</v>
      </c>
      <c r="D1131" s="110" t="s">
        <v>26</v>
      </c>
      <c r="E1131" s="120">
        <v>2552</v>
      </c>
      <c r="F1131" s="109">
        <v>0.28678700000000001</v>
      </c>
      <c r="G1131" s="111">
        <v>9.2274499999999995E-2</v>
      </c>
      <c r="H1131" s="112">
        <f t="shared" si="48"/>
        <v>0.42146349999999999</v>
      </c>
      <c r="I1131" s="113">
        <f t="shared" si="47"/>
        <v>0.10134896666666665</v>
      </c>
    </row>
    <row r="1132" spans="1:9" x14ac:dyDescent="0.3">
      <c r="A1132" s="120" t="s">
        <v>91</v>
      </c>
      <c r="B1132" s="129" t="str">
        <f t="shared" si="49"/>
        <v>n/a</v>
      </c>
      <c r="C1132" s="116">
        <v>46251</v>
      </c>
      <c r="D1132" s="110" t="s">
        <v>27</v>
      </c>
      <c r="E1132" s="120">
        <v>1035</v>
      </c>
      <c r="F1132" s="109">
        <v>0.57278499999999999</v>
      </c>
      <c r="G1132" s="111">
        <v>0.13004399999999999</v>
      </c>
      <c r="H1132" s="112">
        <f t="shared" si="48"/>
        <v>0.42146349999999999</v>
      </c>
      <c r="I1132" s="113">
        <f t="shared" si="47"/>
        <v>0.10134896666666665</v>
      </c>
    </row>
    <row r="1133" spans="1:9" x14ac:dyDescent="0.3">
      <c r="A1133" s="120" t="s">
        <v>91</v>
      </c>
      <c r="B1133" s="129" t="str">
        <f t="shared" si="49"/>
        <v>n/a</v>
      </c>
      <c r="C1133" s="116">
        <v>46251</v>
      </c>
      <c r="D1133" s="110" t="s">
        <v>28</v>
      </c>
      <c r="E1133" s="120">
        <v>1272</v>
      </c>
      <c r="F1133" s="109">
        <v>0.42932599999999999</v>
      </c>
      <c r="G1133" s="111">
        <v>9.6414600000000003E-2</v>
      </c>
      <c r="H1133" s="112">
        <f t="shared" si="48"/>
        <v>0.42146349999999999</v>
      </c>
      <c r="I1133" s="113">
        <f t="shared" si="47"/>
        <v>0.10134896666666665</v>
      </c>
    </row>
    <row r="1134" spans="1:9" x14ac:dyDescent="0.3">
      <c r="A1134" s="120" t="s">
        <v>91</v>
      </c>
      <c r="B1134" s="129" t="str">
        <f t="shared" si="49"/>
        <v>n/a</v>
      </c>
      <c r="C1134" s="116">
        <v>46251</v>
      </c>
      <c r="D1134" s="110" t="s">
        <v>29</v>
      </c>
      <c r="E1134" s="120">
        <v>1004</v>
      </c>
      <c r="F1134" s="109">
        <v>0.33120699999999997</v>
      </c>
      <c r="G1134" s="111">
        <v>6.8599099999999996E-2</v>
      </c>
      <c r="H1134" s="112">
        <f t="shared" si="48"/>
        <v>0.42146349999999999</v>
      </c>
      <c r="I1134" s="113">
        <f t="shared" si="47"/>
        <v>0.10134896666666665</v>
      </c>
    </row>
    <row r="1135" spans="1:9" x14ac:dyDescent="0.3">
      <c r="A1135" s="120" t="s">
        <v>91</v>
      </c>
      <c r="B1135" s="129" t="str">
        <f t="shared" si="49"/>
        <v>n/a</v>
      </c>
      <c r="C1135" s="116">
        <v>46251</v>
      </c>
      <c r="D1135" s="110" t="s">
        <v>30</v>
      </c>
      <c r="E1135" s="120">
        <v>1423</v>
      </c>
      <c r="F1135" s="109">
        <v>0.59777599999999997</v>
      </c>
      <c r="G1135" s="111">
        <v>0.12032900000000001</v>
      </c>
      <c r="H1135" s="112">
        <f t="shared" si="48"/>
        <v>0.42146349999999999</v>
      </c>
      <c r="I1135" s="113">
        <f t="shared" si="47"/>
        <v>0.10134896666666665</v>
      </c>
    </row>
    <row r="1136" spans="1:9" x14ac:dyDescent="0.3">
      <c r="A1136" s="120" t="s">
        <v>91</v>
      </c>
      <c r="B1136" s="129" t="s">
        <v>101</v>
      </c>
      <c r="C1136" s="116">
        <v>46252</v>
      </c>
      <c r="D1136" s="110" t="s">
        <v>14</v>
      </c>
      <c r="E1136" s="120">
        <v>2683</v>
      </c>
      <c r="F1136" s="109">
        <v>0.41292200000000001</v>
      </c>
      <c r="G1136" s="111">
        <v>0.116243</v>
      </c>
      <c r="H1136" s="112">
        <f t="shared" si="48"/>
        <v>0.44992333333333334</v>
      </c>
      <c r="I1136" s="113">
        <f t="shared" si="47"/>
        <v>0.10735645000000002</v>
      </c>
    </row>
    <row r="1137" spans="1:9" x14ac:dyDescent="0.3">
      <c r="A1137" s="120" t="s">
        <v>91</v>
      </c>
      <c r="B1137" s="129" t="s">
        <v>101</v>
      </c>
      <c r="C1137" s="116">
        <v>46252</v>
      </c>
      <c r="D1137" s="110" t="s">
        <v>15</v>
      </c>
      <c r="E1137" s="120">
        <v>2063</v>
      </c>
      <c r="F1137" s="109">
        <v>0.435645</v>
      </c>
      <c r="G1137" s="111">
        <v>0.114894</v>
      </c>
      <c r="H1137" s="112">
        <f t="shared" si="48"/>
        <v>0.44992333333333334</v>
      </c>
      <c r="I1137" s="113">
        <f t="shared" si="47"/>
        <v>0.10735645000000002</v>
      </c>
    </row>
    <row r="1138" spans="1:9" x14ac:dyDescent="0.3">
      <c r="A1138" s="120" t="s">
        <v>91</v>
      </c>
      <c r="B1138" s="129" t="s">
        <v>101</v>
      </c>
      <c r="C1138" s="116">
        <v>46252</v>
      </c>
      <c r="D1138" s="110" t="s">
        <v>16</v>
      </c>
      <c r="E1138" s="120">
        <v>1393</v>
      </c>
      <c r="F1138" s="109">
        <v>0.51256000000000002</v>
      </c>
      <c r="G1138" s="111">
        <v>0.12031799999999999</v>
      </c>
      <c r="H1138" s="112">
        <f t="shared" si="48"/>
        <v>0.44992333333333334</v>
      </c>
      <c r="I1138" s="113">
        <f t="shared" si="47"/>
        <v>0.10735645000000002</v>
      </c>
    </row>
    <row r="1139" spans="1:9" x14ac:dyDescent="0.3">
      <c r="A1139" s="120" t="s">
        <v>91</v>
      </c>
      <c r="B1139" s="129" t="s">
        <v>101</v>
      </c>
      <c r="C1139" s="116">
        <v>46252</v>
      </c>
      <c r="D1139" s="110" t="s">
        <v>17</v>
      </c>
      <c r="E1139" s="120">
        <v>1839</v>
      </c>
      <c r="F1139" s="109">
        <v>0.64675400000000005</v>
      </c>
      <c r="G1139" s="111">
        <v>0.12797800000000001</v>
      </c>
      <c r="H1139" s="112">
        <f t="shared" si="48"/>
        <v>0.44992333333333334</v>
      </c>
      <c r="I1139" s="113">
        <f t="shared" si="47"/>
        <v>0.10735645000000002</v>
      </c>
    </row>
    <row r="1140" spans="1:9" x14ac:dyDescent="0.3">
      <c r="A1140" s="120" t="s">
        <v>91</v>
      </c>
      <c r="B1140" s="129" t="s">
        <v>101</v>
      </c>
      <c r="C1140" s="116">
        <v>46252</v>
      </c>
      <c r="D1140" s="110" t="s">
        <v>18</v>
      </c>
      <c r="E1140" s="120">
        <v>1875</v>
      </c>
      <c r="F1140" s="109">
        <v>0.367645</v>
      </c>
      <c r="G1140" s="111">
        <v>8.7530300000000005E-2</v>
      </c>
      <c r="H1140" s="112">
        <f t="shared" si="48"/>
        <v>0.44992333333333334</v>
      </c>
      <c r="I1140" s="113">
        <f t="shared" si="47"/>
        <v>0.10735645000000002</v>
      </c>
    </row>
    <row r="1141" spans="1:9" x14ac:dyDescent="0.3">
      <c r="A1141" s="120" t="s">
        <v>91</v>
      </c>
      <c r="B1141" s="129" t="s">
        <v>101</v>
      </c>
      <c r="C1141" s="116">
        <v>46252</v>
      </c>
      <c r="D1141" s="110" t="s">
        <v>19</v>
      </c>
      <c r="E1141" s="120">
        <v>1426</v>
      </c>
      <c r="F1141" s="109">
        <v>0.55123200000000006</v>
      </c>
      <c r="G1141" s="111">
        <v>0.11608300000000001</v>
      </c>
      <c r="H1141" s="112">
        <f t="shared" si="48"/>
        <v>0.44992333333333334</v>
      </c>
      <c r="I1141" s="113">
        <f t="shared" si="47"/>
        <v>0.10735645000000002</v>
      </c>
    </row>
    <row r="1142" spans="1:9" x14ac:dyDescent="0.3">
      <c r="A1142" s="120" t="s">
        <v>91</v>
      </c>
      <c r="B1142" s="129" t="s">
        <v>101</v>
      </c>
      <c r="C1142" s="116">
        <v>46252</v>
      </c>
      <c r="D1142" s="110" t="s">
        <v>20</v>
      </c>
      <c r="E1142" s="120">
        <v>1230</v>
      </c>
      <c r="F1142" s="109">
        <v>0.63231000000000004</v>
      </c>
      <c r="G1142" s="111">
        <v>0.13243199999999999</v>
      </c>
      <c r="H1142" s="112">
        <f t="shared" si="48"/>
        <v>0.44992333333333334</v>
      </c>
      <c r="I1142" s="113">
        <f t="shared" si="47"/>
        <v>0.10735645000000002</v>
      </c>
    </row>
    <row r="1143" spans="1:9" x14ac:dyDescent="0.3">
      <c r="A1143" s="120" t="s">
        <v>91</v>
      </c>
      <c r="B1143" s="129" t="s">
        <v>101</v>
      </c>
      <c r="C1143" s="116">
        <v>46252</v>
      </c>
      <c r="D1143" s="110" t="s">
        <v>42</v>
      </c>
      <c r="E1143" s="120">
        <v>1745</v>
      </c>
      <c r="F1143" s="109">
        <v>0.232436</v>
      </c>
      <c r="G1143" s="111">
        <v>7.0449899999999996E-2</v>
      </c>
      <c r="H1143" s="112">
        <f t="shared" si="48"/>
        <v>0.44992333333333334</v>
      </c>
      <c r="I1143" s="113">
        <f t="shared" si="47"/>
        <v>0.10735645000000002</v>
      </c>
    </row>
    <row r="1144" spans="1:9" x14ac:dyDescent="0.3">
      <c r="A1144" s="120" t="s">
        <v>91</v>
      </c>
      <c r="B1144" s="129" t="s">
        <v>101</v>
      </c>
      <c r="C1144" s="116">
        <v>46252</v>
      </c>
      <c r="D1144" s="110" t="s">
        <v>21</v>
      </c>
      <c r="E1144" s="120">
        <v>2642</v>
      </c>
      <c r="F1144" s="109">
        <v>0.49119800000000002</v>
      </c>
      <c r="G1144" s="111">
        <v>9.5622499999999999E-2</v>
      </c>
      <c r="H1144" s="112">
        <f t="shared" si="48"/>
        <v>0.44992333333333334</v>
      </c>
      <c r="I1144" s="113">
        <f t="shared" si="47"/>
        <v>0.10735645000000002</v>
      </c>
    </row>
    <row r="1145" spans="1:9" x14ac:dyDescent="0.3">
      <c r="A1145" s="120" t="s">
        <v>91</v>
      </c>
      <c r="B1145" s="129" t="s">
        <v>101</v>
      </c>
      <c r="C1145" s="116">
        <v>46252</v>
      </c>
      <c r="D1145" s="110" t="s">
        <v>22</v>
      </c>
      <c r="E1145" s="120">
        <v>2179</v>
      </c>
      <c r="F1145" s="109">
        <v>0.34789900000000001</v>
      </c>
      <c r="G1145" s="111">
        <v>9.45627E-2</v>
      </c>
      <c r="H1145" s="112">
        <f t="shared" si="48"/>
        <v>0.44992333333333334</v>
      </c>
      <c r="I1145" s="113">
        <f t="shared" si="47"/>
        <v>0.10735645000000002</v>
      </c>
    </row>
    <row r="1146" spans="1:9" x14ac:dyDescent="0.3">
      <c r="A1146" s="120" t="s">
        <v>91</v>
      </c>
      <c r="B1146" s="129" t="s">
        <v>101</v>
      </c>
      <c r="C1146" s="116">
        <v>46252</v>
      </c>
      <c r="D1146" s="110" t="s">
        <v>23</v>
      </c>
      <c r="E1146" s="120">
        <v>2320</v>
      </c>
      <c r="F1146" s="109">
        <v>0.41121099999999999</v>
      </c>
      <c r="G1146" s="111">
        <v>0.135014</v>
      </c>
      <c r="H1146" s="112">
        <f t="shared" si="48"/>
        <v>0.44992333333333334</v>
      </c>
      <c r="I1146" s="113">
        <f t="shared" si="47"/>
        <v>0.10735645000000002</v>
      </c>
    </row>
    <row r="1147" spans="1:9" x14ac:dyDescent="0.3">
      <c r="A1147" s="120" t="s">
        <v>91</v>
      </c>
      <c r="B1147" s="129" t="s">
        <v>101</v>
      </c>
      <c r="C1147" s="116">
        <v>46252</v>
      </c>
      <c r="D1147" s="110" t="s">
        <v>24</v>
      </c>
      <c r="E1147" s="120">
        <v>2710</v>
      </c>
      <c r="F1147" s="109">
        <v>0.29681299999999999</v>
      </c>
      <c r="G1147" s="111">
        <v>9.1429200000000002E-2</v>
      </c>
      <c r="H1147" s="112">
        <f t="shared" si="48"/>
        <v>0.44992333333333334</v>
      </c>
      <c r="I1147" s="113">
        <f t="shared" si="47"/>
        <v>0.10735645000000002</v>
      </c>
    </row>
    <row r="1148" spans="1:9" x14ac:dyDescent="0.3">
      <c r="A1148" s="120" t="s">
        <v>91</v>
      </c>
      <c r="B1148" s="129" t="s">
        <v>101</v>
      </c>
      <c r="C1148" s="116">
        <v>46252</v>
      </c>
      <c r="D1148" s="110" t="s">
        <v>25</v>
      </c>
      <c r="E1148" s="120">
        <v>1379</v>
      </c>
      <c r="F1148" s="109">
        <v>0.35791400000000001</v>
      </c>
      <c r="G1148" s="111">
        <v>8.6167999999999995E-2</v>
      </c>
      <c r="H1148" s="112">
        <f t="shared" si="48"/>
        <v>0.44992333333333334</v>
      </c>
      <c r="I1148" s="113">
        <f t="shared" si="47"/>
        <v>0.10735645000000002</v>
      </c>
    </row>
    <row r="1149" spans="1:9" x14ac:dyDescent="0.3">
      <c r="A1149" s="120" t="s">
        <v>91</v>
      </c>
      <c r="B1149" s="129" t="s">
        <v>101</v>
      </c>
      <c r="C1149" s="116">
        <v>46252</v>
      </c>
      <c r="D1149" s="110" t="s">
        <v>26</v>
      </c>
      <c r="E1149" s="120">
        <v>2429</v>
      </c>
      <c r="F1149" s="109">
        <v>0.27052700000000002</v>
      </c>
      <c r="G1149" s="111">
        <v>8.7048399999999998E-2</v>
      </c>
      <c r="H1149" s="112">
        <f t="shared" si="48"/>
        <v>0.44992333333333334</v>
      </c>
      <c r="I1149" s="113">
        <f t="shared" si="47"/>
        <v>0.10735645000000002</v>
      </c>
    </row>
    <row r="1150" spans="1:9" x14ac:dyDescent="0.3">
      <c r="A1150" s="120" t="s">
        <v>91</v>
      </c>
      <c r="B1150" s="129" t="s">
        <v>101</v>
      </c>
      <c r="C1150" s="116">
        <v>46252</v>
      </c>
      <c r="D1150" s="110" t="s">
        <v>27</v>
      </c>
      <c r="E1150" s="120">
        <v>1937</v>
      </c>
      <c r="F1150" s="109">
        <v>0.48827100000000001</v>
      </c>
      <c r="G1150" s="111">
        <v>0.110857</v>
      </c>
      <c r="H1150" s="112">
        <f t="shared" si="48"/>
        <v>0.44992333333333334</v>
      </c>
      <c r="I1150" s="113">
        <f t="shared" si="47"/>
        <v>0.10735645000000002</v>
      </c>
    </row>
    <row r="1151" spans="1:9" x14ac:dyDescent="0.3">
      <c r="A1151" s="120" t="s">
        <v>91</v>
      </c>
      <c r="B1151" s="129" t="s">
        <v>101</v>
      </c>
      <c r="C1151" s="116">
        <v>46252</v>
      </c>
      <c r="D1151" s="110" t="s">
        <v>28</v>
      </c>
      <c r="E1151" s="120">
        <v>1290</v>
      </c>
      <c r="F1151" s="109">
        <v>0.54166199999999998</v>
      </c>
      <c r="G1151" s="111">
        <v>0.121682</v>
      </c>
      <c r="H1151" s="112">
        <f t="shared" si="48"/>
        <v>0.44992333333333334</v>
      </c>
      <c r="I1151" s="113">
        <f t="shared" si="47"/>
        <v>0.10735645000000002</v>
      </c>
    </row>
    <row r="1152" spans="1:9" x14ac:dyDescent="0.3">
      <c r="A1152" s="120" t="s">
        <v>91</v>
      </c>
      <c r="B1152" s="129" t="s">
        <v>101</v>
      </c>
      <c r="C1152" s="116">
        <v>46252</v>
      </c>
      <c r="D1152" s="110" t="s">
        <v>29</v>
      </c>
      <c r="E1152" s="120">
        <v>1192</v>
      </c>
      <c r="F1152" s="109">
        <v>0.41064200000000001</v>
      </c>
      <c r="G1152" s="111">
        <v>8.5094100000000006E-2</v>
      </c>
      <c r="H1152" s="112">
        <f t="shared" si="48"/>
        <v>0.44992333333333334</v>
      </c>
      <c r="I1152" s="113">
        <f t="shared" si="47"/>
        <v>0.10735645000000002</v>
      </c>
    </row>
    <row r="1153" spans="1:9" x14ac:dyDescent="0.3">
      <c r="A1153" s="120" t="s">
        <v>91</v>
      </c>
      <c r="B1153" s="129" t="s">
        <v>101</v>
      </c>
      <c r="C1153" s="116">
        <v>46252</v>
      </c>
      <c r="D1153" s="110" t="s">
        <v>30</v>
      </c>
      <c r="E1153" s="120">
        <v>1004</v>
      </c>
      <c r="F1153" s="109">
        <v>0.69097900000000001</v>
      </c>
      <c r="G1153" s="111">
        <v>0.13900999999999999</v>
      </c>
      <c r="H1153" s="112">
        <f t="shared" si="48"/>
        <v>0.44992333333333334</v>
      </c>
      <c r="I1153" s="113">
        <f>IFERROR(AVERAGEIFS($G:$G, $A:$A, $A1153, $B:$B,$B1153, $C:$C,$C1153),"")</f>
        <v>0.10735645000000002</v>
      </c>
    </row>
    <row r="1154" spans="1:9" x14ac:dyDescent="0.3">
      <c r="A1154" s="120" t="s">
        <v>91</v>
      </c>
      <c r="B1154" s="129" t="s">
        <v>101</v>
      </c>
      <c r="C1154" s="116">
        <v>46253</v>
      </c>
      <c r="D1154" s="110" t="s">
        <v>14</v>
      </c>
      <c r="E1154" s="120">
        <v>1878</v>
      </c>
      <c r="F1154" s="109">
        <v>0.316361</v>
      </c>
      <c r="G1154" s="111">
        <v>8.9035699999999995E-2</v>
      </c>
      <c r="H1154" s="112">
        <f t="shared" si="48"/>
        <v>0.54501322222222226</v>
      </c>
      <c r="I1154" s="113">
        <f t="shared" ref="I1154:I1207" si="50">IFERROR(AVERAGEIFS($G:$G, $A:$A, $A1154, $B:$B,$B1154, $C:$C,$C1154),"")</f>
        <v>0.12795185555555555</v>
      </c>
    </row>
    <row r="1155" spans="1:9" x14ac:dyDescent="0.3">
      <c r="A1155" s="120" t="s">
        <v>91</v>
      </c>
      <c r="B1155" s="129" t="s">
        <v>101</v>
      </c>
      <c r="C1155" s="116">
        <v>46253</v>
      </c>
      <c r="D1155" s="110" t="s">
        <v>15</v>
      </c>
      <c r="E1155" s="120">
        <v>1341</v>
      </c>
      <c r="F1155" s="109">
        <v>0.54754100000000006</v>
      </c>
      <c r="G1155" s="111">
        <v>0.144426</v>
      </c>
      <c r="H1155" s="112">
        <f t="shared" si="48"/>
        <v>0.54501322222222226</v>
      </c>
      <c r="I1155" s="113">
        <f t="shared" si="50"/>
        <v>0.12795185555555555</v>
      </c>
    </row>
    <row r="1156" spans="1:9" x14ac:dyDescent="0.3">
      <c r="A1156" s="120" t="s">
        <v>91</v>
      </c>
      <c r="B1156" s="129" t="s">
        <v>101</v>
      </c>
      <c r="C1156" s="116">
        <v>46253</v>
      </c>
      <c r="D1156" s="110" t="s">
        <v>16</v>
      </c>
      <c r="E1156" s="120">
        <v>1363</v>
      </c>
      <c r="F1156" s="109">
        <v>0.62712800000000002</v>
      </c>
      <c r="G1156" s="111">
        <v>0.14702699999999999</v>
      </c>
      <c r="H1156" s="112">
        <f t="shared" si="48"/>
        <v>0.54501322222222226</v>
      </c>
      <c r="I1156" s="113">
        <f t="shared" si="50"/>
        <v>0.12795185555555555</v>
      </c>
    </row>
    <row r="1157" spans="1:9" x14ac:dyDescent="0.3">
      <c r="A1157" s="120" t="s">
        <v>91</v>
      </c>
      <c r="B1157" s="129" t="s">
        <v>101</v>
      </c>
      <c r="C1157" s="116">
        <v>46253</v>
      </c>
      <c r="D1157" s="110" t="s">
        <v>17</v>
      </c>
      <c r="E1157" s="120">
        <v>2232</v>
      </c>
      <c r="F1157" s="109">
        <v>0.85533700000000001</v>
      </c>
      <c r="G1157" s="111">
        <v>0.16939599999999999</v>
      </c>
      <c r="H1157" s="112">
        <f t="shared" si="48"/>
        <v>0.54501322222222226</v>
      </c>
      <c r="I1157" s="113">
        <f t="shared" si="50"/>
        <v>0.12795185555555555</v>
      </c>
    </row>
    <row r="1158" spans="1:9" x14ac:dyDescent="0.3">
      <c r="A1158" s="120" t="s">
        <v>91</v>
      </c>
      <c r="B1158" s="129" t="s">
        <v>101</v>
      </c>
      <c r="C1158" s="116">
        <v>46253</v>
      </c>
      <c r="D1158" s="110" t="s">
        <v>18</v>
      </c>
      <c r="E1158" s="120">
        <v>1281</v>
      </c>
      <c r="F1158" s="109">
        <v>0.56932799999999995</v>
      </c>
      <c r="G1158" s="111">
        <v>0.13553999999999999</v>
      </c>
      <c r="H1158" s="112">
        <f t="shared" si="48"/>
        <v>0.54501322222222226</v>
      </c>
      <c r="I1158" s="113">
        <f t="shared" si="50"/>
        <v>0.12795185555555555</v>
      </c>
    </row>
    <row r="1159" spans="1:9" x14ac:dyDescent="0.3">
      <c r="A1159" s="120" t="s">
        <v>91</v>
      </c>
      <c r="B1159" s="129" t="s">
        <v>101</v>
      </c>
      <c r="C1159" s="116">
        <v>46253</v>
      </c>
      <c r="D1159" s="110" t="s">
        <v>19</v>
      </c>
      <c r="E1159" s="120">
        <v>1204</v>
      </c>
      <c r="F1159" s="109">
        <v>0.68071800000000005</v>
      </c>
      <c r="G1159" s="111">
        <v>0.143265</v>
      </c>
      <c r="H1159" s="112">
        <f t="shared" si="48"/>
        <v>0.54501322222222226</v>
      </c>
      <c r="I1159" s="113">
        <f t="shared" si="50"/>
        <v>0.12795185555555555</v>
      </c>
    </row>
    <row r="1160" spans="1:9" x14ac:dyDescent="0.3">
      <c r="A1160" s="120" t="s">
        <v>91</v>
      </c>
      <c r="B1160" s="129" t="s">
        <v>101</v>
      </c>
      <c r="C1160" s="116">
        <v>46253</v>
      </c>
      <c r="D1160" s="110" t="s">
        <v>20</v>
      </c>
      <c r="E1160" s="120">
        <v>1119</v>
      </c>
      <c r="F1160" s="109">
        <v>0.77260399999999996</v>
      </c>
      <c r="G1160" s="111">
        <v>0.16206999999999999</v>
      </c>
      <c r="H1160" s="112">
        <f t="shared" si="48"/>
        <v>0.54501322222222226</v>
      </c>
      <c r="I1160" s="113">
        <f t="shared" si="50"/>
        <v>0.12795185555555555</v>
      </c>
    </row>
    <row r="1161" spans="1:9" x14ac:dyDescent="0.3">
      <c r="A1161" s="120" t="s">
        <v>91</v>
      </c>
      <c r="B1161" s="129" t="s">
        <v>101</v>
      </c>
      <c r="C1161" s="116">
        <v>46253</v>
      </c>
      <c r="D1161" s="110" t="s">
        <v>42</v>
      </c>
      <c r="E1161" s="120">
        <v>1676</v>
      </c>
      <c r="F1161" s="109">
        <v>0.364568</v>
      </c>
      <c r="G1161" s="111">
        <v>0.11058999999999999</v>
      </c>
      <c r="H1161" s="112">
        <f t="shared" si="48"/>
        <v>0.54501322222222226</v>
      </c>
      <c r="I1161" s="113">
        <f t="shared" si="50"/>
        <v>0.12795185555555555</v>
      </c>
    </row>
    <row r="1162" spans="1:9" x14ac:dyDescent="0.3">
      <c r="A1162" s="120" t="s">
        <v>91</v>
      </c>
      <c r="B1162" s="129" t="s">
        <v>101</v>
      </c>
      <c r="C1162" s="116">
        <v>46253</v>
      </c>
      <c r="D1162" s="110" t="s">
        <v>21</v>
      </c>
      <c r="E1162" s="120">
        <v>2728</v>
      </c>
      <c r="F1162" s="109">
        <v>0.50004999999999999</v>
      </c>
      <c r="G1162" s="111">
        <v>9.7254199999999999E-2</v>
      </c>
      <c r="H1162" s="112">
        <f t="shared" si="48"/>
        <v>0.54501322222222226</v>
      </c>
      <c r="I1162" s="113">
        <f t="shared" si="50"/>
        <v>0.12795185555555555</v>
      </c>
    </row>
    <row r="1163" spans="1:9" x14ac:dyDescent="0.3">
      <c r="A1163" s="120" t="s">
        <v>91</v>
      </c>
      <c r="B1163" s="129" t="s">
        <v>101</v>
      </c>
      <c r="C1163" s="116">
        <v>46253</v>
      </c>
      <c r="D1163" s="110" t="s">
        <v>22</v>
      </c>
      <c r="E1163" s="120">
        <v>2567</v>
      </c>
      <c r="F1163" s="109">
        <v>0.43534499999999998</v>
      </c>
      <c r="G1163" s="111">
        <v>0.11839</v>
      </c>
      <c r="H1163" s="112">
        <f t="shared" si="48"/>
        <v>0.54501322222222226</v>
      </c>
      <c r="I1163" s="113">
        <f t="shared" si="50"/>
        <v>0.12795185555555555</v>
      </c>
    </row>
    <row r="1164" spans="1:9" x14ac:dyDescent="0.3">
      <c r="A1164" s="120" t="s">
        <v>91</v>
      </c>
      <c r="B1164" s="129" t="s">
        <v>101</v>
      </c>
      <c r="C1164" s="116">
        <v>46253</v>
      </c>
      <c r="D1164" s="110" t="s">
        <v>23</v>
      </c>
      <c r="E1164" s="120">
        <v>2200</v>
      </c>
      <c r="F1164" s="109">
        <v>0.25521100000000002</v>
      </c>
      <c r="G1164" s="111">
        <v>8.3699099999999999E-2</v>
      </c>
      <c r="H1164" s="112">
        <f t="shared" si="48"/>
        <v>0.54501322222222226</v>
      </c>
      <c r="I1164" s="113">
        <f t="shared" si="50"/>
        <v>0.12795185555555555</v>
      </c>
    </row>
    <row r="1165" spans="1:9" x14ac:dyDescent="0.3">
      <c r="A1165" s="120" t="s">
        <v>91</v>
      </c>
      <c r="B1165" s="129" t="s">
        <v>101</v>
      </c>
      <c r="C1165" s="116">
        <v>46253</v>
      </c>
      <c r="D1165" s="110" t="s">
        <v>24</v>
      </c>
      <c r="E1165" s="120">
        <v>2204</v>
      </c>
      <c r="F1165" s="109">
        <v>0.33561400000000002</v>
      </c>
      <c r="G1165" s="111">
        <v>0.10334599999999999</v>
      </c>
      <c r="H1165" s="112">
        <f t="shared" si="48"/>
        <v>0.54501322222222226</v>
      </c>
      <c r="I1165" s="113">
        <f t="shared" si="50"/>
        <v>0.12795185555555555</v>
      </c>
    </row>
    <row r="1166" spans="1:9" x14ac:dyDescent="0.3">
      <c r="A1166" s="120" t="s">
        <v>91</v>
      </c>
      <c r="B1166" s="129" t="s">
        <v>101</v>
      </c>
      <c r="C1166" s="116">
        <v>46253</v>
      </c>
      <c r="D1166" s="110" t="s">
        <v>25</v>
      </c>
      <c r="E1166" s="120">
        <v>1168</v>
      </c>
      <c r="F1166" s="109">
        <v>0.37372</v>
      </c>
      <c r="G1166" s="111">
        <v>8.9939000000000005E-2</v>
      </c>
      <c r="H1166" s="112">
        <f t="shared" si="48"/>
        <v>0.54501322222222226</v>
      </c>
      <c r="I1166" s="113">
        <f t="shared" si="50"/>
        <v>0.12795185555555555</v>
      </c>
    </row>
    <row r="1167" spans="1:9" x14ac:dyDescent="0.3">
      <c r="A1167" s="120" t="s">
        <v>91</v>
      </c>
      <c r="B1167" s="129" t="s">
        <v>101</v>
      </c>
      <c r="C1167" s="116">
        <v>46253</v>
      </c>
      <c r="D1167" s="110" t="s">
        <v>26</v>
      </c>
      <c r="E1167" s="120">
        <v>2462</v>
      </c>
      <c r="F1167" s="109">
        <v>0.26011400000000001</v>
      </c>
      <c r="G1167" s="111">
        <v>8.3743399999999996E-2</v>
      </c>
      <c r="H1167" s="112">
        <f t="shared" si="48"/>
        <v>0.54501322222222226</v>
      </c>
      <c r="I1167" s="113">
        <f t="shared" si="50"/>
        <v>0.12795185555555555</v>
      </c>
    </row>
    <row r="1168" spans="1:9" x14ac:dyDescent="0.3">
      <c r="A1168" s="120" t="s">
        <v>91</v>
      </c>
      <c r="B1168" s="129" t="s">
        <v>101</v>
      </c>
      <c r="C1168" s="116">
        <v>46253</v>
      </c>
      <c r="D1168" s="110" t="s">
        <v>27</v>
      </c>
      <c r="E1168" s="120">
        <v>1860</v>
      </c>
      <c r="F1168" s="109">
        <v>0.45804299999999998</v>
      </c>
      <c r="G1168" s="111">
        <v>0.103865</v>
      </c>
      <c r="H1168" s="112">
        <f t="shared" si="48"/>
        <v>0.54501322222222226</v>
      </c>
      <c r="I1168" s="113">
        <f t="shared" si="50"/>
        <v>0.12795185555555555</v>
      </c>
    </row>
    <row r="1169" spans="1:9" x14ac:dyDescent="0.3">
      <c r="A1169" s="120" t="s">
        <v>91</v>
      </c>
      <c r="B1169" s="129" t="s">
        <v>101</v>
      </c>
      <c r="C1169" s="116">
        <v>46253</v>
      </c>
      <c r="D1169" s="110" t="s">
        <v>28</v>
      </c>
      <c r="E1169" s="120">
        <v>1001</v>
      </c>
      <c r="F1169" s="109">
        <v>0.97526599999999997</v>
      </c>
      <c r="G1169" s="111">
        <v>0.21911</v>
      </c>
      <c r="H1169" s="112">
        <f t="shared" si="48"/>
        <v>0.54501322222222226</v>
      </c>
      <c r="I1169" s="113">
        <f t="shared" si="50"/>
        <v>0.12795185555555555</v>
      </c>
    </row>
    <row r="1170" spans="1:9" x14ac:dyDescent="0.3">
      <c r="A1170" s="120" t="s">
        <v>91</v>
      </c>
      <c r="B1170" s="129" t="s">
        <v>101</v>
      </c>
      <c r="C1170" s="116">
        <v>46253</v>
      </c>
      <c r="D1170" s="110" t="s">
        <v>29</v>
      </c>
      <c r="E1170" s="120">
        <v>1072</v>
      </c>
      <c r="F1170" s="109">
        <v>0.63518399999999997</v>
      </c>
      <c r="G1170" s="111">
        <v>0.13173699999999999</v>
      </c>
      <c r="H1170" s="112">
        <f t="shared" si="48"/>
        <v>0.54501322222222226</v>
      </c>
      <c r="I1170" s="113">
        <f t="shared" si="50"/>
        <v>0.12795185555555555</v>
      </c>
    </row>
    <row r="1171" spans="1:9" x14ac:dyDescent="0.3">
      <c r="A1171" s="120" t="s">
        <v>91</v>
      </c>
      <c r="B1171" s="129" t="s">
        <v>101</v>
      </c>
      <c r="C1171" s="116">
        <v>46253</v>
      </c>
      <c r="D1171" s="110" t="s">
        <v>30</v>
      </c>
      <c r="E1171" s="120">
        <v>1449</v>
      </c>
      <c r="F1171" s="109">
        <v>0.84810600000000003</v>
      </c>
      <c r="G1171" s="111">
        <v>0.17069999999999999</v>
      </c>
      <c r="H1171" s="112">
        <f t="shared" si="48"/>
        <v>0.54501322222222226</v>
      </c>
      <c r="I1171" s="113">
        <f t="shared" si="50"/>
        <v>0.12795185555555555</v>
      </c>
    </row>
    <row r="1172" spans="1:9" x14ac:dyDescent="0.3">
      <c r="A1172" s="120" t="s">
        <v>92</v>
      </c>
      <c r="B1172" s="129" t="s">
        <v>311</v>
      </c>
      <c r="C1172" s="116">
        <v>46254</v>
      </c>
      <c r="D1172" s="110" t="s">
        <v>14</v>
      </c>
      <c r="E1172" s="120">
        <v>1328</v>
      </c>
      <c r="F1172" s="109">
        <v>0.47842299999999999</v>
      </c>
      <c r="G1172" s="111">
        <v>0.13820099999999999</v>
      </c>
      <c r="H1172" s="112">
        <f t="shared" si="48"/>
        <v>0.53175849999999991</v>
      </c>
      <c r="I1172" s="113">
        <f t="shared" si="50"/>
        <v>0.13634817857142859</v>
      </c>
    </row>
    <row r="1173" spans="1:9" x14ac:dyDescent="0.3">
      <c r="A1173" s="120" t="s">
        <v>92</v>
      </c>
      <c r="B1173" s="129" t="s">
        <v>311</v>
      </c>
      <c r="C1173" s="116">
        <v>46254</v>
      </c>
      <c r="D1173" s="110" t="s">
        <v>15</v>
      </c>
      <c r="E1173" s="120">
        <v>1182</v>
      </c>
      <c r="F1173" s="109">
        <v>0.35516199999999998</v>
      </c>
      <c r="G1173" s="111">
        <v>0.103743</v>
      </c>
      <c r="H1173" s="112">
        <f t="shared" si="48"/>
        <v>0.53175849999999991</v>
      </c>
      <c r="I1173" s="113">
        <f t="shared" si="50"/>
        <v>0.13634817857142859</v>
      </c>
    </row>
    <row r="1174" spans="1:9" x14ac:dyDescent="0.3">
      <c r="A1174" s="120" t="s">
        <v>92</v>
      </c>
      <c r="B1174" s="129" t="s">
        <v>311</v>
      </c>
      <c r="C1174" s="116">
        <v>46254</v>
      </c>
      <c r="D1174" s="110" t="s">
        <v>16</v>
      </c>
      <c r="E1174" s="120">
        <v>1201</v>
      </c>
      <c r="F1174" s="109">
        <v>0.48769600000000002</v>
      </c>
      <c r="G1174" s="111">
        <v>0.14836299999999999</v>
      </c>
      <c r="H1174" s="112">
        <f t="shared" si="48"/>
        <v>0.53175849999999991</v>
      </c>
      <c r="I1174" s="113">
        <f t="shared" si="50"/>
        <v>0.13634817857142859</v>
      </c>
    </row>
    <row r="1175" spans="1:9" x14ac:dyDescent="0.3">
      <c r="A1175" s="120" t="s">
        <v>92</v>
      </c>
      <c r="B1175" s="129" t="s">
        <v>311</v>
      </c>
      <c r="C1175" s="116">
        <v>46254</v>
      </c>
      <c r="D1175" s="110" t="s">
        <v>17</v>
      </c>
      <c r="E1175" s="120">
        <v>1837</v>
      </c>
      <c r="F1175" s="109">
        <v>0.78428100000000001</v>
      </c>
      <c r="G1175" s="111">
        <v>0.135772</v>
      </c>
      <c r="H1175" s="112">
        <f t="shared" si="48"/>
        <v>0.53175849999999991</v>
      </c>
      <c r="I1175" s="113">
        <f t="shared" si="50"/>
        <v>0.13634817857142859</v>
      </c>
    </row>
    <row r="1176" spans="1:9" x14ac:dyDescent="0.3">
      <c r="A1176" s="120" t="s">
        <v>92</v>
      </c>
      <c r="B1176" s="129" t="s">
        <v>311</v>
      </c>
      <c r="C1176" s="116">
        <v>46254</v>
      </c>
      <c r="D1176" s="110" t="s">
        <v>18</v>
      </c>
      <c r="E1176" s="120">
        <v>1393</v>
      </c>
      <c r="F1176" s="109">
        <v>0.67780200000000002</v>
      </c>
      <c r="G1176" s="111">
        <v>0.225942</v>
      </c>
      <c r="H1176" s="112">
        <f t="shared" si="48"/>
        <v>0.53175849999999991</v>
      </c>
      <c r="I1176" s="113">
        <f t="shared" si="50"/>
        <v>0.13634817857142859</v>
      </c>
    </row>
    <row r="1177" spans="1:9" x14ac:dyDescent="0.3">
      <c r="A1177" s="120" t="s">
        <v>92</v>
      </c>
      <c r="B1177" s="129" t="s">
        <v>311</v>
      </c>
      <c r="C1177" s="116">
        <v>46254</v>
      </c>
      <c r="D1177" s="110" t="s">
        <v>19</v>
      </c>
      <c r="E1177" s="120">
        <v>1231</v>
      </c>
      <c r="F1177" s="109">
        <v>0.68079699999999999</v>
      </c>
      <c r="G1177" s="111">
        <v>0.191411</v>
      </c>
      <c r="H1177" s="112">
        <f t="shared" si="48"/>
        <v>0.53175849999999991</v>
      </c>
      <c r="I1177" s="113">
        <f t="shared" si="50"/>
        <v>0.13634817857142859</v>
      </c>
    </row>
    <row r="1178" spans="1:9" x14ac:dyDescent="0.3">
      <c r="A1178" s="120" t="s">
        <v>92</v>
      </c>
      <c r="B1178" s="129" t="s">
        <v>311</v>
      </c>
      <c r="C1178" s="116">
        <v>46254</v>
      </c>
      <c r="D1178" s="110" t="s">
        <v>20</v>
      </c>
      <c r="E1178" s="120">
        <v>1231</v>
      </c>
      <c r="F1178" s="109">
        <v>0.44479999999999997</v>
      </c>
      <c r="G1178" s="111">
        <v>0.12119000000000001</v>
      </c>
      <c r="H1178" s="112">
        <f t="shared" si="48"/>
        <v>0.53175849999999991</v>
      </c>
      <c r="I1178" s="113">
        <f t="shared" si="50"/>
        <v>0.13634817857142859</v>
      </c>
    </row>
    <row r="1179" spans="1:9" x14ac:dyDescent="0.3">
      <c r="A1179" s="120" t="s">
        <v>92</v>
      </c>
      <c r="B1179" s="129" t="s">
        <v>311</v>
      </c>
      <c r="C1179" s="116">
        <v>46254</v>
      </c>
      <c r="D1179" s="110" t="s">
        <v>42</v>
      </c>
      <c r="E1179" s="120">
        <v>1360</v>
      </c>
      <c r="F1179" s="109">
        <v>0.22284399999999999</v>
      </c>
      <c r="G1179" s="111">
        <v>8.7346900000000005E-2</v>
      </c>
      <c r="H1179" s="112">
        <f t="shared" si="48"/>
        <v>0.53175849999999991</v>
      </c>
      <c r="I1179" s="113">
        <f t="shared" si="50"/>
        <v>0.13634817857142859</v>
      </c>
    </row>
    <row r="1180" spans="1:9" x14ac:dyDescent="0.3">
      <c r="A1180" s="120" t="s">
        <v>92</v>
      </c>
      <c r="B1180" s="129" t="s">
        <v>311</v>
      </c>
      <c r="C1180" s="116">
        <v>46254</v>
      </c>
      <c r="D1180" s="110" t="s">
        <v>21</v>
      </c>
      <c r="E1180" s="120">
        <v>2042</v>
      </c>
      <c r="H1180" s="112">
        <f t="shared" si="48"/>
        <v>0.53175849999999991</v>
      </c>
      <c r="I1180" s="113">
        <f t="shared" si="50"/>
        <v>0.13634817857142859</v>
      </c>
    </row>
    <row r="1181" spans="1:9" x14ac:dyDescent="0.3">
      <c r="A1181" s="120" t="s">
        <v>92</v>
      </c>
      <c r="B1181" s="129" t="s">
        <v>311</v>
      </c>
      <c r="C1181" s="116">
        <v>46254</v>
      </c>
      <c r="D1181" s="110" t="s">
        <v>22</v>
      </c>
      <c r="E1181" s="120">
        <v>1529</v>
      </c>
      <c r="F1181" s="109">
        <v>0.305641</v>
      </c>
      <c r="G1181" s="111">
        <v>7.4232000000000006E-2</v>
      </c>
      <c r="H1181" s="112">
        <f t="shared" si="48"/>
        <v>0.53175849999999991</v>
      </c>
      <c r="I1181" s="113">
        <f t="shared" si="50"/>
        <v>0.13634817857142859</v>
      </c>
    </row>
    <row r="1182" spans="1:9" x14ac:dyDescent="0.3">
      <c r="A1182" s="120" t="s">
        <v>92</v>
      </c>
      <c r="B1182" s="129" t="s">
        <v>311</v>
      </c>
      <c r="C1182" s="116">
        <v>46254</v>
      </c>
      <c r="D1182" s="110" t="s">
        <v>23</v>
      </c>
      <c r="E1182" s="120">
        <v>1005</v>
      </c>
      <c r="F1182" s="109">
        <v>0.17479500000000001</v>
      </c>
      <c r="G1182" s="111">
        <v>5.0874000000000003E-2</v>
      </c>
      <c r="H1182" s="112">
        <f t="shared" si="48"/>
        <v>0.53175849999999991</v>
      </c>
      <c r="I1182" s="113">
        <f t="shared" si="50"/>
        <v>0.13634817857142859</v>
      </c>
    </row>
    <row r="1183" spans="1:9" x14ac:dyDescent="0.3">
      <c r="A1183" s="120" t="s">
        <v>92</v>
      </c>
      <c r="B1183" s="129" t="s">
        <v>311</v>
      </c>
      <c r="C1183" s="116">
        <v>46254</v>
      </c>
      <c r="D1183" s="110" t="s">
        <v>24</v>
      </c>
      <c r="E1183" s="120">
        <v>1227</v>
      </c>
      <c r="F1183" s="109">
        <v>0.73821899999999996</v>
      </c>
      <c r="G1183" s="111">
        <v>0.17729300000000001</v>
      </c>
      <c r="H1183" s="112">
        <f t="shared" si="48"/>
        <v>0.53175849999999991</v>
      </c>
      <c r="I1183" s="113">
        <f t="shared" si="50"/>
        <v>0.13634817857142859</v>
      </c>
    </row>
    <row r="1184" spans="1:9" x14ac:dyDescent="0.3">
      <c r="A1184" s="120" t="s">
        <v>92</v>
      </c>
      <c r="B1184" s="129" t="s">
        <v>311</v>
      </c>
      <c r="C1184" s="116">
        <v>46254</v>
      </c>
      <c r="D1184" s="110" t="s">
        <v>25</v>
      </c>
      <c r="E1184" s="120">
        <v>1276</v>
      </c>
      <c r="H1184" s="112">
        <f t="shared" si="48"/>
        <v>0.53175849999999991</v>
      </c>
      <c r="I1184" s="113">
        <f t="shared" si="50"/>
        <v>0.13634817857142859</v>
      </c>
    </row>
    <row r="1185" spans="1:9" x14ac:dyDescent="0.3">
      <c r="A1185" s="120" t="s">
        <v>92</v>
      </c>
      <c r="B1185" s="129" t="s">
        <v>311</v>
      </c>
      <c r="C1185" s="116">
        <v>46254</v>
      </c>
      <c r="D1185" s="110" t="s">
        <v>26</v>
      </c>
      <c r="E1185" s="120">
        <v>1231</v>
      </c>
      <c r="F1185" s="109">
        <v>0.26401200000000002</v>
      </c>
      <c r="G1185" s="111">
        <v>8.7435600000000002E-2</v>
      </c>
      <c r="H1185" s="112">
        <f t="shared" si="48"/>
        <v>0.53175849999999991</v>
      </c>
      <c r="I1185" s="113">
        <f t="shared" si="50"/>
        <v>0.13634817857142859</v>
      </c>
    </row>
    <row r="1186" spans="1:9" x14ac:dyDescent="0.3">
      <c r="A1186" s="120" t="s">
        <v>92</v>
      </c>
      <c r="B1186" s="129" t="s">
        <v>311</v>
      </c>
      <c r="C1186" s="116">
        <v>46254</v>
      </c>
      <c r="D1186" s="110" t="s">
        <v>27</v>
      </c>
      <c r="E1186" s="120">
        <v>1162</v>
      </c>
      <c r="H1186" s="112">
        <f t="shared" si="48"/>
        <v>0.53175849999999991</v>
      </c>
      <c r="I1186" s="113">
        <f t="shared" si="50"/>
        <v>0.13634817857142859</v>
      </c>
    </row>
    <row r="1187" spans="1:9" x14ac:dyDescent="0.3">
      <c r="A1187" s="120" t="s">
        <v>92</v>
      </c>
      <c r="B1187" s="129" t="s">
        <v>311</v>
      </c>
      <c r="C1187" s="116">
        <v>46254</v>
      </c>
      <c r="D1187" s="110" t="s">
        <v>28</v>
      </c>
      <c r="E1187" s="120">
        <v>1006</v>
      </c>
      <c r="H1187" s="112">
        <f t="shared" si="48"/>
        <v>0.53175849999999991</v>
      </c>
      <c r="I1187" s="113">
        <f t="shared" si="50"/>
        <v>0.13634817857142859</v>
      </c>
    </row>
    <row r="1188" spans="1:9" x14ac:dyDescent="0.3">
      <c r="A1188" s="120" t="s">
        <v>92</v>
      </c>
      <c r="B1188" s="129" t="s">
        <v>311</v>
      </c>
      <c r="C1188" s="116">
        <v>46254</v>
      </c>
      <c r="D1188" s="110" t="s">
        <v>29</v>
      </c>
      <c r="E1188" s="120">
        <v>1122</v>
      </c>
      <c r="F1188" s="109">
        <v>0.75259699999999996</v>
      </c>
      <c r="G1188" s="111">
        <v>0.18034800000000001</v>
      </c>
      <c r="H1188" s="112">
        <f t="shared" si="48"/>
        <v>0.53175849999999991</v>
      </c>
      <c r="I1188" s="113">
        <f t="shared" si="50"/>
        <v>0.13634817857142859</v>
      </c>
    </row>
    <row r="1189" spans="1:9" x14ac:dyDescent="0.3">
      <c r="A1189" s="120" t="s">
        <v>92</v>
      </c>
      <c r="B1189" s="129" t="s">
        <v>311</v>
      </c>
      <c r="C1189" s="116">
        <v>46254</v>
      </c>
      <c r="D1189" s="110" t="s">
        <v>30</v>
      </c>
      <c r="E1189" s="120">
        <v>1580</v>
      </c>
      <c r="F1189" s="109">
        <v>1.07755</v>
      </c>
      <c r="G1189" s="111">
        <v>0.186723</v>
      </c>
      <c r="H1189" s="112">
        <f t="shared" si="48"/>
        <v>0.53175849999999991</v>
      </c>
      <c r="I1189" s="113">
        <f t="shared" si="50"/>
        <v>0.13634817857142859</v>
      </c>
    </row>
    <row r="1190" spans="1:9" x14ac:dyDescent="0.3">
      <c r="A1190" s="120" t="s">
        <v>91</v>
      </c>
      <c r="B1190" s="129" t="s">
        <v>101</v>
      </c>
      <c r="C1190" s="116">
        <v>46254</v>
      </c>
      <c r="D1190" s="110" t="s">
        <v>14</v>
      </c>
      <c r="E1190" s="120">
        <v>2669</v>
      </c>
      <c r="F1190" s="109">
        <v>0.33675300000000002</v>
      </c>
      <c r="G1190" s="111">
        <v>9.47881E-2</v>
      </c>
      <c r="H1190" s="112">
        <f t="shared" ref="H1190:H1207" si="51">IFERROR(AVERAGEIFS($F:$F, $A:$A, $A1190, $B:$B,$B1190, $C:$C,$C1190),"")</f>
        <v>0.44261372222222228</v>
      </c>
      <c r="I1190" s="113">
        <f t="shared" si="50"/>
        <v>0.10628490555555556</v>
      </c>
    </row>
    <row r="1191" spans="1:9" x14ac:dyDescent="0.3">
      <c r="A1191" s="120" t="s">
        <v>91</v>
      </c>
      <c r="B1191" s="129" t="s">
        <v>101</v>
      </c>
      <c r="C1191" s="116">
        <v>46254</v>
      </c>
      <c r="D1191" s="110" t="s">
        <v>15</v>
      </c>
      <c r="E1191" s="120">
        <v>1844</v>
      </c>
      <c r="F1191" s="109">
        <v>0.42295199999999999</v>
      </c>
      <c r="G1191" s="111">
        <v>0.111508</v>
      </c>
      <c r="H1191" s="112">
        <f t="shared" si="51"/>
        <v>0.44261372222222228</v>
      </c>
      <c r="I1191" s="113">
        <f t="shared" si="50"/>
        <v>0.10628490555555556</v>
      </c>
    </row>
    <row r="1192" spans="1:9" x14ac:dyDescent="0.3">
      <c r="A1192" s="120" t="s">
        <v>91</v>
      </c>
      <c r="B1192" s="129" t="s">
        <v>101</v>
      </c>
      <c r="C1192" s="116">
        <v>46254</v>
      </c>
      <c r="D1192" s="110" t="s">
        <v>16</v>
      </c>
      <c r="E1192" s="120">
        <v>1520</v>
      </c>
      <c r="F1192" s="109">
        <v>0.56128500000000003</v>
      </c>
      <c r="G1192" s="111">
        <v>0.13175400000000001</v>
      </c>
      <c r="H1192" s="112">
        <f t="shared" si="51"/>
        <v>0.44261372222222228</v>
      </c>
      <c r="I1192" s="113">
        <f t="shared" si="50"/>
        <v>0.10628490555555556</v>
      </c>
    </row>
    <row r="1193" spans="1:9" x14ac:dyDescent="0.3">
      <c r="A1193" s="120" t="s">
        <v>91</v>
      </c>
      <c r="B1193" s="129" t="s">
        <v>101</v>
      </c>
      <c r="C1193" s="116">
        <v>46254</v>
      </c>
      <c r="D1193" s="110" t="s">
        <v>17</v>
      </c>
      <c r="E1193" s="120">
        <v>2138</v>
      </c>
      <c r="F1193" s="109">
        <v>0.60257000000000005</v>
      </c>
      <c r="G1193" s="111">
        <v>0.119186</v>
      </c>
      <c r="H1193" s="112">
        <f t="shared" si="51"/>
        <v>0.44261372222222228</v>
      </c>
      <c r="I1193" s="113">
        <f t="shared" si="50"/>
        <v>0.10628490555555556</v>
      </c>
    </row>
    <row r="1194" spans="1:9" x14ac:dyDescent="0.3">
      <c r="A1194" s="120" t="s">
        <v>91</v>
      </c>
      <c r="B1194" s="129" t="s">
        <v>101</v>
      </c>
      <c r="C1194" s="116">
        <v>46254</v>
      </c>
      <c r="D1194" s="110" t="s">
        <v>18</v>
      </c>
      <c r="E1194" s="120">
        <v>1505</v>
      </c>
      <c r="F1194" s="109">
        <v>0.36153600000000002</v>
      </c>
      <c r="G1194" s="111">
        <v>8.6050100000000004E-2</v>
      </c>
      <c r="H1194" s="112">
        <f t="shared" si="51"/>
        <v>0.44261372222222228</v>
      </c>
      <c r="I1194" s="113">
        <f t="shared" si="50"/>
        <v>0.10628490555555556</v>
      </c>
    </row>
    <row r="1195" spans="1:9" x14ac:dyDescent="0.3">
      <c r="A1195" s="120" t="s">
        <v>91</v>
      </c>
      <c r="B1195" s="129" t="s">
        <v>101</v>
      </c>
      <c r="C1195" s="116">
        <v>46254</v>
      </c>
      <c r="D1195" s="110" t="s">
        <v>19</v>
      </c>
      <c r="E1195" s="120">
        <v>1292</v>
      </c>
      <c r="F1195" s="109">
        <v>0.56686300000000001</v>
      </c>
      <c r="G1195" s="111">
        <v>0.119339</v>
      </c>
      <c r="H1195" s="112">
        <f t="shared" si="51"/>
        <v>0.44261372222222228</v>
      </c>
      <c r="I1195" s="113">
        <f t="shared" si="50"/>
        <v>0.10628490555555556</v>
      </c>
    </row>
    <row r="1196" spans="1:9" x14ac:dyDescent="0.3">
      <c r="A1196" s="120" t="s">
        <v>91</v>
      </c>
      <c r="B1196" s="129" t="s">
        <v>101</v>
      </c>
      <c r="C1196" s="116">
        <v>46254</v>
      </c>
      <c r="D1196" s="110" t="s">
        <v>20</v>
      </c>
      <c r="E1196" s="120">
        <v>1251</v>
      </c>
      <c r="F1196" s="109">
        <v>0.60177599999999998</v>
      </c>
      <c r="G1196" s="111">
        <v>0.12601200000000001</v>
      </c>
      <c r="H1196" s="112">
        <f t="shared" si="51"/>
        <v>0.44261372222222228</v>
      </c>
      <c r="I1196" s="113">
        <f t="shared" si="50"/>
        <v>0.10628490555555556</v>
      </c>
    </row>
    <row r="1197" spans="1:9" x14ac:dyDescent="0.3">
      <c r="A1197" s="120" t="s">
        <v>91</v>
      </c>
      <c r="B1197" s="129" t="s">
        <v>101</v>
      </c>
      <c r="C1197" s="116">
        <v>46254</v>
      </c>
      <c r="D1197" s="110" t="s">
        <v>42</v>
      </c>
      <c r="E1197" s="120">
        <v>1582</v>
      </c>
      <c r="F1197" s="109">
        <v>0.36660300000000001</v>
      </c>
      <c r="G1197" s="111">
        <v>0.111093</v>
      </c>
      <c r="H1197" s="112">
        <f t="shared" si="51"/>
        <v>0.44261372222222228</v>
      </c>
      <c r="I1197" s="113">
        <f t="shared" si="50"/>
        <v>0.10628490555555556</v>
      </c>
    </row>
    <row r="1198" spans="1:9" x14ac:dyDescent="0.3">
      <c r="A1198" s="120" t="s">
        <v>91</v>
      </c>
      <c r="B1198" s="129" t="s">
        <v>101</v>
      </c>
      <c r="C1198" s="116">
        <v>46254</v>
      </c>
      <c r="D1198" s="110" t="s">
        <v>21</v>
      </c>
      <c r="E1198" s="120">
        <v>2078</v>
      </c>
      <c r="F1198" s="109">
        <v>0.51666800000000002</v>
      </c>
      <c r="G1198" s="111">
        <v>0.100517</v>
      </c>
      <c r="H1198" s="112">
        <f t="shared" si="51"/>
        <v>0.44261372222222228</v>
      </c>
      <c r="I1198" s="113">
        <f t="shared" si="50"/>
        <v>0.10628490555555556</v>
      </c>
    </row>
    <row r="1199" spans="1:9" x14ac:dyDescent="0.3">
      <c r="A1199" s="120" t="s">
        <v>91</v>
      </c>
      <c r="B1199" s="129" t="s">
        <v>101</v>
      </c>
      <c r="C1199" s="116">
        <v>46254</v>
      </c>
      <c r="D1199" s="110" t="s">
        <v>22</v>
      </c>
      <c r="E1199" s="120">
        <v>2247</v>
      </c>
      <c r="F1199" s="109">
        <v>0.34465499999999999</v>
      </c>
      <c r="G1199" s="111">
        <v>9.3672500000000006E-2</v>
      </c>
      <c r="H1199" s="112">
        <f t="shared" si="51"/>
        <v>0.44261372222222228</v>
      </c>
      <c r="I1199" s="113">
        <f t="shared" si="50"/>
        <v>0.10628490555555556</v>
      </c>
    </row>
    <row r="1200" spans="1:9" x14ac:dyDescent="0.3">
      <c r="A1200" s="120" t="s">
        <v>91</v>
      </c>
      <c r="B1200" s="129" t="s">
        <v>101</v>
      </c>
      <c r="C1200" s="116">
        <v>46254</v>
      </c>
      <c r="D1200" s="110" t="s">
        <v>23</v>
      </c>
      <c r="E1200" s="120">
        <v>2565</v>
      </c>
      <c r="F1200" s="109">
        <v>0.38963799999999998</v>
      </c>
      <c r="G1200" s="111">
        <v>0.127884</v>
      </c>
      <c r="H1200" s="112">
        <f t="shared" si="51"/>
        <v>0.44261372222222228</v>
      </c>
      <c r="I1200" s="113">
        <f t="shared" si="50"/>
        <v>0.10628490555555556</v>
      </c>
    </row>
    <row r="1201" spans="1:9" x14ac:dyDescent="0.3">
      <c r="A1201" s="120" t="s">
        <v>91</v>
      </c>
      <c r="B1201" s="129" t="s">
        <v>101</v>
      </c>
      <c r="C1201" s="116">
        <v>46254</v>
      </c>
      <c r="D1201" s="110" t="s">
        <v>24</v>
      </c>
      <c r="E1201" s="120">
        <v>3016</v>
      </c>
      <c r="F1201" s="109">
        <v>0.294182</v>
      </c>
      <c r="G1201" s="111">
        <v>9.0604199999999996E-2</v>
      </c>
      <c r="H1201" s="112">
        <f t="shared" si="51"/>
        <v>0.44261372222222228</v>
      </c>
      <c r="I1201" s="113">
        <f t="shared" si="50"/>
        <v>0.10628490555555556</v>
      </c>
    </row>
    <row r="1202" spans="1:9" x14ac:dyDescent="0.3">
      <c r="A1202" s="120" t="s">
        <v>91</v>
      </c>
      <c r="B1202" s="129" t="s">
        <v>101</v>
      </c>
      <c r="C1202" s="116">
        <v>46254</v>
      </c>
      <c r="D1202" s="110" t="s">
        <v>25</v>
      </c>
      <c r="E1202" s="120">
        <v>1005</v>
      </c>
      <c r="F1202" s="109">
        <v>0.44411400000000001</v>
      </c>
      <c r="G1202" s="111">
        <v>0.107061</v>
      </c>
      <c r="H1202" s="112">
        <f t="shared" si="51"/>
        <v>0.44261372222222228</v>
      </c>
      <c r="I1202" s="113">
        <f t="shared" si="50"/>
        <v>0.10628490555555556</v>
      </c>
    </row>
    <row r="1203" spans="1:9" x14ac:dyDescent="0.3">
      <c r="A1203" s="120" t="s">
        <v>91</v>
      </c>
      <c r="B1203" s="129" t="s">
        <v>101</v>
      </c>
      <c r="C1203" s="116">
        <v>46254</v>
      </c>
      <c r="D1203" s="110" t="s">
        <v>26</v>
      </c>
      <c r="E1203" s="120">
        <v>2289</v>
      </c>
      <c r="F1203" s="109">
        <v>0.26846599999999998</v>
      </c>
      <c r="G1203" s="111">
        <v>8.6382500000000001E-2</v>
      </c>
      <c r="H1203" s="112">
        <f t="shared" si="51"/>
        <v>0.44261372222222228</v>
      </c>
      <c r="I1203" s="113">
        <f t="shared" si="50"/>
        <v>0.10628490555555556</v>
      </c>
    </row>
    <row r="1204" spans="1:9" x14ac:dyDescent="0.3">
      <c r="A1204" s="120" t="s">
        <v>91</v>
      </c>
      <c r="B1204" s="129" t="s">
        <v>101</v>
      </c>
      <c r="C1204" s="116">
        <v>46254</v>
      </c>
      <c r="D1204" s="110" t="s">
        <v>27</v>
      </c>
      <c r="E1204" s="120">
        <v>1318</v>
      </c>
      <c r="F1204" s="109">
        <v>0.59123899999999996</v>
      </c>
      <c r="G1204" s="111">
        <v>0.13422300000000001</v>
      </c>
      <c r="H1204" s="112">
        <f t="shared" si="51"/>
        <v>0.44261372222222228</v>
      </c>
      <c r="I1204" s="113">
        <f t="shared" si="50"/>
        <v>0.10628490555555556</v>
      </c>
    </row>
    <row r="1205" spans="1:9" x14ac:dyDescent="0.3">
      <c r="A1205" s="120" t="s">
        <v>91</v>
      </c>
      <c r="B1205" s="129" t="s">
        <v>101</v>
      </c>
      <c r="C1205" s="116">
        <v>46254</v>
      </c>
      <c r="D1205" s="110" t="s">
        <v>28</v>
      </c>
      <c r="E1205" s="120">
        <v>1358</v>
      </c>
      <c r="F1205" s="109">
        <v>0.41948200000000002</v>
      </c>
      <c r="G1205" s="111">
        <v>9.4141199999999994E-2</v>
      </c>
      <c r="H1205" s="112">
        <f t="shared" si="51"/>
        <v>0.44261372222222228</v>
      </c>
      <c r="I1205" s="113">
        <f t="shared" si="50"/>
        <v>0.10628490555555556</v>
      </c>
    </row>
    <row r="1206" spans="1:9" x14ac:dyDescent="0.3">
      <c r="A1206" s="120" t="s">
        <v>91</v>
      </c>
      <c r="B1206" s="129" t="s">
        <v>101</v>
      </c>
      <c r="C1206" s="116">
        <v>46254</v>
      </c>
      <c r="D1206" s="110" t="s">
        <v>29</v>
      </c>
      <c r="E1206" s="120">
        <v>1110</v>
      </c>
      <c r="F1206" s="109">
        <v>0.36768699999999999</v>
      </c>
      <c r="G1206" s="111">
        <v>7.6168700000000006E-2</v>
      </c>
      <c r="H1206" s="112">
        <f t="shared" si="51"/>
        <v>0.44261372222222228</v>
      </c>
      <c r="I1206" s="113">
        <f t="shared" si="50"/>
        <v>0.10628490555555556</v>
      </c>
    </row>
    <row r="1207" spans="1:9" x14ac:dyDescent="0.3">
      <c r="A1207" s="120" t="s">
        <v>91</v>
      </c>
      <c r="B1207" s="129" t="s">
        <v>101</v>
      </c>
      <c r="C1207" s="116">
        <v>46254</v>
      </c>
      <c r="D1207" s="110" t="s">
        <v>30</v>
      </c>
      <c r="E1207" s="120">
        <v>1379</v>
      </c>
      <c r="F1207" s="109">
        <v>0.51057799999999998</v>
      </c>
      <c r="G1207" s="111">
        <v>0.102744</v>
      </c>
      <c r="H1207" s="112">
        <f t="shared" si="51"/>
        <v>0.44261372222222228</v>
      </c>
      <c r="I1207" s="113">
        <f t="shared" si="50"/>
        <v>0.10628490555555556</v>
      </c>
    </row>
    <row r="1208" spans="1:9" x14ac:dyDescent="0.3">
      <c r="B1208" s="129" t="str">
        <f t="shared" ref="B1208:B1255" si="52">IF($A1208="Daily", "n/a", "")</f>
        <v/>
      </c>
    </row>
    <row r="1209" spans="1:9" x14ac:dyDescent="0.3">
      <c r="B1209" s="129" t="str">
        <f t="shared" si="52"/>
        <v/>
      </c>
    </row>
    <row r="1210" spans="1:9" x14ac:dyDescent="0.3">
      <c r="B1210" s="129" t="str">
        <f t="shared" si="52"/>
        <v/>
      </c>
    </row>
    <row r="1211" spans="1:9" x14ac:dyDescent="0.3">
      <c r="B1211" s="129" t="str">
        <f t="shared" si="52"/>
        <v/>
      </c>
    </row>
    <row r="1212" spans="1:9" x14ac:dyDescent="0.3">
      <c r="B1212" s="129" t="str">
        <f t="shared" si="52"/>
        <v/>
      </c>
    </row>
    <row r="1213" spans="1:9" x14ac:dyDescent="0.3">
      <c r="B1213" s="129" t="str">
        <f t="shared" si="52"/>
        <v/>
      </c>
    </row>
    <row r="1214" spans="1:9" x14ac:dyDescent="0.3">
      <c r="B1214" s="129" t="str">
        <f t="shared" si="52"/>
        <v/>
      </c>
    </row>
    <row r="1215" spans="1:9" x14ac:dyDescent="0.3">
      <c r="B1215" s="129" t="str">
        <f t="shared" si="52"/>
        <v/>
      </c>
    </row>
    <row r="1216" spans="1:9" x14ac:dyDescent="0.3">
      <c r="B1216" s="129" t="str">
        <f t="shared" si="52"/>
        <v/>
      </c>
    </row>
    <row r="1217" spans="2:2" x14ac:dyDescent="0.3">
      <c r="B1217" s="129" t="str">
        <f t="shared" si="52"/>
        <v/>
      </c>
    </row>
    <row r="1218" spans="2:2" x14ac:dyDescent="0.3">
      <c r="B1218" s="129" t="str">
        <f t="shared" si="52"/>
        <v/>
      </c>
    </row>
    <row r="1219" spans="2:2" x14ac:dyDescent="0.3">
      <c r="B1219" s="129" t="str">
        <f t="shared" si="52"/>
        <v/>
      </c>
    </row>
    <row r="1220" spans="2:2" x14ac:dyDescent="0.3">
      <c r="B1220" s="129" t="str">
        <f t="shared" si="52"/>
        <v/>
      </c>
    </row>
    <row r="1221" spans="2:2" x14ac:dyDescent="0.3">
      <c r="B1221" s="129" t="str">
        <f t="shared" si="52"/>
        <v/>
      </c>
    </row>
    <row r="1222" spans="2:2" x14ac:dyDescent="0.3">
      <c r="B1222" s="129" t="str">
        <f t="shared" si="52"/>
        <v/>
      </c>
    </row>
    <row r="1223" spans="2:2" x14ac:dyDescent="0.3">
      <c r="B1223" s="129" t="str">
        <f t="shared" si="52"/>
        <v/>
      </c>
    </row>
    <row r="1224" spans="2:2" x14ac:dyDescent="0.3">
      <c r="B1224" s="129" t="str">
        <f t="shared" si="52"/>
        <v/>
      </c>
    </row>
    <row r="1225" spans="2:2" x14ac:dyDescent="0.3">
      <c r="B1225" s="129" t="str">
        <f t="shared" si="52"/>
        <v/>
      </c>
    </row>
    <row r="1226" spans="2:2" x14ac:dyDescent="0.3">
      <c r="B1226" s="129" t="str">
        <f t="shared" si="52"/>
        <v/>
      </c>
    </row>
    <row r="1227" spans="2:2" x14ac:dyDescent="0.3">
      <c r="B1227" s="129" t="str">
        <f t="shared" si="52"/>
        <v/>
      </c>
    </row>
    <row r="1228" spans="2:2" x14ac:dyDescent="0.3">
      <c r="B1228" s="129" t="str">
        <f t="shared" si="52"/>
        <v/>
      </c>
    </row>
    <row r="1229" spans="2:2" x14ac:dyDescent="0.3">
      <c r="B1229" s="129" t="str">
        <f t="shared" si="52"/>
        <v/>
      </c>
    </row>
    <row r="1230" spans="2:2" x14ac:dyDescent="0.3">
      <c r="B1230" s="129" t="str">
        <f t="shared" si="52"/>
        <v/>
      </c>
    </row>
    <row r="1231" spans="2:2" x14ac:dyDescent="0.3">
      <c r="B1231" s="129" t="str">
        <f t="shared" si="52"/>
        <v/>
      </c>
    </row>
    <row r="1232" spans="2:2" x14ac:dyDescent="0.3">
      <c r="B1232" s="129" t="str">
        <f t="shared" si="52"/>
        <v/>
      </c>
    </row>
    <row r="1233" spans="2:2" x14ac:dyDescent="0.3">
      <c r="B1233" s="129" t="str">
        <f t="shared" si="52"/>
        <v/>
      </c>
    </row>
    <row r="1234" spans="2:2" x14ac:dyDescent="0.3">
      <c r="B1234" s="129" t="str">
        <f t="shared" si="52"/>
        <v/>
      </c>
    </row>
    <row r="1235" spans="2:2" x14ac:dyDescent="0.3">
      <c r="B1235" s="129" t="str">
        <f t="shared" si="52"/>
        <v/>
      </c>
    </row>
    <row r="1236" spans="2:2" x14ac:dyDescent="0.3">
      <c r="B1236" s="129" t="str">
        <f t="shared" si="52"/>
        <v/>
      </c>
    </row>
    <row r="1237" spans="2:2" x14ac:dyDescent="0.3">
      <c r="B1237" s="129" t="str">
        <f t="shared" si="52"/>
        <v/>
      </c>
    </row>
    <row r="1238" spans="2:2" x14ac:dyDescent="0.3">
      <c r="B1238" s="129" t="str">
        <f t="shared" si="52"/>
        <v/>
      </c>
    </row>
    <row r="1239" spans="2:2" x14ac:dyDescent="0.3">
      <c r="B1239" s="129" t="str">
        <f t="shared" si="52"/>
        <v/>
      </c>
    </row>
    <row r="1240" spans="2:2" x14ac:dyDescent="0.3">
      <c r="B1240" s="129" t="str">
        <f t="shared" si="52"/>
        <v/>
      </c>
    </row>
    <row r="1241" spans="2:2" x14ac:dyDescent="0.3">
      <c r="B1241" s="129" t="str">
        <f t="shared" si="52"/>
        <v/>
      </c>
    </row>
    <row r="1242" spans="2:2" x14ac:dyDescent="0.3">
      <c r="B1242" s="129" t="str">
        <f t="shared" si="52"/>
        <v/>
      </c>
    </row>
    <row r="1243" spans="2:2" x14ac:dyDescent="0.3">
      <c r="B1243" s="129" t="str">
        <f t="shared" si="52"/>
        <v/>
      </c>
    </row>
    <row r="1244" spans="2:2" x14ac:dyDescent="0.3">
      <c r="B1244" s="129" t="str">
        <f t="shared" si="52"/>
        <v/>
      </c>
    </row>
    <row r="1245" spans="2:2" x14ac:dyDescent="0.3">
      <c r="B1245" s="129" t="str">
        <f t="shared" si="52"/>
        <v/>
      </c>
    </row>
    <row r="1246" spans="2:2" x14ac:dyDescent="0.3">
      <c r="B1246" s="129" t="str">
        <f t="shared" si="52"/>
        <v/>
      </c>
    </row>
    <row r="1247" spans="2:2" x14ac:dyDescent="0.3">
      <c r="B1247" s="129" t="str">
        <f t="shared" si="52"/>
        <v/>
      </c>
    </row>
    <row r="1248" spans="2:2" x14ac:dyDescent="0.3">
      <c r="B1248" s="129" t="str">
        <f t="shared" si="52"/>
        <v/>
      </c>
    </row>
    <row r="1249" spans="2:2" x14ac:dyDescent="0.3">
      <c r="B1249" s="129" t="str">
        <f t="shared" si="52"/>
        <v/>
      </c>
    </row>
    <row r="1250" spans="2:2" x14ac:dyDescent="0.3">
      <c r="B1250" s="129" t="str">
        <f t="shared" si="52"/>
        <v/>
      </c>
    </row>
    <row r="1251" spans="2:2" x14ac:dyDescent="0.3">
      <c r="B1251" s="129" t="str">
        <f t="shared" si="52"/>
        <v/>
      </c>
    </row>
    <row r="1252" spans="2:2" x14ac:dyDescent="0.3">
      <c r="B1252" s="129" t="str">
        <f t="shared" si="52"/>
        <v/>
      </c>
    </row>
    <row r="1253" spans="2:2" x14ac:dyDescent="0.3">
      <c r="B1253" s="129" t="str">
        <f t="shared" si="52"/>
        <v/>
      </c>
    </row>
    <row r="1254" spans="2:2" x14ac:dyDescent="0.3">
      <c r="B1254" s="129" t="str">
        <f t="shared" si="52"/>
        <v/>
      </c>
    </row>
    <row r="1255" spans="2:2" x14ac:dyDescent="0.3">
      <c r="B1255" s="129" t="str">
        <f t="shared" si="52"/>
        <v/>
      </c>
    </row>
    <row r="1256" spans="2:2" x14ac:dyDescent="0.3">
      <c r="B1256" s="129" t="str">
        <f t="shared" ref="B1256:B1319" si="53">IF($A1256="Daily", "n/a", "")</f>
        <v/>
      </c>
    </row>
    <row r="1257" spans="2:2" x14ac:dyDescent="0.3">
      <c r="B1257" s="129" t="str">
        <f t="shared" si="53"/>
        <v/>
      </c>
    </row>
    <row r="1258" spans="2:2" x14ac:dyDescent="0.3">
      <c r="B1258" s="129" t="str">
        <f t="shared" si="53"/>
        <v/>
      </c>
    </row>
    <row r="1259" spans="2:2" x14ac:dyDescent="0.3">
      <c r="B1259" s="129" t="str">
        <f t="shared" si="53"/>
        <v/>
      </c>
    </row>
    <row r="1260" spans="2:2" x14ac:dyDescent="0.3">
      <c r="B1260" s="129" t="str">
        <f t="shared" si="53"/>
        <v/>
      </c>
    </row>
    <row r="1261" spans="2:2" x14ac:dyDescent="0.3">
      <c r="B1261" s="129" t="str">
        <f t="shared" si="53"/>
        <v/>
      </c>
    </row>
    <row r="1262" spans="2:2" x14ac:dyDescent="0.3">
      <c r="B1262" s="129" t="str">
        <f t="shared" si="53"/>
        <v/>
      </c>
    </row>
    <row r="1263" spans="2:2" x14ac:dyDescent="0.3">
      <c r="B1263" s="129" t="str">
        <f t="shared" si="53"/>
        <v/>
      </c>
    </row>
    <row r="1264" spans="2:2" x14ac:dyDescent="0.3">
      <c r="B1264" s="129" t="str">
        <f t="shared" si="53"/>
        <v/>
      </c>
    </row>
    <row r="1265" spans="2:2" x14ac:dyDescent="0.3">
      <c r="B1265" s="129" t="str">
        <f t="shared" si="53"/>
        <v/>
      </c>
    </row>
    <row r="1266" spans="2:2" x14ac:dyDescent="0.3">
      <c r="B1266" s="129" t="str">
        <f t="shared" si="53"/>
        <v/>
      </c>
    </row>
    <row r="1267" spans="2:2" x14ac:dyDescent="0.3">
      <c r="B1267" s="129" t="str">
        <f t="shared" si="53"/>
        <v/>
      </c>
    </row>
    <row r="1268" spans="2:2" x14ac:dyDescent="0.3">
      <c r="B1268" s="129" t="str">
        <f t="shared" si="53"/>
        <v/>
      </c>
    </row>
    <row r="1269" spans="2:2" x14ac:dyDescent="0.3">
      <c r="B1269" s="129" t="str">
        <f t="shared" si="53"/>
        <v/>
      </c>
    </row>
    <row r="1270" spans="2:2" x14ac:dyDescent="0.3">
      <c r="B1270" s="129" t="str">
        <f t="shared" si="53"/>
        <v/>
      </c>
    </row>
    <row r="1271" spans="2:2" x14ac:dyDescent="0.3">
      <c r="B1271" s="129" t="str">
        <f t="shared" si="53"/>
        <v/>
      </c>
    </row>
    <row r="1272" spans="2:2" x14ac:dyDescent="0.3">
      <c r="B1272" s="129" t="str">
        <f t="shared" si="53"/>
        <v/>
      </c>
    </row>
    <row r="1273" spans="2:2" x14ac:dyDescent="0.3">
      <c r="B1273" s="129" t="str">
        <f t="shared" si="53"/>
        <v/>
      </c>
    </row>
    <row r="1274" spans="2:2" x14ac:dyDescent="0.3">
      <c r="B1274" s="129" t="str">
        <f t="shared" si="53"/>
        <v/>
      </c>
    </row>
    <row r="1275" spans="2:2" x14ac:dyDescent="0.3">
      <c r="B1275" s="129" t="str">
        <f t="shared" si="53"/>
        <v/>
      </c>
    </row>
    <row r="1276" spans="2:2" x14ac:dyDescent="0.3">
      <c r="B1276" s="129" t="str">
        <f t="shared" si="53"/>
        <v/>
      </c>
    </row>
    <row r="1277" spans="2:2" x14ac:dyDescent="0.3">
      <c r="B1277" s="129" t="str">
        <f t="shared" si="53"/>
        <v/>
      </c>
    </row>
    <row r="1278" spans="2:2" x14ac:dyDescent="0.3">
      <c r="B1278" s="129" t="str">
        <f t="shared" si="53"/>
        <v/>
      </c>
    </row>
    <row r="1279" spans="2:2" x14ac:dyDescent="0.3">
      <c r="B1279" s="129" t="str">
        <f t="shared" si="53"/>
        <v/>
      </c>
    </row>
    <row r="1280" spans="2:2" x14ac:dyDescent="0.3">
      <c r="B1280" s="129" t="str">
        <f t="shared" si="53"/>
        <v/>
      </c>
    </row>
    <row r="1281" spans="2:2" x14ac:dyDescent="0.3">
      <c r="B1281" s="129" t="str">
        <f t="shared" si="53"/>
        <v/>
      </c>
    </row>
    <row r="1282" spans="2:2" x14ac:dyDescent="0.3">
      <c r="B1282" s="129" t="str">
        <f t="shared" si="53"/>
        <v/>
      </c>
    </row>
    <row r="1283" spans="2:2" x14ac:dyDescent="0.3">
      <c r="B1283" s="129" t="str">
        <f t="shared" si="53"/>
        <v/>
      </c>
    </row>
    <row r="1284" spans="2:2" x14ac:dyDescent="0.3">
      <c r="B1284" s="129" t="str">
        <f t="shared" si="53"/>
        <v/>
      </c>
    </row>
    <row r="1285" spans="2:2" x14ac:dyDescent="0.3">
      <c r="B1285" s="129" t="str">
        <f t="shared" si="53"/>
        <v/>
      </c>
    </row>
    <row r="1286" spans="2:2" x14ac:dyDescent="0.3">
      <c r="B1286" s="129" t="str">
        <f t="shared" si="53"/>
        <v/>
      </c>
    </row>
    <row r="1287" spans="2:2" x14ac:dyDescent="0.3">
      <c r="B1287" s="129" t="str">
        <f t="shared" si="53"/>
        <v/>
      </c>
    </row>
    <row r="1288" spans="2:2" x14ac:dyDescent="0.3">
      <c r="B1288" s="129" t="str">
        <f t="shared" si="53"/>
        <v/>
      </c>
    </row>
    <row r="1289" spans="2:2" x14ac:dyDescent="0.3">
      <c r="B1289" s="129" t="str">
        <f t="shared" si="53"/>
        <v/>
      </c>
    </row>
    <row r="1290" spans="2:2" x14ac:dyDescent="0.3">
      <c r="B1290" s="129" t="str">
        <f t="shared" si="53"/>
        <v/>
      </c>
    </row>
    <row r="1291" spans="2:2" x14ac:dyDescent="0.3">
      <c r="B1291" s="129" t="str">
        <f t="shared" si="53"/>
        <v/>
      </c>
    </row>
    <row r="1292" spans="2:2" x14ac:dyDescent="0.3">
      <c r="B1292" s="129" t="str">
        <f t="shared" si="53"/>
        <v/>
      </c>
    </row>
    <row r="1293" spans="2:2" x14ac:dyDescent="0.3">
      <c r="B1293" s="129" t="str">
        <f t="shared" si="53"/>
        <v/>
      </c>
    </row>
    <row r="1294" spans="2:2" x14ac:dyDescent="0.3">
      <c r="B1294" s="129" t="str">
        <f t="shared" si="53"/>
        <v/>
      </c>
    </row>
    <row r="1295" spans="2:2" x14ac:dyDescent="0.3">
      <c r="B1295" s="129" t="str">
        <f t="shared" si="53"/>
        <v/>
      </c>
    </row>
    <row r="1296" spans="2:2" x14ac:dyDescent="0.3">
      <c r="B1296" s="129" t="str">
        <f t="shared" si="53"/>
        <v/>
      </c>
    </row>
    <row r="1297" spans="2:2" x14ac:dyDescent="0.3">
      <c r="B1297" s="129" t="str">
        <f t="shared" si="53"/>
        <v/>
      </c>
    </row>
    <row r="1298" spans="2:2" x14ac:dyDescent="0.3">
      <c r="B1298" s="129" t="str">
        <f t="shared" si="53"/>
        <v/>
      </c>
    </row>
    <row r="1299" spans="2:2" x14ac:dyDescent="0.3">
      <c r="B1299" s="129" t="str">
        <f t="shared" si="53"/>
        <v/>
      </c>
    </row>
    <row r="1300" spans="2:2" x14ac:dyDescent="0.3">
      <c r="B1300" s="129" t="str">
        <f t="shared" si="53"/>
        <v/>
      </c>
    </row>
    <row r="1301" spans="2:2" x14ac:dyDescent="0.3">
      <c r="B1301" s="129" t="str">
        <f t="shared" si="53"/>
        <v/>
      </c>
    </row>
    <row r="1302" spans="2:2" x14ac:dyDescent="0.3">
      <c r="B1302" s="129" t="str">
        <f t="shared" si="53"/>
        <v/>
      </c>
    </row>
    <row r="1303" spans="2:2" x14ac:dyDescent="0.3">
      <c r="B1303" s="129" t="str">
        <f t="shared" si="53"/>
        <v/>
      </c>
    </row>
    <row r="1304" spans="2:2" x14ac:dyDescent="0.3">
      <c r="B1304" s="129" t="str">
        <f t="shared" si="53"/>
        <v/>
      </c>
    </row>
    <row r="1305" spans="2:2" x14ac:dyDescent="0.3">
      <c r="B1305" s="129" t="str">
        <f t="shared" si="53"/>
        <v/>
      </c>
    </row>
    <row r="1306" spans="2:2" x14ac:dyDescent="0.3">
      <c r="B1306" s="129" t="str">
        <f t="shared" si="53"/>
        <v/>
      </c>
    </row>
    <row r="1307" spans="2:2" x14ac:dyDescent="0.3">
      <c r="B1307" s="129" t="str">
        <f t="shared" si="53"/>
        <v/>
      </c>
    </row>
    <row r="1308" spans="2:2" x14ac:dyDescent="0.3">
      <c r="B1308" s="129" t="str">
        <f t="shared" si="53"/>
        <v/>
      </c>
    </row>
    <row r="1309" spans="2:2" x14ac:dyDescent="0.3">
      <c r="B1309" s="129" t="str">
        <f t="shared" si="53"/>
        <v/>
      </c>
    </row>
    <row r="1310" spans="2:2" x14ac:dyDescent="0.3">
      <c r="B1310" s="129" t="str">
        <f t="shared" si="53"/>
        <v/>
      </c>
    </row>
    <row r="1311" spans="2:2" x14ac:dyDescent="0.3">
      <c r="B1311" s="129" t="str">
        <f t="shared" si="53"/>
        <v/>
      </c>
    </row>
    <row r="1312" spans="2:2" x14ac:dyDescent="0.3">
      <c r="B1312" s="129" t="str">
        <f t="shared" si="53"/>
        <v/>
      </c>
    </row>
    <row r="1313" spans="2:2" x14ac:dyDescent="0.3">
      <c r="B1313" s="129" t="str">
        <f t="shared" si="53"/>
        <v/>
      </c>
    </row>
    <row r="1314" spans="2:2" x14ac:dyDescent="0.3">
      <c r="B1314" s="129" t="str">
        <f t="shared" si="53"/>
        <v/>
      </c>
    </row>
    <row r="1315" spans="2:2" x14ac:dyDescent="0.3">
      <c r="B1315" s="129" t="str">
        <f t="shared" si="53"/>
        <v/>
      </c>
    </row>
    <row r="1316" spans="2:2" x14ac:dyDescent="0.3">
      <c r="B1316" s="129" t="str">
        <f t="shared" si="53"/>
        <v/>
      </c>
    </row>
    <row r="1317" spans="2:2" x14ac:dyDescent="0.3">
      <c r="B1317" s="129" t="str">
        <f t="shared" si="53"/>
        <v/>
      </c>
    </row>
    <row r="1318" spans="2:2" x14ac:dyDescent="0.3">
      <c r="B1318" s="129" t="str">
        <f t="shared" si="53"/>
        <v/>
      </c>
    </row>
    <row r="1319" spans="2:2" x14ac:dyDescent="0.3">
      <c r="B1319" s="129" t="str">
        <f t="shared" si="53"/>
        <v/>
      </c>
    </row>
    <row r="1320" spans="2:2" x14ac:dyDescent="0.3">
      <c r="B1320" s="129" t="str">
        <f t="shared" ref="B1320:B1383" si="54">IF($A1320="Daily", "n/a", "")</f>
        <v/>
      </c>
    </row>
    <row r="1321" spans="2:2" x14ac:dyDescent="0.3">
      <c r="B1321" s="129" t="str">
        <f t="shared" si="54"/>
        <v/>
      </c>
    </row>
    <row r="1322" spans="2:2" x14ac:dyDescent="0.3">
      <c r="B1322" s="129" t="str">
        <f t="shared" si="54"/>
        <v/>
      </c>
    </row>
    <row r="1323" spans="2:2" x14ac:dyDescent="0.3">
      <c r="B1323" s="129" t="str">
        <f t="shared" si="54"/>
        <v/>
      </c>
    </row>
    <row r="1324" spans="2:2" x14ac:dyDescent="0.3">
      <c r="B1324" s="129" t="str">
        <f t="shared" si="54"/>
        <v/>
      </c>
    </row>
    <row r="1325" spans="2:2" x14ac:dyDescent="0.3">
      <c r="B1325" s="129" t="str">
        <f t="shared" si="54"/>
        <v/>
      </c>
    </row>
    <row r="1326" spans="2:2" x14ac:dyDescent="0.3">
      <c r="B1326" s="129" t="str">
        <f t="shared" si="54"/>
        <v/>
      </c>
    </row>
    <row r="1327" spans="2:2" x14ac:dyDescent="0.3">
      <c r="B1327" s="129" t="str">
        <f t="shared" si="54"/>
        <v/>
      </c>
    </row>
    <row r="1328" spans="2:2" x14ac:dyDescent="0.3">
      <c r="B1328" s="129" t="str">
        <f t="shared" si="54"/>
        <v/>
      </c>
    </row>
    <row r="1329" spans="2:2" x14ac:dyDescent="0.3">
      <c r="B1329" s="129" t="str">
        <f t="shared" si="54"/>
        <v/>
      </c>
    </row>
    <row r="1330" spans="2:2" x14ac:dyDescent="0.3">
      <c r="B1330" s="129" t="str">
        <f t="shared" si="54"/>
        <v/>
      </c>
    </row>
    <row r="1331" spans="2:2" x14ac:dyDescent="0.3">
      <c r="B1331" s="129" t="str">
        <f t="shared" si="54"/>
        <v/>
      </c>
    </row>
    <row r="1332" spans="2:2" x14ac:dyDescent="0.3">
      <c r="B1332" s="129" t="str">
        <f t="shared" si="54"/>
        <v/>
      </c>
    </row>
    <row r="1333" spans="2:2" x14ac:dyDescent="0.3">
      <c r="B1333" s="129" t="str">
        <f t="shared" si="54"/>
        <v/>
      </c>
    </row>
    <row r="1334" spans="2:2" x14ac:dyDescent="0.3">
      <c r="B1334" s="129" t="str">
        <f t="shared" si="54"/>
        <v/>
      </c>
    </row>
    <row r="1335" spans="2:2" x14ac:dyDescent="0.3">
      <c r="B1335" s="129" t="str">
        <f t="shared" si="54"/>
        <v/>
      </c>
    </row>
    <row r="1336" spans="2:2" x14ac:dyDescent="0.3">
      <c r="B1336" s="129" t="str">
        <f t="shared" si="54"/>
        <v/>
      </c>
    </row>
    <row r="1337" spans="2:2" x14ac:dyDescent="0.3">
      <c r="B1337" s="129" t="str">
        <f t="shared" si="54"/>
        <v/>
      </c>
    </row>
    <row r="1338" spans="2:2" x14ac:dyDescent="0.3">
      <c r="B1338" s="129" t="str">
        <f t="shared" si="54"/>
        <v/>
      </c>
    </row>
    <row r="1339" spans="2:2" x14ac:dyDescent="0.3">
      <c r="B1339" s="129" t="str">
        <f t="shared" si="54"/>
        <v/>
      </c>
    </row>
    <row r="1340" spans="2:2" x14ac:dyDescent="0.3">
      <c r="B1340" s="129" t="str">
        <f t="shared" si="54"/>
        <v/>
      </c>
    </row>
    <row r="1341" spans="2:2" x14ac:dyDescent="0.3">
      <c r="B1341" s="129" t="str">
        <f t="shared" si="54"/>
        <v/>
      </c>
    </row>
    <row r="1342" spans="2:2" x14ac:dyDescent="0.3">
      <c r="B1342" s="129" t="str">
        <f t="shared" si="54"/>
        <v/>
      </c>
    </row>
    <row r="1343" spans="2:2" x14ac:dyDescent="0.3">
      <c r="B1343" s="129" t="str">
        <f t="shared" si="54"/>
        <v/>
      </c>
    </row>
    <row r="1344" spans="2:2" x14ac:dyDescent="0.3">
      <c r="B1344" s="129" t="str">
        <f t="shared" si="54"/>
        <v/>
      </c>
    </row>
    <row r="1345" spans="2:2" x14ac:dyDescent="0.3">
      <c r="B1345" s="129" t="str">
        <f t="shared" si="54"/>
        <v/>
      </c>
    </row>
    <row r="1346" spans="2:2" x14ac:dyDescent="0.3">
      <c r="B1346" s="129" t="str">
        <f t="shared" si="54"/>
        <v/>
      </c>
    </row>
    <row r="1347" spans="2:2" x14ac:dyDescent="0.3">
      <c r="B1347" s="129" t="str">
        <f t="shared" si="54"/>
        <v/>
      </c>
    </row>
    <row r="1348" spans="2:2" x14ac:dyDescent="0.3">
      <c r="B1348" s="129" t="str">
        <f t="shared" si="54"/>
        <v/>
      </c>
    </row>
    <row r="1349" spans="2:2" x14ac:dyDescent="0.3">
      <c r="B1349" s="129" t="str">
        <f t="shared" si="54"/>
        <v/>
      </c>
    </row>
    <row r="1350" spans="2:2" x14ac:dyDescent="0.3">
      <c r="B1350" s="129" t="str">
        <f t="shared" si="54"/>
        <v/>
      </c>
    </row>
    <row r="1351" spans="2:2" x14ac:dyDescent="0.3">
      <c r="B1351" s="129" t="str">
        <f t="shared" si="54"/>
        <v/>
      </c>
    </row>
    <row r="1352" spans="2:2" x14ac:dyDescent="0.3">
      <c r="B1352" s="129" t="str">
        <f t="shared" si="54"/>
        <v/>
      </c>
    </row>
    <row r="1353" spans="2:2" x14ac:dyDescent="0.3">
      <c r="B1353" s="129" t="str">
        <f t="shared" si="54"/>
        <v/>
      </c>
    </row>
    <row r="1354" spans="2:2" x14ac:dyDescent="0.3">
      <c r="B1354" s="129" t="str">
        <f t="shared" si="54"/>
        <v/>
      </c>
    </row>
    <row r="1355" spans="2:2" x14ac:dyDescent="0.3">
      <c r="B1355" s="129" t="str">
        <f t="shared" si="54"/>
        <v/>
      </c>
    </row>
    <row r="1356" spans="2:2" x14ac:dyDescent="0.3">
      <c r="B1356" s="129" t="str">
        <f t="shared" si="54"/>
        <v/>
      </c>
    </row>
    <row r="1357" spans="2:2" x14ac:dyDescent="0.3">
      <c r="B1357" s="129" t="str">
        <f t="shared" si="54"/>
        <v/>
      </c>
    </row>
    <row r="1358" spans="2:2" x14ac:dyDescent="0.3">
      <c r="B1358" s="129" t="str">
        <f t="shared" si="54"/>
        <v/>
      </c>
    </row>
    <row r="1359" spans="2:2" x14ac:dyDescent="0.3">
      <c r="B1359" s="129" t="str">
        <f t="shared" si="54"/>
        <v/>
      </c>
    </row>
    <row r="1360" spans="2:2" x14ac:dyDescent="0.3">
      <c r="B1360" s="129" t="str">
        <f t="shared" si="54"/>
        <v/>
      </c>
    </row>
    <row r="1361" spans="2:2" x14ac:dyDescent="0.3">
      <c r="B1361" s="129" t="str">
        <f t="shared" si="54"/>
        <v/>
      </c>
    </row>
    <row r="1362" spans="2:2" x14ac:dyDescent="0.3">
      <c r="B1362" s="129" t="str">
        <f t="shared" si="54"/>
        <v/>
      </c>
    </row>
    <row r="1363" spans="2:2" x14ac:dyDescent="0.3">
      <c r="B1363" s="129" t="str">
        <f t="shared" si="54"/>
        <v/>
      </c>
    </row>
    <row r="1364" spans="2:2" x14ac:dyDescent="0.3">
      <c r="B1364" s="129" t="str">
        <f t="shared" si="54"/>
        <v/>
      </c>
    </row>
    <row r="1365" spans="2:2" x14ac:dyDescent="0.3">
      <c r="B1365" s="129" t="str">
        <f t="shared" si="54"/>
        <v/>
      </c>
    </row>
    <row r="1366" spans="2:2" x14ac:dyDescent="0.3">
      <c r="B1366" s="129" t="str">
        <f t="shared" si="54"/>
        <v/>
      </c>
    </row>
    <row r="1367" spans="2:2" x14ac:dyDescent="0.3">
      <c r="B1367" s="129" t="str">
        <f t="shared" si="54"/>
        <v/>
      </c>
    </row>
    <row r="1368" spans="2:2" x14ac:dyDescent="0.3">
      <c r="B1368" s="129" t="str">
        <f t="shared" si="54"/>
        <v/>
      </c>
    </row>
    <row r="1369" spans="2:2" x14ac:dyDescent="0.3">
      <c r="B1369" s="129" t="str">
        <f t="shared" si="54"/>
        <v/>
      </c>
    </row>
    <row r="1370" spans="2:2" x14ac:dyDescent="0.3">
      <c r="B1370" s="129" t="str">
        <f t="shared" si="54"/>
        <v/>
      </c>
    </row>
    <row r="1371" spans="2:2" x14ac:dyDescent="0.3">
      <c r="B1371" s="129" t="str">
        <f t="shared" si="54"/>
        <v/>
      </c>
    </row>
    <row r="1372" spans="2:2" x14ac:dyDescent="0.3">
      <c r="B1372" s="129" t="str">
        <f t="shared" si="54"/>
        <v/>
      </c>
    </row>
    <row r="1373" spans="2:2" x14ac:dyDescent="0.3">
      <c r="B1373" s="129" t="str">
        <f t="shared" si="54"/>
        <v/>
      </c>
    </row>
    <row r="1374" spans="2:2" x14ac:dyDescent="0.3">
      <c r="B1374" s="129" t="str">
        <f t="shared" si="54"/>
        <v/>
      </c>
    </row>
    <row r="1375" spans="2:2" x14ac:dyDescent="0.3">
      <c r="B1375" s="129" t="str">
        <f t="shared" si="54"/>
        <v/>
      </c>
    </row>
    <row r="1376" spans="2:2" x14ac:dyDescent="0.3">
      <c r="B1376" s="129" t="str">
        <f t="shared" si="54"/>
        <v/>
      </c>
    </row>
    <row r="1377" spans="2:2" x14ac:dyDescent="0.3">
      <c r="B1377" s="129" t="str">
        <f t="shared" si="54"/>
        <v/>
      </c>
    </row>
    <row r="1378" spans="2:2" x14ac:dyDescent="0.3">
      <c r="B1378" s="129" t="str">
        <f t="shared" si="54"/>
        <v/>
      </c>
    </row>
    <row r="1379" spans="2:2" x14ac:dyDescent="0.3">
      <c r="B1379" s="129" t="str">
        <f t="shared" si="54"/>
        <v/>
      </c>
    </row>
    <row r="1380" spans="2:2" x14ac:dyDescent="0.3">
      <c r="B1380" s="129" t="str">
        <f t="shared" si="54"/>
        <v/>
      </c>
    </row>
    <row r="1381" spans="2:2" x14ac:dyDescent="0.3">
      <c r="B1381" s="129" t="str">
        <f t="shared" si="54"/>
        <v/>
      </c>
    </row>
    <row r="1382" spans="2:2" x14ac:dyDescent="0.3">
      <c r="B1382" s="129" t="str">
        <f t="shared" si="54"/>
        <v/>
      </c>
    </row>
    <row r="1383" spans="2:2" x14ac:dyDescent="0.3">
      <c r="B1383" s="129" t="str">
        <f t="shared" si="54"/>
        <v/>
      </c>
    </row>
    <row r="1384" spans="2:2" x14ac:dyDescent="0.3">
      <c r="B1384" s="129" t="str">
        <f t="shared" ref="B1384:B1447" si="55">IF($A1384="Daily", "n/a", "")</f>
        <v/>
      </c>
    </row>
    <row r="1385" spans="2:2" x14ac:dyDescent="0.3">
      <c r="B1385" s="129" t="str">
        <f t="shared" si="55"/>
        <v/>
      </c>
    </row>
    <row r="1386" spans="2:2" x14ac:dyDescent="0.3">
      <c r="B1386" s="129" t="str">
        <f t="shared" si="55"/>
        <v/>
      </c>
    </row>
    <row r="1387" spans="2:2" x14ac:dyDescent="0.3">
      <c r="B1387" s="129" t="str">
        <f t="shared" si="55"/>
        <v/>
      </c>
    </row>
    <row r="1388" spans="2:2" x14ac:dyDescent="0.3">
      <c r="B1388" s="129" t="str">
        <f t="shared" si="55"/>
        <v/>
      </c>
    </row>
    <row r="1389" spans="2:2" x14ac:dyDescent="0.3">
      <c r="B1389" s="129" t="str">
        <f t="shared" si="55"/>
        <v/>
      </c>
    </row>
    <row r="1390" spans="2:2" x14ac:dyDescent="0.3">
      <c r="B1390" s="129" t="str">
        <f t="shared" si="55"/>
        <v/>
      </c>
    </row>
    <row r="1391" spans="2:2" x14ac:dyDescent="0.3">
      <c r="B1391" s="129" t="str">
        <f t="shared" si="55"/>
        <v/>
      </c>
    </row>
    <row r="1392" spans="2:2" x14ac:dyDescent="0.3">
      <c r="B1392" s="129" t="str">
        <f t="shared" si="55"/>
        <v/>
      </c>
    </row>
    <row r="1393" spans="2:2" x14ac:dyDescent="0.3">
      <c r="B1393" s="129" t="str">
        <f t="shared" si="55"/>
        <v/>
      </c>
    </row>
    <row r="1394" spans="2:2" x14ac:dyDescent="0.3">
      <c r="B1394" s="129" t="str">
        <f t="shared" si="55"/>
        <v/>
      </c>
    </row>
    <row r="1395" spans="2:2" x14ac:dyDescent="0.3">
      <c r="B1395" s="129" t="str">
        <f t="shared" si="55"/>
        <v/>
      </c>
    </row>
    <row r="1396" spans="2:2" x14ac:dyDescent="0.3">
      <c r="B1396" s="129" t="str">
        <f t="shared" si="55"/>
        <v/>
      </c>
    </row>
    <row r="1397" spans="2:2" x14ac:dyDescent="0.3">
      <c r="B1397" s="129" t="str">
        <f t="shared" si="55"/>
        <v/>
      </c>
    </row>
    <row r="1398" spans="2:2" x14ac:dyDescent="0.3">
      <c r="B1398" s="129" t="str">
        <f t="shared" si="55"/>
        <v/>
      </c>
    </row>
    <row r="1399" spans="2:2" x14ac:dyDescent="0.3">
      <c r="B1399" s="129" t="str">
        <f t="shared" si="55"/>
        <v/>
      </c>
    </row>
    <row r="1400" spans="2:2" x14ac:dyDescent="0.3">
      <c r="B1400" s="129" t="str">
        <f t="shared" si="55"/>
        <v/>
      </c>
    </row>
    <row r="1401" spans="2:2" x14ac:dyDescent="0.3">
      <c r="B1401" s="129" t="str">
        <f t="shared" si="55"/>
        <v/>
      </c>
    </row>
    <row r="1402" spans="2:2" x14ac:dyDescent="0.3">
      <c r="B1402" s="129" t="str">
        <f t="shared" si="55"/>
        <v/>
      </c>
    </row>
    <row r="1403" spans="2:2" x14ac:dyDescent="0.3">
      <c r="B1403" s="129" t="str">
        <f t="shared" si="55"/>
        <v/>
      </c>
    </row>
    <row r="1404" spans="2:2" x14ac:dyDescent="0.3">
      <c r="B1404" s="129" t="str">
        <f t="shared" si="55"/>
        <v/>
      </c>
    </row>
    <row r="1405" spans="2:2" x14ac:dyDescent="0.3">
      <c r="B1405" s="129" t="str">
        <f t="shared" si="55"/>
        <v/>
      </c>
    </row>
    <row r="1406" spans="2:2" x14ac:dyDescent="0.3">
      <c r="B1406" s="129" t="str">
        <f t="shared" si="55"/>
        <v/>
      </c>
    </row>
    <row r="1407" spans="2:2" x14ac:dyDescent="0.3">
      <c r="B1407" s="129" t="str">
        <f t="shared" si="55"/>
        <v/>
      </c>
    </row>
    <row r="1408" spans="2:2" x14ac:dyDescent="0.3">
      <c r="B1408" s="129" t="str">
        <f t="shared" si="55"/>
        <v/>
      </c>
    </row>
    <row r="1409" spans="2:2" x14ac:dyDescent="0.3">
      <c r="B1409" s="129" t="str">
        <f t="shared" si="55"/>
        <v/>
      </c>
    </row>
    <row r="1410" spans="2:2" x14ac:dyDescent="0.3">
      <c r="B1410" s="129" t="str">
        <f t="shared" si="55"/>
        <v/>
      </c>
    </row>
    <row r="1411" spans="2:2" x14ac:dyDescent="0.3">
      <c r="B1411" s="129" t="str">
        <f t="shared" si="55"/>
        <v/>
      </c>
    </row>
    <row r="1412" spans="2:2" x14ac:dyDescent="0.3">
      <c r="B1412" s="129" t="str">
        <f t="shared" si="55"/>
        <v/>
      </c>
    </row>
    <row r="1413" spans="2:2" x14ac:dyDescent="0.3">
      <c r="B1413" s="129" t="str">
        <f t="shared" si="55"/>
        <v/>
      </c>
    </row>
    <row r="1414" spans="2:2" x14ac:dyDescent="0.3">
      <c r="B1414" s="129" t="str">
        <f t="shared" si="55"/>
        <v/>
      </c>
    </row>
    <row r="1415" spans="2:2" x14ac:dyDescent="0.3">
      <c r="B1415" s="129" t="str">
        <f t="shared" si="55"/>
        <v/>
      </c>
    </row>
    <row r="1416" spans="2:2" x14ac:dyDescent="0.3">
      <c r="B1416" s="129" t="str">
        <f t="shared" si="55"/>
        <v/>
      </c>
    </row>
    <row r="1417" spans="2:2" x14ac:dyDescent="0.3">
      <c r="B1417" s="129" t="str">
        <f t="shared" si="55"/>
        <v/>
      </c>
    </row>
    <row r="1418" spans="2:2" x14ac:dyDescent="0.3">
      <c r="B1418" s="129" t="str">
        <f t="shared" si="55"/>
        <v/>
      </c>
    </row>
    <row r="1419" spans="2:2" x14ac:dyDescent="0.3">
      <c r="B1419" s="129" t="str">
        <f t="shared" si="55"/>
        <v/>
      </c>
    </row>
    <row r="1420" spans="2:2" x14ac:dyDescent="0.3">
      <c r="B1420" s="129" t="str">
        <f t="shared" si="55"/>
        <v/>
      </c>
    </row>
    <row r="1421" spans="2:2" x14ac:dyDescent="0.3">
      <c r="B1421" s="129" t="str">
        <f t="shared" si="55"/>
        <v/>
      </c>
    </row>
    <row r="1422" spans="2:2" x14ac:dyDescent="0.3">
      <c r="B1422" s="129" t="str">
        <f t="shared" si="55"/>
        <v/>
      </c>
    </row>
    <row r="1423" spans="2:2" x14ac:dyDescent="0.3">
      <c r="B1423" s="129" t="str">
        <f t="shared" si="55"/>
        <v/>
      </c>
    </row>
    <row r="1424" spans="2:2" x14ac:dyDescent="0.3">
      <c r="B1424" s="129" t="str">
        <f t="shared" si="55"/>
        <v/>
      </c>
    </row>
    <row r="1425" spans="2:2" x14ac:dyDescent="0.3">
      <c r="B1425" s="129" t="str">
        <f t="shared" si="55"/>
        <v/>
      </c>
    </row>
    <row r="1426" spans="2:2" x14ac:dyDescent="0.3">
      <c r="B1426" s="129" t="str">
        <f t="shared" si="55"/>
        <v/>
      </c>
    </row>
    <row r="1427" spans="2:2" x14ac:dyDescent="0.3">
      <c r="B1427" s="129" t="str">
        <f t="shared" si="55"/>
        <v/>
      </c>
    </row>
    <row r="1428" spans="2:2" x14ac:dyDescent="0.3">
      <c r="B1428" s="129" t="str">
        <f t="shared" si="55"/>
        <v/>
      </c>
    </row>
    <row r="1429" spans="2:2" x14ac:dyDescent="0.3">
      <c r="B1429" s="129" t="str">
        <f t="shared" si="55"/>
        <v/>
      </c>
    </row>
    <row r="1430" spans="2:2" x14ac:dyDescent="0.3">
      <c r="B1430" s="129" t="str">
        <f t="shared" si="55"/>
        <v/>
      </c>
    </row>
    <row r="1431" spans="2:2" x14ac:dyDescent="0.3">
      <c r="B1431" s="129" t="str">
        <f t="shared" si="55"/>
        <v/>
      </c>
    </row>
    <row r="1432" spans="2:2" x14ac:dyDescent="0.3">
      <c r="B1432" s="129" t="str">
        <f t="shared" si="55"/>
        <v/>
      </c>
    </row>
    <row r="1433" spans="2:2" x14ac:dyDescent="0.3">
      <c r="B1433" s="129" t="str">
        <f t="shared" si="55"/>
        <v/>
      </c>
    </row>
    <row r="1434" spans="2:2" x14ac:dyDescent="0.3">
      <c r="B1434" s="129" t="str">
        <f t="shared" si="55"/>
        <v/>
      </c>
    </row>
    <row r="1435" spans="2:2" x14ac:dyDescent="0.3">
      <c r="B1435" s="129" t="str">
        <f t="shared" si="55"/>
        <v/>
      </c>
    </row>
    <row r="1436" spans="2:2" x14ac:dyDescent="0.3">
      <c r="B1436" s="129" t="str">
        <f t="shared" si="55"/>
        <v/>
      </c>
    </row>
    <row r="1437" spans="2:2" x14ac:dyDescent="0.3">
      <c r="B1437" s="129" t="str">
        <f t="shared" si="55"/>
        <v/>
      </c>
    </row>
    <row r="1438" spans="2:2" x14ac:dyDescent="0.3">
      <c r="B1438" s="129" t="str">
        <f t="shared" si="55"/>
        <v/>
      </c>
    </row>
    <row r="1439" spans="2:2" x14ac:dyDescent="0.3">
      <c r="B1439" s="129" t="str">
        <f t="shared" si="55"/>
        <v/>
      </c>
    </row>
    <row r="1440" spans="2:2" x14ac:dyDescent="0.3">
      <c r="B1440" s="129" t="str">
        <f t="shared" si="55"/>
        <v/>
      </c>
    </row>
    <row r="1441" spans="2:2" x14ac:dyDescent="0.3">
      <c r="B1441" s="129" t="str">
        <f t="shared" si="55"/>
        <v/>
      </c>
    </row>
    <row r="1442" spans="2:2" x14ac:dyDescent="0.3">
      <c r="B1442" s="129" t="str">
        <f t="shared" si="55"/>
        <v/>
      </c>
    </row>
    <row r="1443" spans="2:2" x14ac:dyDescent="0.3">
      <c r="B1443" s="129" t="str">
        <f t="shared" si="55"/>
        <v/>
      </c>
    </row>
    <row r="1444" spans="2:2" x14ac:dyDescent="0.3">
      <c r="B1444" s="129" t="str">
        <f t="shared" si="55"/>
        <v/>
      </c>
    </row>
    <row r="1445" spans="2:2" x14ac:dyDescent="0.3">
      <c r="B1445" s="129" t="str">
        <f t="shared" si="55"/>
        <v/>
      </c>
    </row>
    <row r="1446" spans="2:2" x14ac:dyDescent="0.3">
      <c r="B1446" s="129" t="str">
        <f t="shared" si="55"/>
        <v/>
      </c>
    </row>
    <row r="1447" spans="2:2" x14ac:dyDescent="0.3">
      <c r="B1447" s="129" t="str">
        <f t="shared" si="55"/>
        <v/>
      </c>
    </row>
    <row r="1448" spans="2:2" x14ac:dyDescent="0.3">
      <c r="B1448" s="129" t="str">
        <f t="shared" ref="B1448:B1511" si="56">IF($A1448="Daily", "n/a", "")</f>
        <v/>
      </c>
    </row>
    <row r="1449" spans="2:2" x14ac:dyDescent="0.3">
      <c r="B1449" s="129" t="str">
        <f t="shared" si="56"/>
        <v/>
      </c>
    </row>
    <row r="1450" spans="2:2" x14ac:dyDescent="0.3">
      <c r="B1450" s="129" t="str">
        <f t="shared" si="56"/>
        <v/>
      </c>
    </row>
    <row r="1451" spans="2:2" x14ac:dyDescent="0.3">
      <c r="B1451" s="129" t="str">
        <f t="shared" si="56"/>
        <v/>
      </c>
    </row>
    <row r="1452" spans="2:2" x14ac:dyDescent="0.3">
      <c r="B1452" s="129" t="str">
        <f t="shared" si="56"/>
        <v/>
      </c>
    </row>
    <row r="1453" spans="2:2" x14ac:dyDescent="0.3">
      <c r="B1453" s="129" t="str">
        <f t="shared" si="56"/>
        <v/>
      </c>
    </row>
    <row r="1454" spans="2:2" x14ac:dyDescent="0.3">
      <c r="B1454" s="129" t="str">
        <f t="shared" si="56"/>
        <v/>
      </c>
    </row>
    <row r="1455" spans="2:2" x14ac:dyDescent="0.3">
      <c r="B1455" s="129" t="str">
        <f t="shared" si="56"/>
        <v/>
      </c>
    </row>
    <row r="1456" spans="2:2" x14ac:dyDescent="0.3">
      <c r="B1456" s="129" t="str">
        <f t="shared" si="56"/>
        <v/>
      </c>
    </row>
    <row r="1457" spans="2:2" x14ac:dyDescent="0.3">
      <c r="B1457" s="129" t="str">
        <f t="shared" si="56"/>
        <v/>
      </c>
    </row>
    <row r="1458" spans="2:2" x14ac:dyDescent="0.3">
      <c r="B1458" s="129" t="str">
        <f t="shared" si="56"/>
        <v/>
      </c>
    </row>
    <row r="1459" spans="2:2" x14ac:dyDescent="0.3">
      <c r="B1459" s="129" t="str">
        <f t="shared" si="56"/>
        <v/>
      </c>
    </row>
    <row r="1460" spans="2:2" x14ac:dyDescent="0.3">
      <c r="B1460" s="129" t="str">
        <f t="shared" si="56"/>
        <v/>
      </c>
    </row>
    <row r="1461" spans="2:2" x14ac:dyDescent="0.3">
      <c r="B1461" s="129" t="str">
        <f t="shared" si="56"/>
        <v/>
      </c>
    </row>
    <row r="1462" spans="2:2" x14ac:dyDescent="0.3">
      <c r="B1462" s="129" t="str">
        <f t="shared" si="56"/>
        <v/>
      </c>
    </row>
    <row r="1463" spans="2:2" x14ac:dyDescent="0.3">
      <c r="B1463" s="129" t="str">
        <f t="shared" si="56"/>
        <v/>
      </c>
    </row>
    <row r="1464" spans="2:2" x14ac:dyDescent="0.3">
      <c r="B1464" s="129" t="str">
        <f t="shared" si="56"/>
        <v/>
      </c>
    </row>
    <row r="1465" spans="2:2" x14ac:dyDescent="0.3">
      <c r="B1465" s="129" t="str">
        <f t="shared" si="56"/>
        <v/>
      </c>
    </row>
    <row r="1466" spans="2:2" x14ac:dyDescent="0.3">
      <c r="B1466" s="129" t="str">
        <f t="shared" si="56"/>
        <v/>
      </c>
    </row>
    <row r="1467" spans="2:2" x14ac:dyDescent="0.3">
      <c r="B1467" s="129" t="str">
        <f t="shared" si="56"/>
        <v/>
      </c>
    </row>
    <row r="1468" spans="2:2" x14ac:dyDescent="0.3">
      <c r="B1468" s="129" t="str">
        <f t="shared" si="56"/>
        <v/>
      </c>
    </row>
    <row r="1469" spans="2:2" x14ac:dyDescent="0.3">
      <c r="B1469" s="129" t="str">
        <f t="shared" si="56"/>
        <v/>
      </c>
    </row>
    <row r="1470" spans="2:2" x14ac:dyDescent="0.3">
      <c r="B1470" s="129" t="str">
        <f t="shared" si="56"/>
        <v/>
      </c>
    </row>
    <row r="1471" spans="2:2" x14ac:dyDescent="0.3">
      <c r="B1471" s="129" t="str">
        <f t="shared" si="56"/>
        <v/>
      </c>
    </row>
    <row r="1472" spans="2:2" x14ac:dyDescent="0.3">
      <c r="B1472" s="129" t="str">
        <f t="shared" si="56"/>
        <v/>
      </c>
    </row>
    <row r="1473" spans="2:2" x14ac:dyDescent="0.3">
      <c r="B1473" s="129" t="str">
        <f t="shared" si="56"/>
        <v/>
      </c>
    </row>
    <row r="1474" spans="2:2" x14ac:dyDescent="0.3">
      <c r="B1474" s="129" t="str">
        <f t="shared" si="56"/>
        <v/>
      </c>
    </row>
    <row r="1475" spans="2:2" x14ac:dyDescent="0.3">
      <c r="B1475" s="129" t="str">
        <f t="shared" si="56"/>
        <v/>
      </c>
    </row>
    <row r="1476" spans="2:2" x14ac:dyDescent="0.3">
      <c r="B1476" s="129" t="str">
        <f t="shared" si="56"/>
        <v/>
      </c>
    </row>
    <row r="1477" spans="2:2" x14ac:dyDescent="0.3">
      <c r="B1477" s="129" t="str">
        <f t="shared" si="56"/>
        <v/>
      </c>
    </row>
    <row r="1478" spans="2:2" x14ac:dyDescent="0.3">
      <c r="B1478" s="129" t="str">
        <f t="shared" si="56"/>
        <v/>
      </c>
    </row>
    <row r="1479" spans="2:2" x14ac:dyDescent="0.3">
      <c r="B1479" s="129" t="str">
        <f t="shared" si="56"/>
        <v/>
      </c>
    </row>
    <row r="1480" spans="2:2" x14ac:dyDescent="0.3">
      <c r="B1480" s="129" t="str">
        <f t="shared" si="56"/>
        <v/>
      </c>
    </row>
    <row r="1481" spans="2:2" x14ac:dyDescent="0.3">
      <c r="B1481" s="129" t="str">
        <f t="shared" si="56"/>
        <v/>
      </c>
    </row>
    <row r="1482" spans="2:2" x14ac:dyDescent="0.3">
      <c r="B1482" s="129" t="str">
        <f t="shared" si="56"/>
        <v/>
      </c>
    </row>
    <row r="1483" spans="2:2" x14ac:dyDescent="0.3">
      <c r="B1483" s="129" t="str">
        <f t="shared" si="56"/>
        <v/>
      </c>
    </row>
    <row r="1484" spans="2:2" x14ac:dyDescent="0.3">
      <c r="B1484" s="129" t="str">
        <f t="shared" si="56"/>
        <v/>
      </c>
    </row>
    <row r="1485" spans="2:2" x14ac:dyDescent="0.3">
      <c r="B1485" s="129" t="str">
        <f t="shared" si="56"/>
        <v/>
      </c>
    </row>
    <row r="1486" spans="2:2" x14ac:dyDescent="0.3">
      <c r="B1486" s="129" t="str">
        <f t="shared" si="56"/>
        <v/>
      </c>
    </row>
    <row r="1487" spans="2:2" x14ac:dyDescent="0.3">
      <c r="B1487" s="129" t="str">
        <f t="shared" si="56"/>
        <v/>
      </c>
    </row>
    <row r="1488" spans="2:2" x14ac:dyDescent="0.3">
      <c r="B1488" s="129" t="str">
        <f t="shared" si="56"/>
        <v/>
      </c>
    </row>
    <row r="1489" spans="2:2" x14ac:dyDescent="0.3">
      <c r="B1489" s="129" t="str">
        <f t="shared" si="56"/>
        <v/>
      </c>
    </row>
    <row r="1490" spans="2:2" x14ac:dyDescent="0.3">
      <c r="B1490" s="129" t="str">
        <f t="shared" si="56"/>
        <v/>
      </c>
    </row>
    <row r="1491" spans="2:2" x14ac:dyDescent="0.3">
      <c r="B1491" s="129" t="str">
        <f t="shared" si="56"/>
        <v/>
      </c>
    </row>
    <row r="1492" spans="2:2" x14ac:dyDescent="0.3">
      <c r="B1492" s="129" t="str">
        <f t="shared" si="56"/>
        <v/>
      </c>
    </row>
    <row r="1493" spans="2:2" x14ac:dyDescent="0.3">
      <c r="B1493" s="129" t="str">
        <f t="shared" si="56"/>
        <v/>
      </c>
    </row>
    <row r="1494" spans="2:2" x14ac:dyDescent="0.3">
      <c r="B1494" s="129" t="str">
        <f t="shared" si="56"/>
        <v/>
      </c>
    </row>
    <row r="1495" spans="2:2" x14ac:dyDescent="0.3">
      <c r="B1495" s="129" t="str">
        <f t="shared" si="56"/>
        <v/>
      </c>
    </row>
    <row r="1496" spans="2:2" x14ac:dyDescent="0.3">
      <c r="B1496" s="129" t="str">
        <f t="shared" si="56"/>
        <v/>
      </c>
    </row>
    <row r="1497" spans="2:2" x14ac:dyDescent="0.3">
      <c r="B1497" s="129" t="str">
        <f t="shared" si="56"/>
        <v/>
      </c>
    </row>
    <row r="1498" spans="2:2" x14ac:dyDescent="0.3">
      <c r="B1498" s="129" t="str">
        <f t="shared" si="56"/>
        <v/>
      </c>
    </row>
    <row r="1499" spans="2:2" x14ac:dyDescent="0.3">
      <c r="B1499" s="129" t="str">
        <f t="shared" si="56"/>
        <v/>
      </c>
    </row>
    <row r="1500" spans="2:2" x14ac:dyDescent="0.3">
      <c r="B1500" s="129" t="str">
        <f t="shared" si="56"/>
        <v/>
      </c>
    </row>
    <row r="1501" spans="2:2" x14ac:dyDescent="0.3">
      <c r="B1501" s="129" t="str">
        <f t="shared" si="56"/>
        <v/>
      </c>
    </row>
    <row r="1502" spans="2:2" x14ac:dyDescent="0.3">
      <c r="B1502" s="129" t="str">
        <f t="shared" si="56"/>
        <v/>
      </c>
    </row>
    <row r="1503" spans="2:2" x14ac:dyDescent="0.3">
      <c r="B1503" s="129" t="str">
        <f t="shared" si="56"/>
        <v/>
      </c>
    </row>
    <row r="1504" spans="2:2" x14ac:dyDescent="0.3">
      <c r="B1504" s="129" t="str">
        <f t="shared" si="56"/>
        <v/>
      </c>
    </row>
    <row r="1505" spans="2:2" x14ac:dyDescent="0.3">
      <c r="B1505" s="129" t="str">
        <f t="shared" si="56"/>
        <v/>
      </c>
    </row>
    <row r="1506" spans="2:2" x14ac:dyDescent="0.3">
      <c r="B1506" s="129" t="str">
        <f t="shared" si="56"/>
        <v/>
      </c>
    </row>
    <row r="1507" spans="2:2" x14ac:dyDescent="0.3">
      <c r="B1507" s="129" t="str">
        <f t="shared" si="56"/>
        <v/>
      </c>
    </row>
    <row r="1508" spans="2:2" x14ac:dyDescent="0.3">
      <c r="B1508" s="129" t="str">
        <f t="shared" si="56"/>
        <v/>
      </c>
    </row>
    <row r="1509" spans="2:2" x14ac:dyDescent="0.3">
      <c r="B1509" s="129" t="str">
        <f t="shared" si="56"/>
        <v/>
      </c>
    </row>
    <row r="1510" spans="2:2" x14ac:dyDescent="0.3">
      <c r="B1510" s="129" t="str">
        <f t="shared" si="56"/>
        <v/>
      </c>
    </row>
    <row r="1511" spans="2:2" x14ac:dyDescent="0.3">
      <c r="B1511" s="129" t="str">
        <f t="shared" si="56"/>
        <v/>
      </c>
    </row>
    <row r="1512" spans="2:2" x14ac:dyDescent="0.3">
      <c r="B1512" s="129" t="str">
        <f t="shared" ref="B1512:B1575" si="57">IF($A1512="Daily", "n/a", "")</f>
        <v/>
      </c>
    </row>
    <row r="1513" spans="2:2" x14ac:dyDescent="0.3">
      <c r="B1513" s="129" t="str">
        <f t="shared" si="57"/>
        <v/>
      </c>
    </row>
    <row r="1514" spans="2:2" x14ac:dyDescent="0.3">
      <c r="B1514" s="129" t="str">
        <f t="shared" si="57"/>
        <v/>
      </c>
    </row>
    <row r="1515" spans="2:2" x14ac:dyDescent="0.3">
      <c r="B1515" s="129" t="str">
        <f t="shared" si="57"/>
        <v/>
      </c>
    </row>
    <row r="1516" spans="2:2" x14ac:dyDescent="0.3">
      <c r="B1516" s="129" t="str">
        <f t="shared" si="57"/>
        <v/>
      </c>
    </row>
    <row r="1517" spans="2:2" x14ac:dyDescent="0.3">
      <c r="B1517" s="129" t="str">
        <f t="shared" si="57"/>
        <v/>
      </c>
    </row>
    <row r="1518" spans="2:2" x14ac:dyDescent="0.3">
      <c r="B1518" s="129" t="str">
        <f t="shared" si="57"/>
        <v/>
      </c>
    </row>
    <row r="1519" spans="2:2" x14ac:dyDescent="0.3">
      <c r="B1519" s="129" t="str">
        <f t="shared" si="57"/>
        <v/>
      </c>
    </row>
    <row r="1520" spans="2:2" x14ac:dyDescent="0.3">
      <c r="B1520" s="129" t="str">
        <f t="shared" si="57"/>
        <v/>
      </c>
    </row>
    <row r="1521" spans="2:2" x14ac:dyDescent="0.3">
      <c r="B1521" s="129" t="str">
        <f t="shared" si="57"/>
        <v/>
      </c>
    </row>
    <row r="1522" spans="2:2" x14ac:dyDescent="0.3">
      <c r="B1522" s="129" t="str">
        <f t="shared" si="57"/>
        <v/>
      </c>
    </row>
    <row r="1523" spans="2:2" x14ac:dyDescent="0.3">
      <c r="B1523" s="129" t="str">
        <f t="shared" si="57"/>
        <v/>
      </c>
    </row>
    <row r="1524" spans="2:2" x14ac:dyDescent="0.3">
      <c r="B1524" s="129" t="str">
        <f t="shared" si="57"/>
        <v/>
      </c>
    </row>
    <row r="1525" spans="2:2" x14ac:dyDescent="0.3">
      <c r="B1525" s="129" t="str">
        <f t="shared" si="57"/>
        <v/>
      </c>
    </row>
    <row r="1526" spans="2:2" x14ac:dyDescent="0.3">
      <c r="B1526" s="129" t="str">
        <f t="shared" si="57"/>
        <v/>
      </c>
    </row>
    <row r="1527" spans="2:2" x14ac:dyDescent="0.3">
      <c r="B1527" s="129" t="str">
        <f t="shared" si="57"/>
        <v/>
      </c>
    </row>
    <row r="1528" spans="2:2" x14ac:dyDescent="0.3">
      <c r="B1528" s="129" t="str">
        <f t="shared" si="57"/>
        <v/>
      </c>
    </row>
    <row r="1529" spans="2:2" x14ac:dyDescent="0.3">
      <c r="B1529" s="129" t="str">
        <f t="shared" si="57"/>
        <v/>
      </c>
    </row>
    <row r="1530" spans="2:2" x14ac:dyDescent="0.3">
      <c r="B1530" s="129" t="str">
        <f t="shared" si="57"/>
        <v/>
      </c>
    </row>
    <row r="1531" spans="2:2" x14ac:dyDescent="0.3">
      <c r="B1531" s="129" t="str">
        <f t="shared" si="57"/>
        <v/>
      </c>
    </row>
    <row r="1532" spans="2:2" x14ac:dyDescent="0.3">
      <c r="B1532" s="129" t="str">
        <f t="shared" si="57"/>
        <v/>
      </c>
    </row>
    <row r="1533" spans="2:2" x14ac:dyDescent="0.3">
      <c r="B1533" s="129" t="str">
        <f t="shared" si="57"/>
        <v/>
      </c>
    </row>
    <row r="1534" spans="2:2" x14ac:dyDescent="0.3">
      <c r="B1534" s="129" t="str">
        <f t="shared" si="57"/>
        <v/>
      </c>
    </row>
    <row r="1535" spans="2:2" x14ac:dyDescent="0.3">
      <c r="B1535" s="129" t="str">
        <f t="shared" si="57"/>
        <v/>
      </c>
    </row>
    <row r="1536" spans="2:2" x14ac:dyDescent="0.3">
      <c r="B1536" s="129" t="str">
        <f t="shared" si="57"/>
        <v/>
      </c>
    </row>
    <row r="1537" spans="2:2" x14ac:dyDescent="0.3">
      <c r="B1537" s="129" t="str">
        <f t="shared" si="57"/>
        <v/>
      </c>
    </row>
    <row r="1538" spans="2:2" x14ac:dyDescent="0.3">
      <c r="B1538" s="129" t="str">
        <f t="shared" si="57"/>
        <v/>
      </c>
    </row>
    <row r="1539" spans="2:2" x14ac:dyDescent="0.3">
      <c r="B1539" s="129" t="str">
        <f t="shared" si="57"/>
        <v/>
      </c>
    </row>
    <row r="1540" spans="2:2" x14ac:dyDescent="0.3">
      <c r="B1540" s="129" t="str">
        <f t="shared" si="57"/>
        <v/>
      </c>
    </row>
    <row r="1541" spans="2:2" x14ac:dyDescent="0.3">
      <c r="B1541" s="129" t="str">
        <f t="shared" si="57"/>
        <v/>
      </c>
    </row>
    <row r="1542" spans="2:2" x14ac:dyDescent="0.3">
      <c r="B1542" s="129" t="str">
        <f t="shared" si="57"/>
        <v/>
      </c>
    </row>
    <row r="1543" spans="2:2" x14ac:dyDescent="0.3">
      <c r="B1543" s="129" t="str">
        <f t="shared" si="57"/>
        <v/>
      </c>
    </row>
    <row r="1544" spans="2:2" x14ac:dyDescent="0.3">
      <c r="B1544" s="129" t="str">
        <f t="shared" si="57"/>
        <v/>
      </c>
    </row>
    <row r="1545" spans="2:2" x14ac:dyDescent="0.3">
      <c r="B1545" s="129" t="str">
        <f t="shared" si="57"/>
        <v/>
      </c>
    </row>
    <row r="1546" spans="2:2" x14ac:dyDescent="0.3">
      <c r="B1546" s="129" t="str">
        <f t="shared" si="57"/>
        <v/>
      </c>
    </row>
    <row r="1547" spans="2:2" x14ac:dyDescent="0.3">
      <c r="B1547" s="129" t="str">
        <f t="shared" si="57"/>
        <v/>
      </c>
    </row>
    <row r="1548" spans="2:2" x14ac:dyDescent="0.3">
      <c r="B1548" s="129" t="str">
        <f t="shared" si="57"/>
        <v/>
      </c>
    </row>
    <row r="1549" spans="2:2" x14ac:dyDescent="0.3">
      <c r="B1549" s="129" t="str">
        <f t="shared" si="57"/>
        <v/>
      </c>
    </row>
    <row r="1550" spans="2:2" x14ac:dyDescent="0.3">
      <c r="B1550" s="129" t="str">
        <f t="shared" si="57"/>
        <v/>
      </c>
    </row>
    <row r="1551" spans="2:2" x14ac:dyDescent="0.3">
      <c r="B1551" s="129" t="str">
        <f t="shared" si="57"/>
        <v/>
      </c>
    </row>
    <row r="1552" spans="2:2" x14ac:dyDescent="0.3">
      <c r="B1552" s="129" t="str">
        <f t="shared" si="57"/>
        <v/>
      </c>
    </row>
    <row r="1553" spans="2:2" x14ac:dyDescent="0.3">
      <c r="B1553" s="129" t="str">
        <f t="shared" si="57"/>
        <v/>
      </c>
    </row>
    <row r="1554" spans="2:2" x14ac:dyDescent="0.3">
      <c r="B1554" s="129" t="str">
        <f t="shared" si="57"/>
        <v/>
      </c>
    </row>
    <row r="1555" spans="2:2" x14ac:dyDescent="0.3">
      <c r="B1555" s="129" t="str">
        <f t="shared" si="57"/>
        <v/>
      </c>
    </row>
    <row r="1556" spans="2:2" x14ac:dyDescent="0.3">
      <c r="B1556" s="129" t="str">
        <f t="shared" si="57"/>
        <v/>
      </c>
    </row>
    <row r="1557" spans="2:2" x14ac:dyDescent="0.3">
      <c r="B1557" s="129" t="str">
        <f t="shared" si="57"/>
        <v/>
      </c>
    </row>
    <row r="1558" spans="2:2" x14ac:dyDescent="0.3">
      <c r="B1558" s="129" t="str">
        <f t="shared" si="57"/>
        <v/>
      </c>
    </row>
    <row r="1559" spans="2:2" x14ac:dyDescent="0.3">
      <c r="B1559" s="129" t="str">
        <f t="shared" si="57"/>
        <v/>
      </c>
    </row>
    <row r="1560" spans="2:2" x14ac:dyDescent="0.3">
      <c r="B1560" s="129" t="str">
        <f t="shared" si="57"/>
        <v/>
      </c>
    </row>
    <row r="1561" spans="2:2" x14ac:dyDescent="0.3">
      <c r="B1561" s="129" t="str">
        <f t="shared" si="57"/>
        <v/>
      </c>
    </row>
    <row r="1562" spans="2:2" x14ac:dyDescent="0.3">
      <c r="B1562" s="129" t="str">
        <f t="shared" si="57"/>
        <v/>
      </c>
    </row>
    <row r="1563" spans="2:2" x14ac:dyDescent="0.3">
      <c r="B1563" s="129" t="str">
        <f t="shared" si="57"/>
        <v/>
      </c>
    </row>
    <row r="1564" spans="2:2" x14ac:dyDescent="0.3">
      <c r="B1564" s="129" t="str">
        <f t="shared" si="57"/>
        <v/>
      </c>
    </row>
    <row r="1565" spans="2:2" x14ac:dyDescent="0.3">
      <c r="B1565" s="129" t="str">
        <f t="shared" si="57"/>
        <v/>
      </c>
    </row>
    <row r="1566" spans="2:2" x14ac:dyDescent="0.3">
      <c r="B1566" s="129" t="str">
        <f t="shared" si="57"/>
        <v/>
      </c>
    </row>
    <row r="1567" spans="2:2" x14ac:dyDescent="0.3">
      <c r="B1567" s="129" t="str">
        <f t="shared" si="57"/>
        <v/>
      </c>
    </row>
    <row r="1568" spans="2:2" x14ac:dyDescent="0.3">
      <c r="B1568" s="129" t="str">
        <f t="shared" si="57"/>
        <v/>
      </c>
    </row>
    <row r="1569" spans="2:2" x14ac:dyDescent="0.3">
      <c r="B1569" s="129" t="str">
        <f t="shared" si="57"/>
        <v/>
      </c>
    </row>
    <row r="1570" spans="2:2" x14ac:dyDescent="0.3">
      <c r="B1570" s="129" t="str">
        <f t="shared" si="57"/>
        <v/>
      </c>
    </row>
    <row r="1571" spans="2:2" x14ac:dyDescent="0.3">
      <c r="B1571" s="129" t="str">
        <f t="shared" si="57"/>
        <v/>
      </c>
    </row>
    <row r="1572" spans="2:2" x14ac:dyDescent="0.3">
      <c r="B1572" s="129" t="str">
        <f t="shared" si="57"/>
        <v/>
      </c>
    </row>
    <row r="1573" spans="2:2" x14ac:dyDescent="0.3">
      <c r="B1573" s="129" t="str">
        <f t="shared" si="57"/>
        <v/>
      </c>
    </row>
    <row r="1574" spans="2:2" x14ac:dyDescent="0.3">
      <c r="B1574" s="129" t="str">
        <f t="shared" si="57"/>
        <v/>
      </c>
    </row>
    <row r="1575" spans="2:2" x14ac:dyDescent="0.3">
      <c r="B1575" s="129" t="str">
        <f t="shared" si="57"/>
        <v/>
      </c>
    </row>
    <row r="1576" spans="2:2" x14ac:dyDescent="0.3">
      <c r="B1576" s="129" t="str">
        <f t="shared" ref="B1576:B1639" si="58">IF($A1576="Daily", "n/a", "")</f>
        <v/>
      </c>
    </row>
    <row r="1577" spans="2:2" x14ac:dyDescent="0.3">
      <c r="B1577" s="129" t="str">
        <f t="shared" si="58"/>
        <v/>
      </c>
    </row>
    <row r="1578" spans="2:2" x14ac:dyDescent="0.3">
      <c r="B1578" s="129" t="str">
        <f t="shared" si="58"/>
        <v/>
      </c>
    </row>
    <row r="1579" spans="2:2" x14ac:dyDescent="0.3">
      <c r="B1579" s="129" t="str">
        <f t="shared" si="58"/>
        <v/>
      </c>
    </row>
    <row r="1580" spans="2:2" x14ac:dyDescent="0.3">
      <c r="B1580" s="129" t="str">
        <f t="shared" si="58"/>
        <v/>
      </c>
    </row>
    <row r="1581" spans="2:2" x14ac:dyDescent="0.3">
      <c r="B1581" s="129" t="str">
        <f t="shared" si="58"/>
        <v/>
      </c>
    </row>
    <row r="1582" spans="2:2" x14ac:dyDescent="0.3">
      <c r="B1582" s="129" t="str">
        <f t="shared" si="58"/>
        <v/>
      </c>
    </row>
    <row r="1583" spans="2:2" x14ac:dyDescent="0.3">
      <c r="B1583" s="129" t="str">
        <f t="shared" si="58"/>
        <v/>
      </c>
    </row>
    <row r="1584" spans="2:2" x14ac:dyDescent="0.3">
      <c r="B1584" s="129" t="str">
        <f t="shared" si="58"/>
        <v/>
      </c>
    </row>
    <row r="1585" spans="2:2" x14ac:dyDescent="0.3">
      <c r="B1585" s="129" t="str">
        <f t="shared" si="58"/>
        <v/>
      </c>
    </row>
    <row r="1586" spans="2:2" x14ac:dyDescent="0.3">
      <c r="B1586" s="129" t="str">
        <f t="shared" si="58"/>
        <v/>
      </c>
    </row>
    <row r="1587" spans="2:2" x14ac:dyDescent="0.3">
      <c r="B1587" s="129" t="str">
        <f t="shared" si="58"/>
        <v/>
      </c>
    </row>
    <row r="1588" spans="2:2" x14ac:dyDescent="0.3">
      <c r="B1588" s="129" t="str">
        <f t="shared" si="58"/>
        <v/>
      </c>
    </row>
    <row r="1589" spans="2:2" x14ac:dyDescent="0.3">
      <c r="B1589" s="129" t="str">
        <f t="shared" si="58"/>
        <v/>
      </c>
    </row>
    <row r="1590" spans="2:2" x14ac:dyDescent="0.3">
      <c r="B1590" s="129" t="str">
        <f t="shared" si="58"/>
        <v/>
      </c>
    </row>
    <row r="1591" spans="2:2" x14ac:dyDescent="0.3">
      <c r="B1591" s="129" t="str">
        <f t="shared" si="58"/>
        <v/>
      </c>
    </row>
    <row r="1592" spans="2:2" x14ac:dyDescent="0.3">
      <c r="B1592" s="129" t="str">
        <f t="shared" si="58"/>
        <v/>
      </c>
    </row>
    <row r="1593" spans="2:2" x14ac:dyDescent="0.3">
      <c r="B1593" s="129" t="str">
        <f t="shared" si="58"/>
        <v/>
      </c>
    </row>
    <row r="1594" spans="2:2" x14ac:dyDescent="0.3">
      <c r="B1594" s="129" t="str">
        <f t="shared" si="58"/>
        <v/>
      </c>
    </row>
    <row r="1595" spans="2:2" x14ac:dyDescent="0.3">
      <c r="B1595" s="129" t="str">
        <f t="shared" si="58"/>
        <v/>
      </c>
    </row>
    <row r="1596" spans="2:2" x14ac:dyDescent="0.3">
      <c r="B1596" s="129" t="str">
        <f t="shared" si="58"/>
        <v/>
      </c>
    </row>
    <row r="1597" spans="2:2" x14ac:dyDescent="0.3">
      <c r="B1597" s="129" t="str">
        <f t="shared" si="58"/>
        <v/>
      </c>
    </row>
    <row r="1598" spans="2:2" x14ac:dyDescent="0.3">
      <c r="B1598" s="129" t="str">
        <f t="shared" si="58"/>
        <v/>
      </c>
    </row>
    <row r="1599" spans="2:2" x14ac:dyDescent="0.3">
      <c r="B1599" s="129" t="str">
        <f t="shared" si="58"/>
        <v/>
      </c>
    </row>
    <row r="1600" spans="2:2" x14ac:dyDescent="0.3">
      <c r="B1600" s="129" t="str">
        <f t="shared" si="58"/>
        <v/>
      </c>
    </row>
    <row r="1601" spans="2:2" x14ac:dyDescent="0.3">
      <c r="B1601" s="129" t="str">
        <f t="shared" si="58"/>
        <v/>
      </c>
    </row>
    <row r="1602" spans="2:2" x14ac:dyDescent="0.3">
      <c r="B1602" s="129" t="str">
        <f t="shared" si="58"/>
        <v/>
      </c>
    </row>
    <row r="1603" spans="2:2" x14ac:dyDescent="0.3">
      <c r="B1603" s="129" t="str">
        <f t="shared" si="58"/>
        <v/>
      </c>
    </row>
    <row r="1604" spans="2:2" x14ac:dyDescent="0.3">
      <c r="B1604" s="129" t="str">
        <f t="shared" si="58"/>
        <v/>
      </c>
    </row>
    <row r="1605" spans="2:2" x14ac:dyDescent="0.3">
      <c r="B1605" s="129" t="str">
        <f t="shared" si="58"/>
        <v/>
      </c>
    </row>
    <row r="1606" spans="2:2" x14ac:dyDescent="0.3">
      <c r="B1606" s="129" t="str">
        <f t="shared" si="58"/>
        <v/>
      </c>
    </row>
    <row r="1607" spans="2:2" x14ac:dyDescent="0.3">
      <c r="B1607" s="129" t="str">
        <f t="shared" si="58"/>
        <v/>
      </c>
    </row>
    <row r="1608" spans="2:2" x14ac:dyDescent="0.3">
      <c r="B1608" s="129" t="str">
        <f t="shared" si="58"/>
        <v/>
      </c>
    </row>
    <row r="1609" spans="2:2" x14ac:dyDescent="0.3">
      <c r="B1609" s="129" t="str">
        <f t="shared" si="58"/>
        <v/>
      </c>
    </row>
    <row r="1610" spans="2:2" x14ac:dyDescent="0.3">
      <c r="B1610" s="129" t="str">
        <f t="shared" si="58"/>
        <v/>
      </c>
    </row>
    <row r="1611" spans="2:2" x14ac:dyDescent="0.3">
      <c r="B1611" s="129" t="str">
        <f t="shared" si="58"/>
        <v/>
      </c>
    </row>
    <row r="1612" spans="2:2" x14ac:dyDescent="0.3">
      <c r="B1612" s="129" t="str">
        <f t="shared" si="58"/>
        <v/>
      </c>
    </row>
    <row r="1613" spans="2:2" x14ac:dyDescent="0.3">
      <c r="B1613" s="129" t="str">
        <f t="shared" si="58"/>
        <v/>
      </c>
    </row>
    <row r="1614" spans="2:2" x14ac:dyDescent="0.3">
      <c r="B1614" s="129" t="str">
        <f t="shared" si="58"/>
        <v/>
      </c>
    </row>
    <row r="1615" spans="2:2" x14ac:dyDescent="0.3">
      <c r="B1615" s="129" t="str">
        <f t="shared" si="58"/>
        <v/>
      </c>
    </row>
    <row r="1616" spans="2:2" x14ac:dyDescent="0.3">
      <c r="B1616" s="129" t="str">
        <f t="shared" si="58"/>
        <v/>
      </c>
    </row>
    <row r="1617" spans="2:2" x14ac:dyDescent="0.3">
      <c r="B1617" s="129" t="str">
        <f t="shared" si="58"/>
        <v/>
      </c>
    </row>
    <row r="1618" spans="2:2" x14ac:dyDescent="0.3">
      <c r="B1618" s="129" t="str">
        <f t="shared" si="58"/>
        <v/>
      </c>
    </row>
    <row r="1619" spans="2:2" x14ac:dyDescent="0.3">
      <c r="B1619" s="129" t="str">
        <f t="shared" si="58"/>
        <v/>
      </c>
    </row>
    <row r="1620" spans="2:2" x14ac:dyDescent="0.3">
      <c r="B1620" s="129" t="str">
        <f t="shared" si="58"/>
        <v/>
      </c>
    </row>
    <row r="1621" spans="2:2" x14ac:dyDescent="0.3">
      <c r="B1621" s="129" t="str">
        <f t="shared" si="58"/>
        <v/>
      </c>
    </row>
    <row r="1622" spans="2:2" x14ac:dyDescent="0.3">
      <c r="B1622" s="129" t="str">
        <f t="shared" si="58"/>
        <v/>
      </c>
    </row>
    <row r="1623" spans="2:2" x14ac:dyDescent="0.3">
      <c r="B1623" s="129" t="str">
        <f t="shared" si="58"/>
        <v/>
      </c>
    </row>
    <row r="1624" spans="2:2" x14ac:dyDescent="0.3">
      <c r="B1624" s="129" t="str">
        <f t="shared" si="58"/>
        <v/>
      </c>
    </row>
    <row r="1625" spans="2:2" x14ac:dyDescent="0.3">
      <c r="B1625" s="129" t="str">
        <f t="shared" si="58"/>
        <v/>
      </c>
    </row>
    <row r="1626" spans="2:2" x14ac:dyDescent="0.3">
      <c r="B1626" s="129" t="str">
        <f t="shared" si="58"/>
        <v/>
      </c>
    </row>
    <row r="1627" spans="2:2" x14ac:dyDescent="0.3">
      <c r="B1627" s="129" t="str">
        <f t="shared" si="58"/>
        <v/>
      </c>
    </row>
    <row r="1628" spans="2:2" x14ac:dyDescent="0.3">
      <c r="B1628" s="129" t="str">
        <f t="shared" si="58"/>
        <v/>
      </c>
    </row>
    <row r="1629" spans="2:2" x14ac:dyDescent="0.3">
      <c r="B1629" s="129" t="str">
        <f t="shared" si="58"/>
        <v/>
      </c>
    </row>
    <row r="1630" spans="2:2" x14ac:dyDescent="0.3">
      <c r="B1630" s="129" t="str">
        <f t="shared" si="58"/>
        <v/>
      </c>
    </row>
    <row r="1631" spans="2:2" x14ac:dyDescent="0.3">
      <c r="B1631" s="129" t="str">
        <f t="shared" si="58"/>
        <v/>
      </c>
    </row>
    <row r="1632" spans="2:2" x14ac:dyDescent="0.3">
      <c r="B1632" s="129" t="str">
        <f t="shared" si="58"/>
        <v/>
      </c>
    </row>
    <row r="1633" spans="2:2" x14ac:dyDescent="0.3">
      <c r="B1633" s="129" t="str">
        <f t="shared" si="58"/>
        <v/>
      </c>
    </row>
    <row r="1634" spans="2:2" x14ac:dyDescent="0.3">
      <c r="B1634" s="129" t="str">
        <f t="shared" si="58"/>
        <v/>
      </c>
    </row>
    <row r="1635" spans="2:2" x14ac:dyDescent="0.3">
      <c r="B1635" s="129" t="str">
        <f t="shared" si="58"/>
        <v/>
      </c>
    </row>
    <row r="1636" spans="2:2" x14ac:dyDescent="0.3">
      <c r="B1636" s="129" t="str">
        <f t="shared" si="58"/>
        <v/>
      </c>
    </row>
    <row r="1637" spans="2:2" x14ac:dyDescent="0.3">
      <c r="B1637" s="129" t="str">
        <f t="shared" si="58"/>
        <v/>
      </c>
    </row>
    <row r="1638" spans="2:2" x14ac:dyDescent="0.3">
      <c r="B1638" s="129" t="str">
        <f t="shared" si="58"/>
        <v/>
      </c>
    </row>
    <row r="1639" spans="2:2" x14ac:dyDescent="0.3">
      <c r="B1639" s="129" t="str">
        <f t="shared" si="58"/>
        <v/>
      </c>
    </row>
    <row r="1640" spans="2:2" x14ac:dyDescent="0.3">
      <c r="B1640" s="129" t="str">
        <f t="shared" ref="B1640:B1703" si="59">IF($A1640="Daily", "n/a", "")</f>
        <v/>
      </c>
    </row>
    <row r="1641" spans="2:2" x14ac:dyDescent="0.3">
      <c r="B1641" s="129" t="str">
        <f t="shared" si="59"/>
        <v/>
      </c>
    </row>
    <row r="1642" spans="2:2" x14ac:dyDescent="0.3">
      <c r="B1642" s="129" t="str">
        <f t="shared" si="59"/>
        <v/>
      </c>
    </row>
    <row r="1643" spans="2:2" x14ac:dyDescent="0.3">
      <c r="B1643" s="129" t="str">
        <f t="shared" si="59"/>
        <v/>
      </c>
    </row>
    <row r="1644" spans="2:2" x14ac:dyDescent="0.3">
      <c r="B1644" s="129" t="str">
        <f t="shared" si="59"/>
        <v/>
      </c>
    </row>
    <row r="1645" spans="2:2" x14ac:dyDescent="0.3">
      <c r="B1645" s="129" t="str">
        <f t="shared" si="59"/>
        <v/>
      </c>
    </row>
    <row r="1646" spans="2:2" x14ac:dyDescent="0.3">
      <c r="B1646" s="129" t="str">
        <f t="shared" si="59"/>
        <v/>
      </c>
    </row>
    <row r="1647" spans="2:2" x14ac:dyDescent="0.3">
      <c r="B1647" s="129" t="str">
        <f t="shared" si="59"/>
        <v/>
      </c>
    </row>
    <row r="1648" spans="2:2" x14ac:dyDescent="0.3">
      <c r="B1648" s="129" t="str">
        <f t="shared" si="59"/>
        <v/>
      </c>
    </row>
    <row r="1649" spans="2:2" x14ac:dyDescent="0.3">
      <c r="B1649" s="129" t="str">
        <f t="shared" si="59"/>
        <v/>
      </c>
    </row>
    <row r="1650" spans="2:2" x14ac:dyDescent="0.3">
      <c r="B1650" s="129" t="str">
        <f t="shared" si="59"/>
        <v/>
      </c>
    </row>
    <row r="1651" spans="2:2" x14ac:dyDescent="0.3">
      <c r="B1651" s="129" t="str">
        <f t="shared" si="59"/>
        <v/>
      </c>
    </row>
    <row r="1652" spans="2:2" x14ac:dyDescent="0.3">
      <c r="B1652" s="129" t="str">
        <f t="shared" si="59"/>
        <v/>
      </c>
    </row>
    <row r="1653" spans="2:2" x14ac:dyDescent="0.3">
      <c r="B1653" s="129" t="str">
        <f t="shared" si="59"/>
        <v/>
      </c>
    </row>
    <row r="1654" spans="2:2" x14ac:dyDescent="0.3">
      <c r="B1654" s="129" t="str">
        <f t="shared" si="59"/>
        <v/>
      </c>
    </row>
    <row r="1655" spans="2:2" x14ac:dyDescent="0.3">
      <c r="B1655" s="129" t="str">
        <f t="shared" si="59"/>
        <v/>
      </c>
    </row>
    <row r="1656" spans="2:2" x14ac:dyDescent="0.3">
      <c r="B1656" s="129" t="str">
        <f t="shared" si="59"/>
        <v/>
      </c>
    </row>
    <row r="1657" spans="2:2" x14ac:dyDescent="0.3">
      <c r="B1657" s="129" t="str">
        <f t="shared" si="59"/>
        <v/>
      </c>
    </row>
    <row r="1658" spans="2:2" x14ac:dyDescent="0.3">
      <c r="B1658" s="129" t="str">
        <f t="shared" si="59"/>
        <v/>
      </c>
    </row>
    <row r="1659" spans="2:2" x14ac:dyDescent="0.3">
      <c r="B1659" s="129" t="str">
        <f t="shared" si="59"/>
        <v/>
      </c>
    </row>
    <row r="1660" spans="2:2" x14ac:dyDescent="0.3">
      <c r="B1660" s="129" t="str">
        <f t="shared" si="59"/>
        <v/>
      </c>
    </row>
    <row r="1661" spans="2:2" x14ac:dyDescent="0.3">
      <c r="B1661" s="129" t="str">
        <f t="shared" si="59"/>
        <v/>
      </c>
    </row>
    <row r="1662" spans="2:2" x14ac:dyDescent="0.3">
      <c r="B1662" s="129" t="str">
        <f t="shared" si="59"/>
        <v/>
      </c>
    </row>
    <row r="1663" spans="2:2" x14ac:dyDescent="0.3">
      <c r="B1663" s="129" t="str">
        <f t="shared" si="59"/>
        <v/>
      </c>
    </row>
    <row r="1664" spans="2:2" x14ac:dyDescent="0.3">
      <c r="B1664" s="129" t="str">
        <f t="shared" si="59"/>
        <v/>
      </c>
    </row>
    <row r="1665" spans="2:2" x14ac:dyDescent="0.3">
      <c r="B1665" s="129" t="str">
        <f t="shared" si="59"/>
        <v/>
      </c>
    </row>
    <row r="1666" spans="2:2" x14ac:dyDescent="0.3">
      <c r="B1666" s="129" t="str">
        <f t="shared" si="59"/>
        <v/>
      </c>
    </row>
    <row r="1667" spans="2:2" x14ac:dyDescent="0.3">
      <c r="B1667" s="129" t="str">
        <f t="shared" si="59"/>
        <v/>
      </c>
    </row>
    <row r="1668" spans="2:2" x14ac:dyDescent="0.3">
      <c r="B1668" s="129" t="str">
        <f t="shared" si="59"/>
        <v/>
      </c>
    </row>
    <row r="1669" spans="2:2" x14ac:dyDescent="0.3">
      <c r="B1669" s="129" t="str">
        <f t="shared" si="59"/>
        <v/>
      </c>
    </row>
    <row r="1670" spans="2:2" x14ac:dyDescent="0.3">
      <c r="B1670" s="129" t="str">
        <f t="shared" si="59"/>
        <v/>
      </c>
    </row>
    <row r="1671" spans="2:2" x14ac:dyDescent="0.3">
      <c r="B1671" s="129" t="str">
        <f t="shared" si="59"/>
        <v/>
      </c>
    </row>
    <row r="1672" spans="2:2" x14ac:dyDescent="0.3">
      <c r="B1672" s="129" t="str">
        <f t="shared" si="59"/>
        <v/>
      </c>
    </row>
    <row r="1673" spans="2:2" x14ac:dyDescent="0.3">
      <c r="B1673" s="129" t="str">
        <f t="shared" si="59"/>
        <v/>
      </c>
    </row>
    <row r="1674" spans="2:2" x14ac:dyDescent="0.3">
      <c r="B1674" s="129" t="str">
        <f t="shared" si="59"/>
        <v/>
      </c>
    </row>
    <row r="1675" spans="2:2" x14ac:dyDescent="0.3">
      <c r="B1675" s="129" t="str">
        <f t="shared" si="59"/>
        <v/>
      </c>
    </row>
    <row r="1676" spans="2:2" x14ac:dyDescent="0.3">
      <c r="B1676" s="129" t="str">
        <f t="shared" si="59"/>
        <v/>
      </c>
    </row>
    <row r="1677" spans="2:2" x14ac:dyDescent="0.3">
      <c r="B1677" s="129" t="str">
        <f t="shared" si="59"/>
        <v/>
      </c>
    </row>
    <row r="1678" spans="2:2" x14ac:dyDescent="0.3">
      <c r="B1678" s="129" t="str">
        <f t="shared" si="59"/>
        <v/>
      </c>
    </row>
    <row r="1679" spans="2:2" x14ac:dyDescent="0.3">
      <c r="B1679" s="129" t="str">
        <f t="shared" si="59"/>
        <v/>
      </c>
    </row>
    <row r="1680" spans="2:2" x14ac:dyDescent="0.3">
      <c r="B1680" s="129" t="str">
        <f t="shared" si="59"/>
        <v/>
      </c>
    </row>
    <row r="1681" spans="2:2" x14ac:dyDescent="0.3">
      <c r="B1681" s="129" t="str">
        <f t="shared" si="59"/>
        <v/>
      </c>
    </row>
    <row r="1682" spans="2:2" x14ac:dyDescent="0.3">
      <c r="B1682" s="129" t="str">
        <f t="shared" si="59"/>
        <v/>
      </c>
    </row>
    <row r="1683" spans="2:2" x14ac:dyDescent="0.3">
      <c r="B1683" s="129" t="str">
        <f t="shared" si="59"/>
        <v/>
      </c>
    </row>
    <row r="1684" spans="2:2" x14ac:dyDescent="0.3">
      <c r="B1684" s="129" t="str">
        <f t="shared" si="59"/>
        <v/>
      </c>
    </row>
    <row r="1685" spans="2:2" x14ac:dyDescent="0.3">
      <c r="B1685" s="129" t="str">
        <f t="shared" si="59"/>
        <v/>
      </c>
    </row>
    <row r="1686" spans="2:2" x14ac:dyDescent="0.3">
      <c r="B1686" s="129" t="str">
        <f t="shared" si="59"/>
        <v/>
      </c>
    </row>
    <row r="1687" spans="2:2" x14ac:dyDescent="0.3">
      <c r="B1687" s="129" t="str">
        <f t="shared" si="59"/>
        <v/>
      </c>
    </row>
    <row r="1688" spans="2:2" x14ac:dyDescent="0.3">
      <c r="B1688" s="129" t="str">
        <f t="shared" si="59"/>
        <v/>
      </c>
    </row>
    <row r="1689" spans="2:2" x14ac:dyDescent="0.3">
      <c r="B1689" s="129" t="str">
        <f t="shared" si="59"/>
        <v/>
      </c>
    </row>
    <row r="1690" spans="2:2" x14ac:dyDescent="0.3">
      <c r="B1690" s="129" t="str">
        <f t="shared" si="59"/>
        <v/>
      </c>
    </row>
    <row r="1691" spans="2:2" x14ac:dyDescent="0.3">
      <c r="B1691" s="129" t="str">
        <f t="shared" si="59"/>
        <v/>
      </c>
    </row>
    <row r="1692" spans="2:2" x14ac:dyDescent="0.3">
      <c r="B1692" s="129" t="str">
        <f t="shared" si="59"/>
        <v/>
      </c>
    </row>
    <row r="1693" spans="2:2" x14ac:dyDescent="0.3">
      <c r="B1693" s="129" t="str">
        <f t="shared" si="59"/>
        <v/>
      </c>
    </row>
    <row r="1694" spans="2:2" x14ac:dyDescent="0.3">
      <c r="B1694" s="129" t="str">
        <f t="shared" si="59"/>
        <v/>
      </c>
    </row>
    <row r="1695" spans="2:2" x14ac:dyDescent="0.3">
      <c r="B1695" s="129" t="str">
        <f t="shared" si="59"/>
        <v/>
      </c>
    </row>
    <row r="1696" spans="2:2" x14ac:dyDescent="0.3">
      <c r="B1696" s="129" t="str">
        <f t="shared" si="59"/>
        <v/>
      </c>
    </row>
    <row r="1697" spans="2:2" x14ac:dyDescent="0.3">
      <c r="B1697" s="129" t="str">
        <f t="shared" si="59"/>
        <v/>
      </c>
    </row>
    <row r="1698" spans="2:2" x14ac:dyDescent="0.3">
      <c r="B1698" s="129" t="str">
        <f t="shared" si="59"/>
        <v/>
      </c>
    </row>
    <row r="1699" spans="2:2" x14ac:dyDescent="0.3">
      <c r="B1699" s="129" t="str">
        <f t="shared" si="59"/>
        <v/>
      </c>
    </row>
    <row r="1700" spans="2:2" x14ac:dyDescent="0.3">
      <c r="B1700" s="129" t="str">
        <f t="shared" si="59"/>
        <v/>
      </c>
    </row>
    <row r="1701" spans="2:2" x14ac:dyDescent="0.3">
      <c r="B1701" s="129" t="str">
        <f t="shared" si="59"/>
        <v/>
      </c>
    </row>
    <row r="1702" spans="2:2" x14ac:dyDescent="0.3">
      <c r="B1702" s="129" t="str">
        <f t="shared" si="59"/>
        <v/>
      </c>
    </row>
    <row r="1703" spans="2:2" x14ac:dyDescent="0.3">
      <c r="B1703" s="129" t="str">
        <f t="shared" si="59"/>
        <v/>
      </c>
    </row>
    <row r="1704" spans="2:2" x14ac:dyDescent="0.3">
      <c r="B1704" s="129" t="str">
        <f t="shared" ref="B1704:B1767" si="60">IF($A1704="Daily", "n/a", "")</f>
        <v/>
      </c>
    </row>
    <row r="1705" spans="2:2" x14ac:dyDescent="0.3">
      <c r="B1705" s="129" t="str">
        <f t="shared" si="60"/>
        <v/>
      </c>
    </row>
    <row r="1706" spans="2:2" x14ac:dyDescent="0.3">
      <c r="B1706" s="129" t="str">
        <f t="shared" si="60"/>
        <v/>
      </c>
    </row>
    <row r="1707" spans="2:2" x14ac:dyDescent="0.3">
      <c r="B1707" s="129" t="str">
        <f t="shared" si="60"/>
        <v/>
      </c>
    </row>
    <row r="1708" spans="2:2" x14ac:dyDescent="0.3">
      <c r="B1708" s="129" t="str">
        <f t="shared" si="60"/>
        <v/>
      </c>
    </row>
    <row r="1709" spans="2:2" x14ac:dyDescent="0.3">
      <c r="B1709" s="129" t="str">
        <f t="shared" si="60"/>
        <v/>
      </c>
    </row>
    <row r="1710" spans="2:2" x14ac:dyDescent="0.3">
      <c r="B1710" s="129" t="str">
        <f t="shared" si="60"/>
        <v/>
      </c>
    </row>
    <row r="1711" spans="2:2" x14ac:dyDescent="0.3">
      <c r="B1711" s="129" t="str">
        <f t="shared" si="60"/>
        <v/>
      </c>
    </row>
    <row r="1712" spans="2:2" x14ac:dyDescent="0.3">
      <c r="B1712" s="129" t="str">
        <f t="shared" si="60"/>
        <v/>
      </c>
    </row>
    <row r="1713" spans="2:2" x14ac:dyDescent="0.3">
      <c r="B1713" s="129" t="str">
        <f t="shared" si="60"/>
        <v/>
      </c>
    </row>
    <row r="1714" spans="2:2" x14ac:dyDescent="0.3">
      <c r="B1714" s="129" t="str">
        <f t="shared" si="60"/>
        <v/>
      </c>
    </row>
    <row r="1715" spans="2:2" x14ac:dyDescent="0.3">
      <c r="B1715" s="129" t="str">
        <f t="shared" si="60"/>
        <v/>
      </c>
    </row>
    <row r="1716" spans="2:2" x14ac:dyDescent="0.3">
      <c r="B1716" s="129" t="str">
        <f t="shared" si="60"/>
        <v/>
      </c>
    </row>
    <row r="1717" spans="2:2" x14ac:dyDescent="0.3">
      <c r="B1717" s="129" t="str">
        <f t="shared" si="60"/>
        <v/>
      </c>
    </row>
    <row r="1718" spans="2:2" x14ac:dyDescent="0.3">
      <c r="B1718" s="129" t="str">
        <f t="shared" si="60"/>
        <v/>
      </c>
    </row>
    <row r="1719" spans="2:2" x14ac:dyDescent="0.3">
      <c r="B1719" s="129" t="str">
        <f t="shared" si="60"/>
        <v/>
      </c>
    </row>
    <row r="1720" spans="2:2" x14ac:dyDescent="0.3">
      <c r="B1720" s="129" t="str">
        <f t="shared" si="60"/>
        <v/>
      </c>
    </row>
    <row r="1721" spans="2:2" x14ac:dyDescent="0.3">
      <c r="B1721" s="129" t="str">
        <f t="shared" si="60"/>
        <v/>
      </c>
    </row>
    <row r="1722" spans="2:2" x14ac:dyDescent="0.3">
      <c r="B1722" s="129" t="str">
        <f t="shared" si="60"/>
        <v/>
      </c>
    </row>
    <row r="1723" spans="2:2" x14ac:dyDescent="0.3">
      <c r="B1723" s="129" t="str">
        <f t="shared" si="60"/>
        <v/>
      </c>
    </row>
    <row r="1724" spans="2:2" x14ac:dyDescent="0.3">
      <c r="B1724" s="129" t="str">
        <f t="shared" si="60"/>
        <v/>
      </c>
    </row>
    <row r="1725" spans="2:2" x14ac:dyDescent="0.3">
      <c r="B1725" s="129" t="str">
        <f t="shared" si="60"/>
        <v/>
      </c>
    </row>
    <row r="1726" spans="2:2" x14ac:dyDescent="0.3">
      <c r="B1726" s="129" t="str">
        <f t="shared" si="60"/>
        <v/>
      </c>
    </row>
    <row r="1727" spans="2:2" x14ac:dyDescent="0.3">
      <c r="B1727" s="129" t="str">
        <f t="shared" si="60"/>
        <v/>
      </c>
    </row>
    <row r="1728" spans="2:2" x14ac:dyDescent="0.3">
      <c r="B1728" s="129" t="str">
        <f t="shared" si="60"/>
        <v/>
      </c>
    </row>
    <row r="1729" spans="2:2" x14ac:dyDescent="0.3">
      <c r="B1729" s="129" t="str">
        <f t="shared" si="60"/>
        <v/>
      </c>
    </row>
    <row r="1730" spans="2:2" x14ac:dyDescent="0.3">
      <c r="B1730" s="129" t="str">
        <f t="shared" si="60"/>
        <v/>
      </c>
    </row>
    <row r="1731" spans="2:2" x14ac:dyDescent="0.3">
      <c r="B1731" s="129" t="str">
        <f t="shared" si="60"/>
        <v/>
      </c>
    </row>
    <row r="1732" spans="2:2" x14ac:dyDescent="0.3">
      <c r="B1732" s="129" t="str">
        <f t="shared" si="60"/>
        <v/>
      </c>
    </row>
    <row r="1733" spans="2:2" x14ac:dyDescent="0.3">
      <c r="B1733" s="129" t="str">
        <f t="shared" si="60"/>
        <v/>
      </c>
    </row>
    <row r="1734" spans="2:2" x14ac:dyDescent="0.3">
      <c r="B1734" s="129" t="str">
        <f t="shared" si="60"/>
        <v/>
      </c>
    </row>
    <row r="1735" spans="2:2" x14ac:dyDescent="0.3">
      <c r="B1735" s="129" t="str">
        <f t="shared" si="60"/>
        <v/>
      </c>
    </row>
    <row r="1736" spans="2:2" x14ac:dyDescent="0.3">
      <c r="B1736" s="129" t="str">
        <f t="shared" si="60"/>
        <v/>
      </c>
    </row>
    <row r="1737" spans="2:2" x14ac:dyDescent="0.3">
      <c r="B1737" s="129" t="str">
        <f t="shared" si="60"/>
        <v/>
      </c>
    </row>
    <row r="1738" spans="2:2" x14ac:dyDescent="0.3">
      <c r="B1738" s="129" t="str">
        <f t="shared" si="60"/>
        <v/>
      </c>
    </row>
    <row r="1739" spans="2:2" x14ac:dyDescent="0.3">
      <c r="B1739" s="129" t="str">
        <f t="shared" si="60"/>
        <v/>
      </c>
    </row>
    <row r="1740" spans="2:2" x14ac:dyDescent="0.3">
      <c r="B1740" s="129" t="str">
        <f t="shared" si="60"/>
        <v/>
      </c>
    </row>
    <row r="1741" spans="2:2" x14ac:dyDescent="0.3">
      <c r="B1741" s="129" t="str">
        <f t="shared" si="60"/>
        <v/>
      </c>
    </row>
    <row r="1742" spans="2:2" x14ac:dyDescent="0.3">
      <c r="B1742" s="129" t="str">
        <f t="shared" si="60"/>
        <v/>
      </c>
    </row>
    <row r="1743" spans="2:2" x14ac:dyDescent="0.3">
      <c r="B1743" s="129" t="str">
        <f t="shared" si="60"/>
        <v/>
      </c>
    </row>
    <row r="1744" spans="2:2" x14ac:dyDescent="0.3">
      <c r="B1744" s="129" t="str">
        <f t="shared" si="60"/>
        <v/>
      </c>
    </row>
    <row r="1745" spans="2:2" x14ac:dyDescent="0.3">
      <c r="B1745" s="129" t="str">
        <f t="shared" si="60"/>
        <v/>
      </c>
    </row>
    <row r="1746" spans="2:2" x14ac:dyDescent="0.3">
      <c r="B1746" s="129" t="str">
        <f t="shared" si="60"/>
        <v/>
      </c>
    </row>
    <row r="1747" spans="2:2" x14ac:dyDescent="0.3">
      <c r="B1747" s="129" t="str">
        <f t="shared" si="60"/>
        <v/>
      </c>
    </row>
    <row r="1748" spans="2:2" x14ac:dyDescent="0.3">
      <c r="B1748" s="129" t="str">
        <f t="shared" si="60"/>
        <v/>
      </c>
    </row>
    <row r="1749" spans="2:2" x14ac:dyDescent="0.3">
      <c r="B1749" s="129" t="str">
        <f t="shared" si="60"/>
        <v/>
      </c>
    </row>
    <row r="1750" spans="2:2" x14ac:dyDescent="0.3">
      <c r="B1750" s="129" t="str">
        <f t="shared" si="60"/>
        <v/>
      </c>
    </row>
    <row r="1751" spans="2:2" x14ac:dyDescent="0.3">
      <c r="B1751" s="129" t="str">
        <f t="shared" si="60"/>
        <v/>
      </c>
    </row>
    <row r="1752" spans="2:2" x14ac:dyDescent="0.3">
      <c r="B1752" s="129" t="str">
        <f t="shared" si="60"/>
        <v/>
      </c>
    </row>
    <row r="1753" spans="2:2" x14ac:dyDescent="0.3">
      <c r="B1753" s="129" t="str">
        <f t="shared" si="60"/>
        <v/>
      </c>
    </row>
    <row r="1754" spans="2:2" x14ac:dyDescent="0.3">
      <c r="B1754" s="129" t="str">
        <f t="shared" si="60"/>
        <v/>
      </c>
    </row>
    <row r="1755" spans="2:2" x14ac:dyDescent="0.3">
      <c r="B1755" s="129" t="str">
        <f t="shared" si="60"/>
        <v/>
      </c>
    </row>
    <row r="1756" spans="2:2" x14ac:dyDescent="0.3">
      <c r="B1756" s="129" t="str">
        <f t="shared" si="60"/>
        <v/>
      </c>
    </row>
    <row r="1757" spans="2:2" x14ac:dyDescent="0.3">
      <c r="B1757" s="129" t="str">
        <f t="shared" si="60"/>
        <v/>
      </c>
    </row>
    <row r="1758" spans="2:2" x14ac:dyDescent="0.3">
      <c r="B1758" s="129" t="str">
        <f t="shared" si="60"/>
        <v/>
      </c>
    </row>
    <row r="1759" spans="2:2" x14ac:dyDescent="0.3">
      <c r="B1759" s="129" t="str">
        <f t="shared" si="60"/>
        <v/>
      </c>
    </row>
    <row r="1760" spans="2:2" x14ac:dyDescent="0.3">
      <c r="B1760" s="129" t="str">
        <f t="shared" si="60"/>
        <v/>
      </c>
    </row>
    <row r="1761" spans="2:2" x14ac:dyDescent="0.3">
      <c r="B1761" s="129" t="str">
        <f t="shared" si="60"/>
        <v/>
      </c>
    </row>
    <row r="1762" spans="2:2" x14ac:dyDescent="0.3">
      <c r="B1762" s="129" t="str">
        <f t="shared" si="60"/>
        <v/>
      </c>
    </row>
    <row r="1763" spans="2:2" x14ac:dyDescent="0.3">
      <c r="B1763" s="129" t="str">
        <f t="shared" si="60"/>
        <v/>
      </c>
    </row>
    <row r="1764" spans="2:2" x14ac:dyDescent="0.3">
      <c r="B1764" s="129" t="str">
        <f t="shared" si="60"/>
        <v/>
      </c>
    </row>
    <row r="1765" spans="2:2" x14ac:dyDescent="0.3">
      <c r="B1765" s="129" t="str">
        <f t="shared" si="60"/>
        <v/>
      </c>
    </row>
    <row r="1766" spans="2:2" x14ac:dyDescent="0.3">
      <c r="B1766" s="129" t="str">
        <f t="shared" si="60"/>
        <v/>
      </c>
    </row>
    <row r="1767" spans="2:2" x14ac:dyDescent="0.3">
      <c r="B1767" s="129" t="str">
        <f t="shared" si="60"/>
        <v/>
      </c>
    </row>
    <row r="1768" spans="2:2" x14ac:dyDescent="0.3">
      <c r="B1768" s="129" t="str">
        <f t="shared" ref="B1768:B1831" si="61">IF($A1768="Daily", "n/a", "")</f>
        <v/>
      </c>
    </row>
    <row r="1769" spans="2:2" x14ac:dyDescent="0.3">
      <c r="B1769" s="129" t="str">
        <f t="shared" si="61"/>
        <v/>
      </c>
    </row>
    <row r="1770" spans="2:2" x14ac:dyDescent="0.3">
      <c r="B1770" s="129" t="str">
        <f t="shared" si="61"/>
        <v/>
      </c>
    </row>
    <row r="1771" spans="2:2" x14ac:dyDescent="0.3">
      <c r="B1771" s="129" t="str">
        <f t="shared" si="61"/>
        <v/>
      </c>
    </row>
    <row r="1772" spans="2:2" x14ac:dyDescent="0.3">
      <c r="B1772" s="129" t="str">
        <f t="shared" si="61"/>
        <v/>
      </c>
    </row>
    <row r="1773" spans="2:2" x14ac:dyDescent="0.3">
      <c r="B1773" s="129" t="str">
        <f t="shared" si="61"/>
        <v/>
      </c>
    </row>
    <row r="1774" spans="2:2" x14ac:dyDescent="0.3">
      <c r="B1774" s="129" t="str">
        <f t="shared" si="61"/>
        <v/>
      </c>
    </row>
    <row r="1775" spans="2:2" x14ac:dyDescent="0.3">
      <c r="B1775" s="129" t="str">
        <f t="shared" si="61"/>
        <v/>
      </c>
    </row>
    <row r="1776" spans="2:2" x14ac:dyDescent="0.3">
      <c r="B1776" s="129" t="str">
        <f t="shared" si="61"/>
        <v/>
      </c>
    </row>
    <row r="1777" spans="2:2" x14ac:dyDescent="0.3">
      <c r="B1777" s="129" t="str">
        <f t="shared" si="61"/>
        <v/>
      </c>
    </row>
    <row r="1778" spans="2:2" x14ac:dyDescent="0.3">
      <c r="B1778" s="129" t="str">
        <f t="shared" si="61"/>
        <v/>
      </c>
    </row>
    <row r="1779" spans="2:2" x14ac:dyDescent="0.3">
      <c r="B1779" s="129" t="str">
        <f t="shared" si="61"/>
        <v/>
      </c>
    </row>
    <row r="1780" spans="2:2" x14ac:dyDescent="0.3">
      <c r="B1780" s="129" t="str">
        <f t="shared" si="61"/>
        <v/>
      </c>
    </row>
    <row r="1781" spans="2:2" x14ac:dyDescent="0.3">
      <c r="B1781" s="129" t="str">
        <f t="shared" si="61"/>
        <v/>
      </c>
    </row>
    <row r="1782" spans="2:2" x14ac:dyDescent="0.3">
      <c r="B1782" s="129" t="str">
        <f t="shared" si="61"/>
        <v/>
      </c>
    </row>
    <row r="1783" spans="2:2" x14ac:dyDescent="0.3">
      <c r="B1783" s="129" t="str">
        <f t="shared" si="61"/>
        <v/>
      </c>
    </row>
    <row r="1784" spans="2:2" x14ac:dyDescent="0.3">
      <c r="B1784" s="129" t="str">
        <f t="shared" si="61"/>
        <v/>
      </c>
    </row>
    <row r="1785" spans="2:2" x14ac:dyDescent="0.3">
      <c r="B1785" s="129" t="str">
        <f t="shared" si="61"/>
        <v/>
      </c>
    </row>
    <row r="1786" spans="2:2" x14ac:dyDescent="0.3">
      <c r="B1786" s="129" t="str">
        <f t="shared" si="61"/>
        <v/>
      </c>
    </row>
    <row r="1787" spans="2:2" x14ac:dyDescent="0.3">
      <c r="B1787" s="129" t="str">
        <f t="shared" si="61"/>
        <v/>
      </c>
    </row>
    <row r="1788" spans="2:2" x14ac:dyDescent="0.3">
      <c r="B1788" s="129" t="str">
        <f t="shared" si="61"/>
        <v/>
      </c>
    </row>
    <row r="1789" spans="2:2" x14ac:dyDescent="0.3">
      <c r="B1789" s="129" t="str">
        <f t="shared" si="61"/>
        <v/>
      </c>
    </row>
    <row r="1790" spans="2:2" x14ac:dyDescent="0.3">
      <c r="B1790" s="129" t="str">
        <f t="shared" si="61"/>
        <v/>
      </c>
    </row>
    <row r="1791" spans="2:2" x14ac:dyDescent="0.3">
      <c r="B1791" s="129" t="str">
        <f t="shared" si="61"/>
        <v/>
      </c>
    </row>
    <row r="1792" spans="2:2" x14ac:dyDescent="0.3">
      <c r="B1792" s="129" t="str">
        <f t="shared" si="61"/>
        <v/>
      </c>
    </row>
    <row r="1793" spans="2:2" x14ac:dyDescent="0.3">
      <c r="B1793" s="129" t="str">
        <f t="shared" si="61"/>
        <v/>
      </c>
    </row>
    <row r="1794" spans="2:2" x14ac:dyDescent="0.3">
      <c r="B1794" s="129" t="str">
        <f t="shared" si="61"/>
        <v/>
      </c>
    </row>
    <row r="1795" spans="2:2" x14ac:dyDescent="0.3">
      <c r="B1795" s="129" t="str">
        <f t="shared" si="61"/>
        <v/>
      </c>
    </row>
    <row r="1796" spans="2:2" x14ac:dyDescent="0.3">
      <c r="B1796" s="129" t="str">
        <f t="shared" si="61"/>
        <v/>
      </c>
    </row>
    <row r="1797" spans="2:2" x14ac:dyDescent="0.3">
      <c r="B1797" s="129" t="str">
        <f t="shared" si="61"/>
        <v/>
      </c>
    </row>
    <row r="1798" spans="2:2" x14ac:dyDescent="0.3">
      <c r="B1798" s="129" t="str">
        <f t="shared" si="61"/>
        <v/>
      </c>
    </row>
    <row r="1799" spans="2:2" x14ac:dyDescent="0.3">
      <c r="B1799" s="129" t="str">
        <f t="shared" si="61"/>
        <v/>
      </c>
    </row>
    <row r="1800" spans="2:2" x14ac:dyDescent="0.3">
      <c r="B1800" s="129" t="str">
        <f t="shared" si="61"/>
        <v/>
      </c>
    </row>
    <row r="1801" spans="2:2" x14ac:dyDescent="0.3">
      <c r="B1801" s="129" t="str">
        <f t="shared" si="61"/>
        <v/>
      </c>
    </row>
    <row r="1802" spans="2:2" x14ac:dyDescent="0.3">
      <c r="B1802" s="129" t="str">
        <f t="shared" si="61"/>
        <v/>
      </c>
    </row>
    <row r="1803" spans="2:2" x14ac:dyDescent="0.3">
      <c r="B1803" s="129" t="str">
        <f t="shared" si="61"/>
        <v/>
      </c>
    </row>
    <row r="1804" spans="2:2" x14ac:dyDescent="0.3">
      <c r="B1804" s="129" t="str">
        <f t="shared" si="61"/>
        <v/>
      </c>
    </row>
    <row r="1805" spans="2:2" x14ac:dyDescent="0.3">
      <c r="B1805" s="129" t="str">
        <f t="shared" si="61"/>
        <v/>
      </c>
    </row>
    <row r="1806" spans="2:2" x14ac:dyDescent="0.3">
      <c r="B1806" s="129" t="str">
        <f t="shared" si="61"/>
        <v/>
      </c>
    </row>
    <row r="1807" spans="2:2" x14ac:dyDescent="0.3">
      <c r="B1807" s="129" t="str">
        <f t="shared" si="61"/>
        <v/>
      </c>
    </row>
    <row r="1808" spans="2:2" x14ac:dyDescent="0.3">
      <c r="B1808" s="129" t="str">
        <f t="shared" si="61"/>
        <v/>
      </c>
    </row>
    <row r="1809" spans="2:2" x14ac:dyDescent="0.3">
      <c r="B1809" s="129" t="str">
        <f t="shared" si="61"/>
        <v/>
      </c>
    </row>
    <row r="1810" spans="2:2" x14ac:dyDescent="0.3">
      <c r="B1810" s="129" t="str">
        <f t="shared" si="61"/>
        <v/>
      </c>
    </row>
    <row r="1811" spans="2:2" x14ac:dyDescent="0.3">
      <c r="B1811" s="129" t="str">
        <f t="shared" si="61"/>
        <v/>
      </c>
    </row>
    <row r="1812" spans="2:2" x14ac:dyDescent="0.3">
      <c r="B1812" s="129" t="str">
        <f t="shared" si="61"/>
        <v/>
      </c>
    </row>
    <row r="1813" spans="2:2" x14ac:dyDescent="0.3">
      <c r="B1813" s="129" t="str">
        <f t="shared" si="61"/>
        <v/>
      </c>
    </row>
    <row r="1814" spans="2:2" x14ac:dyDescent="0.3">
      <c r="B1814" s="129" t="str">
        <f t="shared" si="61"/>
        <v/>
      </c>
    </row>
    <row r="1815" spans="2:2" x14ac:dyDescent="0.3">
      <c r="B1815" s="129" t="str">
        <f t="shared" si="61"/>
        <v/>
      </c>
    </row>
    <row r="1816" spans="2:2" x14ac:dyDescent="0.3">
      <c r="B1816" s="129" t="str">
        <f t="shared" si="61"/>
        <v/>
      </c>
    </row>
    <row r="1817" spans="2:2" x14ac:dyDescent="0.3">
      <c r="B1817" s="129" t="str">
        <f t="shared" si="61"/>
        <v/>
      </c>
    </row>
    <row r="1818" spans="2:2" x14ac:dyDescent="0.3">
      <c r="B1818" s="129" t="str">
        <f t="shared" si="61"/>
        <v/>
      </c>
    </row>
    <row r="1819" spans="2:2" x14ac:dyDescent="0.3">
      <c r="B1819" s="129" t="str">
        <f t="shared" si="61"/>
        <v/>
      </c>
    </row>
    <row r="1820" spans="2:2" x14ac:dyDescent="0.3">
      <c r="B1820" s="129" t="str">
        <f t="shared" si="61"/>
        <v/>
      </c>
    </row>
    <row r="1821" spans="2:2" x14ac:dyDescent="0.3">
      <c r="B1821" s="129" t="str">
        <f t="shared" si="61"/>
        <v/>
      </c>
    </row>
    <row r="1822" spans="2:2" x14ac:dyDescent="0.3">
      <c r="B1822" s="129" t="str">
        <f t="shared" si="61"/>
        <v/>
      </c>
    </row>
    <row r="1823" spans="2:2" x14ac:dyDescent="0.3">
      <c r="B1823" s="129" t="str">
        <f t="shared" si="61"/>
        <v/>
      </c>
    </row>
    <row r="1824" spans="2:2" x14ac:dyDescent="0.3">
      <c r="B1824" s="129" t="str">
        <f t="shared" si="61"/>
        <v/>
      </c>
    </row>
    <row r="1825" spans="2:2" x14ac:dyDescent="0.3">
      <c r="B1825" s="129" t="str">
        <f t="shared" si="61"/>
        <v/>
      </c>
    </row>
    <row r="1826" spans="2:2" x14ac:dyDescent="0.3">
      <c r="B1826" s="129" t="str">
        <f t="shared" si="61"/>
        <v/>
      </c>
    </row>
    <row r="1827" spans="2:2" x14ac:dyDescent="0.3">
      <c r="B1827" s="129" t="str">
        <f t="shared" si="61"/>
        <v/>
      </c>
    </row>
    <row r="1828" spans="2:2" x14ac:dyDescent="0.3">
      <c r="B1828" s="129" t="str">
        <f t="shared" si="61"/>
        <v/>
      </c>
    </row>
    <row r="1829" spans="2:2" x14ac:dyDescent="0.3">
      <c r="B1829" s="129" t="str">
        <f t="shared" si="61"/>
        <v/>
      </c>
    </row>
    <row r="1830" spans="2:2" x14ac:dyDescent="0.3">
      <c r="B1830" s="129" t="str">
        <f t="shared" si="61"/>
        <v/>
      </c>
    </row>
    <row r="1831" spans="2:2" x14ac:dyDescent="0.3">
      <c r="B1831" s="129" t="str">
        <f t="shared" si="61"/>
        <v/>
      </c>
    </row>
    <row r="1832" spans="2:2" x14ac:dyDescent="0.3">
      <c r="B1832" s="129" t="str">
        <f t="shared" ref="B1832:B1895" si="62">IF($A1832="Daily", "n/a", "")</f>
        <v/>
      </c>
    </row>
    <row r="1833" spans="2:2" x14ac:dyDescent="0.3">
      <c r="B1833" s="129" t="str">
        <f t="shared" si="62"/>
        <v/>
      </c>
    </row>
    <row r="1834" spans="2:2" x14ac:dyDescent="0.3">
      <c r="B1834" s="129" t="str">
        <f t="shared" si="62"/>
        <v/>
      </c>
    </row>
    <row r="1835" spans="2:2" x14ac:dyDescent="0.3">
      <c r="B1835" s="129" t="str">
        <f t="shared" si="62"/>
        <v/>
      </c>
    </row>
    <row r="1836" spans="2:2" x14ac:dyDescent="0.3">
      <c r="B1836" s="129" t="str">
        <f t="shared" si="62"/>
        <v/>
      </c>
    </row>
    <row r="1837" spans="2:2" x14ac:dyDescent="0.3">
      <c r="B1837" s="129" t="str">
        <f t="shared" si="62"/>
        <v/>
      </c>
    </row>
    <row r="1838" spans="2:2" x14ac:dyDescent="0.3">
      <c r="B1838" s="129" t="str">
        <f t="shared" si="62"/>
        <v/>
      </c>
    </row>
    <row r="1839" spans="2:2" x14ac:dyDescent="0.3">
      <c r="B1839" s="129" t="str">
        <f t="shared" si="62"/>
        <v/>
      </c>
    </row>
    <row r="1840" spans="2:2" x14ac:dyDescent="0.3">
      <c r="B1840" s="129" t="str">
        <f t="shared" si="62"/>
        <v/>
      </c>
    </row>
    <row r="1841" spans="2:2" x14ac:dyDescent="0.3">
      <c r="B1841" s="129" t="str">
        <f t="shared" si="62"/>
        <v/>
      </c>
    </row>
    <row r="1842" spans="2:2" x14ac:dyDescent="0.3">
      <c r="B1842" s="129" t="str">
        <f t="shared" si="62"/>
        <v/>
      </c>
    </row>
    <row r="1843" spans="2:2" x14ac:dyDescent="0.3">
      <c r="B1843" s="129" t="str">
        <f t="shared" si="62"/>
        <v/>
      </c>
    </row>
    <row r="1844" spans="2:2" x14ac:dyDescent="0.3">
      <c r="B1844" s="129" t="str">
        <f t="shared" si="62"/>
        <v/>
      </c>
    </row>
    <row r="1845" spans="2:2" x14ac:dyDescent="0.3">
      <c r="B1845" s="129" t="str">
        <f t="shared" si="62"/>
        <v/>
      </c>
    </row>
    <row r="1846" spans="2:2" x14ac:dyDescent="0.3">
      <c r="B1846" s="129" t="str">
        <f t="shared" si="62"/>
        <v/>
      </c>
    </row>
    <row r="1847" spans="2:2" x14ac:dyDescent="0.3">
      <c r="B1847" s="129" t="str">
        <f t="shared" si="62"/>
        <v/>
      </c>
    </row>
    <row r="1848" spans="2:2" x14ac:dyDescent="0.3">
      <c r="B1848" s="129" t="str">
        <f t="shared" si="62"/>
        <v/>
      </c>
    </row>
    <row r="1849" spans="2:2" x14ac:dyDescent="0.3">
      <c r="B1849" s="129" t="str">
        <f t="shared" si="62"/>
        <v/>
      </c>
    </row>
    <row r="1850" spans="2:2" x14ac:dyDescent="0.3">
      <c r="B1850" s="129" t="str">
        <f t="shared" si="62"/>
        <v/>
      </c>
    </row>
    <row r="1851" spans="2:2" x14ac:dyDescent="0.3">
      <c r="B1851" s="129" t="str">
        <f t="shared" si="62"/>
        <v/>
      </c>
    </row>
    <row r="1852" spans="2:2" x14ac:dyDescent="0.3">
      <c r="B1852" s="129" t="str">
        <f t="shared" si="62"/>
        <v/>
      </c>
    </row>
    <row r="1853" spans="2:2" x14ac:dyDescent="0.3">
      <c r="B1853" s="129" t="str">
        <f t="shared" si="62"/>
        <v/>
      </c>
    </row>
    <row r="1854" spans="2:2" x14ac:dyDescent="0.3">
      <c r="B1854" s="129" t="str">
        <f t="shared" si="62"/>
        <v/>
      </c>
    </row>
    <row r="1855" spans="2:2" x14ac:dyDescent="0.3">
      <c r="B1855" s="129" t="str">
        <f t="shared" si="62"/>
        <v/>
      </c>
    </row>
    <row r="1856" spans="2:2" x14ac:dyDescent="0.3">
      <c r="B1856" s="129" t="str">
        <f t="shared" si="62"/>
        <v/>
      </c>
    </row>
    <row r="1857" spans="2:2" x14ac:dyDescent="0.3">
      <c r="B1857" s="129" t="str">
        <f t="shared" si="62"/>
        <v/>
      </c>
    </row>
    <row r="1858" spans="2:2" x14ac:dyDescent="0.3">
      <c r="B1858" s="129" t="str">
        <f t="shared" si="62"/>
        <v/>
      </c>
    </row>
    <row r="1859" spans="2:2" x14ac:dyDescent="0.3">
      <c r="B1859" s="129" t="str">
        <f t="shared" si="62"/>
        <v/>
      </c>
    </row>
    <row r="1860" spans="2:2" x14ac:dyDescent="0.3">
      <c r="B1860" s="129" t="str">
        <f t="shared" si="62"/>
        <v/>
      </c>
    </row>
    <row r="1861" spans="2:2" x14ac:dyDescent="0.3">
      <c r="B1861" s="129" t="str">
        <f t="shared" si="62"/>
        <v/>
      </c>
    </row>
    <row r="1862" spans="2:2" x14ac:dyDescent="0.3">
      <c r="B1862" s="129" t="str">
        <f t="shared" si="62"/>
        <v/>
      </c>
    </row>
    <row r="1863" spans="2:2" x14ac:dyDescent="0.3">
      <c r="B1863" s="129" t="str">
        <f t="shared" si="62"/>
        <v/>
      </c>
    </row>
    <row r="1864" spans="2:2" x14ac:dyDescent="0.3">
      <c r="B1864" s="129" t="str">
        <f t="shared" si="62"/>
        <v/>
      </c>
    </row>
    <row r="1865" spans="2:2" x14ac:dyDescent="0.3">
      <c r="B1865" s="129" t="str">
        <f t="shared" si="62"/>
        <v/>
      </c>
    </row>
    <row r="1866" spans="2:2" x14ac:dyDescent="0.3">
      <c r="B1866" s="129" t="str">
        <f t="shared" si="62"/>
        <v/>
      </c>
    </row>
    <row r="1867" spans="2:2" x14ac:dyDescent="0.3">
      <c r="B1867" s="129" t="str">
        <f t="shared" si="62"/>
        <v/>
      </c>
    </row>
    <row r="1868" spans="2:2" x14ac:dyDescent="0.3">
      <c r="B1868" s="129" t="str">
        <f t="shared" si="62"/>
        <v/>
      </c>
    </row>
    <row r="1869" spans="2:2" x14ac:dyDescent="0.3">
      <c r="B1869" s="129" t="str">
        <f t="shared" si="62"/>
        <v/>
      </c>
    </row>
    <row r="1870" spans="2:2" x14ac:dyDescent="0.3">
      <c r="B1870" s="129" t="str">
        <f t="shared" si="62"/>
        <v/>
      </c>
    </row>
    <row r="1871" spans="2:2" x14ac:dyDescent="0.3">
      <c r="B1871" s="129" t="str">
        <f t="shared" si="62"/>
        <v/>
      </c>
    </row>
    <row r="1872" spans="2:2" x14ac:dyDescent="0.3">
      <c r="B1872" s="129" t="str">
        <f t="shared" si="62"/>
        <v/>
      </c>
    </row>
    <row r="1873" spans="2:2" x14ac:dyDescent="0.3">
      <c r="B1873" s="129" t="str">
        <f t="shared" si="62"/>
        <v/>
      </c>
    </row>
    <row r="1874" spans="2:2" x14ac:dyDescent="0.3">
      <c r="B1874" s="129" t="str">
        <f t="shared" si="62"/>
        <v/>
      </c>
    </row>
    <row r="1875" spans="2:2" x14ac:dyDescent="0.3">
      <c r="B1875" s="129" t="str">
        <f t="shared" si="62"/>
        <v/>
      </c>
    </row>
    <row r="1876" spans="2:2" x14ac:dyDescent="0.3">
      <c r="B1876" s="129" t="str">
        <f t="shared" si="62"/>
        <v/>
      </c>
    </row>
    <row r="1877" spans="2:2" x14ac:dyDescent="0.3">
      <c r="B1877" s="129" t="str">
        <f t="shared" si="62"/>
        <v/>
      </c>
    </row>
    <row r="1878" spans="2:2" x14ac:dyDescent="0.3">
      <c r="B1878" s="129" t="str">
        <f t="shared" si="62"/>
        <v/>
      </c>
    </row>
    <row r="1879" spans="2:2" x14ac:dyDescent="0.3">
      <c r="B1879" s="129" t="str">
        <f t="shared" si="62"/>
        <v/>
      </c>
    </row>
    <row r="1880" spans="2:2" x14ac:dyDescent="0.3">
      <c r="B1880" s="129" t="str">
        <f t="shared" si="62"/>
        <v/>
      </c>
    </row>
    <row r="1881" spans="2:2" x14ac:dyDescent="0.3">
      <c r="B1881" s="129" t="str">
        <f t="shared" si="62"/>
        <v/>
      </c>
    </row>
    <row r="1882" spans="2:2" x14ac:dyDescent="0.3">
      <c r="B1882" s="129" t="str">
        <f t="shared" si="62"/>
        <v/>
      </c>
    </row>
    <row r="1883" spans="2:2" x14ac:dyDescent="0.3">
      <c r="B1883" s="129" t="str">
        <f t="shared" si="62"/>
        <v/>
      </c>
    </row>
    <row r="1884" spans="2:2" x14ac:dyDescent="0.3">
      <c r="B1884" s="129" t="str">
        <f t="shared" si="62"/>
        <v/>
      </c>
    </row>
    <row r="1885" spans="2:2" x14ac:dyDescent="0.3">
      <c r="B1885" s="129" t="str">
        <f t="shared" si="62"/>
        <v/>
      </c>
    </row>
    <row r="1886" spans="2:2" x14ac:dyDescent="0.3">
      <c r="B1886" s="129" t="str">
        <f t="shared" si="62"/>
        <v/>
      </c>
    </row>
    <row r="1887" spans="2:2" x14ac:dyDescent="0.3">
      <c r="B1887" s="129" t="str">
        <f t="shared" si="62"/>
        <v/>
      </c>
    </row>
    <row r="1888" spans="2:2" x14ac:dyDescent="0.3">
      <c r="B1888" s="129" t="str">
        <f t="shared" si="62"/>
        <v/>
      </c>
    </row>
    <row r="1889" spans="2:2" x14ac:dyDescent="0.3">
      <c r="B1889" s="129" t="str">
        <f t="shared" si="62"/>
        <v/>
      </c>
    </row>
    <row r="1890" spans="2:2" x14ac:dyDescent="0.3">
      <c r="B1890" s="129" t="str">
        <f t="shared" si="62"/>
        <v/>
      </c>
    </row>
    <row r="1891" spans="2:2" x14ac:dyDescent="0.3">
      <c r="B1891" s="129" t="str">
        <f t="shared" si="62"/>
        <v/>
      </c>
    </row>
    <row r="1892" spans="2:2" x14ac:dyDescent="0.3">
      <c r="B1892" s="129" t="str">
        <f t="shared" si="62"/>
        <v/>
      </c>
    </row>
    <row r="1893" spans="2:2" x14ac:dyDescent="0.3">
      <c r="B1893" s="129" t="str">
        <f t="shared" si="62"/>
        <v/>
      </c>
    </row>
    <row r="1894" spans="2:2" x14ac:dyDescent="0.3">
      <c r="B1894" s="129" t="str">
        <f t="shared" si="62"/>
        <v/>
      </c>
    </row>
    <row r="1895" spans="2:2" x14ac:dyDescent="0.3">
      <c r="B1895" s="129" t="str">
        <f t="shared" si="62"/>
        <v/>
      </c>
    </row>
    <row r="1896" spans="2:2" x14ac:dyDescent="0.3">
      <c r="B1896" s="129" t="str">
        <f t="shared" ref="B1896:B1959" si="63">IF($A1896="Daily", "n/a", "")</f>
        <v/>
      </c>
    </row>
    <row r="1897" spans="2:2" x14ac:dyDescent="0.3">
      <c r="B1897" s="129" t="str">
        <f t="shared" si="63"/>
        <v/>
      </c>
    </row>
    <row r="1898" spans="2:2" x14ac:dyDescent="0.3">
      <c r="B1898" s="129" t="str">
        <f t="shared" si="63"/>
        <v/>
      </c>
    </row>
    <row r="1899" spans="2:2" x14ac:dyDescent="0.3">
      <c r="B1899" s="129" t="str">
        <f t="shared" si="63"/>
        <v/>
      </c>
    </row>
    <row r="1900" spans="2:2" x14ac:dyDescent="0.3">
      <c r="B1900" s="129" t="str">
        <f t="shared" si="63"/>
        <v/>
      </c>
    </row>
    <row r="1901" spans="2:2" x14ac:dyDescent="0.3">
      <c r="B1901" s="129" t="str">
        <f t="shared" si="63"/>
        <v/>
      </c>
    </row>
    <row r="1902" spans="2:2" x14ac:dyDescent="0.3">
      <c r="B1902" s="129" t="str">
        <f t="shared" si="63"/>
        <v/>
      </c>
    </row>
    <row r="1903" spans="2:2" x14ac:dyDescent="0.3">
      <c r="B1903" s="129" t="str">
        <f t="shared" si="63"/>
        <v/>
      </c>
    </row>
    <row r="1904" spans="2:2" x14ac:dyDescent="0.3">
      <c r="B1904" s="129" t="str">
        <f t="shared" si="63"/>
        <v/>
      </c>
    </row>
    <row r="1905" spans="2:2" x14ac:dyDescent="0.3">
      <c r="B1905" s="129" t="str">
        <f t="shared" si="63"/>
        <v/>
      </c>
    </row>
    <row r="1906" spans="2:2" x14ac:dyDescent="0.3">
      <c r="B1906" s="129" t="str">
        <f t="shared" si="63"/>
        <v/>
      </c>
    </row>
    <row r="1907" spans="2:2" x14ac:dyDescent="0.3">
      <c r="B1907" s="129" t="str">
        <f t="shared" si="63"/>
        <v/>
      </c>
    </row>
    <row r="1908" spans="2:2" x14ac:dyDescent="0.3">
      <c r="B1908" s="129" t="str">
        <f t="shared" si="63"/>
        <v/>
      </c>
    </row>
    <row r="1909" spans="2:2" x14ac:dyDescent="0.3">
      <c r="B1909" s="129" t="str">
        <f t="shared" si="63"/>
        <v/>
      </c>
    </row>
    <row r="1910" spans="2:2" x14ac:dyDescent="0.3">
      <c r="B1910" s="129" t="str">
        <f t="shared" si="63"/>
        <v/>
      </c>
    </row>
    <row r="1911" spans="2:2" x14ac:dyDescent="0.3">
      <c r="B1911" s="129" t="str">
        <f t="shared" si="63"/>
        <v/>
      </c>
    </row>
    <row r="1912" spans="2:2" x14ac:dyDescent="0.3">
      <c r="B1912" s="129" t="str">
        <f t="shared" si="63"/>
        <v/>
      </c>
    </row>
    <row r="1913" spans="2:2" x14ac:dyDescent="0.3">
      <c r="B1913" s="129" t="str">
        <f t="shared" si="63"/>
        <v/>
      </c>
    </row>
    <row r="1914" spans="2:2" x14ac:dyDescent="0.3">
      <c r="B1914" s="129" t="str">
        <f t="shared" si="63"/>
        <v/>
      </c>
    </row>
    <row r="1915" spans="2:2" x14ac:dyDescent="0.3">
      <c r="B1915" s="129" t="str">
        <f t="shared" si="63"/>
        <v/>
      </c>
    </row>
    <row r="1916" spans="2:2" x14ac:dyDescent="0.3">
      <c r="B1916" s="129" t="str">
        <f t="shared" si="63"/>
        <v/>
      </c>
    </row>
    <row r="1917" spans="2:2" x14ac:dyDescent="0.3">
      <c r="B1917" s="129" t="str">
        <f t="shared" si="63"/>
        <v/>
      </c>
    </row>
    <row r="1918" spans="2:2" x14ac:dyDescent="0.3">
      <c r="B1918" s="129" t="str">
        <f t="shared" si="63"/>
        <v/>
      </c>
    </row>
    <row r="1919" spans="2:2" x14ac:dyDescent="0.3">
      <c r="B1919" s="129" t="str">
        <f t="shared" si="63"/>
        <v/>
      </c>
    </row>
    <row r="1920" spans="2:2" x14ac:dyDescent="0.3">
      <c r="B1920" s="129" t="str">
        <f t="shared" si="63"/>
        <v/>
      </c>
    </row>
    <row r="1921" spans="2:2" x14ac:dyDescent="0.3">
      <c r="B1921" s="129" t="str">
        <f t="shared" si="63"/>
        <v/>
      </c>
    </row>
    <row r="1922" spans="2:2" x14ac:dyDescent="0.3">
      <c r="B1922" s="129" t="str">
        <f t="shared" si="63"/>
        <v/>
      </c>
    </row>
    <row r="1923" spans="2:2" x14ac:dyDescent="0.3">
      <c r="B1923" s="129" t="str">
        <f t="shared" si="63"/>
        <v/>
      </c>
    </row>
    <row r="1924" spans="2:2" x14ac:dyDescent="0.3">
      <c r="B1924" s="129" t="str">
        <f t="shared" si="63"/>
        <v/>
      </c>
    </row>
    <row r="1925" spans="2:2" x14ac:dyDescent="0.3">
      <c r="B1925" s="129" t="str">
        <f t="shared" si="63"/>
        <v/>
      </c>
    </row>
    <row r="1926" spans="2:2" x14ac:dyDescent="0.3">
      <c r="B1926" s="129" t="str">
        <f t="shared" si="63"/>
        <v/>
      </c>
    </row>
    <row r="1927" spans="2:2" x14ac:dyDescent="0.3">
      <c r="B1927" s="129" t="str">
        <f t="shared" si="63"/>
        <v/>
      </c>
    </row>
    <row r="1928" spans="2:2" x14ac:dyDescent="0.3">
      <c r="B1928" s="129" t="str">
        <f t="shared" si="63"/>
        <v/>
      </c>
    </row>
    <row r="1929" spans="2:2" x14ac:dyDescent="0.3">
      <c r="B1929" s="129" t="str">
        <f t="shared" si="63"/>
        <v/>
      </c>
    </row>
    <row r="1930" spans="2:2" x14ac:dyDescent="0.3">
      <c r="B1930" s="129" t="str">
        <f t="shared" si="63"/>
        <v/>
      </c>
    </row>
    <row r="1931" spans="2:2" x14ac:dyDescent="0.3">
      <c r="B1931" s="129" t="str">
        <f t="shared" si="63"/>
        <v/>
      </c>
    </row>
    <row r="1932" spans="2:2" x14ac:dyDescent="0.3">
      <c r="B1932" s="129" t="str">
        <f t="shared" si="63"/>
        <v/>
      </c>
    </row>
    <row r="1933" spans="2:2" x14ac:dyDescent="0.3">
      <c r="B1933" s="129" t="str">
        <f t="shared" si="63"/>
        <v/>
      </c>
    </row>
    <row r="1934" spans="2:2" x14ac:dyDescent="0.3">
      <c r="B1934" s="129" t="str">
        <f t="shared" si="63"/>
        <v/>
      </c>
    </row>
    <row r="1935" spans="2:2" x14ac:dyDescent="0.3">
      <c r="B1935" s="129" t="str">
        <f t="shared" si="63"/>
        <v/>
      </c>
    </row>
    <row r="1936" spans="2:2" x14ac:dyDescent="0.3">
      <c r="B1936" s="129" t="str">
        <f t="shared" si="63"/>
        <v/>
      </c>
    </row>
    <row r="1937" spans="2:2" x14ac:dyDescent="0.3">
      <c r="B1937" s="129" t="str">
        <f t="shared" si="63"/>
        <v/>
      </c>
    </row>
    <row r="1938" spans="2:2" x14ac:dyDescent="0.3">
      <c r="B1938" s="129" t="str">
        <f t="shared" si="63"/>
        <v/>
      </c>
    </row>
    <row r="1939" spans="2:2" x14ac:dyDescent="0.3">
      <c r="B1939" s="129" t="str">
        <f t="shared" si="63"/>
        <v/>
      </c>
    </row>
    <row r="1940" spans="2:2" x14ac:dyDescent="0.3">
      <c r="B1940" s="129" t="str">
        <f t="shared" si="63"/>
        <v/>
      </c>
    </row>
    <row r="1941" spans="2:2" x14ac:dyDescent="0.3">
      <c r="B1941" s="129" t="str">
        <f t="shared" si="63"/>
        <v/>
      </c>
    </row>
    <row r="1942" spans="2:2" x14ac:dyDescent="0.3">
      <c r="B1942" s="129" t="str">
        <f t="shared" si="63"/>
        <v/>
      </c>
    </row>
    <row r="1943" spans="2:2" x14ac:dyDescent="0.3">
      <c r="B1943" s="129" t="str">
        <f t="shared" si="63"/>
        <v/>
      </c>
    </row>
    <row r="1944" spans="2:2" x14ac:dyDescent="0.3">
      <c r="B1944" s="129" t="str">
        <f t="shared" si="63"/>
        <v/>
      </c>
    </row>
    <row r="1945" spans="2:2" x14ac:dyDescent="0.3">
      <c r="B1945" s="129" t="str">
        <f t="shared" si="63"/>
        <v/>
      </c>
    </row>
    <row r="1946" spans="2:2" x14ac:dyDescent="0.3">
      <c r="B1946" s="129" t="str">
        <f t="shared" si="63"/>
        <v/>
      </c>
    </row>
    <row r="1947" spans="2:2" x14ac:dyDescent="0.3">
      <c r="B1947" s="129" t="str">
        <f t="shared" si="63"/>
        <v/>
      </c>
    </row>
    <row r="1948" spans="2:2" x14ac:dyDescent="0.3">
      <c r="B1948" s="129" t="str">
        <f t="shared" si="63"/>
        <v/>
      </c>
    </row>
    <row r="1949" spans="2:2" x14ac:dyDescent="0.3">
      <c r="B1949" s="129" t="str">
        <f t="shared" si="63"/>
        <v/>
      </c>
    </row>
    <row r="1950" spans="2:2" x14ac:dyDescent="0.3">
      <c r="B1950" s="129" t="str">
        <f t="shared" si="63"/>
        <v/>
      </c>
    </row>
    <row r="1951" spans="2:2" x14ac:dyDescent="0.3">
      <c r="B1951" s="129" t="str">
        <f t="shared" si="63"/>
        <v/>
      </c>
    </row>
    <row r="1952" spans="2:2" x14ac:dyDescent="0.3">
      <c r="B1952" s="129" t="str">
        <f t="shared" si="63"/>
        <v/>
      </c>
    </row>
    <row r="1953" spans="2:2" x14ac:dyDescent="0.3">
      <c r="B1953" s="129" t="str">
        <f t="shared" si="63"/>
        <v/>
      </c>
    </row>
    <row r="1954" spans="2:2" x14ac:dyDescent="0.3">
      <c r="B1954" s="129" t="str">
        <f t="shared" si="63"/>
        <v/>
      </c>
    </row>
    <row r="1955" spans="2:2" x14ac:dyDescent="0.3">
      <c r="B1955" s="129" t="str">
        <f t="shared" si="63"/>
        <v/>
      </c>
    </row>
    <row r="1956" spans="2:2" x14ac:dyDescent="0.3">
      <c r="B1956" s="129" t="str">
        <f t="shared" si="63"/>
        <v/>
      </c>
    </row>
    <row r="1957" spans="2:2" x14ac:dyDescent="0.3">
      <c r="B1957" s="129" t="str">
        <f t="shared" si="63"/>
        <v/>
      </c>
    </row>
    <row r="1958" spans="2:2" x14ac:dyDescent="0.3">
      <c r="B1958" s="129" t="str">
        <f t="shared" si="63"/>
        <v/>
      </c>
    </row>
    <row r="1959" spans="2:2" x14ac:dyDescent="0.3">
      <c r="B1959" s="129" t="str">
        <f t="shared" si="63"/>
        <v/>
      </c>
    </row>
    <row r="1960" spans="2:2" x14ac:dyDescent="0.3">
      <c r="B1960" s="129" t="str">
        <f t="shared" ref="B1960:B2023" si="64">IF($A1960="Daily", "n/a", "")</f>
        <v/>
      </c>
    </row>
    <row r="1961" spans="2:2" x14ac:dyDescent="0.3">
      <c r="B1961" s="129" t="str">
        <f t="shared" si="64"/>
        <v/>
      </c>
    </row>
    <row r="1962" spans="2:2" x14ac:dyDescent="0.3">
      <c r="B1962" s="129" t="str">
        <f t="shared" si="64"/>
        <v/>
      </c>
    </row>
    <row r="1963" spans="2:2" x14ac:dyDescent="0.3">
      <c r="B1963" s="129" t="str">
        <f t="shared" si="64"/>
        <v/>
      </c>
    </row>
    <row r="1964" spans="2:2" x14ac:dyDescent="0.3">
      <c r="B1964" s="129" t="str">
        <f t="shared" si="64"/>
        <v/>
      </c>
    </row>
    <row r="1965" spans="2:2" x14ac:dyDescent="0.3">
      <c r="B1965" s="129" t="str">
        <f t="shared" si="64"/>
        <v/>
      </c>
    </row>
    <row r="1966" spans="2:2" x14ac:dyDescent="0.3">
      <c r="B1966" s="129" t="str">
        <f t="shared" si="64"/>
        <v/>
      </c>
    </row>
    <row r="1967" spans="2:2" x14ac:dyDescent="0.3">
      <c r="B1967" s="129" t="str">
        <f t="shared" si="64"/>
        <v/>
      </c>
    </row>
    <row r="1968" spans="2:2" x14ac:dyDescent="0.3">
      <c r="B1968" s="129" t="str">
        <f t="shared" si="64"/>
        <v/>
      </c>
    </row>
    <row r="1969" spans="2:2" x14ac:dyDescent="0.3">
      <c r="B1969" s="129" t="str">
        <f t="shared" si="64"/>
        <v/>
      </c>
    </row>
    <row r="1970" spans="2:2" x14ac:dyDescent="0.3">
      <c r="B1970" s="129" t="str">
        <f t="shared" si="64"/>
        <v/>
      </c>
    </row>
    <row r="1971" spans="2:2" x14ac:dyDescent="0.3">
      <c r="B1971" s="129" t="str">
        <f t="shared" si="64"/>
        <v/>
      </c>
    </row>
    <row r="1972" spans="2:2" x14ac:dyDescent="0.3">
      <c r="B1972" s="129" t="str">
        <f t="shared" si="64"/>
        <v/>
      </c>
    </row>
    <row r="1973" spans="2:2" x14ac:dyDescent="0.3">
      <c r="B1973" s="129" t="str">
        <f t="shared" si="64"/>
        <v/>
      </c>
    </row>
    <row r="1974" spans="2:2" x14ac:dyDescent="0.3">
      <c r="B1974" s="129" t="str">
        <f t="shared" si="64"/>
        <v/>
      </c>
    </row>
    <row r="1975" spans="2:2" x14ac:dyDescent="0.3">
      <c r="B1975" s="129" t="str">
        <f t="shared" si="64"/>
        <v/>
      </c>
    </row>
    <row r="1976" spans="2:2" x14ac:dyDescent="0.3">
      <c r="B1976" s="129" t="str">
        <f t="shared" si="64"/>
        <v/>
      </c>
    </row>
    <row r="1977" spans="2:2" x14ac:dyDescent="0.3">
      <c r="B1977" s="129" t="str">
        <f t="shared" si="64"/>
        <v/>
      </c>
    </row>
    <row r="1978" spans="2:2" x14ac:dyDescent="0.3">
      <c r="B1978" s="129" t="str">
        <f t="shared" si="64"/>
        <v/>
      </c>
    </row>
    <row r="1979" spans="2:2" x14ac:dyDescent="0.3">
      <c r="B1979" s="129" t="str">
        <f t="shared" si="64"/>
        <v/>
      </c>
    </row>
    <row r="1980" spans="2:2" x14ac:dyDescent="0.3">
      <c r="B1980" s="129" t="str">
        <f t="shared" si="64"/>
        <v/>
      </c>
    </row>
    <row r="1981" spans="2:2" x14ac:dyDescent="0.3">
      <c r="B1981" s="129" t="str">
        <f t="shared" si="64"/>
        <v/>
      </c>
    </row>
    <row r="1982" spans="2:2" x14ac:dyDescent="0.3">
      <c r="B1982" s="129" t="str">
        <f t="shared" si="64"/>
        <v/>
      </c>
    </row>
    <row r="1983" spans="2:2" x14ac:dyDescent="0.3">
      <c r="B1983" s="129" t="str">
        <f t="shared" si="64"/>
        <v/>
      </c>
    </row>
    <row r="1984" spans="2:2" x14ac:dyDescent="0.3">
      <c r="B1984" s="129" t="str">
        <f t="shared" si="64"/>
        <v/>
      </c>
    </row>
    <row r="1985" spans="2:2" x14ac:dyDescent="0.3">
      <c r="B1985" s="129" t="str">
        <f t="shared" si="64"/>
        <v/>
      </c>
    </row>
    <row r="1986" spans="2:2" x14ac:dyDescent="0.3">
      <c r="B1986" s="129" t="str">
        <f t="shared" si="64"/>
        <v/>
      </c>
    </row>
    <row r="1987" spans="2:2" x14ac:dyDescent="0.3">
      <c r="B1987" s="129" t="str">
        <f t="shared" si="64"/>
        <v/>
      </c>
    </row>
    <row r="1988" spans="2:2" x14ac:dyDescent="0.3">
      <c r="B1988" s="129" t="str">
        <f t="shared" si="64"/>
        <v/>
      </c>
    </row>
    <row r="1989" spans="2:2" x14ac:dyDescent="0.3">
      <c r="B1989" s="129" t="str">
        <f t="shared" si="64"/>
        <v/>
      </c>
    </row>
    <row r="1990" spans="2:2" x14ac:dyDescent="0.3">
      <c r="B1990" s="129" t="str">
        <f t="shared" si="64"/>
        <v/>
      </c>
    </row>
    <row r="1991" spans="2:2" x14ac:dyDescent="0.3">
      <c r="B1991" s="129" t="str">
        <f t="shared" si="64"/>
        <v/>
      </c>
    </row>
    <row r="1992" spans="2:2" x14ac:dyDescent="0.3">
      <c r="B1992" s="129" t="str">
        <f t="shared" si="64"/>
        <v/>
      </c>
    </row>
    <row r="1993" spans="2:2" x14ac:dyDescent="0.3">
      <c r="B1993" s="129" t="str">
        <f t="shared" si="64"/>
        <v/>
      </c>
    </row>
    <row r="1994" spans="2:2" x14ac:dyDescent="0.3">
      <c r="B1994" s="129" t="str">
        <f t="shared" si="64"/>
        <v/>
      </c>
    </row>
    <row r="1995" spans="2:2" x14ac:dyDescent="0.3">
      <c r="B1995" s="129" t="str">
        <f t="shared" si="64"/>
        <v/>
      </c>
    </row>
    <row r="1996" spans="2:2" x14ac:dyDescent="0.3">
      <c r="B1996" s="129" t="str">
        <f t="shared" si="64"/>
        <v/>
      </c>
    </row>
    <row r="1997" spans="2:2" x14ac:dyDescent="0.3">
      <c r="B1997" s="129" t="str">
        <f t="shared" si="64"/>
        <v/>
      </c>
    </row>
    <row r="1998" spans="2:2" x14ac:dyDescent="0.3">
      <c r="B1998" s="129" t="str">
        <f t="shared" si="64"/>
        <v/>
      </c>
    </row>
    <row r="1999" spans="2:2" x14ac:dyDescent="0.3">
      <c r="B1999" s="129" t="str">
        <f t="shared" si="64"/>
        <v/>
      </c>
    </row>
    <row r="2000" spans="2:2" x14ac:dyDescent="0.3">
      <c r="B2000" s="129" t="str">
        <f t="shared" si="64"/>
        <v/>
      </c>
    </row>
    <row r="2001" spans="2:2" x14ac:dyDescent="0.3">
      <c r="B2001" s="129" t="str">
        <f t="shared" si="64"/>
        <v/>
      </c>
    </row>
    <row r="2002" spans="2:2" x14ac:dyDescent="0.3">
      <c r="B2002" s="129" t="str">
        <f t="shared" si="64"/>
        <v/>
      </c>
    </row>
    <row r="2003" spans="2:2" x14ac:dyDescent="0.3">
      <c r="B2003" s="129" t="str">
        <f t="shared" si="64"/>
        <v/>
      </c>
    </row>
    <row r="2004" spans="2:2" x14ac:dyDescent="0.3">
      <c r="B2004" s="129" t="str">
        <f t="shared" si="64"/>
        <v/>
      </c>
    </row>
    <row r="2005" spans="2:2" x14ac:dyDescent="0.3">
      <c r="B2005" s="129" t="str">
        <f t="shared" si="64"/>
        <v/>
      </c>
    </row>
    <row r="2006" spans="2:2" x14ac:dyDescent="0.3">
      <c r="B2006" s="129" t="str">
        <f t="shared" si="64"/>
        <v/>
      </c>
    </row>
    <row r="2007" spans="2:2" x14ac:dyDescent="0.3">
      <c r="B2007" s="129" t="str">
        <f t="shared" si="64"/>
        <v/>
      </c>
    </row>
    <row r="2008" spans="2:2" x14ac:dyDescent="0.3">
      <c r="B2008" s="129" t="str">
        <f t="shared" si="64"/>
        <v/>
      </c>
    </row>
    <row r="2009" spans="2:2" x14ac:dyDescent="0.3">
      <c r="B2009" s="129" t="str">
        <f t="shared" si="64"/>
        <v/>
      </c>
    </row>
    <row r="2010" spans="2:2" x14ac:dyDescent="0.3">
      <c r="B2010" s="129" t="str">
        <f t="shared" si="64"/>
        <v/>
      </c>
    </row>
    <row r="2011" spans="2:2" x14ac:dyDescent="0.3">
      <c r="B2011" s="129" t="str">
        <f t="shared" si="64"/>
        <v/>
      </c>
    </row>
    <row r="2012" spans="2:2" x14ac:dyDescent="0.3">
      <c r="B2012" s="129" t="str">
        <f t="shared" si="64"/>
        <v/>
      </c>
    </row>
    <row r="2013" spans="2:2" x14ac:dyDescent="0.3">
      <c r="B2013" s="129" t="str">
        <f t="shared" si="64"/>
        <v/>
      </c>
    </row>
    <row r="2014" spans="2:2" x14ac:dyDescent="0.3">
      <c r="B2014" s="129" t="str">
        <f t="shared" si="64"/>
        <v/>
      </c>
    </row>
    <row r="2015" spans="2:2" x14ac:dyDescent="0.3">
      <c r="B2015" s="129" t="str">
        <f t="shared" si="64"/>
        <v/>
      </c>
    </row>
    <row r="2016" spans="2:2" x14ac:dyDescent="0.3">
      <c r="B2016" s="129" t="str">
        <f t="shared" si="64"/>
        <v/>
      </c>
    </row>
    <row r="2017" spans="2:2" x14ac:dyDescent="0.3">
      <c r="B2017" s="129" t="str">
        <f t="shared" si="64"/>
        <v/>
      </c>
    </row>
    <row r="2018" spans="2:2" x14ac:dyDescent="0.3">
      <c r="B2018" s="129" t="str">
        <f t="shared" si="64"/>
        <v/>
      </c>
    </row>
    <row r="2019" spans="2:2" x14ac:dyDescent="0.3">
      <c r="B2019" s="129" t="str">
        <f t="shared" si="64"/>
        <v/>
      </c>
    </row>
    <row r="2020" spans="2:2" x14ac:dyDescent="0.3">
      <c r="B2020" s="129" t="str">
        <f t="shared" si="64"/>
        <v/>
      </c>
    </row>
    <row r="2021" spans="2:2" x14ac:dyDescent="0.3">
      <c r="B2021" s="129" t="str">
        <f t="shared" si="64"/>
        <v/>
      </c>
    </row>
    <row r="2022" spans="2:2" x14ac:dyDescent="0.3">
      <c r="B2022" s="129" t="str">
        <f t="shared" si="64"/>
        <v/>
      </c>
    </row>
    <row r="2023" spans="2:2" x14ac:dyDescent="0.3">
      <c r="B2023" s="129" t="str">
        <f t="shared" si="64"/>
        <v/>
      </c>
    </row>
    <row r="2024" spans="2:2" x14ac:dyDescent="0.3">
      <c r="B2024" s="129" t="str">
        <f t="shared" ref="B2024:B2087" si="65">IF($A2024="Daily", "n/a", "")</f>
        <v/>
      </c>
    </row>
    <row r="2025" spans="2:2" x14ac:dyDescent="0.3">
      <c r="B2025" s="129" t="str">
        <f t="shared" si="65"/>
        <v/>
      </c>
    </row>
    <row r="2026" spans="2:2" x14ac:dyDescent="0.3">
      <c r="B2026" s="129" t="str">
        <f t="shared" si="65"/>
        <v/>
      </c>
    </row>
    <row r="2027" spans="2:2" x14ac:dyDescent="0.3">
      <c r="B2027" s="129" t="str">
        <f t="shared" si="65"/>
        <v/>
      </c>
    </row>
    <row r="2028" spans="2:2" x14ac:dyDescent="0.3">
      <c r="B2028" s="129" t="str">
        <f t="shared" si="65"/>
        <v/>
      </c>
    </row>
    <row r="2029" spans="2:2" x14ac:dyDescent="0.3">
      <c r="B2029" s="129" t="str">
        <f t="shared" si="65"/>
        <v/>
      </c>
    </row>
    <row r="2030" spans="2:2" x14ac:dyDescent="0.3">
      <c r="B2030" s="129" t="str">
        <f t="shared" si="65"/>
        <v/>
      </c>
    </row>
    <row r="2031" spans="2:2" x14ac:dyDescent="0.3">
      <c r="B2031" s="129" t="str">
        <f t="shared" si="65"/>
        <v/>
      </c>
    </row>
    <row r="2032" spans="2:2" x14ac:dyDescent="0.3">
      <c r="B2032" s="129" t="str">
        <f t="shared" si="65"/>
        <v/>
      </c>
    </row>
    <row r="2033" spans="2:2" x14ac:dyDescent="0.3">
      <c r="B2033" s="129" t="str">
        <f t="shared" si="65"/>
        <v/>
      </c>
    </row>
    <row r="2034" spans="2:2" x14ac:dyDescent="0.3">
      <c r="B2034" s="129" t="str">
        <f t="shared" si="65"/>
        <v/>
      </c>
    </row>
    <row r="2035" spans="2:2" x14ac:dyDescent="0.3">
      <c r="B2035" s="129" t="str">
        <f t="shared" si="65"/>
        <v/>
      </c>
    </row>
    <row r="2036" spans="2:2" x14ac:dyDescent="0.3">
      <c r="B2036" s="129" t="str">
        <f t="shared" si="65"/>
        <v/>
      </c>
    </row>
    <row r="2037" spans="2:2" x14ac:dyDescent="0.3">
      <c r="B2037" s="129" t="str">
        <f t="shared" si="65"/>
        <v/>
      </c>
    </row>
    <row r="2038" spans="2:2" x14ac:dyDescent="0.3">
      <c r="B2038" s="129" t="str">
        <f t="shared" si="65"/>
        <v/>
      </c>
    </row>
    <row r="2039" spans="2:2" x14ac:dyDescent="0.3">
      <c r="B2039" s="129" t="str">
        <f t="shared" si="65"/>
        <v/>
      </c>
    </row>
    <row r="2040" spans="2:2" x14ac:dyDescent="0.3">
      <c r="B2040" s="129" t="str">
        <f t="shared" si="65"/>
        <v/>
      </c>
    </row>
    <row r="2041" spans="2:2" x14ac:dyDescent="0.3">
      <c r="B2041" s="129" t="str">
        <f t="shared" si="65"/>
        <v/>
      </c>
    </row>
    <row r="2042" spans="2:2" x14ac:dyDescent="0.3">
      <c r="B2042" s="129" t="str">
        <f t="shared" si="65"/>
        <v/>
      </c>
    </row>
    <row r="2043" spans="2:2" x14ac:dyDescent="0.3">
      <c r="B2043" s="129" t="str">
        <f t="shared" si="65"/>
        <v/>
      </c>
    </row>
    <row r="2044" spans="2:2" x14ac:dyDescent="0.3">
      <c r="B2044" s="129" t="str">
        <f t="shared" si="65"/>
        <v/>
      </c>
    </row>
    <row r="2045" spans="2:2" x14ac:dyDescent="0.3">
      <c r="B2045" s="129" t="str">
        <f t="shared" si="65"/>
        <v/>
      </c>
    </row>
    <row r="2046" spans="2:2" x14ac:dyDescent="0.3">
      <c r="B2046" s="129" t="str">
        <f t="shared" si="65"/>
        <v/>
      </c>
    </row>
    <row r="2047" spans="2:2" x14ac:dyDescent="0.3">
      <c r="B2047" s="129" t="str">
        <f t="shared" si="65"/>
        <v/>
      </c>
    </row>
    <row r="2048" spans="2:2" x14ac:dyDescent="0.3">
      <c r="B2048" s="129" t="str">
        <f t="shared" si="65"/>
        <v/>
      </c>
    </row>
    <row r="2049" spans="2:2" x14ac:dyDescent="0.3">
      <c r="B2049" s="129" t="str">
        <f t="shared" si="65"/>
        <v/>
      </c>
    </row>
    <row r="2050" spans="2:2" x14ac:dyDescent="0.3">
      <c r="B2050" s="129" t="str">
        <f t="shared" si="65"/>
        <v/>
      </c>
    </row>
    <row r="2051" spans="2:2" x14ac:dyDescent="0.3">
      <c r="B2051" s="129" t="str">
        <f t="shared" si="65"/>
        <v/>
      </c>
    </row>
    <row r="2052" spans="2:2" x14ac:dyDescent="0.3">
      <c r="B2052" s="129" t="str">
        <f t="shared" si="65"/>
        <v/>
      </c>
    </row>
    <row r="2053" spans="2:2" x14ac:dyDescent="0.3">
      <c r="B2053" s="129" t="str">
        <f t="shared" si="65"/>
        <v/>
      </c>
    </row>
    <row r="2054" spans="2:2" x14ac:dyDescent="0.3">
      <c r="B2054" s="129" t="str">
        <f t="shared" si="65"/>
        <v/>
      </c>
    </row>
    <row r="2055" spans="2:2" x14ac:dyDescent="0.3">
      <c r="B2055" s="129" t="str">
        <f t="shared" si="65"/>
        <v/>
      </c>
    </row>
    <row r="2056" spans="2:2" x14ac:dyDescent="0.3">
      <c r="B2056" s="129" t="str">
        <f t="shared" si="65"/>
        <v/>
      </c>
    </row>
    <row r="2057" spans="2:2" x14ac:dyDescent="0.3">
      <c r="B2057" s="129" t="str">
        <f t="shared" si="65"/>
        <v/>
      </c>
    </row>
    <row r="2058" spans="2:2" x14ac:dyDescent="0.3">
      <c r="B2058" s="129" t="str">
        <f t="shared" si="65"/>
        <v/>
      </c>
    </row>
    <row r="2059" spans="2:2" x14ac:dyDescent="0.3">
      <c r="B2059" s="129" t="str">
        <f t="shared" si="65"/>
        <v/>
      </c>
    </row>
    <row r="2060" spans="2:2" x14ac:dyDescent="0.3">
      <c r="B2060" s="129" t="str">
        <f t="shared" si="65"/>
        <v/>
      </c>
    </row>
    <row r="2061" spans="2:2" x14ac:dyDescent="0.3">
      <c r="B2061" s="129" t="str">
        <f t="shared" si="65"/>
        <v/>
      </c>
    </row>
    <row r="2062" spans="2:2" x14ac:dyDescent="0.3">
      <c r="B2062" s="129" t="str">
        <f t="shared" si="65"/>
        <v/>
      </c>
    </row>
    <row r="2063" spans="2:2" x14ac:dyDescent="0.3">
      <c r="B2063" s="129" t="str">
        <f t="shared" si="65"/>
        <v/>
      </c>
    </row>
    <row r="2064" spans="2:2" x14ac:dyDescent="0.3">
      <c r="B2064" s="129" t="str">
        <f t="shared" si="65"/>
        <v/>
      </c>
    </row>
    <row r="2065" spans="2:2" x14ac:dyDescent="0.3">
      <c r="B2065" s="129" t="str">
        <f t="shared" si="65"/>
        <v/>
      </c>
    </row>
    <row r="2066" spans="2:2" x14ac:dyDescent="0.3">
      <c r="B2066" s="129" t="str">
        <f t="shared" si="65"/>
        <v/>
      </c>
    </row>
    <row r="2067" spans="2:2" x14ac:dyDescent="0.3">
      <c r="B2067" s="129" t="str">
        <f t="shared" si="65"/>
        <v/>
      </c>
    </row>
    <row r="2068" spans="2:2" x14ac:dyDescent="0.3">
      <c r="B2068" s="129" t="str">
        <f t="shared" si="65"/>
        <v/>
      </c>
    </row>
    <row r="2069" spans="2:2" x14ac:dyDescent="0.3">
      <c r="B2069" s="129" t="str">
        <f t="shared" si="65"/>
        <v/>
      </c>
    </row>
    <row r="2070" spans="2:2" x14ac:dyDescent="0.3">
      <c r="B2070" s="129" t="str">
        <f t="shared" si="65"/>
        <v/>
      </c>
    </row>
    <row r="2071" spans="2:2" x14ac:dyDescent="0.3">
      <c r="B2071" s="129" t="str">
        <f t="shared" si="65"/>
        <v/>
      </c>
    </row>
    <row r="2072" spans="2:2" x14ac:dyDescent="0.3">
      <c r="B2072" s="129" t="str">
        <f t="shared" si="65"/>
        <v/>
      </c>
    </row>
    <row r="2073" spans="2:2" x14ac:dyDescent="0.3">
      <c r="B2073" s="129" t="str">
        <f t="shared" si="65"/>
        <v/>
      </c>
    </row>
    <row r="2074" spans="2:2" x14ac:dyDescent="0.3">
      <c r="B2074" s="129" t="str">
        <f t="shared" si="65"/>
        <v/>
      </c>
    </row>
    <row r="2075" spans="2:2" x14ac:dyDescent="0.3">
      <c r="B2075" s="129" t="str">
        <f t="shared" si="65"/>
        <v/>
      </c>
    </row>
    <row r="2076" spans="2:2" x14ac:dyDescent="0.3">
      <c r="B2076" s="129" t="str">
        <f t="shared" si="65"/>
        <v/>
      </c>
    </row>
    <row r="2077" spans="2:2" x14ac:dyDescent="0.3">
      <c r="B2077" s="129" t="str">
        <f t="shared" si="65"/>
        <v/>
      </c>
    </row>
    <row r="2078" spans="2:2" x14ac:dyDescent="0.3">
      <c r="B2078" s="129" t="str">
        <f t="shared" si="65"/>
        <v/>
      </c>
    </row>
    <row r="2079" spans="2:2" x14ac:dyDescent="0.3">
      <c r="B2079" s="129" t="str">
        <f t="shared" si="65"/>
        <v/>
      </c>
    </row>
    <row r="2080" spans="2:2" x14ac:dyDescent="0.3">
      <c r="B2080" s="129" t="str">
        <f t="shared" si="65"/>
        <v/>
      </c>
    </row>
    <row r="2081" spans="2:2" x14ac:dyDescent="0.3">
      <c r="B2081" s="129" t="str">
        <f t="shared" si="65"/>
        <v/>
      </c>
    </row>
    <row r="2082" spans="2:2" x14ac:dyDescent="0.3">
      <c r="B2082" s="129" t="str">
        <f t="shared" si="65"/>
        <v/>
      </c>
    </row>
    <row r="2083" spans="2:2" x14ac:dyDescent="0.3">
      <c r="B2083" s="129" t="str">
        <f t="shared" si="65"/>
        <v/>
      </c>
    </row>
    <row r="2084" spans="2:2" x14ac:dyDescent="0.3">
      <c r="B2084" s="129" t="str">
        <f t="shared" si="65"/>
        <v/>
      </c>
    </row>
    <row r="2085" spans="2:2" x14ac:dyDescent="0.3">
      <c r="B2085" s="129" t="str">
        <f t="shared" si="65"/>
        <v/>
      </c>
    </row>
    <row r="2086" spans="2:2" x14ac:dyDescent="0.3">
      <c r="B2086" s="129" t="str">
        <f t="shared" si="65"/>
        <v/>
      </c>
    </row>
    <row r="2087" spans="2:2" x14ac:dyDescent="0.3">
      <c r="B2087" s="129" t="str">
        <f t="shared" si="65"/>
        <v/>
      </c>
    </row>
    <row r="2088" spans="2:2" x14ac:dyDescent="0.3">
      <c r="B2088" s="129" t="str">
        <f t="shared" ref="B2088:B2151" si="66">IF($A2088="Daily", "n/a", "")</f>
        <v/>
      </c>
    </row>
    <row r="2089" spans="2:2" x14ac:dyDescent="0.3">
      <c r="B2089" s="129" t="str">
        <f t="shared" si="66"/>
        <v/>
      </c>
    </row>
    <row r="2090" spans="2:2" x14ac:dyDescent="0.3">
      <c r="B2090" s="129" t="str">
        <f t="shared" si="66"/>
        <v/>
      </c>
    </row>
    <row r="2091" spans="2:2" x14ac:dyDescent="0.3">
      <c r="B2091" s="129" t="str">
        <f t="shared" si="66"/>
        <v/>
      </c>
    </row>
    <row r="2092" spans="2:2" x14ac:dyDescent="0.3">
      <c r="B2092" s="129" t="str">
        <f t="shared" si="66"/>
        <v/>
      </c>
    </row>
    <row r="2093" spans="2:2" x14ac:dyDescent="0.3">
      <c r="B2093" s="129" t="str">
        <f t="shared" si="66"/>
        <v/>
      </c>
    </row>
    <row r="2094" spans="2:2" x14ac:dyDescent="0.3">
      <c r="B2094" s="129" t="str">
        <f t="shared" si="66"/>
        <v/>
      </c>
    </row>
    <row r="2095" spans="2:2" x14ac:dyDescent="0.3">
      <c r="B2095" s="129" t="str">
        <f t="shared" si="66"/>
        <v/>
      </c>
    </row>
    <row r="2096" spans="2:2" x14ac:dyDescent="0.3">
      <c r="B2096" s="129" t="str">
        <f t="shared" si="66"/>
        <v/>
      </c>
    </row>
    <row r="2097" spans="2:2" x14ac:dyDescent="0.3">
      <c r="B2097" s="129" t="str">
        <f t="shared" si="66"/>
        <v/>
      </c>
    </row>
    <row r="2098" spans="2:2" x14ac:dyDescent="0.3">
      <c r="B2098" s="129" t="str">
        <f t="shared" si="66"/>
        <v/>
      </c>
    </row>
    <row r="2099" spans="2:2" x14ac:dyDescent="0.3">
      <c r="B2099" s="129" t="str">
        <f t="shared" si="66"/>
        <v/>
      </c>
    </row>
    <row r="2100" spans="2:2" x14ac:dyDescent="0.3">
      <c r="B2100" s="129" t="str">
        <f t="shared" si="66"/>
        <v/>
      </c>
    </row>
    <row r="2101" spans="2:2" x14ac:dyDescent="0.3">
      <c r="B2101" s="129" t="str">
        <f t="shared" si="66"/>
        <v/>
      </c>
    </row>
    <row r="2102" spans="2:2" x14ac:dyDescent="0.3">
      <c r="B2102" s="129" t="str">
        <f t="shared" si="66"/>
        <v/>
      </c>
    </row>
    <row r="2103" spans="2:2" x14ac:dyDescent="0.3">
      <c r="B2103" s="129" t="str">
        <f t="shared" si="66"/>
        <v/>
      </c>
    </row>
    <row r="2104" spans="2:2" x14ac:dyDescent="0.3">
      <c r="B2104" s="129" t="str">
        <f t="shared" si="66"/>
        <v/>
      </c>
    </row>
    <row r="2105" spans="2:2" x14ac:dyDescent="0.3">
      <c r="B2105" s="129" t="str">
        <f t="shared" si="66"/>
        <v/>
      </c>
    </row>
    <row r="2106" spans="2:2" x14ac:dyDescent="0.3">
      <c r="B2106" s="129" t="str">
        <f t="shared" si="66"/>
        <v/>
      </c>
    </row>
    <row r="2107" spans="2:2" x14ac:dyDescent="0.3">
      <c r="B2107" s="129" t="str">
        <f t="shared" si="66"/>
        <v/>
      </c>
    </row>
    <row r="2108" spans="2:2" x14ac:dyDescent="0.3">
      <c r="B2108" s="129" t="str">
        <f t="shared" si="66"/>
        <v/>
      </c>
    </row>
    <row r="2109" spans="2:2" x14ac:dyDescent="0.3">
      <c r="B2109" s="129" t="str">
        <f t="shared" si="66"/>
        <v/>
      </c>
    </row>
    <row r="2110" spans="2:2" x14ac:dyDescent="0.3">
      <c r="B2110" s="129" t="str">
        <f t="shared" si="66"/>
        <v/>
      </c>
    </row>
    <row r="2111" spans="2:2" x14ac:dyDescent="0.3">
      <c r="B2111" s="129" t="str">
        <f t="shared" si="66"/>
        <v/>
      </c>
    </row>
    <row r="2112" spans="2:2" x14ac:dyDescent="0.3">
      <c r="B2112" s="129" t="str">
        <f t="shared" si="66"/>
        <v/>
      </c>
    </row>
    <row r="2113" spans="2:2" x14ac:dyDescent="0.3">
      <c r="B2113" s="129" t="str">
        <f t="shared" si="66"/>
        <v/>
      </c>
    </row>
    <row r="2114" spans="2:2" x14ac:dyDescent="0.3">
      <c r="B2114" s="129" t="str">
        <f t="shared" si="66"/>
        <v/>
      </c>
    </row>
    <row r="2115" spans="2:2" x14ac:dyDescent="0.3">
      <c r="B2115" s="129" t="str">
        <f t="shared" si="66"/>
        <v/>
      </c>
    </row>
    <row r="2116" spans="2:2" x14ac:dyDescent="0.3">
      <c r="B2116" s="129" t="str">
        <f t="shared" si="66"/>
        <v/>
      </c>
    </row>
    <row r="2117" spans="2:2" x14ac:dyDescent="0.3">
      <c r="B2117" s="129" t="str">
        <f t="shared" si="66"/>
        <v/>
      </c>
    </row>
    <row r="2118" spans="2:2" x14ac:dyDescent="0.3">
      <c r="B2118" s="129" t="str">
        <f t="shared" si="66"/>
        <v/>
      </c>
    </row>
    <row r="2119" spans="2:2" x14ac:dyDescent="0.3">
      <c r="B2119" s="129" t="str">
        <f t="shared" si="66"/>
        <v/>
      </c>
    </row>
    <row r="2120" spans="2:2" x14ac:dyDescent="0.3">
      <c r="B2120" s="129" t="str">
        <f t="shared" si="66"/>
        <v/>
      </c>
    </row>
    <row r="2121" spans="2:2" x14ac:dyDescent="0.3">
      <c r="B2121" s="129" t="str">
        <f t="shared" si="66"/>
        <v/>
      </c>
    </row>
    <row r="2122" spans="2:2" x14ac:dyDescent="0.3">
      <c r="B2122" s="129" t="str">
        <f t="shared" si="66"/>
        <v/>
      </c>
    </row>
    <row r="2123" spans="2:2" x14ac:dyDescent="0.3">
      <c r="B2123" s="129" t="str">
        <f t="shared" si="66"/>
        <v/>
      </c>
    </row>
    <row r="2124" spans="2:2" x14ac:dyDescent="0.3">
      <c r="B2124" s="129" t="str">
        <f t="shared" si="66"/>
        <v/>
      </c>
    </row>
    <row r="2125" spans="2:2" x14ac:dyDescent="0.3">
      <c r="B2125" s="129" t="str">
        <f t="shared" si="66"/>
        <v/>
      </c>
    </row>
    <row r="2126" spans="2:2" x14ac:dyDescent="0.3">
      <c r="B2126" s="129" t="str">
        <f t="shared" si="66"/>
        <v/>
      </c>
    </row>
    <row r="2127" spans="2:2" x14ac:dyDescent="0.3">
      <c r="B2127" s="129" t="str">
        <f t="shared" si="66"/>
        <v/>
      </c>
    </row>
    <row r="2128" spans="2:2" x14ac:dyDescent="0.3">
      <c r="B2128" s="129" t="str">
        <f t="shared" si="66"/>
        <v/>
      </c>
    </row>
    <row r="2129" spans="2:2" x14ac:dyDescent="0.3">
      <c r="B2129" s="129" t="str">
        <f t="shared" si="66"/>
        <v/>
      </c>
    </row>
    <row r="2130" spans="2:2" x14ac:dyDescent="0.3">
      <c r="B2130" s="129" t="str">
        <f t="shared" si="66"/>
        <v/>
      </c>
    </row>
    <row r="2131" spans="2:2" x14ac:dyDescent="0.3">
      <c r="B2131" s="129" t="str">
        <f t="shared" si="66"/>
        <v/>
      </c>
    </row>
    <row r="2132" spans="2:2" x14ac:dyDescent="0.3">
      <c r="B2132" s="129" t="str">
        <f t="shared" si="66"/>
        <v/>
      </c>
    </row>
    <row r="2133" spans="2:2" x14ac:dyDescent="0.3">
      <c r="B2133" s="129" t="str">
        <f t="shared" si="66"/>
        <v/>
      </c>
    </row>
    <row r="2134" spans="2:2" x14ac:dyDescent="0.3">
      <c r="B2134" s="129" t="str">
        <f t="shared" si="66"/>
        <v/>
      </c>
    </row>
    <row r="2135" spans="2:2" x14ac:dyDescent="0.3">
      <c r="B2135" s="129" t="str">
        <f t="shared" si="66"/>
        <v/>
      </c>
    </row>
    <row r="2136" spans="2:2" x14ac:dyDescent="0.3">
      <c r="B2136" s="129" t="str">
        <f t="shared" si="66"/>
        <v/>
      </c>
    </row>
    <row r="2137" spans="2:2" x14ac:dyDescent="0.3">
      <c r="B2137" s="129" t="str">
        <f t="shared" si="66"/>
        <v/>
      </c>
    </row>
    <row r="2138" spans="2:2" x14ac:dyDescent="0.3">
      <c r="B2138" s="129" t="str">
        <f t="shared" si="66"/>
        <v/>
      </c>
    </row>
    <row r="2139" spans="2:2" x14ac:dyDescent="0.3">
      <c r="B2139" s="129" t="str">
        <f t="shared" si="66"/>
        <v/>
      </c>
    </row>
    <row r="2140" spans="2:2" x14ac:dyDescent="0.3">
      <c r="B2140" s="129" t="str">
        <f t="shared" si="66"/>
        <v/>
      </c>
    </row>
    <row r="2141" spans="2:2" x14ac:dyDescent="0.3">
      <c r="B2141" s="129" t="str">
        <f t="shared" si="66"/>
        <v/>
      </c>
    </row>
    <row r="2142" spans="2:2" x14ac:dyDescent="0.3">
      <c r="B2142" s="129" t="str">
        <f t="shared" si="66"/>
        <v/>
      </c>
    </row>
    <row r="2143" spans="2:2" x14ac:dyDescent="0.3">
      <c r="B2143" s="129" t="str">
        <f t="shared" si="66"/>
        <v/>
      </c>
    </row>
    <row r="2144" spans="2:2" x14ac:dyDescent="0.3">
      <c r="B2144" s="129" t="str">
        <f t="shared" si="66"/>
        <v/>
      </c>
    </row>
    <row r="2145" spans="2:2" x14ac:dyDescent="0.3">
      <c r="B2145" s="129" t="str">
        <f t="shared" si="66"/>
        <v/>
      </c>
    </row>
    <row r="2146" spans="2:2" x14ac:dyDescent="0.3">
      <c r="B2146" s="129" t="str">
        <f t="shared" si="66"/>
        <v/>
      </c>
    </row>
    <row r="2147" spans="2:2" x14ac:dyDescent="0.3">
      <c r="B2147" s="129" t="str">
        <f t="shared" si="66"/>
        <v/>
      </c>
    </row>
    <row r="2148" spans="2:2" x14ac:dyDescent="0.3">
      <c r="B2148" s="129" t="str">
        <f t="shared" si="66"/>
        <v/>
      </c>
    </row>
    <row r="2149" spans="2:2" x14ac:dyDescent="0.3">
      <c r="B2149" s="129" t="str">
        <f t="shared" si="66"/>
        <v/>
      </c>
    </row>
    <row r="2150" spans="2:2" x14ac:dyDescent="0.3">
      <c r="B2150" s="129" t="str">
        <f t="shared" si="66"/>
        <v/>
      </c>
    </row>
    <row r="2151" spans="2:2" x14ac:dyDescent="0.3">
      <c r="B2151" s="129" t="str">
        <f t="shared" si="66"/>
        <v/>
      </c>
    </row>
    <row r="2152" spans="2:2" x14ac:dyDescent="0.3">
      <c r="B2152" s="129" t="str">
        <f t="shared" ref="B2152:B2215" si="67">IF($A2152="Daily", "n/a", "")</f>
        <v/>
      </c>
    </row>
    <row r="2153" spans="2:2" x14ac:dyDescent="0.3">
      <c r="B2153" s="129" t="str">
        <f t="shared" si="67"/>
        <v/>
      </c>
    </row>
    <row r="2154" spans="2:2" x14ac:dyDescent="0.3">
      <c r="B2154" s="129" t="str">
        <f t="shared" si="67"/>
        <v/>
      </c>
    </row>
    <row r="2155" spans="2:2" x14ac:dyDescent="0.3">
      <c r="B2155" s="129" t="str">
        <f t="shared" si="67"/>
        <v/>
      </c>
    </row>
    <row r="2156" spans="2:2" x14ac:dyDescent="0.3">
      <c r="B2156" s="129" t="str">
        <f t="shared" si="67"/>
        <v/>
      </c>
    </row>
    <row r="2157" spans="2:2" x14ac:dyDescent="0.3">
      <c r="B2157" s="129" t="str">
        <f t="shared" si="67"/>
        <v/>
      </c>
    </row>
    <row r="2158" spans="2:2" x14ac:dyDescent="0.3">
      <c r="B2158" s="129" t="str">
        <f t="shared" si="67"/>
        <v/>
      </c>
    </row>
    <row r="2159" spans="2:2" x14ac:dyDescent="0.3">
      <c r="B2159" s="129" t="str">
        <f t="shared" si="67"/>
        <v/>
      </c>
    </row>
    <row r="2160" spans="2:2" x14ac:dyDescent="0.3">
      <c r="B2160" s="129" t="str">
        <f t="shared" si="67"/>
        <v/>
      </c>
    </row>
    <row r="2161" spans="2:2" x14ac:dyDescent="0.3">
      <c r="B2161" s="129" t="str">
        <f t="shared" si="67"/>
        <v/>
      </c>
    </row>
    <row r="2162" spans="2:2" x14ac:dyDescent="0.3">
      <c r="B2162" s="129" t="str">
        <f t="shared" si="67"/>
        <v/>
      </c>
    </row>
    <row r="2163" spans="2:2" x14ac:dyDescent="0.3">
      <c r="B2163" s="129" t="str">
        <f t="shared" si="67"/>
        <v/>
      </c>
    </row>
    <row r="2164" spans="2:2" x14ac:dyDescent="0.3">
      <c r="B2164" s="129" t="str">
        <f t="shared" si="67"/>
        <v/>
      </c>
    </row>
    <row r="2165" spans="2:2" x14ac:dyDescent="0.3">
      <c r="B2165" s="129" t="str">
        <f t="shared" si="67"/>
        <v/>
      </c>
    </row>
    <row r="2166" spans="2:2" x14ac:dyDescent="0.3">
      <c r="B2166" s="129" t="str">
        <f t="shared" si="67"/>
        <v/>
      </c>
    </row>
    <row r="2167" spans="2:2" x14ac:dyDescent="0.3">
      <c r="B2167" s="129" t="str">
        <f t="shared" si="67"/>
        <v/>
      </c>
    </row>
    <row r="2168" spans="2:2" x14ac:dyDescent="0.3">
      <c r="B2168" s="129" t="str">
        <f t="shared" si="67"/>
        <v/>
      </c>
    </row>
    <row r="2169" spans="2:2" x14ac:dyDescent="0.3">
      <c r="B2169" s="129" t="str">
        <f t="shared" si="67"/>
        <v/>
      </c>
    </row>
    <row r="2170" spans="2:2" x14ac:dyDescent="0.3">
      <c r="B2170" s="129" t="str">
        <f t="shared" si="67"/>
        <v/>
      </c>
    </row>
    <row r="2171" spans="2:2" x14ac:dyDescent="0.3">
      <c r="B2171" s="129" t="str">
        <f t="shared" si="67"/>
        <v/>
      </c>
    </row>
    <row r="2172" spans="2:2" x14ac:dyDescent="0.3">
      <c r="B2172" s="129" t="str">
        <f t="shared" si="67"/>
        <v/>
      </c>
    </row>
    <row r="2173" spans="2:2" x14ac:dyDescent="0.3">
      <c r="B2173" s="129" t="str">
        <f t="shared" si="67"/>
        <v/>
      </c>
    </row>
    <row r="2174" spans="2:2" x14ac:dyDescent="0.3">
      <c r="B2174" s="129" t="str">
        <f t="shared" si="67"/>
        <v/>
      </c>
    </row>
    <row r="2175" spans="2:2" x14ac:dyDescent="0.3">
      <c r="B2175" s="129" t="str">
        <f t="shared" si="67"/>
        <v/>
      </c>
    </row>
    <row r="2176" spans="2:2" x14ac:dyDescent="0.3">
      <c r="B2176" s="129" t="str">
        <f t="shared" si="67"/>
        <v/>
      </c>
    </row>
    <row r="2177" spans="2:2" x14ac:dyDescent="0.3">
      <c r="B2177" s="129" t="str">
        <f t="shared" si="67"/>
        <v/>
      </c>
    </row>
    <row r="2178" spans="2:2" x14ac:dyDescent="0.3">
      <c r="B2178" s="129" t="str">
        <f t="shared" si="67"/>
        <v/>
      </c>
    </row>
    <row r="2179" spans="2:2" x14ac:dyDescent="0.3">
      <c r="B2179" s="129" t="str">
        <f t="shared" si="67"/>
        <v/>
      </c>
    </row>
    <row r="2180" spans="2:2" x14ac:dyDescent="0.3">
      <c r="B2180" s="129" t="str">
        <f t="shared" si="67"/>
        <v/>
      </c>
    </row>
    <row r="2181" spans="2:2" x14ac:dyDescent="0.3">
      <c r="B2181" s="129" t="str">
        <f t="shared" si="67"/>
        <v/>
      </c>
    </row>
    <row r="2182" spans="2:2" x14ac:dyDescent="0.3">
      <c r="B2182" s="129" t="str">
        <f t="shared" si="67"/>
        <v/>
      </c>
    </row>
    <row r="2183" spans="2:2" x14ac:dyDescent="0.3">
      <c r="B2183" s="129" t="str">
        <f t="shared" si="67"/>
        <v/>
      </c>
    </row>
    <row r="2184" spans="2:2" x14ac:dyDescent="0.3">
      <c r="B2184" s="129" t="str">
        <f t="shared" si="67"/>
        <v/>
      </c>
    </row>
    <row r="2185" spans="2:2" x14ac:dyDescent="0.3">
      <c r="B2185" s="129" t="str">
        <f t="shared" si="67"/>
        <v/>
      </c>
    </row>
    <row r="2186" spans="2:2" x14ac:dyDescent="0.3">
      <c r="B2186" s="129" t="str">
        <f t="shared" si="67"/>
        <v/>
      </c>
    </row>
    <row r="2187" spans="2:2" x14ac:dyDescent="0.3">
      <c r="B2187" s="129" t="str">
        <f t="shared" si="67"/>
        <v/>
      </c>
    </row>
    <row r="2188" spans="2:2" x14ac:dyDescent="0.3">
      <c r="B2188" s="129" t="str">
        <f t="shared" si="67"/>
        <v/>
      </c>
    </row>
    <row r="2189" spans="2:2" x14ac:dyDescent="0.3">
      <c r="B2189" s="129" t="str">
        <f t="shared" si="67"/>
        <v/>
      </c>
    </row>
    <row r="2190" spans="2:2" x14ac:dyDescent="0.3">
      <c r="B2190" s="129" t="str">
        <f t="shared" si="67"/>
        <v/>
      </c>
    </row>
    <row r="2191" spans="2:2" x14ac:dyDescent="0.3">
      <c r="B2191" s="129" t="str">
        <f t="shared" si="67"/>
        <v/>
      </c>
    </row>
    <row r="2192" spans="2:2" x14ac:dyDescent="0.3">
      <c r="B2192" s="129" t="str">
        <f t="shared" si="67"/>
        <v/>
      </c>
    </row>
    <row r="2193" spans="2:2" x14ac:dyDescent="0.3">
      <c r="B2193" s="129" t="str">
        <f t="shared" si="67"/>
        <v/>
      </c>
    </row>
    <row r="2194" spans="2:2" x14ac:dyDescent="0.3">
      <c r="B2194" s="129" t="str">
        <f t="shared" si="67"/>
        <v/>
      </c>
    </row>
    <row r="2195" spans="2:2" x14ac:dyDescent="0.3">
      <c r="B2195" s="129" t="str">
        <f t="shared" si="67"/>
        <v/>
      </c>
    </row>
    <row r="2196" spans="2:2" x14ac:dyDescent="0.3">
      <c r="B2196" s="129" t="str">
        <f t="shared" si="67"/>
        <v/>
      </c>
    </row>
    <row r="2197" spans="2:2" x14ac:dyDescent="0.3">
      <c r="B2197" s="129" t="str">
        <f t="shared" si="67"/>
        <v/>
      </c>
    </row>
    <row r="2198" spans="2:2" x14ac:dyDescent="0.3">
      <c r="B2198" s="129" t="str">
        <f t="shared" si="67"/>
        <v/>
      </c>
    </row>
    <row r="2199" spans="2:2" x14ac:dyDescent="0.3">
      <c r="B2199" s="129" t="str">
        <f t="shared" si="67"/>
        <v/>
      </c>
    </row>
    <row r="2200" spans="2:2" x14ac:dyDescent="0.3">
      <c r="B2200" s="129" t="str">
        <f t="shared" si="67"/>
        <v/>
      </c>
    </row>
    <row r="2201" spans="2:2" x14ac:dyDescent="0.3">
      <c r="B2201" s="129" t="str">
        <f t="shared" si="67"/>
        <v/>
      </c>
    </row>
    <row r="2202" spans="2:2" x14ac:dyDescent="0.3">
      <c r="B2202" s="129" t="str">
        <f t="shared" si="67"/>
        <v/>
      </c>
    </row>
    <row r="2203" spans="2:2" x14ac:dyDescent="0.3">
      <c r="B2203" s="129" t="str">
        <f t="shared" si="67"/>
        <v/>
      </c>
    </row>
    <row r="2204" spans="2:2" x14ac:dyDescent="0.3">
      <c r="B2204" s="129" t="str">
        <f t="shared" si="67"/>
        <v/>
      </c>
    </row>
    <row r="2205" spans="2:2" x14ac:dyDescent="0.3">
      <c r="B2205" s="129" t="str">
        <f t="shared" si="67"/>
        <v/>
      </c>
    </row>
    <row r="2206" spans="2:2" x14ac:dyDescent="0.3">
      <c r="B2206" s="129" t="str">
        <f t="shared" si="67"/>
        <v/>
      </c>
    </row>
    <row r="2207" spans="2:2" x14ac:dyDescent="0.3">
      <c r="B2207" s="129" t="str">
        <f t="shared" si="67"/>
        <v/>
      </c>
    </row>
    <row r="2208" spans="2:2" x14ac:dyDescent="0.3">
      <c r="B2208" s="129" t="str">
        <f t="shared" si="67"/>
        <v/>
      </c>
    </row>
    <row r="2209" spans="2:2" x14ac:dyDescent="0.3">
      <c r="B2209" s="129" t="str">
        <f t="shared" si="67"/>
        <v/>
      </c>
    </row>
    <row r="2210" spans="2:2" x14ac:dyDescent="0.3">
      <c r="B2210" s="129" t="str">
        <f t="shared" si="67"/>
        <v/>
      </c>
    </row>
    <row r="2211" spans="2:2" x14ac:dyDescent="0.3">
      <c r="B2211" s="129" t="str">
        <f t="shared" si="67"/>
        <v/>
      </c>
    </row>
    <row r="2212" spans="2:2" x14ac:dyDescent="0.3">
      <c r="B2212" s="129" t="str">
        <f t="shared" si="67"/>
        <v/>
      </c>
    </row>
    <row r="2213" spans="2:2" x14ac:dyDescent="0.3">
      <c r="B2213" s="129" t="str">
        <f t="shared" si="67"/>
        <v/>
      </c>
    </row>
    <row r="2214" spans="2:2" x14ac:dyDescent="0.3">
      <c r="B2214" s="129" t="str">
        <f t="shared" si="67"/>
        <v/>
      </c>
    </row>
    <row r="2215" spans="2:2" x14ac:dyDescent="0.3">
      <c r="B2215" s="129" t="str">
        <f t="shared" si="67"/>
        <v/>
      </c>
    </row>
    <row r="2216" spans="2:2" x14ac:dyDescent="0.3">
      <c r="B2216" s="129" t="str">
        <f t="shared" ref="B2216:B2279" si="68">IF($A2216="Daily", "n/a", "")</f>
        <v/>
      </c>
    </row>
    <row r="2217" spans="2:2" x14ac:dyDescent="0.3">
      <c r="B2217" s="129" t="str">
        <f t="shared" si="68"/>
        <v/>
      </c>
    </row>
    <row r="2218" spans="2:2" x14ac:dyDescent="0.3">
      <c r="B2218" s="129" t="str">
        <f t="shared" si="68"/>
        <v/>
      </c>
    </row>
    <row r="2219" spans="2:2" x14ac:dyDescent="0.3">
      <c r="B2219" s="129" t="str">
        <f t="shared" si="68"/>
        <v/>
      </c>
    </row>
    <row r="2220" spans="2:2" x14ac:dyDescent="0.3">
      <c r="B2220" s="129" t="str">
        <f t="shared" si="68"/>
        <v/>
      </c>
    </row>
    <row r="2221" spans="2:2" x14ac:dyDescent="0.3">
      <c r="B2221" s="129" t="str">
        <f t="shared" si="68"/>
        <v/>
      </c>
    </row>
    <row r="2222" spans="2:2" x14ac:dyDescent="0.3">
      <c r="B2222" s="129" t="str">
        <f t="shared" si="68"/>
        <v/>
      </c>
    </row>
    <row r="2223" spans="2:2" x14ac:dyDescent="0.3">
      <c r="B2223" s="129" t="str">
        <f t="shared" si="68"/>
        <v/>
      </c>
    </row>
    <row r="2224" spans="2:2" x14ac:dyDescent="0.3">
      <c r="B2224" s="129" t="str">
        <f t="shared" si="68"/>
        <v/>
      </c>
    </row>
    <row r="2225" spans="2:2" x14ac:dyDescent="0.3">
      <c r="B2225" s="129" t="str">
        <f t="shared" si="68"/>
        <v/>
      </c>
    </row>
    <row r="2226" spans="2:2" x14ac:dyDescent="0.3">
      <c r="B2226" s="129" t="str">
        <f t="shared" si="68"/>
        <v/>
      </c>
    </row>
    <row r="2227" spans="2:2" x14ac:dyDescent="0.3">
      <c r="B2227" s="129" t="str">
        <f t="shared" si="68"/>
        <v/>
      </c>
    </row>
    <row r="2228" spans="2:2" x14ac:dyDescent="0.3">
      <c r="B2228" s="129" t="str">
        <f t="shared" si="68"/>
        <v/>
      </c>
    </row>
    <row r="2229" spans="2:2" x14ac:dyDescent="0.3">
      <c r="B2229" s="129" t="str">
        <f t="shared" si="68"/>
        <v/>
      </c>
    </row>
    <row r="2230" spans="2:2" x14ac:dyDescent="0.3">
      <c r="B2230" s="129" t="str">
        <f t="shared" si="68"/>
        <v/>
      </c>
    </row>
    <row r="2231" spans="2:2" x14ac:dyDescent="0.3">
      <c r="B2231" s="129" t="str">
        <f t="shared" si="68"/>
        <v/>
      </c>
    </row>
    <row r="2232" spans="2:2" x14ac:dyDescent="0.3">
      <c r="B2232" s="129" t="str">
        <f t="shared" si="68"/>
        <v/>
      </c>
    </row>
    <row r="2233" spans="2:2" x14ac:dyDescent="0.3">
      <c r="B2233" s="129" t="str">
        <f t="shared" si="68"/>
        <v/>
      </c>
    </row>
    <row r="2234" spans="2:2" x14ac:dyDescent="0.3">
      <c r="B2234" s="129" t="str">
        <f t="shared" si="68"/>
        <v/>
      </c>
    </row>
    <row r="2235" spans="2:2" x14ac:dyDescent="0.3">
      <c r="B2235" s="129" t="str">
        <f t="shared" si="68"/>
        <v/>
      </c>
    </row>
    <row r="2236" spans="2:2" x14ac:dyDescent="0.3">
      <c r="B2236" s="129" t="str">
        <f t="shared" si="68"/>
        <v/>
      </c>
    </row>
    <row r="2237" spans="2:2" x14ac:dyDescent="0.3">
      <c r="B2237" s="129" t="str">
        <f t="shared" si="68"/>
        <v/>
      </c>
    </row>
    <row r="2238" spans="2:2" x14ac:dyDescent="0.3">
      <c r="B2238" s="129" t="str">
        <f t="shared" si="68"/>
        <v/>
      </c>
    </row>
    <row r="2239" spans="2:2" x14ac:dyDescent="0.3">
      <c r="B2239" s="129" t="str">
        <f t="shared" si="68"/>
        <v/>
      </c>
    </row>
    <row r="2240" spans="2:2" x14ac:dyDescent="0.3">
      <c r="B2240" s="129" t="str">
        <f t="shared" si="68"/>
        <v/>
      </c>
    </row>
    <row r="2241" spans="2:2" x14ac:dyDescent="0.3">
      <c r="B2241" s="129" t="str">
        <f t="shared" si="68"/>
        <v/>
      </c>
    </row>
    <row r="2242" spans="2:2" x14ac:dyDescent="0.3">
      <c r="B2242" s="129" t="str">
        <f t="shared" si="68"/>
        <v/>
      </c>
    </row>
    <row r="2243" spans="2:2" x14ac:dyDescent="0.3">
      <c r="B2243" s="129" t="str">
        <f t="shared" si="68"/>
        <v/>
      </c>
    </row>
    <row r="2244" spans="2:2" x14ac:dyDescent="0.3">
      <c r="B2244" s="129" t="str">
        <f t="shared" si="68"/>
        <v/>
      </c>
    </row>
    <row r="2245" spans="2:2" x14ac:dyDescent="0.3">
      <c r="B2245" s="129" t="str">
        <f t="shared" si="68"/>
        <v/>
      </c>
    </row>
    <row r="2246" spans="2:2" x14ac:dyDescent="0.3">
      <c r="B2246" s="129" t="str">
        <f t="shared" si="68"/>
        <v/>
      </c>
    </row>
    <row r="2247" spans="2:2" x14ac:dyDescent="0.3">
      <c r="B2247" s="129" t="str">
        <f t="shared" si="68"/>
        <v/>
      </c>
    </row>
    <row r="2248" spans="2:2" x14ac:dyDescent="0.3">
      <c r="B2248" s="129" t="str">
        <f t="shared" si="68"/>
        <v/>
      </c>
    </row>
    <row r="2249" spans="2:2" x14ac:dyDescent="0.3">
      <c r="B2249" s="129" t="str">
        <f t="shared" si="68"/>
        <v/>
      </c>
    </row>
    <row r="2250" spans="2:2" x14ac:dyDescent="0.3">
      <c r="B2250" s="129" t="str">
        <f t="shared" si="68"/>
        <v/>
      </c>
    </row>
    <row r="2251" spans="2:2" x14ac:dyDescent="0.3">
      <c r="B2251" s="129" t="str">
        <f t="shared" si="68"/>
        <v/>
      </c>
    </row>
    <row r="2252" spans="2:2" x14ac:dyDescent="0.3">
      <c r="B2252" s="129" t="str">
        <f t="shared" si="68"/>
        <v/>
      </c>
    </row>
    <row r="2253" spans="2:2" x14ac:dyDescent="0.3">
      <c r="B2253" s="129" t="str">
        <f t="shared" si="68"/>
        <v/>
      </c>
    </row>
    <row r="2254" spans="2:2" x14ac:dyDescent="0.3">
      <c r="B2254" s="129" t="str">
        <f t="shared" si="68"/>
        <v/>
      </c>
    </row>
    <row r="2255" spans="2:2" x14ac:dyDescent="0.3">
      <c r="B2255" s="129" t="str">
        <f t="shared" si="68"/>
        <v/>
      </c>
    </row>
    <row r="2256" spans="2:2" x14ac:dyDescent="0.3">
      <c r="B2256" s="129" t="str">
        <f t="shared" si="68"/>
        <v/>
      </c>
    </row>
    <row r="2257" spans="2:2" x14ac:dyDescent="0.3">
      <c r="B2257" s="129" t="str">
        <f t="shared" si="68"/>
        <v/>
      </c>
    </row>
    <row r="2258" spans="2:2" x14ac:dyDescent="0.3">
      <c r="B2258" s="129" t="str">
        <f t="shared" si="68"/>
        <v/>
      </c>
    </row>
    <row r="2259" spans="2:2" x14ac:dyDescent="0.3">
      <c r="B2259" s="129" t="str">
        <f t="shared" si="68"/>
        <v/>
      </c>
    </row>
    <row r="2260" spans="2:2" x14ac:dyDescent="0.3">
      <c r="B2260" s="129" t="str">
        <f t="shared" si="68"/>
        <v/>
      </c>
    </row>
    <row r="2261" spans="2:2" x14ac:dyDescent="0.3">
      <c r="B2261" s="129" t="str">
        <f t="shared" si="68"/>
        <v/>
      </c>
    </row>
    <row r="2262" spans="2:2" x14ac:dyDescent="0.3">
      <c r="B2262" s="129" t="str">
        <f t="shared" si="68"/>
        <v/>
      </c>
    </row>
    <row r="2263" spans="2:2" x14ac:dyDescent="0.3">
      <c r="B2263" s="129" t="str">
        <f t="shared" si="68"/>
        <v/>
      </c>
    </row>
    <row r="2264" spans="2:2" x14ac:dyDescent="0.3">
      <c r="B2264" s="129" t="str">
        <f t="shared" si="68"/>
        <v/>
      </c>
    </row>
    <row r="2265" spans="2:2" x14ac:dyDescent="0.3">
      <c r="B2265" s="129" t="str">
        <f t="shared" si="68"/>
        <v/>
      </c>
    </row>
    <row r="2266" spans="2:2" x14ac:dyDescent="0.3">
      <c r="B2266" s="129" t="str">
        <f t="shared" si="68"/>
        <v/>
      </c>
    </row>
    <row r="2267" spans="2:2" x14ac:dyDescent="0.3">
      <c r="B2267" s="129" t="str">
        <f t="shared" si="68"/>
        <v/>
      </c>
    </row>
    <row r="2268" spans="2:2" x14ac:dyDescent="0.3">
      <c r="B2268" s="129" t="str">
        <f t="shared" si="68"/>
        <v/>
      </c>
    </row>
    <row r="2269" spans="2:2" x14ac:dyDescent="0.3">
      <c r="B2269" s="129" t="str">
        <f t="shared" si="68"/>
        <v/>
      </c>
    </row>
    <row r="2270" spans="2:2" x14ac:dyDescent="0.3">
      <c r="B2270" s="129" t="str">
        <f t="shared" si="68"/>
        <v/>
      </c>
    </row>
    <row r="2271" spans="2:2" x14ac:dyDescent="0.3">
      <c r="B2271" s="129" t="str">
        <f t="shared" si="68"/>
        <v/>
      </c>
    </row>
    <row r="2272" spans="2:2" x14ac:dyDescent="0.3">
      <c r="B2272" s="129" t="str">
        <f t="shared" si="68"/>
        <v/>
      </c>
    </row>
    <row r="2273" spans="2:2" x14ac:dyDescent="0.3">
      <c r="B2273" s="129" t="str">
        <f t="shared" si="68"/>
        <v/>
      </c>
    </row>
    <row r="2274" spans="2:2" x14ac:dyDescent="0.3">
      <c r="B2274" s="129" t="str">
        <f t="shared" si="68"/>
        <v/>
      </c>
    </row>
    <row r="2275" spans="2:2" x14ac:dyDescent="0.3">
      <c r="B2275" s="129" t="str">
        <f t="shared" si="68"/>
        <v/>
      </c>
    </row>
    <row r="2276" spans="2:2" x14ac:dyDescent="0.3">
      <c r="B2276" s="129" t="str">
        <f t="shared" si="68"/>
        <v/>
      </c>
    </row>
    <row r="2277" spans="2:2" x14ac:dyDescent="0.3">
      <c r="B2277" s="129" t="str">
        <f t="shared" si="68"/>
        <v/>
      </c>
    </row>
    <row r="2278" spans="2:2" x14ac:dyDescent="0.3">
      <c r="B2278" s="129" t="str">
        <f t="shared" si="68"/>
        <v/>
      </c>
    </row>
    <row r="2279" spans="2:2" x14ac:dyDescent="0.3">
      <c r="B2279" s="129" t="str">
        <f t="shared" si="68"/>
        <v/>
      </c>
    </row>
    <row r="2280" spans="2:2" x14ac:dyDescent="0.3">
      <c r="B2280" s="129" t="str">
        <f t="shared" ref="B2280:B2343" si="69">IF($A2280="Daily", "n/a", "")</f>
        <v/>
      </c>
    </row>
    <row r="2281" spans="2:2" x14ac:dyDescent="0.3">
      <c r="B2281" s="129" t="str">
        <f t="shared" si="69"/>
        <v/>
      </c>
    </row>
    <row r="2282" spans="2:2" x14ac:dyDescent="0.3">
      <c r="B2282" s="129" t="str">
        <f t="shared" si="69"/>
        <v/>
      </c>
    </row>
    <row r="2283" spans="2:2" x14ac:dyDescent="0.3">
      <c r="B2283" s="129" t="str">
        <f t="shared" si="69"/>
        <v/>
      </c>
    </row>
    <row r="2284" spans="2:2" x14ac:dyDescent="0.3">
      <c r="B2284" s="129" t="str">
        <f t="shared" si="69"/>
        <v/>
      </c>
    </row>
    <row r="2285" spans="2:2" x14ac:dyDescent="0.3">
      <c r="B2285" s="129" t="str">
        <f t="shared" si="69"/>
        <v/>
      </c>
    </row>
    <row r="2286" spans="2:2" x14ac:dyDescent="0.3">
      <c r="B2286" s="129" t="str">
        <f t="shared" si="69"/>
        <v/>
      </c>
    </row>
    <row r="2287" spans="2:2" x14ac:dyDescent="0.3">
      <c r="B2287" s="129" t="str">
        <f t="shared" si="69"/>
        <v/>
      </c>
    </row>
    <row r="2288" spans="2:2" x14ac:dyDescent="0.3">
      <c r="B2288" s="129" t="str">
        <f t="shared" si="69"/>
        <v/>
      </c>
    </row>
    <row r="2289" spans="2:2" x14ac:dyDescent="0.3">
      <c r="B2289" s="129" t="str">
        <f t="shared" si="69"/>
        <v/>
      </c>
    </row>
    <row r="2290" spans="2:2" x14ac:dyDescent="0.3">
      <c r="B2290" s="129" t="str">
        <f t="shared" si="69"/>
        <v/>
      </c>
    </row>
    <row r="2291" spans="2:2" x14ac:dyDescent="0.3">
      <c r="B2291" s="129" t="str">
        <f t="shared" si="69"/>
        <v/>
      </c>
    </row>
    <row r="2292" spans="2:2" x14ac:dyDescent="0.3">
      <c r="B2292" s="129" t="str">
        <f t="shared" si="69"/>
        <v/>
      </c>
    </row>
    <row r="2293" spans="2:2" x14ac:dyDescent="0.3">
      <c r="B2293" s="129" t="str">
        <f t="shared" si="69"/>
        <v/>
      </c>
    </row>
    <row r="2294" spans="2:2" x14ac:dyDescent="0.3">
      <c r="B2294" s="129" t="str">
        <f t="shared" si="69"/>
        <v/>
      </c>
    </row>
    <row r="2295" spans="2:2" x14ac:dyDescent="0.3">
      <c r="B2295" s="129" t="str">
        <f t="shared" si="69"/>
        <v/>
      </c>
    </row>
    <row r="2296" spans="2:2" x14ac:dyDescent="0.3">
      <c r="B2296" s="129" t="str">
        <f t="shared" si="69"/>
        <v/>
      </c>
    </row>
    <row r="2297" spans="2:2" x14ac:dyDescent="0.3">
      <c r="B2297" s="129" t="str">
        <f t="shared" si="69"/>
        <v/>
      </c>
    </row>
    <row r="2298" spans="2:2" x14ac:dyDescent="0.3">
      <c r="B2298" s="129" t="str">
        <f t="shared" si="69"/>
        <v/>
      </c>
    </row>
    <row r="2299" spans="2:2" x14ac:dyDescent="0.3">
      <c r="B2299" s="129" t="str">
        <f t="shared" si="69"/>
        <v/>
      </c>
    </row>
    <row r="2300" spans="2:2" x14ac:dyDescent="0.3">
      <c r="B2300" s="129" t="str">
        <f t="shared" si="69"/>
        <v/>
      </c>
    </row>
    <row r="2301" spans="2:2" x14ac:dyDescent="0.3">
      <c r="B2301" s="129" t="str">
        <f t="shared" si="69"/>
        <v/>
      </c>
    </row>
    <row r="2302" spans="2:2" x14ac:dyDescent="0.3">
      <c r="B2302" s="129" t="str">
        <f t="shared" si="69"/>
        <v/>
      </c>
    </row>
    <row r="2303" spans="2:2" x14ac:dyDescent="0.3">
      <c r="B2303" s="129" t="str">
        <f t="shared" si="69"/>
        <v/>
      </c>
    </row>
    <row r="2304" spans="2:2" x14ac:dyDescent="0.3">
      <c r="B2304" s="129" t="str">
        <f t="shared" si="69"/>
        <v/>
      </c>
    </row>
    <row r="2305" spans="2:2" x14ac:dyDescent="0.3">
      <c r="B2305" s="129" t="str">
        <f t="shared" si="69"/>
        <v/>
      </c>
    </row>
    <row r="2306" spans="2:2" x14ac:dyDescent="0.3">
      <c r="B2306" s="129" t="str">
        <f t="shared" si="69"/>
        <v/>
      </c>
    </row>
    <row r="2307" spans="2:2" x14ac:dyDescent="0.3">
      <c r="B2307" s="129" t="str">
        <f t="shared" si="69"/>
        <v/>
      </c>
    </row>
    <row r="2308" spans="2:2" x14ac:dyDescent="0.3">
      <c r="B2308" s="129" t="str">
        <f t="shared" si="69"/>
        <v/>
      </c>
    </row>
    <row r="2309" spans="2:2" x14ac:dyDescent="0.3">
      <c r="B2309" s="129" t="str">
        <f t="shared" si="69"/>
        <v/>
      </c>
    </row>
    <row r="2310" spans="2:2" x14ac:dyDescent="0.3">
      <c r="B2310" s="129" t="str">
        <f t="shared" si="69"/>
        <v/>
      </c>
    </row>
    <row r="2311" spans="2:2" x14ac:dyDescent="0.3">
      <c r="B2311" s="129" t="str">
        <f t="shared" si="69"/>
        <v/>
      </c>
    </row>
    <row r="2312" spans="2:2" x14ac:dyDescent="0.3">
      <c r="B2312" s="129" t="str">
        <f t="shared" si="69"/>
        <v/>
      </c>
    </row>
    <row r="2313" spans="2:2" x14ac:dyDescent="0.3">
      <c r="B2313" s="129" t="str">
        <f t="shared" si="69"/>
        <v/>
      </c>
    </row>
    <row r="2314" spans="2:2" x14ac:dyDescent="0.3">
      <c r="B2314" s="129" t="str">
        <f t="shared" si="69"/>
        <v/>
      </c>
    </row>
    <row r="2315" spans="2:2" x14ac:dyDescent="0.3">
      <c r="B2315" s="129" t="str">
        <f t="shared" si="69"/>
        <v/>
      </c>
    </row>
    <row r="2316" spans="2:2" x14ac:dyDescent="0.3">
      <c r="B2316" s="129" t="str">
        <f t="shared" si="69"/>
        <v/>
      </c>
    </row>
    <row r="2317" spans="2:2" x14ac:dyDescent="0.3">
      <c r="B2317" s="129" t="str">
        <f t="shared" si="69"/>
        <v/>
      </c>
    </row>
    <row r="2318" spans="2:2" x14ac:dyDescent="0.3">
      <c r="B2318" s="129" t="str">
        <f t="shared" si="69"/>
        <v/>
      </c>
    </row>
    <row r="2319" spans="2:2" x14ac:dyDescent="0.3">
      <c r="B2319" s="129" t="str">
        <f t="shared" si="69"/>
        <v/>
      </c>
    </row>
    <row r="2320" spans="2:2" x14ac:dyDescent="0.3">
      <c r="B2320" s="129" t="str">
        <f t="shared" si="69"/>
        <v/>
      </c>
    </row>
    <row r="2321" spans="2:2" x14ac:dyDescent="0.3">
      <c r="B2321" s="129" t="str">
        <f t="shared" si="69"/>
        <v/>
      </c>
    </row>
    <row r="2322" spans="2:2" x14ac:dyDescent="0.3">
      <c r="B2322" s="129" t="str">
        <f t="shared" si="69"/>
        <v/>
      </c>
    </row>
    <row r="2323" spans="2:2" x14ac:dyDescent="0.3">
      <c r="B2323" s="129" t="str">
        <f t="shared" si="69"/>
        <v/>
      </c>
    </row>
    <row r="2324" spans="2:2" x14ac:dyDescent="0.3">
      <c r="B2324" s="129" t="str">
        <f t="shared" si="69"/>
        <v/>
      </c>
    </row>
    <row r="2325" spans="2:2" x14ac:dyDescent="0.3">
      <c r="B2325" s="129" t="str">
        <f t="shared" si="69"/>
        <v/>
      </c>
    </row>
    <row r="2326" spans="2:2" x14ac:dyDescent="0.3">
      <c r="B2326" s="129" t="str">
        <f t="shared" si="69"/>
        <v/>
      </c>
    </row>
    <row r="2327" spans="2:2" x14ac:dyDescent="0.3">
      <c r="B2327" s="129" t="str">
        <f t="shared" si="69"/>
        <v/>
      </c>
    </row>
    <row r="2328" spans="2:2" x14ac:dyDescent="0.3">
      <c r="B2328" s="129" t="str">
        <f t="shared" si="69"/>
        <v/>
      </c>
    </row>
    <row r="2329" spans="2:2" x14ac:dyDescent="0.3">
      <c r="B2329" s="129" t="str">
        <f t="shared" si="69"/>
        <v/>
      </c>
    </row>
    <row r="2330" spans="2:2" x14ac:dyDescent="0.3">
      <c r="B2330" s="129" t="str">
        <f t="shared" si="69"/>
        <v/>
      </c>
    </row>
    <row r="2331" spans="2:2" x14ac:dyDescent="0.3">
      <c r="B2331" s="129" t="str">
        <f t="shared" si="69"/>
        <v/>
      </c>
    </row>
    <row r="2332" spans="2:2" x14ac:dyDescent="0.3">
      <c r="B2332" s="129" t="str">
        <f t="shared" si="69"/>
        <v/>
      </c>
    </row>
    <row r="2333" spans="2:2" x14ac:dyDescent="0.3">
      <c r="B2333" s="129" t="str">
        <f t="shared" si="69"/>
        <v/>
      </c>
    </row>
    <row r="2334" spans="2:2" x14ac:dyDescent="0.3">
      <c r="B2334" s="129" t="str">
        <f t="shared" si="69"/>
        <v/>
      </c>
    </row>
    <row r="2335" spans="2:2" x14ac:dyDescent="0.3">
      <c r="B2335" s="129" t="str">
        <f t="shared" si="69"/>
        <v/>
      </c>
    </row>
    <row r="2336" spans="2:2" x14ac:dyDescent="0.3">
      <c r="B2336" s="129" t="str">
        <f t="shared" si="69"/>
        <v/>
      </c>
    </row>
    <row r="2337" spans="2:2" x14ac:dyDescent="0.3">
      <c r="B2337" s="129" t="str">
        <f t="shared" si="69"/>
        <v/>
      </c>
    </row>
    <row r="2338" spans="2:2" x14ac:dyDescent="0.3">
      <c r="B2338" s="129" t="str">
        <f t="shared" si="69"/>
        <v/>
      </c>
    </row>
    <row r="2339" spans="2:2" x14ac:dyDescent="0.3">
      <c r="B2339" s="129" t="str">
        <f t="shared" si="69"/>
        <v/>
      </c>
    </row>
    <row r="2340" spans="2:2" x14ac:dyDescent="0.3">
      <c r="B2340" s="129" t="str">
        <f t="shared" si="69"/>
        <v/>
      </c>
    </row>
    <row r="2341" spans="2:2" x14ac:dyDescent="0.3">
      <c r="B2341" s="129" t="str">
        <f t="shared" si="69"/>
        <v/>
      </c>
    </row>
    <row r="2342" spans="2:2" x14ac:dyDescent="0.3">
      <c r="B2342" s="129" t="str">
        <f t="shared" si="69"/>
        <v/>
      </c>
    </row>
    <row r="2343" spans="2:2" x14ac:dyDescent="0.3">
      <c r="B2343" s="129" t="str">
        <f t="shared" si="69"/>
        <v/>
      </c>
    </row>
    <row r="2344" spans="2:2" x14ac:dyDescent="0.3">
      <c r="B2344" s="129" t="str">
        <f t="shared" ref="B2344:B2407" si="70">IF($A2344="Daily", "n/a", "")</f>
        <v/>
      </c>
    </row>
    <row r="2345" spans="2:2" x14ac:dyDescent="0.3">
      <c r="B2345" s="129" t="str">
        <f t="shared" si="70"/>
        <v/>
      </c>
    </row>
    <row r="2346" spans="2:2" x14ac:dyDescent="0.3">
      <c r="B2346" s="129" t="str">
        <f t="shared" si="70"/>
        <v/>
      </c>
    </row>
    <row r="2347" spans="2:2" x14ac:dyDescent="0.3">
      <c r="B2347" s="129" t="str">
        <f t="shared" si="70"/>
        <v/>
      </c>
    </row>
    <row r="2348" spans="2:2" x14ac:dyDescent="0.3">
      <c r="B2348" s="129" t="str">
        <f t="shared" si="70"/>
        <v/>
      </c>
    </row>
    <row r="2349" spans="2:2" x14ac:dyDescent="0.3">
      <c r="B2349" s="129" t="str">
        <f t="shared" si="70"/>
        <v/>
      </c>
    </row>
    <row r="2350" spans="2:2" x14ac:dyDescent="0.3">
      <c r="B2350" s="129" t="str">
        <f t="shared" si="70"/>
        <v/>
      </c>
    </row>
    <row r="2351" spans="2:2" x14ac:dyDescent="0.3">
      <c r="B2351" s="129" t="str">
        <f t="shared" si="70"/>
        <v/>
      </c>
    </row>
    <row r="2352" spans="2:2" x14ac:dyDescent="0.3">
      <c r="B2352" s="129" t="str">
        <f t="shared" si="70"/>
        <v/>
      </c>
    </row>
    <row r="2353" spans="2:2" x14ac:dyDescent="0.3">
      <c r="B2353" s="129" t="str">
        <f t="shared" si="70"/>
        <v/>
      </c>
    </row>
    <row r="2354" spans="2:2" x14ac:dyDescent="0.3">
      <c r="B2354" s="129" t="str">
        <f t="shared" si="70"/>
        <v/>
      </c>
    </row>
    <row r="2355" spans="2:2" x14ac:dyDescent="0.3">
      <c r="B2355" s="129" t="str">
        <f t="shared" si="70"/>
        <v/>
      </c>
    </row>
    <row r="2356" spans="2:2" x14ac:dyDescent="0.3">
      <c r="B2356" s="129" t="str">
        <f t="shared" si="70"/>
        <v/>
      </c>
    </row>
    <row r="2357" spans="2:2" x14ac:dyDescent="0.3">
      <c r="B2357" s="129" t="str">
        <f t="shared" si="70"/>
        <v/>
      </c>
    </row>
    <row r="2358" spans="2:2" x14ac:dyDescent="0.3">
      <c r="B2358" s="129" t="str">
        <f t="shared" si="70"/>
        <v/>
      </c>
    </row>
    <row r="2359" spans="2:2" x14ac:dyDescent="0.3">
      <c r="B2359" s="129" t="str">
        <f t="shared" si="70"/>
        <v/>
      </c>
    </row>
    <row r="2360" spans="2:2" x14ac:dyDescent="0.3">
      <c r="B2360" s="129" t="str">
        <f t="shared" si="70"/>
        <v/>
      </c>
    </row>
    <row r="2361" spans="2:2" x14ac:dyDescent="0.3">
      <c r="B2361" s="129" t="str">
        <f t="shared" si="70"/>
        <v/>
      </c>
    </row>
    <row r="2362" spans="2:2" x14ac:dyDescent="0.3">
      <c r="B2362" s="129" t="str">
        <f t="shared" si="70"/>
        <v/>
      </c>
    </row>
    <row r="2363" spans="2:2" x14ac:dyDescent="0.3">
      <c r="B2363" s="129" t="str">
        <f t="shared" si="70"/>
        <v/>
      </c>
    </row>
    <row r="2364" spans="2:2" x14ac:dyDescent="0.3">
      <c r="B2364" s="129" t="str">
        <f t="shared" si="70"/>
        <v/>
      </c>
    </row>
    <row r="2365" spans="2:2" x14ac:dyDescent="0.3">
      <c r="B2365" s="129" t="str">
        <f t="shared" si="70"/>
        <v/>
      </c>
    </row>
    <row r="2366" spans="2:2" x14ac:dyDescent="0.3">
      <c r="B2366" s="129" t="str">
        <f t="shared" si="70"/>
        <v/>
      </c>
    </row>
    <row r="2367" spans="2:2" x14ac:dyDescent="0.3">
      <c r="B2367" s="129" t="str">
        <f t="shared" si="70"/>
        <v/>
      </c>
    </row>
    <row r="2368" spans="2:2" x14ac:dyDescent="0.3">
      <c r="B2368" s="129" t="str">
        <f t="shared" si="70"/>
        <v/>
      </c>
    </row>
    <row r="2369" spans="2:2" x14ac:dyDescent="0.3">
      <c r="B2369" s="129" t="str">
        <f t="shared" si="70"/>
        <v/>
      </c>
    </row>
    <row r="2370" spans="2:2" x14ac:dyDescent="0.3">
      <c r="B2370" s="129" t="str">
        <f t="shared" si="70"/>
        <v/>
      </c>
    </row>
    <row r="2371" spans="2:2" x14ac:dyDescent="0.3">
      <c r="B2371" s="129" t="str">
        <f t="shared" si="70"/>
        <v/>
      </c>
    </row>
    <row r="2372" spans="2:2" x14ac:dyDescent="0.3">
      <c r="B2372" s="129" t="str">
        <f t="shared" si="70"/>
        <v/>
      </c>
    </row>
    <row r="2373" spans="2:2" x14ac:dyDescent="0.3">
      <c r="B2373" s="129" t="str">
        <f t="shared" si="70"/>
        <v/>
      </c>
    </row>
    <row r="2374" spans="2:2" x14ac:dyDescent="0.3">
      <c r="B2374" s="129" t="str">
        <f t="shared" si="70"/>
        <v/>
      </c>
    </row>
    <row r="2375" spans="2:2" x14ac:dyDescent="0.3">
      <c r="B2375" s="129" t="str">
        <f t="shared" si="70"/>
        <v/>
      </c>
    </row>
    <row r="2376" spans="2:2" x14ac:dyDescent="0.3">
      <c r="B2376" s="129" t="str">
        <f t="shared" si="70"/>
        <v/>
      </c>
    </row>
    <row r="2377" spans="2:2" x14ac:dyDescent="0.3">
      <c r="B2377" s="129" t="str">
        <f t="shared" si="70"/>
        <v/>
      </c>
    </row>
    <row r="2378" spans="2:2" x14ac:dyDescent="0.3">
      <c r="B2378" s="129" t="str">
        <f t="shared" si="70"/>
        <v/>
      </c>
    </row>
    <row r="2379" spans="2:2" x14ac:dyDescent="0.3">
      <c r="B2379" s="129" t="str">
        <f t="shared" si="70"/>
        <v/>
      </c>
    </row>
    <row r="2380" spans="2:2" x14ac:dyDescent="0.3">
      <c r="B2380" s="129" t="str">
        <f t="shared" si="70"/>
        <v/>
      </c>
    </row>
    <row r="2381" spans="2:2" x14ac:dyDescent="0.3">
      <c r="B2381" s="129" t="str">
        <f t="shared" si="70"/>
        <v/>
      </c>
    </row>
    <row r="2382" spans="2:2" x14ac:dyDescent="0.3">
      <c r="B2382" s="129" t="str">
        <f t="shared" si="70"/>
        <v/>
      </c>
    </row>
    <row r="2383" spans="2:2" x14ac:dyDescent="0.3">
      <c r="B2383" s="129" t="str">
        <f t="shared" si="70"/>
        <v/>
      </c>
    </row>
    <row r="2384" spans="2:2" x14ac:dyDescent="0.3">
      <c r="B2384" s="129" t="str">
        <f t="shared" si="70"/>
        <v/>
      </c>
    </row>
    <row r="2385" spans="2:2" x14ac:dyDescent="0.3">
      <c r="B2385" s="129" t="str">
        <f t="shared" si="70"/>
        <v/>
      </c>
    </row>
    <row r="2386" spans="2:2" x14ac:dyDescent="0.3">
      <c r="B2386" s="129" t="str">
        <f t="shared" si="70"/>
        <v/>
      </c>
    </row>
    <row r="2387" spans="2:2" x14ac:dyDescent="0.3">
      <c r="B2387" s="129" t="str">
        <f t="shared" si="70"/>
        <v/>
      </c>
    </row>
    <row r="2388" spans="2:2" x14ac:dyDescent="0.3">
      <c r="B2388" s="129" t="str">
        <f t="shared" si="70"/>
        <v/>
      </c>
    </row>
    <row r="2389" spans="2:2" x14ac:dyDescent="0.3">
      <c r="B2389" s="129" t="str">
        <f t="shared" si="70"/>
        <v/>
      </c>
    </row>
    <row r="2390" spans="2:2" x14ac:dyDescent="0.3">
      <c r="B2390" s="129" t="str">
        <f t="shared" si="70"/>
        <v/>
      </c>
    </row>
    <row r="2391" spans="2:2" x14ac:dyDescent="0.3">
      <c r="B2391" s="129" t="str">
        <f t="shared" si="70"/>
        <v/>
      </c>
    </row>
    <row r="2392" spans="2:2" x14ac:dyDescent="0.3">
      <c r="B2392" s="129" t="str">
        <f t="shared" si="70"/>
        <v/>
      </c>
    </row>
    <row r="2393" spans="2:2" x14ac:dyDescent="0.3">
      <c r="B2393" s="129" t="str">
        <f t="shared" si="70"/>
        <v/>
      </c>
    </row>
    <row r="2394" spans="2:2" x14ac:dyDescent="0.3">
      <c r="B2394" s="129" t="str">
        <f t="shared" si="70"/>
        <v/>
      </c>
    </row>
    <row r="2395" spans="2:2" x14ac:dyDescent="0.3">
      <c r="B2395" s="129" t="str">
        <f t="shared" si="70"/>
        <v/>
      </c>
    </row>
    <row r="2396" spans="2:2" x14ac:dyDescent="0.3">
      <c r="B2396" s="129" t="str">
        <f t="shared" si="70"/>
        <v/>
      </c>
    </row>
    <row r="2397" spans="2:2" x14ac:dyDescent="0.3">
      <c r="B2397" s="129" t="str">
        <f t="shared" si="70"/>
        <v/>
      </c>
    </row>
    <row r="2398" spans="2:2" x14ac:dyDescent="0.3">
      <c r="B2398" s="129" t="str">
        <f t="shared" si="70"/>
        <v/>
      </c>
    </row>
    <row r="2399" spans="2:2" x14ac:dyDescent="0.3">
      <c r="B2399" s="129" t="str">
        <f t="shared" si="70"/>
        <v/>
      </c>
    </row>
    <row r="2400" spans="2:2" x14ac:dyDescent="0.3">
      <c r="B2400" s="129" t="str">
        <f t="shared" si="70"/>
        <v/>
      </c>
    </row>
    <row r="2401" spans="2:2" x14ac:dyDescent="0.3">
      <c r="B2401" s="129" t="str">
        <f t="shared" si="70"/>
        <v/>
      </c>
    </row>
    <row r="2402" spans="2:2" x14ac:dyDescent="0.3">
      <c r="B2402" s="129" t="str">
        <f t="shared" si="70"/>
        <v/>
      </c>
    </row>
    <row r="2403" spans="2:2" x14ac:dyDescent="0.3">
      <c r="B2403" s="129" t="str">
        <f t="shared" si="70"/>
        <v/>
      </c>
    </row>
    <row r="2404" spans="2:2" x14ac:dyDescent="0.3">
      <c r="B2404" s="129" t="str">
        <f t="shared" si="70"/>
        <v/>
      </c>
    </row>
    <row r="2405" spans="2:2" x14ac:dyDescent="0.3">
      <c r="B2405" s="129" t="str">
        <f t="shared" si="70"/>
        <v/>
      </c>
    </row>
    <row r="2406" spans="2:2" x14ac:dyDescent="0.3">
      <c r="B2406" s="129" t="str">
        <f t="shared" si="70"/>
        <v/>
      </c>
    </row>
    <row r="2407" spans="2:2" x14ac:dyDescent="0.3">
      <c r="B2407" s="129" t="str">
        <f t="shared" si="70"/>
        <v/>
      </c>
    </row>
    <row r="2408" spans="2:2" x14ac:dyDescent="0.3">
      <c r="B2408" s="129" t="str">
        <f t="shared" ref="B2408:B2471" si="71">IF($A2408="Daily", "n/a", "")</f>
        <v/>
      </c>
    </row>
    <row r="2409" spans="2:2" x14ac:dyDescent="0.3">
      <c r="B2409" s="129" t="str">
        <f t="shared" si="71"/>
        <v/>
      </c>
    </row>
    <row r="2410" spans="2:2" x14ac:dyDescent="0.3">
      <c r="B2410" s="129" t="str">
        <f t="shared" si="71"/>
        <v/>
      </c>
    </row>
    <row r="2411" spans="2:2" x14ac:dyDescent="0.3">
      <c r="B2411" s="129" t="str">
        <f t="shared" si="71"/>
        <v/>
      </c>
    </row>
    <row r="2412" spans="2:2" x14ac:dyDescent="0.3">
      <c r="B2412" s="129" t="str">
        <f t="shared" si="71"/>
        <v/>
      </c>
    </row>
    <row r="2413" spans="2:2" x14ac:dyDescent="0.3">
      <c r="B2413" s="129" t="str">
        <f t="shared" si="71"/>
        <v/>
      </c>
    </row>
    <row r="2414" spans="2:2" x14ac:dyDescent="0.3">
      <c r="B2414" s="129" t="str">
        <f t="shared" si="71"/>
        <v/>
      </c>
    </row>
    <row r="2415" spans="2:2" x14ac:dyDescent="0.3">
      <c r="B2415" s="129" t="str">
        <f t="shared" si="71"/>
        <v/>
      </c>
    </row>
    <row r="2416" spans="2:2" x14ac:dyDescent="0.3">
      <c r="B2416" s="129" t="str">
        <f t="shared" si="71"/>
        <v/>
      </c>
    </row>
    <row r="2417" spans="2:2" x14ac:dyDescent="0.3">
      <c r="B2417" s="129" t="str">
        <f t="shared" si="71"/>
        <v/>
      </c>
    </row>
    <row r="2418" spans="2:2" x14ac:dyDescent="0.3">
      <c r="B2418" s="129" t="str">
        <f t="shared" si="71"/>
        <v/>
      </c>
    </row>
    <row r="2419" spans="2:2" x14ac:dyDescent="0.3">
      <c r="B2419" s="129" t="str">
        <f t="shared" si="71"/>
        <v/>
      </c>
    </row>
    <row r="2420" spans="2:2" x14ac:dyDescent="0.3">
      <c r="B2420" s="129" t="str">
        <f t="shared" si="71"/>
        <v/>
      </c>
    </row>
    <row r="2421" spans="2:2" x14ac:dyDescent="0.3">
      <c r="B2421" s="129" t="str">
        <f t="shared" si="71"/>
        <v/>
      </c>
    </row>
    <row r="2422" spans="2:2" x14ac:dyDescent="0.3">
      <c r="B2422" s="129" t="str">
        <f t="shared" si="71"/>
        <v/>
      </c>
    </row>
    <row r="2423" spans="2:2" x14ac:dyDescent="0.3">
      <c r="B2423" s="129" t="str">
        <f t="shared" si="71"/>
        <v/>
      </c>
    </row>
    <row r="2424" spans="2:2" x14ac:dyDescent="0.3">
      <c r="B2424" s="129" t="str">
        <f t="shared" si="71"/>
        <v/>
      </c>
    </row>
    <row r="2425" spans="2:2" x14ac:dyDescent="0.3">
      <c r="B2425" s="129" t="str">
        <f t="shared" si="71"/>
        <v/>
      </c>
    </row>
    <row r="2426" spans="2:2" x14ac:dyDescent="0.3">
      <c r="B2426" s="129" t="str">
        <f t="shared" si="71"/>
        <v/>
      </c>
    </row>
    <row r="2427" spans="2:2" x14ac:dyDescent="0.3">
      <c r="B2427" s="129" t="str">
        <f t="shared" si="71"/>
        <v/>
      </c>
    </row>
    <row r="2428" spans="2:2" x14ac:dyDescent="0.3">
      <c r="B2428" s="129" t="str">
        <f t="shared" si="71"/>
        <v/>
      </c>
    </row>
    <row r="2429" spans="2:2" x14ac:dyDescent="0.3">
      <c r="B2429" s="129" t="str">
        <f t="shared" si="71"/>
        <v/>
      </c>
    </row>
    <row r="2430" spans="2:2" x14ac:dyDescent="0.3">
      <c r="B2430" s="129" t="str">
        <f t="shared" si="71"/>
        <v/>
      </c>
    </row>
    <row r="2431" spans="2:2" x14ac:dyDescent="0.3">
      <c r="B2431" s="129" t="str">
        <f t="shared" si="71"/>
        <v/>
      </c>
    </row>
    <row r="2432" spans="2:2" x14ac:dyDescent="0.3">
      <c r="B2432" s="129" t="str">
        <f t="shared" si="71"/>
        <v/>
      </c>
    </row>
    <row r="2433" spans="2:2" x14ac:dyDescent="0.3">
      <c r="B2433" s="129" t="str">
        <f t="shared" si="71"/>
        <v/>
      </c>
    </row>
    <row r="2434" spans="2:2" x14ac:dyDescent="0.3">
      <c r="B2434" s="129" t="str">
        <f t="shared" si="71"/>
        <v/>
      </c>
    </row>
    <row r="2435" spans="2:2" x14ac:dyDescent="0.3">
      <c r="B2435" s="129" t="str">
        <f t="shared" si="71"/>
        <v/>
      </c>
    </row>
    <row r="2436" spans="2:2" x14ac:dyDescent="0.3">
      <c r="B2436" s="129" t="str">
        <f t="shared" si="71"/>
        <v/>
      </c>
    </row>
    <row r="2437" spans="2:2" x14ac:dyDescent="0.3">
      <c r="B2437" s="129" t="str">
        <f t="shared" si="71"/>
        <v/>
      </c>
    </row>
    <row r="2438" spans="2:2" x14ac:dyDescent="0.3">
      <c r="B2438" s="129" t="str">
        <f t="shared" si="71"/>
        <v/>
      </c>
    </row>
    <row r="2439" spans="2:2" x14ac:dyDescent="0.3">
      <c r="B2439" s="129" t="str">
        <f t="shared" si="71"/>
        <v/>
      </c>
    </row>
    <row r="2440" spans="2:2" x14ac:dyDescent="0.3">
      <c r="B2440" s="129" t="str">
        <f t="shared" si="71"/>
        <v/>
      </c>
    </row>
    <row r="2441" spans="2:2" x14ac:dyDescent="0.3">
      <c r="B2441" s="129" t="str">
        <f t="shared" si="71"/>
        <v/>
      </c>
    </row>
    <row r="2442" spans="2:2" x14ac:dyDescent="0.3">
      <c r="B2442" s="129" t="str">
        <f t="shared" si="71"/>
        <v/>
      </c>
    </row>
    <row r="2443" spans="2:2" x14ac:dyDescent="0.3">
      <c r="B2443" s="129" t="str">
        <f t="shared" si="71"/>
        <v/>
      </c>
    </row>
    <row r="2444" spans="2:2" x14ac:dyDescent="0.3">
      <c r="B2444" s="129" t="str">
        <f t="shared" si="71"/>
        <v/>
      </c>
    </row>
    <row r="2445" spans="2:2" x14ac:dyDescent="0.3">
      <c r="B2445" s="129" t="str">
        <f t="shared" si="71"/>
        <v/>
      </c>
    </row>
    <row r="2446" spans="2:2" x14ac:dyDescent="0.3">
      <c r="B2446" s="129" t="str">
        <f t="shared" si="71"/>
        <v/>
      </c>
    </row>
    <row r="2447" spans="2:2" x14ac:dyDescent="0.3">
      <c r="B2447" s="129" t="str">
        <f t="shared" si="71"/>
        <v/>
      </c>
    </row>
    <row r="2448" spans="2:2" x14ac:dyDescent="0.3">
      <c r="B2448" s="129" t="str">
        <f t="shared" si="71"/>
        <v/>
      </c>
    </row>
    <row r="2449" spans="2:2" x14ac:dyDescent="0.3">
      <c r="B2449" s="129" t="str">
        <f t="shared" si="71"/>
        <v/>
      </c>
    </row>
    <row r="2450" spans="2:2" x14ac:dyDescent="0.3">
      <c r="B2450" s="129" t="str">
        <f t="shared" si="71"/>
        <v/>
      </c>
    </row>
    <row r="2451" spans="2:2" x14ac:dyDescent="0.3">
      <c r="B2451" s="129" t="str">
        <f t="shared" si="71"/>
        <v/>
      </c>
    </row>
    <row r="2452" spans="2:2" x14ac:dyDescent="0.3">
      <c r="B2452" s="129" t="str">
        <f t="shared" si="71"/>
        <v/>
      </c>
    </row>
    <row r="2453" spans="2:2" x14ac:dyDescent="0.3">
      <c r="B2453" s="129" t="str">
        <f t="shared" si="71"/>
        <v/>
      </c>
    </row>
    <row r="2454" spans="2:2" x14ac:dyDescent="0.3">
      <c r="B2454" s="129" t="str">
        <f t="shared" si="71"/>
        <v/>
      </c>
    </row>
    <row r="2455" spans="2:2" x14ac:dyDescent="0.3">
      <c r="B2455" s="129" t="str">
        <f t="shared" si="71"/>
        <v/>
      </c>
    </row>
    <row r="2456" spans="2:2" x14ac:dyDescent="0.3">
      <c r="B2456" s="129" t="str">
        <f t="shared" si="71"/>
        <v/>
      </c>
    </row>
    <row r="2457" spans="2:2" x14ac:dyDescent="0.3">
      <c r="B2457" s="129" t="str">
        <f t="shared" si="71"/>
        <v/>
      </c>
    </row>
    <row r="2458" spans="2:2" x14ac:dyDescent="0.3">
      <c r="B2458" s="129" t="str">
        <f t="shared" si="71"/>
        <v/>
      </c>
    </row>
    <row r="2459" spans="2:2" x14ac:dyDescent="0.3">
      <c r="B2459" s="129" t="str">
        <f t="shared" si="71"/>
        <v/>
      </c>
    </row>
    <row r="2460" spans="2:2" x14ac:dyDescent="0.3">
      <c r="B2460" s="129" t="str">
        <f t="shared" si="71"/>
        <v/>
      </c>
    </row>
    <row r="2461" spans="2:2" x14ac:dyDescent="0.3">
      <c r="B2461" s="129" t="str">
        <f t="shared" si="71"/>
        <v/>
      </c>
    </row>
    <row r="2462" spans="2:2" x14ac:dyDescent="0.3">
      <c r="B2462" s="129" t="str">
        <f t="shared" si="71"/>
        <v/>
      </c>
    </row>
    <row r="2463" spans="2:2" x14ac:dyDescent="0.3">
      <c r="B2463" s="129" t="str">
        <f t="shared" si="71"/>
        <v/>
      </c>
    </row>
    <row r="2464" spans="2:2" x14ac:dyDescent="0.3">
      <c r="B2464" s="129" t="str">
        <f t="shared" si="71"/>
        <v/>
      </c>
    </row>
    <row r="2465" spans="2:2" x14ac:dyDescent="0.3">
      <c r="B2465" s="129" t="str">
        <f t="shared" si="71"/>
        <v/>
      </c>
    </row>
    <row r="2466" spans="2:2" x14ac:dyDescent="0.3">
      <c r="B2466" s="129" t="str">
        <f t="shared" si="71"/>
        <v/>
      </c>
    </row>
    <row r="2467" spans="2:2" x14ac:dyDescent="0.3">
      <c r="B2467" s="129" t="str">
        <f t="shared" si="71"/>
        <v/>
      </c>
    </row>
    <row r="2468" spans="2:2" x14ac:dyDescent="0.3">
      <c r="B2468" s="129" t="str">
        <f t="shared" si="71"/>
        <v/>
      </c>
    </row>
    <row r="2469" spans="2:2" x14ac:dyDescent="0.3">
      <c r="B2469" s="129" t="str">
        <f t="shared" si="71"/>
        <v/>
      </c>
    </row>
    <row r="2470" spans="2:2" x14ac:dyDescent="0.3">
      <c r="B2470" s="129" t="str">
        <f t="shared" si="71"/>
        <v/>
      </c>
    </row>
    <row r="2471" spans="2:2" x14ac:dyDescent="0.3">
      <c r="B2471" s="129" t="str">
        <f t="shared" si="71"/>
        <v/>
      </c>
    </row>
    <row r="2472" spans="2:2" x14ac:dyDescent="0.3">
      <c r="B2472" s="129" t="str">
        <f t="shared" ref="B2472:B2535" si="72">IF($A2472="Daily", "n/a", "")</f>
        <v/>
      </c>
    </row>
    <row r="2473" spans="2:2" x14ac:dyDescent="0.3">
      <c r="B2473" s="129" t="str">
        <f t="shared" si="72"/>
        <v/>
      </c>
    </row>
    <row r="2474" spans="2:2" x14ac:dyDescent="0.3">
      <c r="B2474" s="129" t="str">
        <f t="shared" si="72"/>
        <v/>
      </c>
    </row>
    <row r="2475" spans="2:2" x14ac:dyDescent="0.3">
      <c r="B2475" s="129" t="str">
        <f t="shared" si="72"/>
        <v/>
      </c>
    </row>
    <row r="2476" spans="2:2" x14ac:dyDescent="0.3">
      <c r="B2476" s="129" t="str">
        <f t="shared" si="72"/>
        <v/>
      </c>
    </row>
    <row r="2477" spans="2:2" x14ac:dyDescent="0.3">
      <c r="B2477" s="129" t="str">
        <f t="shared" si="72"/>
        <v/>
      </c>
    </row>
    <row r="2478" spans="2:2" x14ac:dyDescent="0.3">
      <c r="B2478" s="129" t="str">
        <f t="shared" si="72"/>
        <v/>
      </c>
    </row>
    <row r="2479" spans="2:2" x14ac:dyDescent="0.3">
      <c r="B2479" s="129" t="str">
        <f t="shared" si="72"/>
        <v/>
      </c>
    </row>
    <row r="2480" spans="2:2" x14ac:dyDescent="0.3">
      <c r="B2480" s="129" t="str">
        <f t="shared" si="72"/>
        <v/>
      </c>
    </row>
    <row r="2481" spans="2:2" x14ac:dyDescent="0.3">
      <c r="B2481" s="129" t="str">
        <f t="shared" si="72"/>
        <v/>
      </c>
    </row>
    <row r="2482" spans="2:2" x14ac:dyDescent="0.3">
      <c r="B2482" s="129" t="str">
        <f t="shared" si="72"/>
        <v/>
      </c>
    </row>
    <row r="2483" spans="2:2" x14ac:dyDescent="0.3">
      <c r="B2483" s="129" t="str">
        <f t="shared" si="72"/>
        <v/>
      </c>
    </row>
    <row r="2484" spans="2:2" x14ac:dyDescent="0.3">
      <c r="B2484" s="129" t="str">
        <f t="shared" si="72"/>
        <v/>
      </c>
    </row>
    <row r="2485" spans="2:2" x14ac:dyDescent="0.3">
      <c r="B2485" s="129" t="str">
        <f t="shared" si="72"/>
        <v/>
      </c>
    </row>
    <row r="2486" spans="2:2" x14ac:dyDescent="0.3">
      <c r="B2486" s="129" t="str">
        <f t="shared" si="72"/>
        <v/>
      </c>
    </row>
    <row r="2487" spans="2:2" x14ac:dyDescent="0.3">
      <c r="B2487" s="129" t="str">
        <f t="shared" si="72"/>
        <v/>
      </c>
    </row>
    <row r="2488" spans="2:2" x14ac:dyDescent="0.3">
      <c r="B2488" s="129" t="str">
        <f t="shared" si="72"/>
        <v/>
      </c>
    </row>
    <row r="2489" spans="2:2" x14ac:dyDescent="0.3">
      <c r="B2489" s="129" t="str">
        <f t="shared" si="72"/>
        <v/>
      </c>
    </row>
    <row r="2490" spans="2:2" x14ac:dyDescent="0.3">
      <c r="B2490" s="129" t="str">
        <f t="shared" si="72"/>
        <v/>
      </c>
    </row>
    <row r="2491" spans="2:2" x14ac:dyDescent="0.3">
      <c r="B2491" s="129" t="str">
        <f t="shared" si="72"/>
        <v/>
      </c>
    </row>
    <row r="2492" spans="2:2" x14ac:dyDescent="0.3">
      <c r="B2492" s="129" t="str">
        <f t="shared" si="72"/>
        <v/>
      </c>
    </row>
    <row r="2493" spans="2:2" x14ac:dyDescent="0.3">
      <c r="B2493" s="129" t="str">
        <f t="shared" si="72"/>
        <v/>
      </c>
    </row>
    <row r="2494" spans="2:2" x14ac:dyDescent="0.3">
      <c r="B2494" s="129" t="str">
        <f t="shared" si="72"/>
        <v/>
      </c>
    </row>
    <row r="2495" spans="2:2" x14ac:dyDescent="0.3">
      <c r="B2495" s="129" t="str">
        <f t="shared" si="72"/>
        <v/>
      </c>
    </row>
    <row r="2496" spans="2:2" x14ac:dyDescent="0.3">
      <c r="B2496" s="129" t="str">
        <f t="shared" si="72"/>
        <v/>
      </c>
    </row>
    <row r="2497" spans="2:2" x14ac:dyDescent="0.3">
      <c r="B2497" s="129" t="str">
        <f t="shared" si="72"/>
        <v/>
      </c>
    </row>
    <row r="2498" spans="2:2" x14ac:dyDescent="0.3">
      <c r="B2498" s="129" t="str">
        <f t="shared" si="72"/>
        <v/>
      </c>
    </row>
    <row r="2499" spans="2:2" x14ac:dyDescent="0.3">
      <c r="B2499" s="129" t="str">
        <f t="shared" si="72"/>
        <v/>
      </c>
    </row>
    <row r="2500" spans="2:2" x14ac:dyDescent="0.3">
      <c r="B2500" s="129" t="str">
        <f t="shared" si="72"/>
        <v/>
      </c>
    </row>
    <row r="2501" spans="2:2" x14ac:dyDescent="0.3">
      <c r="B2501" s="129" t="str">
        <f t="shared" si="72"/>
        <v/>
      </c>
    </row>
    <row r="2502" spans="2:2" x14ac:dyDescent="0.3">
      <c r="B2502" s="129" t="str">
        <f t="shared" si="72"/>
        <v/>
      </c>
    </row>
    <row r="2503" spans="2:2" x14ac:dyDescent="0.3">
      <c r="B2503" s="129" t="str">
        <f t="shared" si="72"/>
        <v/>
      </c>
    </row>
    <row r="2504" spans="2:2" x14ac:dyDescent="0.3">
      <c r="B2504" s="129" t="str">
        <f t="shared" si="72"/>
        <v/>
      </c>
    </row>
    <row r="2505" spans="2:2" x14ac:dyDescent="0.3">
      <c r="B2505" s="129" t="str">
        <f t="shared" si="72"/>
        <v/>
      </c>
    </row>
    <row r="2506" spans="2:2" x14ac:dyDescent="0.3">
      <c r="B2506" s="129" t="str">
        <f t="shared" si="72"/>
        <v/>
      </c>
    </row>
    <row r="2507" spans="2:2" x14ac:dyDescent="0.3">
      <c r="B2507" s="129" t="str">
        <f t="shared" si="72"/>
        <v/>
      </c>
    </row>
    <row r="2508" spans="2:2" x14ac:dyDescent="0.3">
      <c r="B2508" s="129" t="str">
        <f t="shared" si="72"/>
        <v/>
      </c>
    </row>
    <row r="2509" spans="2:2" x14ac:dyDescent="0.3">
      <c r="B2509" s="129" t="str">
        <f t="shared" si="72"/>
        <v/>
      </c>
    </row>
    <row r="2510" spans="2:2" x14ac:dyDescent="0.3">
      <c r="B2510" s="129" t="str">
        <f t="shared" si="72"/>
        <v/>
      </c>
    </row>
    <row r="2511" spans="2:2" x14ac:dyDescent="0.3">
      <c r="B2511" s="129" t="str">
        <f t="shared" si="72"/>
        <v/>
      </c>
    </row>
    <row r="2512" spans="2:2" x14ac:dyDescent="0.3">
      <c r="B2512" s="129" t="str">
        <f t="shared" si="72"/>
        <v/>
      </c>
    </row>
    <row r="2513" spans="2:2" x14ac:dyDescent="0.3">
      <c r="B2513" s="129" t="str">
        <f t="shared" si="72"/>
        <v/>
      </c>
    </row>
    <row r="2514" spans="2:2" x14ac:dyDescent="0.3">
      <c r="B2514" s="129" t="str">
        <f t="shared" si="72"/>
        <v/>
      </c>
    </row>
    <row r="2515" spans="2:2" x14ac:dyDescent="0.3">
      <c r="B2515" s="129" t="str">
        <f t="shared" si="72"/>
        <v/>
      </c>
    </row>
    <row r="2516" spans="2:2" x14ac:dyDescent="0.3">
      <c r="B2516" s="129" t="str">
        <f t="shared" si="72"/>
        <v/>
      </c>
    </row>
    <row r="2517" spans="2:2" x14ac:dyDescent="0.3">
      <c r="B2517" s="129" t="str">
        <f t="shared" si="72"/>
        <v/>
      </c>
    </row>
    <row r="2518" spans="2:2" x14ac:dyDescent="0.3">
      <c r="B2518" s="129" t="str">
        <f t="shared" si="72"/>
        <v/>
      </c>
    </row>
    <row r="2519" spans="2:2" x14ac:dyDescent="0.3">
      <c r="B2519" s="129" t="str">
        <f t="shared" si="72"/>
        <v/>
      </c>
    </row>
    <row r="2520" spans="2:2" x14ac:dyDescent="0.3">
      <c r="B2520" s="129" t="str">
        <f t="shared" si="72"/>
        <v/>
      </c>
    </row>
    <row r="2521" spans="2:2" x14ac:dyDescent="0.3">
      <c r="B2521" s="129" t="str">
        <f t="shared" si="72"/>
        <v/>
      </c>
    </row>
    <row r="2522" spans="2:2" x14ac:dyDescent="0.3">
      <c r="B2522" s="129" t="str">
        <f t="shared" si="72"/>
        <v/>
      </c>
    </row>
    <row r="2523" spans="2:2" x14ac:dyDescent="0.3">
      <c r="B2523" s="129" t="str">
        <f t="shared" si="72"/>
        <v/>
      </c>
    </row>
    <row r="2524" spans="2:2" x14ac:dyDescent="0.3">
      <c r="B2524" s="129" t="str">
        <f t="shared" si="72"/>
        <v/>
      </c>
    </row>
    <row r="2525" spans="2:2" x14ac:dyDescent="0.3">
      <c r="B2525" s="129" t="str">
        <f t="shared" si="72"/>
        <v/>
      </c>
    </row>
    <row r="2526" spans="2:2" x14ac:dyDescent="0.3">
      <c r="B2526" s="129" t="str">
        <f t="shared" si="72"/>
        <v/>
      </c>
    </row>
    <row r="2527" spans="2:2" x14ac:dyDescent="0.3">
      <c r="B2527" s="129" t="str">
        <f t="shared" si="72"/>
        <v/>
      </c>
    </row>
    <row r="2528" spans="2:2" x14ac:dyDescent="0.3">
      <c r="B2528" s="129" t="str">
        <f t="shared" si="72"/>
        <v/>
      </c>
    </row>
    <row r="2529" spans="2:2" x14ac:dyDescent="0.3">
      <c r="B2529" s="129" t="str">
        <f t="shared" si="72"/>
        <v/>
      </c>
    </row>
    <row r="2530" spans="2:2" x14ac:dyDescent="0.3">
      <c r="B2530" s="129" t="str">
        <f t="shared" si="72"/>
        <v/>
      </c>
    </row>
    <row r="2531" spans="2:2" x14ac:dyDescent="0.3">
      <c r="B2531" s="129" t="str">
        <f t="shared" si="72"/>
        <v/>
      </c>
    </row>
    <row r="2532" spans="2:2" x14ac:dyDescent="0.3">
      <c r="B2532" s="129" t="str">
        <f t="shared" si="72"/>
        <v/>
      </c>
    </row>
    <row r="2533" spans="2:2" x14ac:dyDescent="0.3">
      <c r="B2533" s="129" t="str">
        <f t="shared" si="72"/>
        <v/>
      </c>
    </row>
    <row r="2534" spans="2:2" x14ac:dyDescent="0.3">
      <c r="B2534" s="129" t="str">
        <f t="shared" si="72"/>
        <v/>
      </c>
    </row>
    <row r="2535" spans="2:2" x14ac:dyDescent="0.3">
      <c r="B2535" s="129" t="str">
        <f t="shared" si="72"/>
        <v/>
      </c>
    </row>
    <row r="2536" spans="2:2" x14ac:dyDescent="0.3">
      <c r="B2536" s="129" t="str">
        <f t="shared" ref="B2536:B2599" si="73">IF($A2536="Daily", "n/a", "")</f>
        <v/>
      </c>
    </row>
    <row r="2537" spans="2:2" x14ac:dyDescent="0.3">
      <c r="B2537" s="129" t="str">
        <f t="shared" si="73"/>
        <v/>
      </c>
    </row>
    <row r="2538" spans="2:2" x14ac:dyDescent="0.3">
      <c r="B2538" s="129" t="str">
        <f t="shared" si="73"/>
        <v/>
      </c>
    </row>
    <row r="2539" spans="2:2" x14ac:dyDescent="0.3">
      <c r="B2539" s="129" t="str">
        <f t="shared" si="73"/>
        <v/>
      </c>
    </row>
    <row r="2540" spans="2:2" x14ac:dyDescent="0.3">
      <c r="B2540" s="129" t="str">
        <f t="shared" si="73"/>
        <v/>
      </c>
    </row>
    <row r="2541" spans="2:2" x14ac:dyDescent="0.3">
      <c r="B2541" s="129" t="str">
        <f t="shared" si="73"/>
        <v/>
      </c>
    </row>
    <row r="2542" spans="2:2" x14ac:dyDescent="0.3">
      <c r="B2542" s="129" t="str">
        <f t="shared" si="73"/>
        <v/>
      </c>
    </row>
    <row r="2543" spans="2:2" x14ac:dyDescent="0.3">
      <c r="B2543" s="129" t="str">
        <f t="shared" si="73"/>
        <v/>
      </c>
    </row>
    <row r="2544" spans="2:2" x14ac:dyDescent="0.3">
      <c r="B2544" s="129" t="str">
        <f t="shared" si="73"/>
        <v/>
      </c>
    </row>
    <row r="2545" spans="2:2" x14ac:dyDescent="0.3">
      <c r="B2545" s="129" t="str">
        <f t="shared" si="73"/>
        <v/>
      </c>
    </row>
    <row r="2546" spans="2:2" x14ac:dyDescent="0.3">
      <c r="B2546" s="129" t="str">
        <f t="shared" si="73"/>
        <v/>
      </c>
    </row>
    <row r="2547" spans="2:2" x14ac:dyDescent="0.3">
      <c r="B2547" s="129" t="str">
        <f t="shared" si="73"/>
        <v/>
      </c>
    </row>
    <row r="2548" spans="2:2" x14ac:dyDescent="0.3">
      <c r="B2548" s="129" t="str">
        <f t="shared" si="73"/>
        <v/>
      </c>
    </row>
    <row r="2549" spans="2:2" x14ac:dyDescent="0.3">
      <c r="B2549" s="129" t="str">
        <f t="shared" si="73"/>
        <v/>
      </c>
    </row>
    <row r="2550" spans="2:2" x14ac:dyDescent="0.3">
      <c r="B2550" s="129" t="str">
        <f t="shared" si="73"/>
        <v/>
      </c>
    </row>
    <row r="2551" spans="2:2" x14ac:dyDescent="0.3">
      <c r="B2551" s="129" t="str">
        <f t="shared" si="73"/>
        <v/>
      </c>
    </row>
    <row r="2552" spans="2:2" x14ac:dyDescent="0.3">
      <c r="B2552" s="129" t="str">
        <f t="shared" si="73"/>
        <v/>
      </c>
    </row>
    <row r="2553" spans="2:2" x14ac:dyDescent="0.3">
      <c r="B2553" s="129" t="str">
        <f t="shared" si="73"/>
        <v/>
      </c>
    </row>
    <row r="2554" spans="2:2" x14ac:dyDescent="0.3">
      <c r="B2554" s="129" t="str">
        <f t="shared" si="73"/>
        <v/>
      </c>
    </row>
    <row r="2555" spans="2:2" x14ac:dyDescent="0.3">
      <c r="B2555" s="129" t="str">
        <f t="shared" si="73"/>
        <v/>
      </c>
    </row>
    <row r="2556" spans="2:2" x14ac:dyDescent="0.3">
      <c r="B2556" s="129" t="str">
        <f t="shared" si="73"/>
        <v/>
      </c>
    </row>
    <row r="2557" spans="2:2" x14ac:dyDescent="0.3">
      <c r="B2557" s="129" t="str">
        <f t="shared" si="73"/>
        <v/>
      </c>
    </row>
    <row r="2558" spans="2:2" x14ac:dyDescent="0.3">
      <c r="B2558" s="129" t="str">
        <f t="shared" si="73"/>
        <v/>
      </c>
    </row>
    <row r="2559" spans="2:2" x14ac:dyDescent="0.3">
      <c r="B2559" s="129" t="str">
        <f t="shared" si="73"/>
        <v/>
      </c>
    </row>
    <row r="2560" spans="2:2" x14ac:dyDescent="0.3">
      <c r="B2560" s="129" t="str">
        <f t="shared" si="73"/>
        <v/>
      </c>
    </row>
    <row r="2561" spans="2:2" x14ac:dyDescent="0.3">
      <c r="B2561" s="129" t="str">
        <f t="shared" si="73"/>
        <v/>
      </c>
    </row>
    <row r="2562" spans="2:2" x14ac:dyDescent="0.3">
      <c r="B2562" s="129" t="str">
        <f t="shared" si="73"/>
        <v/>
      </c>
    </row>
    <row r="2563" spans="2:2" x14ac:dyDescent="0.3">
      <c r="B2563" s="129" t="str">
        <f t="shared" si="73"/>
        <v/>
      </c>
    </row>
    <row r="2564" spans="2:2" x14ac:dyDescent="0.3">
      <c r="B2564" s="129" t="str">
        <f t="shared" si="73"/>
        <v/>
      </c>
    </row>
    <row r="2565" spans="2:2" x14ac:dyDescent="0.3">
      <c r="B2565" s="129" t="str">
        <f t="shared" si="73"/>
        <v/>
      </c>
    </row>
    <row r="2566" spans="2:2" x14ac:dyDescent="0.3">
      <c r="B2566" s="129" t="str">
        <f t="shared" si="73"/>
        <v/>
      </c>
    </row>
    <row r="2567" spans="2:2" x14ac:dyDescent="0.3">
      <c r="B2567" s="129" t="str">
        <f t="shared" si="73"/>
        <v/>
      </c>
    </row>
    <row r="2568" spans="2:2" x14ac:dyDescent="0.3">
      <c r="B2568" s="129" t="str">
        <f t="shared" si="73"/>
        <v/>
      </c>
    </row>
    <row r="2569" spans="2:2" x14ac:dyDescent="0.3">
      <c r="B2569" s="129" t="str">
        <f t="shared" si="73"/>
        <v/>
      </c>
    </row>
    <row r="2570" spans="2:2" x14ac:dyDescent="0.3">
      <c r="B2570" s="129" t="str">
        <f t="shared" si="73"/>
        <v/>
      </c>
    </row>
    <row r="2571" spans="2:2" x14ac:dyDescent="0.3">
      <c r="B2571" s="129" t="str">
        <f t="shared" si="73"/>
        <v/>
      </c>
    </row>
    <row r="2572" spans="2:2" x14ac:dyDescent="0.3">
      <c r="B2572" s="129" t="str">
        <f t="shared" si="73"/>
        <v/>
      </c>
    </row>
    <row r="2573" spans="2:2" x14ac:dyDescent="0.3">
      <c r="B2573" s="129" t="str">
        <f t="shared" si="73"/>
        <v/>
      </c>
    </row>
    <row r="2574" spans="2:2" x14ac:dyDescent="0.3">
      <c r="B2574" s="129" t="str">
        <f t="shared" si="73"/>
        <v/>
      </c>
    </row>
    <row r="2575" spans="2:2" x14ac:dyDescent="0.3">
      <c r="B2575" s="129" t="str">
        <f t="shared" si="73"/>
        <v/>
      </c>
    </row>
    <row r="2576" spans="2:2" x14ac:dyDescent="0.3">
      <c r="B2576" s="129" t="str">
        <f t="shared" si="73"/>
        <v/>
      </c>
    </row>
    <row r="2577" spans="2:2" x14ac:dyDescent="0.3">
      <c r="B2577" s="129" t="str">
        <f t="shared" si="73"/>
        <v/>
      </c>
    </row>
    <row r="2578" spans="2:2" x14ac:dyDescent="0.3">
      <c r="B2578" s="129" t="str">
        <f t="shared" si="73"/>
        <v/>
      </c>
    </row>
    <row r="2579" spans="2:2" x14ac:dyDescent="0.3">
      <c r="B2579" s="129" t="str">
        <f t="shared" si="73"/>
        <v/>
      </c>
    </row>
    <row r="2580" spans="2:2" x14ac:dyDescent="0.3">
      <c r="B2580" s="129" t="str">
        <f t="shared" si="73"/>
        <v/>
      </c>
    </row>
    <row r="2581" spans="2:2" x14ac:dyDescent="0.3">
      <c r="B2581" s="129" t="str">
        <f t="shared" si="73"/>
        <v/>
      </c>
    </row>
    <row r="2582" spans="2:2" x14ac:dyDescent="0.3">
      <c r="B2582" s="129" t="str">
        <f t="shared" si="73"/>
        <v/>
      </c>
    </row>
    <row r="2583" spans="2:2" x14ac:dyDescent="0.3">
      <c r="B2583" s="129" t="str">
        <f t="shared" si="73"/>
        <v/>
      </c>
    </row>
    <row r="2584" spans="2:2" x14ac:dyDescent="0.3">
      <c r="B2584" s="129" t="str">
        <f t="shared" si="73"/>
        <v/>
      </c>
    </row>
    <row r="2585" spans="2:2" x14ac:dyDescent="0.3">
      <c r="B2585" s="129" t="str">
        <f t="shared" si="73"/>
        <v/>
      </c>
    </row>
    <row r="2586" spans="2:2" x14ac:dyDescent="0.3">
      <c r="B2586" s="129" t="str">
        <f t="shared" si="73"/>
        <v/>
      </c>
    </row>
    <row r="2587" spans="2:2" x14ac:dyDescent="0.3">
      <c r="B2587" s="129" t="str">
        <f t="shared" si="73"/>
        <v/>
      </c>
    </row>
    <row r="2588" spans="2:2" x14ac:dyDescent="0.3">
      <c r="B2588" s="129" t="str">
        <f t="shared" si="73"/>
        <v/>
      </c>
    </row>
    <row r="2589" spans="2:2" x14ac:dyDescent="0.3">
      <c r="B2589" s="129" t="str">
        <f t="shared" si="73"/>
        <v/>
      </c>
    </row>
    <row r="2590" spans="2:2" x14ac:dyDescent="0.3">
      <c r="B2590" s="129" t="str">
        <f t="shared" si="73"/>
        <v/>
      </c>
    </row>
    <row r="2591" spans="2:2" x14ac:dyDescent="0.3">
      <c r="B2591" s="129" t="str">
        <f t="shared" si="73"/>
        <v/>
      </c>
    </row>
    <row r="2592" spans="2:2" x14ac:dyDescent="0.3">
      <c r="B2592" s="129" t="str">
        <f t="shared" si="73"/>
        <v/>
      </c>
    </row>
    <row r="2593" spans="2:2" x14ac:dyDescent="0.3">
      <c r="B2593" s="129" t="str">
        <f t="shared" si="73"/>
        <v/>
      </c>
    </row>
    <row r="2594" spans="2:2" x14ac:dyDescent="0.3">
      <c r="B2594" s="129" t="str">
        <f t="shared" si="73"/>
        <v/>
      </c>
    </row>
    <row r="2595" spans="2:2" x14ac:dyDescent="0.3">
      <c r="B2595" s="129" t="str">
        <f t="shared" si="73"/>
        <v/>
      </c>
    </row>
    <row r="2596" spans="2:2" x14ac:dyDescent="0.3">
      <c r="B2596" s="129" t="str">
        <f t="shared" si="73"/>
        <v/>
      </c>
    </row>
    <row r="2597" spans="2:2" x14ac:dyDescent="0.3">
      <c r="B2597" s="129" t="str">
        <f t="shared" si="73"/>
        <v/>
      </c>
    </row>
    <row r="2598" spans="2:2" x14ac:dyDescent="0.3">
      <c r="B2598" s="129" t="str">
        <f t="shared" si="73"/>
        <v/>
      </c>
    </row>
    <row r="2599" spans="2:2" x14ac:dyDescent="0.3">
      <c r="B2599" s="129" t="str">
        <f t="shared" si="73"/>
        <v/>
      </c>
    </row>
    <row r="2600" spans="2:2" x14ac:dyDescent="0.3">
      <c r="B2600" s="129" t="str">
        <f t="shared" ref="B2600:B2663" si="74">IF($A2600="Daily", "n/a", "")</f>
        <v/>
      </c>
    </row>
    <row r="2601" spans="2:2" x14ac:dyDescent="0.3">
      <c r="B2601" s="129" t="str">
        <f t="shared" si="74"/>
        <v/>
      </c>
    </row>
    <row r="2602" spans="2:2" x14ac:dyDescent="0.3">
      <c r="B2602" s="129" t="str">
        <f t="shared" si="74"/>
        <v/>
      </c>
    </row>
    <row r="2603" spans="2:2" x14ac:dyDescent="0.3">
      <c r="B2603" s="129" t="str">
        <f t="shared" si="74"/>
        <v/>
      </c>
    </row>
    <row r="2604" spans="2:2" x14ac:dyDescent="0.3">
      <c r="B2604" s="129" t="str">
        <f t="shared" si="74"/>
        <v/>
      </c>
    </row>
    <row r="2605" spans="2:2" x14ac:dyDescent="0.3">
      <c r="B2605" s="129" t="str">
        <f t="shared" si="74"/>
        <v/>
      </c>
    </row>
    <row r="2606" spans="2:2" x14ac:dyDescent="0.3">
      <c r="B2606" s="129" t="str">
        <f t="shared" si="74"/>
        <v/>
      </c>
    </row>
    <row r="2607" spans="2:2" x14ac:dyDescent="0.3">
      <c r="B2607" s="129" t="str">
        <f t="shared" si="74"/>
        <v/>
      </c>
    </row>
    <row r="2608" spans="2:2" x14ac:dyDescent="0.3">
      <c r="B2608" s="129" t="str">
        <f t="shared" si="74"/>
        <v/>
      </c>
    </row>
    <row r="2609" spans="2:2" x14ac:dyDescent="0.3">
      <c r="B2609" s="129" t="str">
        <f t="shared" si="74"/>
        <v/>
      </c>
    </row>
    <row r="2610" spans="2:2" x14ac:dyDescent="0.3">
      <c r="B2610" s="129" t="str">
        <f t="shared" si="74"/>
        <v/>
      </c>
    </row>
    <row r="2611" spans="2:2" x14ac:dyDescent="0.3">
      <c r="B2611" s="129" t="str">
        <f t="shared" si="74"/>
        <v/>
      </c>
    </row>
    <row r="2612" spans="2:2" x14ac:dyDescent="0.3">
      <c r="B2612" s="129" t="str">
        <f t="shared" si="74"/>
        <v/>
      </c>
    </row>
    <row r="2613" spans="2:2" x14ac:dyDescent="0.3">
      <c r="B2613" s="129" t="str">
        <f t="shared" si="74"/>
        <v/>
      </c>
    </row>
    <row r="2614" spans="2:2" x14ac:dyDescent="0.3">
      <c r="B2614" s="129" t="str">
        <f t="shared" si="74"/>
        <v/>
      </c>
    </row>
    <row r="2615" spans="2:2" x14ac:dyDescent="0.3">
      <c r="B2615" s="129" t="str">
        <f t="shared" si="74"/>
        <v/>
      </c>
    </row>
    <row r="2616" spans="2:2" x14ac:dyDescent="0.3">
      <c r="B2616" s="129" t="str">
        <f t="shared" si="74"/>
        <v/>
      </c>
    </row>
    <row r="2617" spans="2:2" x14ac:dyDescent="0.3">
      <c r="B2617" s="129" t="str">
        <f t="shared" si="74"/>
        <v/>
      </c>
    </row>
    <row r="2618" spans="2:2" x14ac:dyDescent="0.3">
      <c r="B2618" s="129" t="str">
        <f t="shared" si="74"/>
        <v/>
      </c>
    </row>
    <row r="2619" spans="2:2" x14ac:dyDescent="0.3">
      <c r="B2619" s="129" t="str">
        <f t="shared" si="74"/>
        <v/>
      </c>
    </row>
    <row r="2620" spans="2:2" x14ac:dyDescent="0.3">
      <c r="B2620" s="129" t="str">
        <f t="shared" si="74"/>
        <v/>
      </c>
    </row>
    <row r="2621" spans="2:2" x14ac:dyDescent="0.3">
      <c r="B2621" s="129" t="str">
        <f t="shared" si="74"/>
        <v/>
      </c>
    </row>
    <row r="2622" spans="2:2" x14ac:dyDescent="0.3">
      <c r="B2622" s="129" t="str">
        <f t="shared" si="74"/>
        <v/>
      </c>
    </row>
    <row r="2623" spans="2:2" x14ac:dyDescent="0.3">
      <c r="B2623" s="129" t="str">
        <f t="shared" si="74"/>
        <v/>
      </c>
    </row>
    <row r="2624" spans="2:2" x14ac:dyDescent="0.3">
      <c r="B2624" s="129" t="str">
        <f t="shared" si="74"/>
        <v/>
      </c>
    </row>
    <row r="2625" spans="2:2" x14ac:dyDescent="0.3">
      <c r="B2625" s="129" t="str">
        <f t="shared" si="74"/>
        <v/>
      </c>
    </row>
    <row r="2626" spans="2:2" x14ac:dyDescent="0.3">
      <c r="B2626" s="129" t="str">
        <f t="shared" si="74"/>
        <v/>
      </c>
    </row>
    <row r="2627" spans="2:2" x14ac:dyDescent="0.3">
      <c r="B2627" s="129" t="str">
        <f t="shared" si="74"/>
        <v/>
      </c>
    </row>
    <row r="2628" spans="2:2" x14ac:dyDescent="0.3">
      <c r="B2628" s="129" t="str">
        <f t="shared" si="74"/>
        <v/>
      </c>
    </row>
    <row r="2629" spans="2:2" x14ac:dyDescent="0.3">
      <c r="B2629" s="129" t="str">
        <f t="shared" si="74"/>
        <v/>
      </c>
    </row>
    <row r="2630" spans="2:2" x14ac:dyDescent="0.3">
      <c r="B2630" s="129" t="str">
        <f t="shared" si="74"/>
        <v/>
      </c>
    </row>
    <row r="2631" spans="2:2" x14ac:dyDescent="0.3">
      <c r="B2631" s="129" t="str">
        <f t="shared" si="74"/>
        <v/>
      </c>
    </row>
    <row r="2632" spans="2:2" x14ac:dyDescent="0.3">
      <c r="B2632" s="129" t="str">
        <f t="shared" si="74"/>
        <v/>
      </c>
    </row>
    <row r="2633" spans="2:2" x14ac:dyDescent="0.3">
      <c r="B2633" s="129" t="str">
        <f t="shared" si="74"/>
        <v/>
      </c>
    </row>
    <row r="2634" spans="2:2" x14ac:dyDescent="0.3">
      <c r="B2634" s="129" t="str">
        <f t="shared" si="74"/>
        <v/>
      </c>
    </row>
    <row r="2635" spans="2:2" x14ac:dyDescent="0.3">
      <c r="B2635" s="129" t="str">
        <f t="shared" si="74"/>
        <v/>
      </c>
    </row>
    <row r="2636" spans="2:2" x14ac:dyDescent="0.3">
      <c r="B2636" s="129" t="str">
        <f t="shared" si="74"/>
        <v/>
      </c>
    </row>
    <row r="2637" spans="2:2" x14ac:dyDescent="0.3">
      <c r="B2637" s="129" t="str">
        <f t="shared" si="74"/>
        <v/>
      </c>
    </row>
    <row r="2638" spans="2:2" x14ac:dyDescent="0.3">
      <c r="B2638" s="129" t="str">
        <f t="shared" si="74"/>
        <v/>
      </c>
    </row>
    <row r="2639" spans="2:2" x14ac:dyDescent="0.3">
      <c r="B2639" s="129" t="str">
        <f t="shared" si="74"/>
        <v/>
      </c>
    </row>
    <row r="2640" spans="2:2" x14ac:dyDescent="0.3">
      <c r="B2640" s="129" t="str">
        <f t="shared" si="74"/>
        <v/>
      </c>
    </row>
    <row r="2641" spans="2:2" x14ac:dyDescent="0.3">
      <c r="B2641" s="129" t="str">
        <f t="shared" si="74"/>
        <v/>
      </c>
    </row>
    <row r="2642" spans="2:2" x14ac:dyDescent="0.3">
      <c r="B2642" s="129" t="str">
        <f t="shared" si="74"/>
        <v/>
      </c>
    </row>
    <row r="2643" spans="2:2" x14ac:dyDescent="0.3">
      <c r="B2643" s="129" t="str">
        <f t="shared" si="74"/>
        <v/>
      </c>
    </row>
    <row r="2644" spans="2:2" x14ac:dyDescent="0.3">
      <c r="B2644" s="129" t="str">
        <f t="shared" si="74"/>
        <v/>
      </c>
    </row>
    <row r="2645" spans="2:2" x14ac:dyDescent="0.3">
      <c r="B2645" s="129" t="str">
        <f t="shared" si="74"/>
        <v/>
      </c>
    </row>
    <row r="2646" spans="2:2" x14ac:dyDescent="0.3">
      <c r="B2646" s="129" t="str">
        <f t="shared" si="74"/>
        <v/>
      </c>
    </row>
    <row r="2647" spans="2:2" x14ac:dyDescent="0.3">
      <c r="B2647" s="129" t="str">
        <f t="shared" si="74"/>
        <v/>
      </c>
    </row>
    <row r="2648" spans="2:2" x14ac:dyDescent="0.3">
      <c r="B2648" s="129" t="str">
        <f t="shared" si="74"/>
        <v/>
      </c>
    </row>
    <row r="2649" spans="2:2" x14ac:dyDescent="0.3">
      <c r="B2649" s="129" t="str">
        <f t="shared" si="74"/>
        <v/>
      </c>
    </row>
    <row r="2650" spans="2:2" x14ac:dyDescent="0.3">
      <c r="B2650" s="129" t="str">
        <f t="shared" si="74"/>
        <v/>
      </c>
    </row>
    <row r="2651" spans="2:2" x14ac:dyDescent="0.3">
      <c r="B2651" s="129" t="str">
        <f t="shared" si="74"/>
        <v/>
      </c>
    </row>
    <row r="2652" spans="2:2" x14ac:dyDescent="0.3">
      <c r="B2652" s="129" t="str">
        <f t="shared" si="74"/>
        <v/>
      </c>
    </row>
    <row r="2653" spans="2:2" x14ac:dyDescent="0.3">
      <c r="B2653" s="129" t="str">
        <f t="shared" si="74"/>
        <v/>
      </c>
    </row>
    <row r="2654" spans="2:2" x14ac:dyDescent="0.3">
      <c r="B2654" s="129" t="str">
        <f t="shared" si="74"/>
        <v/>
      </c>
    </row>
    <row r="2655" spans="2:2" x14ac:dyDescent="0.3">
      <c r="B2655" s="129" t="str">
        <f t="shared" si="74"/>
        <v/>
      </c>
    </row>
    <row r="2656" spans="2:2" x14ac:dyDescent="0.3">
      <c r="B2656" s="129" t="str">
        <f t="shared" si="74"/>
        <v/>
      </c>
    </row>
    <row r="2657" spans="2:2" x14ac:dyDescent="0.3">
      <c r="B2657" s="129" t="str">
        <f t="shared" si="74"/>
        <v/>
      </c>
    </row>
    <row r="2658" spans="2:2" x14ac:dyDescent="0.3">
      <c r="B2658" s="129" t="str">
        <f t="shared" si="74"/>
        <v/>
      </c>
    </row>
    <row r="2659" spans="2:2" x14ac:dyDescent="0.3">
      <c r="B2659" s="129" t="str">
        <f t="shared" si="74"/>
        <v/>
      </c>
    </row>
    <row r="2660" spans="2:2" x14ac:dyDescent="0.3">
      <c r="B2660" s="129" t="str">
        <f t="shared" si="74"/>
        <v/>
      </c>
    </row>
    <row r="2661" spans="2:2" x14ac:dyDescent="0.3">
      <c r="B2661" s="129" t="str">
        <f t="shared" si="74"/>
        <v/>
      </c>
    </row>
    <row r="2662" spans="2:2" x14ac:dyDescent="0.3">
      <c r="B2662" s="129" t="str">
        <f t="shared" si="74"/>
        <v/>
      </c>
    </row>
    <row r="2663" spans="2:2" x14ac:dyDescent="0.3">
      <c r="B2663" s="129" t="str">
        <f t="shared" si="74"/>
        <v/>
      </c>
    </row>
    <row r="2664" spans="2:2" x14ac:dyDescent="0.3">
      <c r="B2664" s="129" t="str">
        <f t="shared" ref="B2664:B2727" si="75">IF($A2664="Daily", "n/a", "")</f>
        <v/>
      </c>
    </row>
    <row r="2665" spans="2:2" x14ac:dyDescent="0.3">
      <c r="B2665" s="129" t="str">
        <f t="shared" si="75"/>
        <v/>
      </c>
    </row>
    <row r="2666" spans="2:2" x14ac:dyDescent="0.3">
      <c r="B2666" s="129" t="str">
        <f t="shared" si="75"/>
        <v/>
      </c>
    </row>
    <row r="2667" spans="2:2" x14ac:dyDescent="0.3">
      <c r="B2667" s="129" t="str">
        <f t="shared" si="75"/>
        <v/>
      </c>
    </row>
    <row r="2668" spans="2:2" x14ac:dyDescent="0.3">
      <c r="B2668" s="129" t="str">
        <f t="shared" si="75"/>
        <v/>
      </c>
    </row>
    <row r="2669" spans="2:2" x14ac:dyDescent="0.3">
      <c r="B2669" s="129" t="str">
        <f t="shared" si="75"/>
        <v/>
      </c>
    </row>
    <row r="2670" spans="2:2" x14ac:dyDescent="0.3">
      <c r="B2670" s="129" t="str">
        <f t="shared" si="75"/>
        <v/>
      </c>
    </row>
    <row r="2671" spans="2:2" x14ac:dyDescent="0.3">
      <c r="B2671" s="129" t="str">
        <f t="shared" si="75"/>
        <v/>
      </c>
    </row>
    <row r="2672" spans="2:2" x14ac:dyDescent="0.3">
      <c r="B2672" s="129" t="str">
        <f t="shared" si="75"/>
        <v/>
      </c>
    </row>
    <row r="2673" spans="2:2" x14ac:dyDescent="0.3">
      <c r="B2673" s="129" t="str">
        <f t="shared" si="75"/>
        <v/>
      </c>
    </row>
    <row r="2674" spans="2:2" x14ac:dyDescent="0.3">
      <c r="B2674" s="129" t="str">
        <f t="shared" si="75"/>
        <v/>
      </c>
    </row>
    <row r="2675" spans="2:2" x14ac:dyDescent="0.3">
      <c r="B2675" s="129" t="str">
        <f t="shared" si="75"/>
        <v/>
      </c>
    </row>
    <row r="2676" spans="2:2" x14ac:dyDescent="0.3">
      <c r="B2676" s="129" t="str">
        <f t="shared" si="75"/>
        <v/>
      </c>
    </row>
    <row r="2677" spans="2:2" x14ac:dyDescent="0.3">
      <c r="B2677" s="129" t="str">
        <f t="shared" si="75"/>
        <v/>
      </c>
    </row>
    <row r="2678" spans="2:2" x14ac:dyDescent="0.3">
      <c r="B2678" s="129" t="str">
        <f t="shared" si="75"/>
        <v/>
      </c>
    </row>
    <row r="2679" spans="2:2" x14ac:dyDescent="0.3">
      <c r="B2679" s="129" t="str">
        <f t="shared" si="75"/>
        <v/>
      </c>
    </row>
    <row r="2680" spans="2:2" x14ac:dyDescent="0.3">
      <c r="B2680" s="129" t="str">
        <f t="shared" si="75"/>
        <v/>
      </c>
    </row>
    <row r="2681" spans="2:2" x14ac:dyDescent="0.3">
      <c r="B2681" s="129" t="str">
        <f t="shared" si="75"/>
        <v/>
      </c>
    </row>
    <row r="2682" spans="2:2" x14ac:dyDescent="0.3">
      <c r="B2682" s="129" t="str">
        <f t="shared" si="75"/>
        <v/>
      </c>
    </row>
    <row r="2683" spans="2:2" x14ac:dyDescent="0.3">
      <c r="B2683" s="129" t="str">
        <f t="shared" si="75"/>
        <v/>
      </c>
    </row>
    <row r="2684" spans="2:2" x14ac:dyDescent="0.3">
      <c r="B2684" s="129" t="str">
        <f t="shared" si="75"/>
        <v/>
      </c>
    </row>
    <row r="2685" spans="2:2" x14ac:dyDescent="0.3">
      <c r="B2685" s="129" t="str">
        <f t="shared" si="75"/>
        <v/>
      </c>
    </row>
    <row r="2686" spans="2:2" x14ac:dyDescent="0.3">
      <c r="B2686" s="129" t="str">
        <f t="shared" si="75"/>
        <v/>
      </c>
    </row>
    <row r="2687" spans="2:2" x14ac:dyDescent="0.3">
      <c r="B2687" s="129" t="str">
        <f t="shared" si="75"/>
        <v/>
      </c>
    </row>
    <row r="2688" spans="2:2" x14ac:dyDescent="0.3">
      <c r="B2688" s="129" t="str">
        <f t="shared" si="75"/>
        <v/>
      </c>
    </row>
    <row r="2689" spans="2:2" x14ac:dyDescent="0.3">
      <c r="B2689" s="129" t="str">
        <f t="shared" si="75"/>
        <v/>
      </c>
    </row>
    <row r="2690" spans="2:2" x14ac:dyDescent="0.3">
      <c r="B2690" s="129" t="str">
        <f t="shared" si="75"/>
        <v/>
      </c>
    </row>
    <row r="2691" spans="2:2" x14ac:dyDescent="0.3">
      <c r="B2691" s="129" t="str">
        <f t="shared" si="75"/>
        <v/>
      </c>
    </row>
    <row r="2692" spans="2:2" x14ac:dyDescent="0.3">
      <c r="B2692" s="129" t="str">
        <f t="shared" si="75"/>
        <v/>
      </c>
    </row>
    <row r="2693" spans="2:2" x14ac:dyDescent="0.3">
      <c r="B2693" s="129" t="str">
        <f t="shared" si="75"/>
        <v/>
      </c>
    </row>
    <row r="2694" spans="2:2" x14ac:dyDescent="0.3">
      <c r="B2694" s="129" t="str">
        <f t="shared" si="75"/>
        <v/>
      </c>
    </row>
    <row r="2695" spans="2:2" x14ac:dyDescent="0.3">
      <c r="B2695" s="129" t="str">
        <f t="shared" si="75"/>
        <v/>
      </c>
    </row>
    <row r="2696" spans="2:2" x14ac:dyDescent="0.3">
      <c r="B2696" s="129" t="str">
        <f t="shared" si="75"/>
        <v/>
      </c>
    </row>
    <row r="2697" spans="2:2" x14ac:dyDescent="0.3">
      <c r="B2697" s="129" t="str">
        <f t="shared" si="75"/>
        <v/>
      </c>
    </row>
    <row r="2698" spans="2:2" x14ac:dyDescent="0.3">
      <c r="B2698" s="129" t="str">
        <f t="shared" si="75"/>
        <v/>
      </c>
    </row>
    <row r="2699" spans="2:2" x14ac:dyDescent="0.3">
      <c r="B2699" s="129" t="str">
        <f t="shared" si="75"/>
        <v/>
      </c>
    </row>
    <row r="2700" spans="2:2" x14ac:dyDescent="0.3">
      <c r="B2700" s="129" t="str">
        <f t="shared" si="75"/>
        <v/>
      </c>
    </row>
    <row r="2701" spans="2:2" x14ac:dyDescent="0.3">
      <c r="B2701" s="129" t="str">
        <f t="shared" si="75"/>
        <v/>
      </c>
    </row>
    <row r="2702" spans="2:2" x14ac:dyDescent="0.3">
      <c r="B2702" s="129" t="str">
        <f t="shared" si="75"/>
        <v/>
      </c>
    </row>
    <row r="2703" spans="2:2" x14ac:dyDescent="0.3">
      <c r="B2703" s="129" t="str">
        <f t="shared" si="75"/>
        <v/>
      </c>
    </row>
    <row r="2704" spans="2:2" x14ac:dyDescent="0.3">
      <c r="B2704" s="129" t="str">
        <f t="shared" si="75"/>
        <v/>
      </c>
    </row>
    <row r="2705" spans="2:2" x14ac:dyDescent="0.3">
      <c r="B2705" s="129" t="str">
        <f t="shared" si="75"/>
        <v/>
      </c>
    </row>
    <row r="2706" spans="2:2" x14ac:dyDescent="0.3">
      <c r="B2706" s="129" t="str">
        <f t="shared" si="75"/>
        <v/>
      </c>
    </row>
    <row r="2707" spans="2:2" x14ac:dyDescent="0.3">
      <c r="B2707" s="129" t="str">
        <f t="shared" si="75"/>
        <v/>
      </c>
    </row>
    <row r="2708" spans="2:2" x14ac:dyDescent="0.3">
      <c r="B2708" s="129" t="str">
        <f t="shared" si="75"/>
        <v/>
      </c>
    </row>
    <row r="2709" spans="2:2" x14ac:dyDescent="0.3">
      <c r="B2709" s="129" t="str">
        <f t="shared" si="75"/>
        <v/>
      </c>
    </row>
    <row r="2710" spans="2:2" x14ac:dyDescent="0.3">
      <c r="B2710" s="129" t="str">
        <f t="shared" si="75"/>
        <v/>
      </c>
    </row>
    <row r="2711" spans="2:2" x14ac:dyDescent="0.3">
      <c r="B2711" s="129" t="str">
        <f t="shared" si="75"/>
        <v/>
      </c>
    </row>
    <row r="2712" spans="2:2" x14ac:dyDescent="0.3">
      <c r="B2712" s="129" t="str">
        <f t="shared" si="75"/>
        <v/>
      </c>
    </row>
    <row r="2713" spans="2:2" x14ac:dyDescent="0.3">
      <c r="B2713" s="129" t="str">
        <f t="shared" si="75"/>
        <v/>
      </c>
    </row>
    <row r="2714" spans="2:2" x14ac:dyDescent="0.3">
      <c r="B2714" s="129" t="str">
        <f t="shared" si="75"/>
        <v/>
      </c>
    </row>
    <row r="2715" spans="2:2" x14ac:dyDescent="0.3">
      <c r="B2715" s="129" t="str">
        <f t="shared" si="75"/>
        <v/>
      </c>
    </row>
    <row r="2716" spans="2:2" x14ac:dyDescent="0.3">
      <c r="B2716" s="129" t="str">
        <f t="shared" si="75"/>
        <v/>
      </c>
    </row>
    <row r="2717" spans="2:2" x14ac:dyDescent="0.3">
      <c r="B2717" s="129" t="str">
        <f t="shared" si="75"/>
        <v/>
      </c>
    </row>
    <row r="2718" spans="2:2" x14ac:dyDescent="0.3">
      <c r="B2718" s="129" t="str">
        <f t="shared" si="75"/>
        <v/>
      </c>
    </row>
    <row r="2719" spans="2:2" x14ac:dyDescent="0.3">
      <c r="B2719" s="129" t="str">
        <f t="shared" si="75"/>
        <v/>
      </c>
    </row>
    <row r="2720" spans="2:2" x14ac:dyDescent="0.3">
      <c r="B2720" s="129" t="str">
        <f t="shared" si="75"/>
        <v/>
      </c>
    </row>
    <row r="2721" spans="2:2" x14ac:dyDescent="0.3">
      <c r="B2721" s="129" t="str">
        <f t="shared" si="75"/>
        <v/>
      </c>
    </row>
    <row r="2722" spans="2:2" x14ac:dyDescent="0.3">
      <c r="B2722" s="129" t="str">
        <f t="shared" si="75"/>
        <v/>
      </c>
    </row>
    <row r="2723" spans="2:2" x14ac:dyDescent="0.3">
      <c r="B2723" s="129" t="str">
        <f t="shared" si="75"/>
        <v/>
      </c>
    </row>
    <row r="2724" spans="2:2" x14ac:dyDescent="0.3">
      <c r="B2724" s="129" t="str">
        <f t="shared" si="75"/>
        <v/>
      </c>
    </row>
    <row r="2725" spans="2:2" x14ac:dyDescent="0.3">
      <c r="B2725" s="129" t="str">
        <f t="shared" si="75"/>
        <v/>
      </c>
    </row>
    <row r="2726" spans="2:2" x14ac:dyDescent="0.3">
      <c r="B2726" s="129" t="str">
        <f t="shared" si="75"/>
        <v/>
      </c>
    </row>
    <row r="2727" spans="2:2" x14ac:dyDescent="0.3">
      <c r="B2727" s="129" t="str">
        <f t="shared" si="75"/>
        <v/>
      </c>
    </row>
    <row r="2728" spans="2:2" x14ac:dyDescent="0.3">
      <c r="B2728" s="129" t="str">
        <f t="shared" ref="B2728:B2791" si="76">IF($A2728="Daily", "n/a", "")</f>
        <v/>
      </c>
    </row>
    <row r="2729" spans="2:2" x14ac:dyDescent="0.3">
      <c r="B2729" s="129" t="str">
        <f t="shared" si="76"/>
        <v/>
      </c>
    </row>
    <row r="2730" spans="2:2" x14ac:dyDescent="0.3">
      <c r="B2730" s="129" t="str">
        <f t="shared" si="76"/>
        <v/>
      </c>
    </row>
    <row r="2731" spans="2:2" x14ac:dyDescent="0.3">
      <c r="B2731" s="129" t="str">
        <f t="shared" si="76"/>
        <v/>
      </c>
    </row>
    <row r="2732" spans="2:2" x14ac:dyDescent="0.3">
      <c r="B2732" s="129" t="str">
        <f t="shared" si="76"/>
        <v/>
      </c>
    </row>
    <row r="2733" spans="2:2" x14ac:dyDescent="0.3">
      <c r="B2733" s="129" t="str">
        <f t="shared" si="76"/>
        <v/>
      </c>
    </row>
    <row r="2734" spans="2:2" x14ac:dyDescent="0.3">
      <c r="B2734" s="129" t="str">
        <f t="shared" si="76"/>
        <v/>
      </c>
    </row>
    <row r="2735" spans="2:2" x14ac:dyDescent="0.3">
      <c r="B2735" s="129" t="str">
        <f t="shared" si="76"/>
        <v/>
      </c>
    </row>
    <row r="2736" spans="2:2" x14ac:dyDescent="0.3">
      <c r="B2736" s="129" t="str">
        <f t="shared" si="76"/>
        <v/>
      </c>
    </row>
    <row r="2737" spans="2:2" x14ac:dyDescent="0.3">
      <c r="B2737" s="129" t="str">
        <f t="shared" si="76"/>
        <v/>
      </c>
    </row>
    <row r="2738" spans="2:2" x14ac:dyDescent="0.3">
      <c r="B2738" s="129" t="str">
        <f t="shared" si="76"/>
        <v/>
      </c>
    </row>
    <row r="2739" spans="2:2" x14ac:dyDescent="0.3">
      <c r="B2739" s="129" t="str">
        <f t="shared" si="76"/>
        <v/>
      </c>
    </row>
    <row r="2740" spans="2:2" x14ac:dyDescent="0.3">
      <c r="B2740" s="129" t="str">
        <f t="shared" si="76"/>
        <v/>
      </c>
    </row>
    <row r="2741" spans="2:2" x14ac:dyDescent="0.3">
      <c r="B2741" s="129" t="str">
        <f t="shared" si="76"/>
        <v/>
      </c>
    </row>
    <row r="2742" spans="2:2" x14ac:dyDescent="0.3">
      <c r="B2742" s="129" t="str">
        <f t="shared" si="76"/>
        <v/>
      </c>
    </row>
    <row r="2743" spans="2:2" x14ac:dyDescent="0.3">
      <c r="B2743" s="129" t="str">
        <f t="shared" si="76"/>
        <v/>
      </c>
    </row>
    <row r="2744" spans="2:2" x14ac:dyDescent="0.3">
      <c r="B2744" s="129" t="str">
        <f t="shared" si="76"/>
        <v/>
      </c>
    </row>
    <row r="2745" spans="2:2" x14ac:dyDescent="0.3">
      <c r="B2745" s="129" t="str">
        <f t="shared" si="76"/>
        <v/>
      </c>
    </row>
    <row r="2746" spans="2:2" x14ac:dyDescent="0.3">
      <c r="B2746" s="129" t="str">
        <f t="shared" si="76"/>
        <v/>
      </c>
    </row>
    <row r="2747" spans="2:2" x14ac:dyDescent="0.3">
      <c r="B2747" s="129" t="str">
        <f t="shared" si="76"/>
        <v/>
      </c>
    </row>
    <row r="2748" spans="2:2" x14ac:dyDescent="0.3">
      <c r="B2748" s="129" t="str">
        <f t="shared" si="76"/>
        <v/>
      </c>
    </row>
    <row r="2749" spans="2:2" x14ac:dyDescent="0.3">
      <c r="B2749" s="129" t="str">
        <f t="shared" si="76"/>
        <v/>
      </c>
    </row>
    <row r="2750" spans="2:2" x14ac:dyDescent="0.3">
      <c r="B2750" s="129" t="str">
        <f t="shared" si="76"/>
        <v/>
      </c>
    </row>
    <row r="2751" spans="2:2" x14ac:dyDescent="0.3">
      <c r="B2751" s="129" t="str">
        <f t="shared" si="76"/>
        <v/>
      </c>
    </row>
    <row r="2752" spans="2:2" x14ac:dyDescent="0.3">
      <c r="B2752" s="129" t="str">
        <f t="shared" si="76"/>
        <v/>
      </c>
    </row>
    <row r="2753" spans="2:2" x14ac:dyDescent="0.3">
      <c r="B2753" s="129" t="str">
        <f t="shared" si="76"/>
        <v/>
      </c>
    </row>
    <row r="2754" spans="2:2" x14ac:dyDescent="0.3">
      <c r="B2754" s="129" t="str">
        <f t="shared" si="76"/>
        <v/>
      </c>
    </row>
    <row r="2755" spans="2:2" x14ac:dyDescent="0.3">
      <c r="B2755" s="129" t="str">
        <f t="shared" si="76"/>
        <v/>
      </c>
    </row>
    <row r="2756" spans="2:2" x14ac:dyDescent="0.3">
      <c r="B2756" s="129" t="str">
        <f t="shared" si="76"/>
        <v/>
      </c>
    </row>
    <row r="2757" spans="2:2" x14ac:dyDescent="0.3">
      <c r="B2757" s="129" t="str">
        <f t="shared" si="76"/>
        <v/>
      </c>
    </row>
    <row r="2758" spans="2:2" x14ac:dyDescent="0.3">
      <c r="B2758" s="129" t="str">
        <f t="shared" si="76"/>
        <v/>
      </c>
    </row>
    <row r="2759" spans="2:2" x14ac:dyDescent="0.3">
      <c r="B2759" s="129" t="str">
        <f t="shared" si="76"/>
        <v/>
      </c>
    </row>
    <row r="2760" spans="2:2" x14ac:dyDescent="0.3">
      <c r="B2760" s="129" t="str">
        <f t="shared" si="76"/>
        <v/>
      </c>
    </row>
    <row r="2761" spans="2:2" x14ac:dyDescent="0.3">
      <c r="B2761" s="129" t="str">
        <f t="shared" si="76"/>
        <v/>
      </c>
    </row>
    <row r="2762" spans="2:2" x14ac:dyDescent="0.3">
      <c r="B2762" s="129" t="str">
        <f t="shared" si="76"/>
        <v/>
      </c>
    </row>
    <row r="2763" spans="2:2" x14ac:dyDescent="0.3">
      <c r="B2763" s="129" t="str">
        <f t="shared" si="76"/>
        <v/>
      </c>
    </row>
    <row r="2764" spans="2:2" x14ac:dyDescent="0.3">
      <c r="B2764" s="129" t="str">
        <f t="shared" si="76"/>
        <v/>
      </c>
    </row>
    <row r="2765" spans="2:2" x14ac:dyDescent="0.3">
      <c r="B2765" s="129" t="str">
        <f t="shared" si="76"/>
        <v/>
      </c>
    </row>
    <row r="2766" spans="2:2" x14ac:dyDescent="0.3">
      <c r="B2766" s="129" t="str">
        <f t="shared" si="76"/>
        <v/>
      </c>
    </row>
    <row r="2767" spans="2:2" x14ac:dyDescent="0.3">
      <c r="B2767" s="129" t="str">
        <f t="shared" si="76"/>
        <v/>
      </c>
    </row>
    <row r="2768" spans="2:2" x14ac:dyDescent="0.3">
      <c r="B2768" s="129" t="str">
        <f t="shared" si="76"/>
        <v/>
      </c>
    </row>
    <row r="2769" spans="2:2" x14ac:dyDescent="0.3">
      <c r="B2769" s="129" t="str">
        <f t="shared" si="76"/>
        <v/>
      </c>
    </row>
    <row r="2770" spans="2:2" x14ac:dyDescent="0.3">
      <c r="B2770" s="129" t="str">
        <f t="shared" si="76"/>
        <v/>
      </c>
    </row>
    <row r="2771" spans="2:2" x14ac:dyDescent="0.3">
      <c r="B2771" s="129" t="str">
        <f t="shared" si="76"/>
        <v/>
      </c>
    </row>
    <row r="2772" spans="2:2" x14ac:dyDescent="0.3">
      <c r="B2772" s="129" t="str">
        <f t="shared" si="76"/>
        <v/>
      </c>
    </row>
    <row r="2773" spans="2:2" x14ac:dyDescent="0.3">
      <c r="B2773" s="129" t="str">
        <f t="shared" si="76"/>
        <v/>
      </c>
    </row>
    <row r="2774" spans="2:2" x14ac:dyDescent="0.3">
      <c r="B2774" s="129" t="str">
        <f t="shared" si="76"/>
        <v/>
      </c>
    </row>
    <row r="2775" spans="2:2" x14ac:dyDescent="0.3">
      <c r="B2775" s="129" t="str">
        <f t="shared" si="76"/>
        <v/>
      </c>
    </row>
    <row r="2776" spans="2:2" x14ac:dyDescent="0.3">
      <c r="B2776" s="129" t="str">
        <f t="shared" si="76"/>
        <v/>
      </c>
    </row>
    <row r="2777" spans="2:2" x14ac:dyDescent="0.3">
      <c r="B2777" s="129" t="str">
        <f t="shared" si="76"/>
        <v/>
      </c>
    </row>
    <row r="2778" spans="2:2" x14ac:dyDescent="0.3">
      <c r="B2778" s="129" t="str">
        <f t="shared" si="76"/>
        <v/>
      </c>
    </row>
    <row r="2779" spans="2:2" x14ac:dyDescent="0.3">
      <c r="B2779" s="129" t="str">
        <f t="shared" si="76"/>
        <v/>
      </c>
    </row>
    <row r="2780" spans="2:2" x14ac:dyDescent="0.3">
      <c r="B2780" s="129" t="str">
        <f t="shared" si="76"/>
        <v/>
      </c>
    </row>
    <row r="2781" spans="2:2" x14ac:dyDescent="0.3">
      <c r="B2781" s="129" t="str">
        <f t="shared" si="76"/>
        <v/>
      </c>
    </row>
    <row r="2782" spans="2:2" x14ac:dyDescent="0.3">
      <c r="B2782" s="129" t="str">
        <f t="shared" si="76"/>
        <v/>
      </c>
    </row>
    <row r="2783" spans="2:2" x14ac:dyDescent="0.3">
      <c r="B2783" s="129" t="str">
        <f t="shared" si="76"/>
        <v/>
      </c>
    </row>
    <row r="2784" spans="2:2" x14ac:dyDescent="0.3">
      <c r="B2784" s="129" t="str">
        <f t="shared" si="76"/>
        <v/>
      </c>
    </row>
    <row r="2785" spans="2:2" x14ac:dyDescent="0.3">
      <c r="B2785" s="129" t="str">
        <f t="shared" si="76"/>
        <v/>
      </c>
    </row>
    <row r="2786" spans="2:2" x14ac:dyDescent="0.3">
      <c r="B2786" s="129" t="str">
        <f t="shared" si="76"/>
        <v/>
      </c>
    </row>
    <row r="2787" spans="2:2" x14ac:dyDescent="0.3">
      <c r="B2787" s="129" t="str">
        <f t="shared" si="76"/>
        <v/>
      </c>
    </row>
    <row r="2788" spans="2:2" x14ac:dyDescent="0.3">
      <c r="B2788" s="129" t="str">
        <f t="shared" si="76"/>
        <v/>
      </c>
    </row>
    <row r="2789" spans="2:2" x14ac:dyDescent="0.3">
      <c r="B2789" s="129" t="str">
        <f t="shared" si="76"/>
        <v/>
      </c>
    </row>
    <row r="2790" spans="2:2" x14ac:dyDescent="0.3">
      <c r="B2790" s="129" t="str">
        <f t="shared" si="76"/>
        <v/>
      </c>
    </row>
    <row r="2791" spans="2:2" x14ac:dyDescent="0.3">
      <c r="B2791" s="129" t="str">
        <f t="shared" si="76"/>
        <v/>
      </c>
    </row>
    <row r="2792" spans="2:2" x14ac:dyDescent="0.3">
      <c r="B2792" s="129" t="str">
        <f t="shared" ref="B2792:B2855" si="77">IF($A2792="Daily", "n/a", "")</f>
        <v/>
      </c>
    </row>
    <row r="2793" spans="2:2" x14ac:dyDescent="0.3">
      <c r="B2793" s="129" t="str">
        <f t="shared" si="77"/>
        <v/>
      </c>
    </row>
    <row r="2794" spans="2:2" x14ac:dyDescent="0.3">
      <c r="B2794" s="129" t="str">
        <f t="shared" si="77"/>
        <v/>
      </c>
    </row>
    <row r="2795" spans="2:2" x14ac:dyDescent="0.3">
      <c r="B2795" s="129" t="str">
        <f t="shared" si="77"/>
        <v/>
      </c>
    </row>
    <row r="2796" spans="2:2" x14ac:dyDescent="0.3">
      <c r="B2796" s="129" t="str">
        <f t="shared" si="77"/>
        <v/>
      </c>
    </row>
    <row r="2797" spans="2:2" x14ac:dyDescent="0.3">
      <c r="B2797" s="129" t="str">
        <f t="shared" si="77"/>
        <v/>
      </c>
    </row>
    <row r="2798" spans="2:2" x14ac:dyDescent="0.3">
      <c r="B2798" s="129" t="str">
        <f t="shared" si="77"/>
        <v/>
      </c>
    </row>
    <row r="2799" spans="2:2" x14ac:dyDescent="0.3">
      <c r="B2799" s="129" t="str">
        <f t="shared" si="77"/>
        <v/>
      </c>
    </row>
    <row r="2800" spans="2:2" x14ac:dyDescent="0.3">
      <c r="B2800" s="129" t="str">
        <f t="shared" si="77"/>
        <v/>
      </c>
    </row>
    <row r="2801" spans="2:2" x14ac:dyDescent="0.3">
      <c r="B2801" s="129" t="str">
        <f t="shared" si="77"/>
        <v/>
      </c>
    </row>
    <row r="2802" spans="2:2" x14ac:dyDescent="0.3">
      <c r="B2802" s="129" t="str">
        <f t="shared" si="77"/>
        <v/>
      </c>
    </row>
    <row r="2803" spans="2:2" x14ac:dyDescent="0.3">
      <c r="B2803" s="129" t="str">
        <f t="shared" si="77"/>
        <v/>
      </c>
    </row>
    <row r="2804" spans="2:2" x14ac:dyDescent="0.3">
      <c r="B2804" s="129" t="str">
        <f t="shared" si="77"/>
        <v/>
      </c>
    </row>
    <row r="2805" spans="2:2" x14ac:dyDescent="0.3">
      <c r="B2805" s="129" t="str">
        <f t="shared" si="77"/>
        <v/>
      </c>
    </row>
    <row r="2806" spans="2:2" x14ac:dyDescent="0.3">
      <c r="B2806" s="129" t="str">
        <f t="shared" si="77"/>
        <v/>
      </c>
    </row>
    <row r="2807" spans="2:2" x14ac:dyDescent="0.3">
      <c r="B2807" s="129" t="str">
        <f t="shared" si="77"/>
        <v/>
      </c>
    </row>
    <row r="2808" spans="2:2" x14ac:dyDescent="0.3">
      <c r="B2808" s="129" t="str">
        <f t="shared" si="77"/>
        <v/>
      </c>
    </row>
    <row r="2809" spans="2:2" x14ac:dyDescent="0.3">
      <c r="B2809" s="129" t="str">
        <f t="shared" si="77"/>
        <v/>
      </c>
    </row>
    <row r="2810" spans="2:2" x14ac:dyDescent="0.3">
      <c r="B2810" s="129" t="str">
        <f t="shared" si="77"/>
        <v/>
      </c>
    </row>
    <row r="2811" spans="2:2" x14ac:dyDescent="0.3">
      <c r="B2811" s="129" t="str">
        <f t="shared" si="77"/>
        <v/>
      </c>
    </row>
    <row r="2812" spans="2:2" x14ac:dyDescent="0.3">
      <c r="B2812" s="129" t="str">
        <f t="shared" si="77"/>
        <v/>
      </c>
    </row>
    <row r="2813" spans="2:2" x14ac:dyDescent="0.3">
      <c r="B2813" s="129" t="str">
        <f t="shared" si="77"/>
        <v/>
      </c>
    </row>
    <row r="2814" spans="2:2" x14ac:dyDescent="0.3">
      <c r="B2814" s="129" t="str">
        <f t="shared" si="77"/>
        <v/>
      </c>
    </row>
    <row r="2815" spans="2:2" x14ac:dyDescent="0.3">
      <c r="B2815" s="129" t="str">
        <f t="shared" si="77"/>
        <v/>
      </c>
    </row>
    <row r="2816" spans="2:2" x14ac:dyDescent="0.3">
      <c r="B2816" s="129" t="str">
        <f t="shared" si="77"/>
        <v/>
      </c>
    </row>
    <row r="2817" spans="2:2" x14ac:dyDescent="0.3">
      <c r="B2817" s="129" t="str">
        <f t="shared" si="77"/>
        <v/>
      </c>
    </row>
    <row r="2818" spans="2:2" x14ac:dyDescent="0.3">
      <c r="B2818" s="129" t="str">
        <f t="shared" si="77"/>
        <v/>
      </c>
    </row>
    <row r="2819" spans="2:2" x14ac:dyDescent="0.3">
      <c r="B2819" s="129" t="str">
        <f t="shared" si="77"/>
        <v/>
      </c>
    </row>
    <row r="2820" spans="2:2" x14ac:dyDescent="0.3">
      <c r="B2820" s="129" t="str">
        <f t="shared" si="77"/>
        <v/>
      </c>
    </row>
    <row r="2821" spans="2:2" x14ac:dyDescent="0.3">
      <c r="B2821" s="129" t="str">
        <f t="shared" si="77"/>
        <v/>
      </c>
    </row>
    <row r="2822" spans="2:2" x14ac:dyDescent="0.3">
      <c r="B2822" s="129" t="str">
        <f t="shared" si="77"/>
        <v/>
      </c>
    </row>
    <row r="2823" spans="2:2" x14ac:dyDescent="0.3">
      <c r="B2823" s="129" t="str">
        <f t="shared" si="77"/>
        <v/>
      </c>
    </row>
    <row r="2824" spans="2:2" x14ac:dyDescent="0.3">
      <c r="B2824" s="129" t="str">
        <f t="shared" si="77"/>
        <v/>
      </c>
    </row>
    <row r="2825" spans="2:2" x14ac:dyDescent="0.3">
      <c r="B2825" s="129" t="str">
        <f t="shared" si="77"/>
        <v/>
      </c>
    </row>
    <row r="2826" spans="2:2" x14ac:dyDescent="0.3">
      <c r="B2826" s="129" t="str">
        <f t="shared" si="77"/>
        <v/>
      </c>
    </row>
    <row r="2827" spans="2:2" x14ac:dyDescent="0.3">
      <c r="B2827" s="129" t="str">
        <f t="shared" si="77"/>
        <v/>
      </c>
    </row>
    <row r="2828" spans="2:2" x14ac:dyDescent="0.3">
      <c r="B2828" s="129" t="str">
        <f t="shared" si="77"/>
        <v/>
      </c>
    </row>
    <row r="2829" spans="2:2" x14ac:dyDescent="0.3">
      <c r="B2829" s="129" t="str">
        <f t="shared" si="77"/>
        <v/>
      </c>
    </row>
    <row r="2830" spans="2:2" x14ac:dyDescent="0.3">
      <c r="B2830" s="129" t="str">
        <f t="shared" si="77"/>
        <v/>
      </c>
    </row>
    <row r="2831" spans="2:2" x14ac:dyDescent="0.3">
      <c r="B2831" s="129" t="str">
        <f t="shared" si="77"/>
        <v/>
      </c>
    </row>
    <row r="2832" spans="2:2" x14ac:dyDescent="0.3">
      <c r="B2832" s="129" t="str">
        <f t="shared" si="77"/>
        <v/>
      </c>
    </row>
    <row r="2833" spans="2:2" x14ac:dyDescent="0.3">
      <c r="B2833" s="129" t="str">
        <f t="shared" si="77"/>
        <v/>
      </c>
    </row>
    <row r="2834" spans="2:2" x14ac:dyDescent="0.3">
      <c r="B2834" s="129" t="str">
        <f t="shared" si="77"/>
        <v/>
      </c>
    </row>
    <row r="2835" spans="2:2" x14ac:dyDescent="0.3">
      <c r="B2835" s="129" t="str">
        <f t="shared" si="77"/>
        <v/>
      </c>
    </row>
    <row r="2836" spans="2:2" x14ac:dyDescent="0.3">
      <c r="B2836" s="129" t="str">
        <f t="shared" si="77"/>
        <v/>
      </c>
    </row>
    <row r="2837" spans="2:2" x14ac:dyDescent="0.3">
      <c r="B2837" s="129" t="str">
        <f t="shared" si="77"/>
        <v/>
      </c>
    </row>
    <row r="2838" spans="2:2" x14ac:dyDescent="0.3">
      <c r="B2838" s="129" t="str">
        <f t="shared" si="77"/>
        <v/>
      </c>
    </row>
    <row r="2839" spans="2:2" x14ac:dyDescent="0.3">
      <c r="B2839" s="129" t="str">
        <f t="shared" si="77"/>
        <v/>
      </c>
    </row>
    <row r="2840" spans="2:2" x14ac:dyDescent="0.3">
      <c r="B2840" s="129" t="str">
        <f t="shared" si="77"/>
        <v/>
      </c>
    </row>
    <row r="2841" spans="2:2" x14ac:dyDescent="0.3">
      <c r="B2841" s="129" t="str">
        <f t="shared" si="77"/>
        <v/>
      </c>
    </row>
    <row r="2842" spans="2:2" x14ac:dyDescent="0.3">
      <c r="B2842" s="129" t="str">
        <f t="shared" si="77"/>
        <v/>
      </c>
    </row>
    <row r="2843" spans="2:2" x14ac:dyDescent="0.3">
      <c r="B2843" s="129" t="str">
        <f t="shared" si="77"/>
        <v/>
      </c>
    </row>
    <row r="2844" spans="2:2" x14ac:dyDescent="0.3">
      <c r="B2844" s="129" t="str">
        <f t="shared" si="77"/>
        <v/>
      </c>
    </row>
    <row r="2845" spans="2:2" x14ac:dyDescent="0.3">
      <c r="B2845" s="129" t="str">
        <f t="shared" si="77"/>
        <v/>
      </c>
    </row>
    <row r="2846" spans="2:2" x14ac:dyDescent="0.3">
      <c r="B2846" s="129" t="str">
        <f t="shared" si="77"/>
        <v/>
      </c>
    </row>
    <row r="2847" spans="2:2" x14ac:dyDescent="0.3">
      <c r="B2847" s="129" t="str">
        <f t="shared" si="77"/>
        <v/>
      </c>
    </row>
    <row r="2848" spans="2:2" x14ac:dyDescent="0.3">
      <c r="B2848" s="129" t="str">
        <f t="shared" si="77"/>
        <v/>
      </c>
    </row>
    <row r="2849" spans="2:2" x14ac:dyDescent="0.3">
      <c r="B2849" s="129" t="str">
        <f t="shared" si="77"/>
        <v/>
      </c>
    </row>
    <row r="2850" spans="2:2" x14ac:dyDescent="0.3">
      <c r="B2850" s="129" t="str">
        <f t="shared" si="77"/>
        <v/>
      </c>
    </row>
    <row r="2851" spans="2:2" x14ac:dyDescent="0.3">
      <c r="B2851" s="129" t="str">
        <f t="shared" si="77"/>
        <v/>
      </c>
    </row>
    <row r="2852" spans="2:2" x14ac:dyDescent="0.3">
      <c r="B2852" s="129" t="str">
        <f t="shared" si="77"/>
        <v/>
      </c>
    </row>
    <row r="2853" spans="2:2" x14ac:dyDescent="0.3">
      <c r="B2853" s="129" t="str">
        <f t="shared" si="77"/>
        <v/>
      </c>
    </row>
    <row r="2854" spans="2:2" x14ac:dyDescent="0.3">
      <c r="B2854" s="129" t="str">
        <f t="shared" si="77"/>
        <v/>
      </c>
    </row>
    <row r="2855" spans="2:2" x14ac:dyDescent="0.3">
      <c r="B2855" s="129" t="str">
        <f t="shared" si="77"/>
        <v/>
      </c>
    </row>
    <row r="2856" spans="2:2" x14ac:dyDescent="0.3">
      <c r="B2856" s="129" t="str">
        <f t="shared" ref="B2856:B2919" si="78">IF($A2856="Daily", "n/a", "")</f>
        <v/>
      </c>
    </row>
    <row r="2857" spans="2:2" x14ac:dyDescent="0.3">
      <c r="B2857" s="129" t="str">
        <f t="shared" si="78"/>
        <v/>
      </c>
    </row>
    <row r="2858" spans="2:2" x14ac:dyDescent="0.3">
      <c r="B2858" s="129" t="str">
        <f t="shared" si="78"/>
        <v/>
      </c>
    </row>
    <row r="2859" spans="2:2" x14ac:dyDescent="0.3">
      <c r="B2859" s="129" t="str">
        <f t="shared" si="78"/>
        <v/>
      </c>
    </row>
    <row r="2860" spans="2:2" x14ac:dyDescent="0.3">
      <c r="B2860" s="129" t="str">
        <f t="shared" si="78"/>
        <v/>
      </c>
    </row>
    <row r="2861" spans="2:2" x14ac:dyDescent="0.3">
      <c r="B2861" s="129" t="str">
        <f t="shared" si="78"/>
        <v/>
      </c>
    </row>
    <row r="2862" spans="2:2" x14ac:dyDescent="0.3">
      <c r="B2862" s="129" t="str">
        <f t="shared" si="78"/>
        <v/>
      </c>
    </row>
    <row r="2863" spans="2:2" x14ac:dyDescent="0.3">
      <c r="B2863" s="129" t="str">
        <f t="shared" si="78"/>
        <v/>
      </c>
    </row>
    <row r="2864" spans="2:2" x14ac:dyDescent="0.3">
      <c r="B2864" s="129" t="str">
        <f t="shared" si="78"/>
        <v/>
      </c>
    </row>
    <row r="2865" spans="2:2" x14ac:dyDescent="0.3">
      <c r="B2865" s="129" t="str">
        <f t="shared" si="78"/>
        <v/>
      </c>
    </row>
    <row r="2866" spans="2:2" x14ac:dyDescent="0.3">
      <c r="B2866" s="129" t="str">
        <f t="shared" si="78"/>
        <v/>
      </c>
    </row>
    <row r="2867" spans="2:2" x14ac:dyDescent="0.3">
      <c r="B2867" s="129" t="str">
        <f t="shared" si="78"/>
        <v/>
      </c>
    </row>
    <row r="2868" spans="2:2" x14ac:dyDescent="0.3">
      <c r="B2868" s="129" t="str">
        <f t="shared" si="78"/>
        <v/>
      </c>
    </row>
    <row r="2869" spans="2:2" x14ac:dyDescent="0.3">
      <c r="B2869" s="129" t="str">
        <f t="shared" si="78"/>
        <v/>
      </c>
    </row>
    <row r="2870" spans="2:2" x14ac:dyDescent="0.3">
      <c r="B2870" s="129" t="str">
        <f t="shared" si="78"/>
        <v/>
      </c>
    </row>
    <row r="2871" spans="2:2" x14ac:dyDescent="0.3">
      <c r="B2871" s="129" t="str">
        <f t="shared" si="78"/>
        <v/>
      </c>
    </row>
    <row r="2872" spans="2:2" x14ac:dyDescent="0.3">
      <c r="B2872" s="129" t="str">
        <f t="shared" si="78"/>
        <v/>
      </c>
    </row>
    <row r="2873" spans="2:2" x14ac:dyDescent="0.3">
      <c r="B2873" s="129" t="str">
        <f t="shared" si="78"/>
        <v/>
      </c>
    </row>
    <row r="2874" spans="2:2" x14ac:dyDescent="0.3">
      <c r="B2874" s="129" t="str">
        <f t="shared" si="78"/>
        <v/>
      </c>
    </row>
    <row r="2875" spans="2:2" x14ac:dyDescent="0.3">
      <c r="B2875" s="129" t="str">
        <f t="shared" si="78"/>
        <v/>
      </c>
    </row>
    <row r="2876" spans="2:2" x14ac:dyDescent="0.3">
      <c r="B2876" s="129" t="str">
        <f t="shared" si="78"/>
        <v/>
      </c>
    </row>
    <row r="2877" spans="2:2" x14ac:dyDescent="0.3">
      <c r="B2877" s="129" t="str">
        <f t="shared" si="78"/>
        <v/>
      </c>
    </row>
    <row r="2878" spans="2:2" x14ac:dyDescent="0.3">
      <c r="B2878" s="129" t="str">
        <f t="shared" si="78"/>
        <v/>
      </c>
    </row>
    <row r="2879" spans="2:2" x14ac:dyDescent="0.3">
      <c r="B2879" s="129" t="str">
        <f t="shared" si="78"/>
        <v/>
      </c>
    </row>
    <row r="2880" spans="2:2" x14ac:dyDescent="0.3">
      <c r="B2880" s="129" t="str">
        <f t="shared" si="78"/>
        <v/>
      </c>
    </row>
    <row r="2881" spans="2:2" x14ac:dyDescent="0.3">
      <c r="B2881" s="129" t="str">
        <f t="shared" si="78"/>
        <v/>
      </c>
    </row>
    <row r="2882" spans="2:2" x14ac:dyDescent="0.3">
      <c r="B2882" s="129" t="str">
        <f t="shared" si="78"/>
        <v/>
      </c>
    </row>
    <row r="2883" spans="2:2" x14ac:dyDescent="0.3">
      <c r="B2883" s="129" t="str">
        <f t="shared" si="78"/>
        <v/>
      </c>
    </row>
    <row r="2884" spans="2:2" x14ac:dyDescent="0.3">
      <c r="B2884" s="129" t="str">
        <f t="shared" si="78"/>
        <v/>
      </c>
    </row>
    <row r="2885" spans="2:2" x14ac:dyDescent="0.3">
      <c r="B2885" s="129" t="str">
        <f t="shared" si="78"/>
        <v/>
      </c>
    </row>
    <row r="2886" spans="2:2" x14ac:dyDescent="0.3">
      <c r="B2886" s="129" t="str">
        <f t="shared" si="78"/>
        <v/>
      </c>
    </row>
    <row r="2887" spans="2:2" x14ac:dyDescent="0.3">
      <c r="B2887" s="129" t="str">
        <f t="shared" si="78"/>
        <v/>
      </c>
    </row>
    <row r="2888" spans="2:2" x14ac:dyDescent="0.3">
      <c r="B2888" s="129" t="str">
        <f t="shared" si="78"/>
        <v/>
      </c>
    </row>
    <row r="2889" spans="2:2" x14ac:dyDescent="0.3">
      <c r="B2889" s="129" t="str">
        <f t="shared" si="78"/>
        <v/>
      </c>
    </row>
    <row r="2890" spans="2:2" x14ac:dyDescent="0.3">
      <c r="B2890" s="129" t="str">
        <f t="shared" si="78"/>
        <v/>
      </c>
    </row>
    <row r="2891" spans="2:2" x14ac:dyDescent="0.3">
      <c r="B2891" s="129" t="str">
        <f t="shared" si="78"/>
        <v/>
      </c>
    </row>
    <row r="2892" spans="2:2" x14ac:dyDescent="0.3">
      <c r="B2892" s="129" t="str">
        <f t="shared" si="78"/>
        <v/>
      </c>
    </row>
    <row r="2893" spans="2:2" x14ac:dyDescent="0.3">
      <c r="B2893" s="129" t="str">
        <f t="shared" si="78"/>
        <v/>
      </c>
    </row>
    <row r="2894" spans="2:2" x14ac:dyDescent="0.3">
      <c r="B2894" s="129" t="str">
        <f t="shared" si="78"/>
        <v/>
      </c>
    </row>
    <row r="2895" spans="2:2" x14ac:dyDescent="0.3">
      <c r="B2895" s="129" t="str">
        <f t="shared" si="78"/>
        <v/>
      </c>
    </row>
    <row r="2896" spans="2:2" x14ac:dyDescent="0.3">
      <c r="B2896" s="129" t="str">
        <f t="shared" si="78"/>
        <v/>
      </c>
    </row>
    <row r="2897" spans="2:2" x14ac:dyDescent="0.3">
      <c r="B2897" s="129" t="str">
        <f t="shared" si="78"/>
        <v/>
      </c>
    </row>
    <row r="2898" spans="2:2" x14ac:dyDescent="0.3">
      <c r="B2898" s="129" t="str">
        <f t="shared" si="78"/>
        <v/>
      </c>
    </row>
    <row r="2899" spans="2:2" x14ac:dyDescent="0.3">
      <c r="B2899" s="129" t="str">
        <f t="shared" si="78"/>
        <v/>
      </c>
    </row>
    <row r="2900" spans="2:2" x14ac:dyDescent="0.3">
      <c r="B2900" s="129" t="str">
        <f t="shared" si="78"/>
        <v/>
      </c>
    </row>
    <row r="2901" spans="2:2" x14ac:dyDescent="0.3">
      <c r="B2901" s="129" t="str">
        <f t="shared" si="78"/>
        <v/>
      </c>
    </row>
    <row r="2902" spans="2:2" x14ac:dyDescent="0.3">
      <c r="B2902" s="129" t="str">
        <f t="shared" si="78"/>
        <v/>
      </c>
    </row>
    <row r="2903" spans="2:2" x14ac:dyDescent="0.3">
      <c r="B2903" s="129" t="str">
        <f t="shared" si="78"/>
        <v/>
      </c>
    </row>
    <row r="2904" spans="2:2" x14ac:dyDescent="0.3">
      <c r="B2904" s="129" t="str">
        <f t="shared" si="78"/>
        <v/>
      </c>
    </row>
    <row r="2905" spans="2:2" x14ac:dyDescent="0.3">
      <c r="B2905" s="129" t="str">
        <f t="shared" si="78"/>
        <v/>
      </c>
    </row>
    <row r="2906" spans="2:2" x14ac:dyDescent="0.3">
      <c r="B2906" s="129" t="str">
        <f t="shared" si="78"/>
        <v/>
      </c>
    </row>
    <row r="2907" spans="2:2" x14ac:dyDescent="0.3">
      <c r="B2907" s="129" t="str">
        <f t="shared" si="78"/>
        <v/>
      </c>
    </row>
    <row r="2908" spans="2:2" x14ac:dyDescent="0.3">
      <c r="B2908" s="129" t="str">
        <f t="shared" si="78"/>
        <v/>
      </c>
    </row>
    <row r="2909" spans="2:2" x14ac:dyDescent="0.3">
      <c r="B2909" s="129" t="str">
        <f t="shared" si="78"/>
        <v/>
      </c>
    </row>
    <row r="2910" spans="2:2" x14ac:dyDescent="0.3">
      <c r="B2910" s="129" t="str">
        <f t="shared" si="78"/>
        <v/>
      </c>
    </row>
    <row r="2911" spans="2:2" x14ac:dyDescent="0.3">
      <c r="B2911" s="129" t="str">
        <f t="shared" si="78"/>
        <v/>
      </c>
    </row>
    <row r="2912" spans="2:2" x14ac:dyDescent="0.3">
      <c r="B2912" s="129" t="str">
        <f t="shared" si="78"/>
        <v/>
      </c>
    </row>
    <row r="2913" spans="2:2" x14ac:dyDescent="0.3">
      <c r="B2913" s="129" t="str">
        <f t="shared" si="78"/>
        <v/>
      </c>
    </row>
    <row r="2914" spans="2:2" x14ac:dyDescent="0.3">
      <c r="B2914" s="129" t="str">
        <f t="shared" si="78"/>
        <v/>
      </c>
    </row>
    <row r="2915" spans="2:2" x14ac:dyDescent="0.3">
      <c r="B2915" s="129" t="str">
        <f t="shared" si="78"/>
        <v/>
      </c>
    </row>
    <row r="2916" spans="2:2" x14ac:dyDescent="0.3">
      <c r="B2916" s="129" t="str">
        <f t="shared" si="78"/>
        <v/>
      </c>
    </row>
    <row r="2917" spans="2:2" x14ac:dyDescent="0.3">
      <c r="B2917" s="129" t="str">
        <f t="shared" si="78"/>
        <v/>
      </c>
    </row>
    <row r="2918" spans="2:2" x14ac:dyDescent="0.3">
      <c r="B2918" s="129" t="str">
        <f t="shared" si="78"/>
        <v/>
      </c>
    </row>
    <row r="2919" spans="2:2" x14ac:dyDescent="0.3">
      <c r="B2919" s="129" t="str">
        <f t="shared" si="78"/>
        <v/>
      </c>
    </row>
    <row r="2920" spans="2:2" x14ac:dyDescent="0.3">
      <c r="B2920" s="129" t="str">
        <f t="shared" ref="B2920:B2983" si="79">IF($A2920="Daily", "n/a", "")</f>
        <v/>
      </c>
    </row>
    <row r="2921" spans="2:2" x14ac:dyDescent="0.3">
      <c r="B2921" s="129" t="str">
        <f t="shared" si="79"/>
        <v/>
      </c>
    </row>
    <row r="2922" spans="2:2" x14ac:dyDescent="0.3">
      <c r="B2922" s="129" t="str">
        <f t="shared" si="79"/>
        <v/>
      </c>
    </row>
    <row r="2923" spans="2:2" x14ac:dyDescent="0.3">
      <c r="B2923" s="129" t="str">
        <f t="shared" si="79"/>
        <v/>
      </c>
    </row>
    <row r="2924" spans="2:2" x14ac:dyDescent="0.3">
      <c r="B2924" s="129" t="str">
        <f t="shared" si="79"/>
        <v/>
      </c>
    </row>
    <row r="2925" spans="2:2" x14ac:dyDescent="0.3">
      <c r="B2925" s="129" t="str">
        <f t="shared" si="79"/>
        <v/>
      </c>
    </row>
    <row r="2926" spans="2:2" x14ac:dyDescent="0.3">
      <c r="B2926" s="129" t="str">
        <f t="shared" si="79"/>
        <v/>
      </c>
    </row>
    <row r="2927" spans="2:2" x14ac:dyDescent="0.3">
      <c r="B2927" s="129" t="str">
        <f t="shared" si="79"/>
        <v/>
      </c>
    </row>
    <row r="2928" spans="2:2" x14ac:dyDescent="0.3">
      <c r="B2928" s="129" t="str">
        <f t="shared" si="79"/>
        <v/>
      </c>
    </row>
    <row r="2929" spans="2:2" x14ac:dyDescent="0.3">
      <c r="B2929" s="129" t="str">
        <f t="shared" si="79"/>
        <v/>
      </c>
    </row>
    <row r="2930" spans="2:2" x14ac:dyDescent="0.3">
      <c r="B2930" s="129" t="str">
        <f t="shared" si="79"/>
        <v/>
      </c>
    </row>
    <row r="2931" spans="2:2" x14ac:dyDescent="0.3">
      <c r="B2931" s="129" t="str">
        <f t="shared" si="79"/>
        <v/>
      </c>
    </row>
    <row r="2932" spans="2:2" x14ac:dyDescent="0.3">
      <c r="B2932" s="129" t="str">
        <f t="shared" si="79"/>
        <v/>
      </c>
    </row>
    <row r="2933" spans="2:2" x14ac:dyDescent="0.3">
      <c r="B2933" s="129" t="str">
        <f t="shared" si="79"/>
        <v/>
      </c>
    </row>
    <row r="2934" spans="2:2" x14ac:dyDescent="0.3">
      <c r="B2934" s="129" t="str">
        <f t="shared" si="79"/>
        <v/>
      </c>
    </row>
    <row r="2935" spans="2:2" x14ac:dyDescent="0.3">
      <c r="B2935" s="129" t="str">
        <f t="shared" si="79"/>
        <v/>
      </c>
    </row>
    <row r="2936" spans="2:2" x14ac:dyDescent="0.3">
      <c r="B2936" s="129" t="str">
        <f t="shared" si="79"/>
        <v/>
      </c>
    </row>
    <row r="2937" spans="2:2" x14ac:dyDescent="0.3">
      <c r="B2937" s="129" t="str">
        <f t="shared" si="79"/>
        <v/>
      </c>
    </row>
    <row r="2938" spans="2:2" x14ac:dyDescent="0.3">
      <c r="B2938" s="129" t="str">
        <f t="shared" si="79"/>
        <v/>
      </c>
    </row>
    <row r="2939" spans="2:2" x14ac:dyDescent="0.3">
      <c r="B2939" s="129" t="str">
        <f t="shared" si="79"/>
        <v/>
      </c>
    </row>
    <row r="2940" spans="2:2" x14ac:dyDescent="0.3">
      <c r="B2940" s="129" t="str">
        <f t="shared" si="79"/>
        <v/>
      </c>
    </row>
    <row r="2941" spans="2:2" x14ac:dyDescent="0.3">
      <c r="B2941" s="129" t="str">
        <f t="shared" si="79"/>
        <v/>
      </c>
    </row>
    <row r="2942" spans="2:2" x14ac:dyDescent="0.3">
      <c r="B2942" s="129" t="str">
        <f t="shared" si="79"/>
        <v/>
      </c>
    </row>
    <row r="2943" spans="2:2" x14ac:dyDescent="0.3">
      <c r="B2943" s="129" t="str">
        <f t="shared" si="79"/>
        <v/>
      </c>
    </row>
    <row r="2944" spans="2:2" x14ac:dyDescent="0.3">
      <c r="B2944" s="129" t="str">
        <f t="shared" si="79"/>
        <v/>
      </c>
    </row>
    <row r="2945" spans="2:2" x14ac:dyDescent="0.3">
      <c r="B2945" s="129" t="str">
        <f t="shared" si="79"/>
        <v/>
      </c>
    </row>
    <row r="2946" spans="2:2" x14ac:dyDescent="0.3">
      <c r="B2946" s="129" t="str">
        <f t="shared" si="79"/>
        <v/>
      </c>
    </row>
    <row r="2947" spans="2:2" x14ac:dyDescent="0.3">
      <c r="B2947" s="129" t="str">
        <f t="shared" si="79"/>
        <v/>
      </c>
    </row>
    <row r="2948" spans="2:2" x14ac:dyDescent="0.3">
      <c r="B2948" s="129" t="str">
        <f t="shared" si="79"/>
        <v/>
      </c>
    </row>
    <row r="2949" spans="2:2" x14ac:dyDescent="0.3">
      <c r="B2949" s="129" t="str">
        <f t="shared" si="79"/>
        <v/>
      </c>
    </row>
    <row r="2950" spans="2:2" x14ac:dyDescent="0.3">
      <c r="B2950" s="129" t="str">
        <f t="shared" si="79"/>
        <v/>
      </c>
    </row>
    <row r="2951" spans="2:2" x14ac:dyDescent="0.3">
      <c r="B2951" s="129" t="str">
        <f t="shared" si="79"/>
        <v/>
      </c>
    </row>
    <row r="2952" spans="2:2" x14ac:dyDescent="0.3">
      <c r="B2952" s="129" t="str">
        <f t="shared" si="79"/>
        <v/>
      </c>
    </row>
    <row r="2953" spans="2:2" x14ac:dyDescent="0.3">
      <c r="B2953" s="129" t="str">
        <f t="shared" si="79"/>
        <v/>
      </c>
    </row>
    <row r="2954" spans="2:2" x14ac:dyDescent="0.3">
      <c r="B2954" s="129" t="str">
        <f t="shared" si="79"/>
        <v/>
      </c>
    </row>
    <row r="2955" spans="2:2" x14ac:dyDescent="0.3">
      <c r="B2955" s="129" t="str">
        <f t="shared" si="79"/>
        <v/>
      </c>
    </row>
    <row r="2956" spans="2:2" x14ac:dyDescent="0.3">
      <c r="B2956" s="129" t="str">
        <f t="shared" si="79"/>
        <v/>
      </c>
    </row>
    <row r="2957" spans="2:2" x14ac:dyDescent="0.3">
      <c r="B2957" s="129" t="str">
        <f t="shared" si="79"/>
        <v/>
      </c>
    </row>
    <row r="2958" spans="2:2" x14ac:dyDescent="0.3">
      <c r="B2958" s="129" t="str">
        <f t="shared" si="79"/>
        <v/>
      </c>
    </row>
    <row r="2959" spans="2:2" x14ac:dyDescent="0.3">
      <c r="B2959" s="129" t="str">
        <f t="shared" si="79"/>
        <v/>
      </c>
    </row>
    <row r="2960" spans="2:2" x14ac:dyDescent="0.3">
      <c r="B2960" s="129" t="str">
        <f t="shared" si="79"/>
        <v/>
      </c>
    </row>
    <row r="2961" spans="2:2" x14ac:dyDescent="0.3">
      <c r="B2961" s="129" t="str">
        <f t="shared" si="79"/>
        <v/>
      </c>
    </row>
    <row r="2962" spans="2:2" x14ac:dyDescent="0.3">
      <c r="B2962" s="129" t="str">
        <f t="shared" si="79"/>
        <v/>
      </c>
    </row>
    <row r="2963" spans="2:2" x14ac:dyDescent="0.3">
      <c r="B2963" s="129" t="str">
        <f t="shared" si="79"/>
        <v/>
      </c>
    </row>
    <row r="2964" spans="2:2" x14ac:dyDescent="0.3">
      <c r="B2964" s="129" t="str">
        <f t="shared" si="79"/>
        <v/>
      </c>
    </row>
    <row r="2965" spans="2:2" x14ac:dyDescent="0.3">
      <c r="B2965" s="129" t="str">
        <f t="shared" si="79"/>
        <v/>
      </c>
    </row>
    <row r="2966" spans="2:2" x14ac:dyDescent="0.3">
      <c r="B2966" s="129" t="str">
        <f t="shared" si="79"/>
        <v/>
      </c>
    </row>
    <row r="2967" spans="2:2" x14ac:dyDescent="0.3">
      <c r="B2967" s="129" t="str">
        <f t="shared" si="79"/>
        <v/>
      </c>
    </row>
    <row r="2968" spans="2:2" x14ac:dyDescent="0.3">
      <c r="B2968" s="129" t="str">
        <f t="shared" si="79"/>
        <v/>
      </c>
    </row>
    <row r="2969" spans="2:2" x14ac:dyDescent="0.3">
      <c r="B2969" s="129" t="str">
        <f t="shared" si="79"/>
        <v/>
      </c>
    </row>
    <row r="2970" spans="2:2" x14ac:dyDescent="0.3">
      <c r="B2970" s="129" t="str">
        <f t="shared" si="79"/>
        <v/>
      </c>
    </row>
    <row r="2971" spans="2:2" x14ac:dyDescent="0.3">
      <c r="B2971" s="129" t="str">
        <f t="shared" si="79"/>
        <v/>
      </c>
    </row>
    <row r="2972" spans="2:2" x14ac:dyDescent="0.3">
      <c r="B2972" s="129" t="str">
        <f t="shared" si="79"/>
        <v/>
      </c>
    </row>
    <row r="2973" spans="2:2" x14ac:dyDescent="0.3">
      <c r="B2973" s="129" t="str">
        <f t="shared" si="79"/>
        <v/>
      </c>
    </row>
    <row r="2974" spans="2:2" x14ac:dyDescent="0.3">
      <c r="B2974" s="129" t="str">
        <f t="shared" si="79"/>
        <v/>
      </c>
    </row>
    <row r="2975" spans="2:2" x14ac:dyDescent="0.3">
      <c r="B2975" s="129" t="str">
        <f t="shared" si="79"/>
        <v/>
      </c>
    </row>
    <row r="2976" spans="2:2" x14ac:dyDescent="0.3">
      <c r="B2976" s="129" t="str">
        <f t="shared" si="79"/>
        <v/>
      </c>
    </row>
    <row r="2977" spans="2:2" x14ac:dyDescent="0.3">
      <c r="B2977" s="129" t="str">
        <f t="shared" si="79"/>
        <v/>
      </c>
    </row>
    <row r="2978" spans="2:2" x14ac:dyDescent="0.3">
      <c r="B2978" s="129" t="str">
        <f t="shared" si="79"/>
        <v/>
      </c>
    </row>
    <row r="2979" spans="2:2" x14ac:dyDescent="0.3">
      <c r="B2979" s="129" t="str">
        <f t="shared" si="79"/>
        <v/>
      </c>
    </row>
    <row r="2980" spans="2:2" x14ac:dyDescent="0.3">
      <c r="B2980" s="129" t="str">
        <f t="shared" si="79"/>
        <v/>
      </c>
    </row>
    <row r="2981" spans="2:2" x14ac:dyDescent="0.3">
      <c r="B2981" s="129" t="str">
        <f t="shared" si="79"/>
        <v/>
      </c>
    </row>
    <row r="2982" spans="2:2" x14ac:dyDescent="0.3">
      <c r="B2982" s="129" t="str">
        <f t="shared" si="79"/>
        <v/>
      </c>
    </row>
    <row r="2983" spans="2:2" x14ac:dyDescent="0.3">
      <c r="B2983" s="129" t="str">
        <f t="shared" si="79"/>
        <v/>
      </c>
    </row>
    <row r="2984" spans="2:2" x14ac:dyDescent="0.3">
      <c r="B2984" s="129" t="str">
        <f t="shared" ref="B2984:B3047" si="80">IF($A2984="Daily", "n/a", "")</f>
        <v/>
      </c>
    </row>
    <row r="2985" spans="2:2" x14ac:dyDescent="0.3">
      <c r="B2985" s="129" t="str">
        <f t="shared" si="80"/>
        <v/>
      </c>
    </row>
    <row r="2986" spans="2:2" x14ac:dyDescent="0.3">
      <c r="B2986" s="129" t="str">
        <f t="shared" si="80"/>
        <v/>
      </c>
    </row>
    <row r="2987" spans="2:2" x14ac:dyDescent="0.3">
      <c r="B2987" s="129" t="str">
        <f t="shared" si="80"/>
        <v/>
      </c>
    </row>
    <row r="2988" spans="2:2" x14ac:dyDescent="0.3">
      <c r="B2988" s="129" t="str">
        <f t="shared" si="80"/>
        <v/>
      </c>
    </row>
    <row r="2989" spans="2:2" x14ac:dyDescent="0.3">
      <c r="B2989" s="129" t="str">
        <f t="shared" si="80"/>
        <v/>
      </c>
    </row>
    <row r="2990" spans="2:2" x14ac:dyDescent="0.3">
      <c r="B2990" s="129" t="str">
        <f t="shared" si="80"/>
        <v/>
      </c>
    </row>
    <row r="2991" spans="2:2" x14ac:dyDescent="0.3">
      <c r="B2991" s="129" t="str">
        <f t="shared" si="80"/>
        <v/>
      </c>
    </row>
    <row r="2992" spans="2:2" x14ac:dyDescent="0.3">
      <c r="B2992" s="129" t="str">
        <f t="shared" si="80"/>
        <v/>
      </c>
    </row>
    <row r="2993" spans="2:2" x14ac:dyDescent="0.3">
      <c r="B2993" s="129" t="str">
        <f t="shared" si="80"/>
        <v/>
      </c>
    </row>
    <row r="2994" spans="2:2" x14ac:dyDescent="0.3">
      <c r="B2994" s="129" t="str">
        <f t="shared" si="80"/>
        <v/>
      </c>
    </row>
    <row r="2995" spans="2:2" x14ac:dyDescent="0.3">
      <c r="B2995" s="129" t="str">
        <f t="shared" si="80"/>
        <v/>
      </c>
    </row>
    <row r="2996" spans="2:2" x14ac:dyDescent="0.3">
      <c r="B2996" s="129" t="str">
        <f t="shared" si="80"/>
        <v/>
      </c>
    </row>
    <row r="2997" spans="2:2" x14ac:dyDescent="0.3">
      <c r="B2997" s="129" t="str">
        <f t="shared" si="80"/>
        <v/>
      </c>
    </row>
    <row r="2998" spans="2:2" x14ac:dyDescent="0.3">
      <c r="B2998" s="129" t="str">
        <f t="shared" si="80"/>
        <v/>
      </c>
    </row>
    <row r="2999" spans="2:2" x14ac:dyDescent="0.3">
      <c r="B2999" s="129" t="str">
        <f t="shared" si="80"/>
        <v/>
      </c>
    </row>
    <row r="3000" spans="2:2" x14ac:dyDescent="0.3">
      <c r="B3000" s="129" t="str">
        <f t="shared" si="80"/>
        <v/>
      </c>
    </row>
    <row r="3001" spans="2:2" x14ac:dyDescent="0.3">
      <c r="B3001" s="129" t="str">
        <f t="shared" si="80"/>
        <v/>
      </c>
    </row>
    <row r="3002" spans="2:2" x14ac:dyDescent="0.3">
      <c r="B3002" s="129" t="str">
        <f t="shared" si="80"/>
        <v/>
      </c>
    </row>
    <row r="3003" spans="2:2" x14ac:dyDescent="0.3">
      <c r="B3003" s="129" t="str">
        <f t="shared" si="80"/>
        <v/>
      </c>
    </row>
    <row r="3004" spans="2:2" x14ac:dyDescent="0.3">
      <c r="B3004" s="129" t="str">
        <f t="shared" si="80"/>
        <v/>
      </c>
    </row>
    <row r="3005" spans="2:2" x14ac:dyDescent="0.3">
      <c r="B3005" s="129" t="str">
        <f t="shared" si="80"/>
        <v/>
      </c>
    </row>
    <row r="3006" spans="2:2" x14ac:dyDescent="0.3">
      <c r="B3006" s="129" t="str">
        <f t="shared" si="80"/>
        <v/>
      </c>
    </row>
    <row r="3007" spans="2:2" x14ac:dyDescent="0.3">
      <c r="B3007" s="129" t="str">
        <f t="shared" si="80"/>
        <v/>
      </c>
    </row>
    <row r="3008" spans="2:2" x14ac:dyDescent="0.3">
      <c r="B3008" s="129" t="str">
        <f t="shared" si="80"/>
        <v/>
      </c>
    </row>
    <row r="3009" spans="2:2" x14ac:dyDescent="0.3">
      <c r="B3009" s="129" t="str">
        <f t="shared" si="80"/>
        <v/>
      </c>
    </row>
    <row r="3010" spans="2:2" x14ac:dyDescent="0.3">
      <c r="B3010" s="129" t="str">
        <f t="shared" si="80"/>
        <v/>
      </c>
    </row>
    <row r="3011" spans="2:2" x14ac:dyDescent="0.3">
      <c r="B3011" s="129" t="str">
        <f t="shared" si="80"/>
        <v/>
      </c>
    </row>
    <row r="3012" spans="2:2" x14ac:dyDescent="0.3">
      <c r="B3012" s="129" t="str">
        <f t="shared" si="80"/>
        <v/>
      </c>
    </row>
    <row r="3013" spans="2:2" x14ac:dyDescent="0.3">
      <c r="B3013" s="129" t="str">
        <f t="shared" si="80"/>
        <v/>
      </c>
    </row>
    <row r="3014" spans="2:2" x14ac:dyDescent="0.3">
      <c r="B3014" s="129" t="str">
        <f t="shared" si="80"/>
        <v/>
      </c>
    </row>
    <row r="3015" spans="2:2" x14ac:dyDescent="0.3">
      <c r="B3015" s="129" t="str">
        <f t="shared" si="80"/>
        <v/>
      </c>
    </row>
    <row r="3016" spans="2:2" x14ac:dyDescent="0.3">
      <c r="B3016" s="129" t="str">
        <f t="shared" si="80"/>
        <v/>
      </c>
    </row>
    <row r="3017" spans="2:2" x14ac:dyDescent="0.3">
      <c r="B3017" s="129" t="str">
        <f t="shared" si="80"/>
        <v/>
      </c>
    </row>
    <row r="3018" spans="2:2" x14ac:dyDescent="0.3">
      <c r="B3018" s="129" t="str">
        <f t="shared" si="80"/>
        <v/>
      </c>
    </row>
    <row r="3019" spans="2:2" x14ac:dyDescent="0.3">
      <c r="B3019" s="129" t="str">
        <f t="shared" si="80"/>
        <v/>
      </c>
    </row>
    <row r="3020" spans="2:2" x14ac:dyDescent="0.3">
      <c r="B3020" s="129" t="str">
        <f t="shared" si="80"/>
        <v/>
      </c>
    </row>
    <row r="3021" spans="2:2" x14ac:dyDescent="0.3">
      <c r="B3021" s="129" t="str">
        <f t="shared" si="80"/>
        <v/>
      </c>
    </row>
    <row r="3022" spans="2:2" x14ac:dyDescent="0.3">
      <c r="B3022" s="129" t="str">
        <f t="shared" si="80"/>
        <v/>
      </c>
    </row>
    <row r="3023" spans="2:2" x14ac:dyDescent="0.3">
      <c r="B3023" s="129" t="str">
        <f t="shared" si="80"/>
        <v/>
      </c>
    </row>
    <row r="3024" spans="2:2" x14ac:dyDescent="0.3">
      <c r="B3024" s="129" t="str">
        <f t="shared" si="80"/>
        <v/>
      </c>
    </row>
    <row r="3025" spans="2:2" x14ac:dyDescent="0.3">
      <c r="B3025" s="129" t="str">
        <f t="shared" si="80"/>
        <v/>
      </c>
    </row>
    <row r="3026" spans="2:2" x14ac:dyDescent="0.3">
      <c r="B3026" s="129" t="str">
        <f t="shared" si="80"/>
        <v/>
      </c>
    </row>
    <row r="3027" spans="2:2" x14ac:dyDescent="0.3">
      <c r="B3027" s="129" t="str">
        <f t="shared" si="80"/>
        <v/>
      </c>
    </row>
    <row r="3028" spans="2:2" x14ac:dyDescent="0.3">
      <c r="B3028" s="129" t="str">
        <f t="shared" si="80"/>
        <v/>
      </c>
    </row>
    <row r="3029" spans="2:2" x14ac:dyDescent="0.3">
      <c r="B3029" s="129" t="str">
        <f t="shared" si="80"/>
        <v/>
      </c>
    </row>
    <row r="3030" spans="2:2" x14ac:dyDescent="0.3">
      <c r="B3030" s="129" t="str">
        <f t="shared" si="80"/>
        <v/>
      </c>
    </row>
    <row r="3031" spans="2:2" x14ac:dyDescent="0.3">
      <c r="B3031" s="129" t="str">
        <f t="shared" si="80"/>
        <v/>
      </c>
    </row>
    <row r="3032" spans="2:2" x14ac:dyDescent="0.3">
      <c r="B3032" s="129" t="str">
        <f t="shared" si="80"/>
        <v/>
      </c>
    </row>
    <row r="3033" spans="2:2" x14ac:dyDescent="0.3">
      <c r="B3033" s="129" t="str">
        <f t="shared" si="80"/>
        <v/>
      </c>
    </row>
    <row r="3034" spans="2:2" x14ac:dyDescent="0.3">
      <c r="B3034" s="129" t="str">
        <f t="shared" si="80"/>
        <v/>
      </c>
    </row>
    <row r="3035" spans="2:2" x14ac:dyDescent="0.3">
      <c r="B3035" s="129" t="str">
        <f t="shared" si="80"/>
        <v/>
      </c>
    </row>
    <row r="3036" spans="2:2" x14ac:dyDescent="0.3">
      <c r="B3036" s="129" t="str">
        <f t="shared" si="80"/>
        <v/>
      </c>
    </row>
    <row r="3037" spans="2:2" x14ac:dyDescent="0.3">
      <c r="B3037" s="129" t="str">
        <f t="shared" si="80"/>
        <v/>
      </c>
    </row>
    <row r="3038" spans="2:2" x14ac:dyDescent="0.3">
      <c r="B3038" s="129" t="str">
        <f t="shared" si="80"/>
        <v/>
      </c>
    </row>
    <row r="3039" spans="2:2" x14ac:dyDescent="0.3">
      <c r="B3039" s="129" t="str">
        <f t="shared" si="80"/>
        <v/>
      </c>
    </row>
    <row r="3040" spans="2:2" x14ac:dyDescent="0.3">
      <c r="B3040" s="129" t="str">
        <f t="shared" si="80"/>
        <v/>
      </c>
    </row>
    <row r="3041" spans="2:2" x14ac:dyDescent="0.3">
      <c r="B3041" s="129" t="str">
        <f t="shared" si="80"/>
        <v/>
      </c>
    </row>
    <row r="3042" spans="2:2" x14ac:dyDescent="0.3">
      <c r="B3042" s="129" t="str">
        <f t="shared" si="80"/>
        <v/>
      </c>
    </row>
    <row r="3043" spans="2:2" x14ac:dyDescent="0.3">
      <c r="B3043" s="129" t="str">
        <f t="shared" si="80"/>
        <v/>
      </c>
    </row>
    <row r="3044" spans="2:2" x14ac:dyDescent="0.3">
      <c r="B3044" s="129" t="str">
        <f t="shared" si="80"/>
        <v/>
      </c>
    </row>
    <row r="3045" spans="2:2" x14ac:dyDescent="0.3">
      <c r="B3045" s="129" t="str">
        <f t="shared" si="80"/>
        <v/>
      </c>
    </row>
    <row r="3046" spans="2:2" x14ac:dyDescent="0.3">
      <c r="B3046" s="129" t="str">
        <f t="shared" si="80"/>
        <v/>
      </c>
    </row>
    <row r="3047" spans="2:2" x14ac:dyDescent="0.3">
      <c r="B3047" s="129" t="str">
        <f t="shared" si="80"/>
        <v/>
      </c>
    </row>
    <row r="3048" spans="2:2" x14ac:dyDescent="0.3">
      <c r="B3048" s="129" t="str">
        <f t="shared" ref="B3048:B3116" si="81">IF($A3048="Daily", "n/a", "")</f>
        <v/>
      </c>
    </row>
    <row r="3049" spans="2:2" x14ac:dyDescent="0.3">
      <c r="B3049" s="129" t="str">
        <f t="shared" si="81"/>
        <v/>
      </c>
    </row>
    <row r="3050" spans="2:2" x14ac:dyDescent="0.3">
      <c r="B3050" s="129" t="str">
        <f t="shared" si="81"/>
        <v/>
      </c>
    </row>
    <row r="3051" spans="2:2" x14ac:dyDescent="0.3">
      <c r="B3051" s="129" t="str">
        <f t="shared" si="81"/>
        <v/>
      </c>
    </row>
    <row r="3052" spans="2:2" x14ac:dyDescent="0.3">
      <c r="B3052" s="129" t="str">
        <f t="shared" si="81"/>
        <v/>
      </c>
    </row>
    <row r="3053" spans="2:2" x14ac:dyDescent="0.3">
      <c r="B3053" s="129" t="str">
        <f t="shared" si="81"/>
        <v/>
      </c>
    </row>
    <row r="3054" spans="2:2" x14ac:dyDescent="0.3">
      <c r="B3054" s="129" t="str">
        <f t="shared" si="81"/>
        <v/>
      </c>
    </row>
    <row r="3055" spans="2:2" x14ac:dyDescent="0.3">
      <c r="B3055" s="129" t="str">
        <f t="shared" si="81"/>
        <v/>
      </c>
    </row>
    <row r="3056" spans="2:2" x14ac:dyDescent="0.3">
      <c r="B3056" s="129" t="str">
        <f t="shared" si="81"/>
        <v/>
      </c>
    </row>
    <row r="3057" spans="2:2" x14ac:dyDescent="0.3">
      <c r="B3057" s="129" t="str">
        <f t="shared" si="81"/>
        <v/>
      </c>
    </row>
    <row r="3058" spans="2:2" x14ac:dyDescent="0.3">
      <c r="B3058" s="129" t="str">
        <f t="shared" si="81"/>
        <v/>
      </c>
    </row>
    <row r="3059" spans="2:2" x14ac:dyDescent="0.3">
      <c r="B3059" s="129" t="str">
        <f t="shared" si="81"/>
        <v/>
      </c>
    </row>
    <row r="3060" spans="2:2" x14ac:dyDescent="0.3">
      <c r="B3060" s="129" t="str">
        <f t="shared" si="81"/>
        <v/>
      </c>
    </row>
    <row r="3061" spans="2:2" x14ac:dyDescent="0.3">
      <c r="B3061" s="129" t="str">
        <f t="shared" si="81"/>
        <v/>
      </c>
    </row>
    <row r="3062" spans="2:2" x14ac:dyDescent="0.3">
      <c r="B3062" s="129" t="str">
        <f t="shared" si="81"/>
        <v/>
      </c>
    </row>
    <row r="3063" spans="2:2" x14ac:dyDescent="0.3">
      <c r="B3063" s="129" t="str">
        <f t="shared" si="81"/>
        <v/>
      </c>
    </row>
    <row r="3064" spans="2:2" x14ac:dyDescent="0.3">
      <c r="B3064" s="129" t="str">
        <f t="shared" si="81"/>
        <v/>
      </c>
    </row>
    <row r="3065" spans="2:2" x14ac:dyDescent="0.3">
      <c r="B3065" s="129" t="str">
        <f t="shared" si="81"/>
        <v/>
      </c>
    </row>
    <row r="3066" spans="2:2" x14ac:dyDescent="0.3">
      <c r="B3066" s="129" t="str">
        <f t="shared" si="81"/>
        <v/>
      </c>
    </row>
    <row r="3067" spans="2:2" x14ac:dyDescent="0.3">
      <c r="B3067" s="129" t="str">
        <f t="shared" si="81"/>
        <v/>
      </c>
    </row>
    <row r="3068" spans="2:2" x14ac:dyDescent="0.3">
      <c r="B3068" s="129" t="str">
        <f t="shared" si="81"/>
        <v/>
      </c>
    </row>
    <row r="3069" spans="2:2" x14ac:dyDescent="0.3">
      <c r="B3069" s="129" t="str">
        <f t="shared" si="81"/>
        <v/>
      </c>
    </row>
    <row r="3070" spans="2:2" x14ac:dyDescent="0.3">
      <c r="B3070" s="129" t="str">
        <f t="shared" si="81"/>
        <v/>
      </c>
    </row>
    <row r="3071" spans="2:2" x14ac:dyDescent="0.3">
      <c r="B3071" s="129" t="str">
        <f t="shared" si="81"/>
        <v/>
      </c>
    </row>
    <row r="3072" spans="2:2" x14ac:dyDescent="0.3">
      <c r="B3072" s="129" t="str">
        <f t="shared" si="81"/>
        <v/>
      </c>
    </row>
    <row r="3073" spans="2:2" x14ac:dyDescent="0.3">
      <c r="B3073" s="129" t="str">
        <f t="shared" si="81"/>
        <v/>
      </c>
    </row>
    <row r="3074" spans="2:2" x14ac:dyDescent="0.3">
      <c r="B3074" s="129" t="str">
        <f t="shared" si="81"/>
        <v/>
      </c>
    </row>
    <row r="3075" spans="2:2" x14ac:dyDescent="0.3">
      <c r="B3075" s="129" t="str">
        <f t="shared" si="81"/>
        <v/>
      </c>
    </row>
    <row r="3076" spans="2:2" x14ac:dyDescent="0.3">
      <c r="B3076" s="129" t="str">
        <f t="shared" si="81"/>
        <v/>
      </c>
    </row>
    <row r="3077" spans="2:2" x14ac:dyDescent="0.3">
      <c r="B3077" s="129" t="str">
        <f t="shared" si="81"/>
        <v/>
      </c>
    </row>
    <row r="3078" spans="2:2" x14ac:dyDescent="0.3">
      <c r="B3078" s="129" t="str">
        <f t="shared" si="81"/>
        <v/>
      </c>
    </row>
    <row r="3079" spans="2:2" x14ac:dyDescent="0.3">
      <c r="B3079" s="129" t="str">
        <f t="shared" si="81"/>
        <v/>
      </c>
    </row>
    <row r="3080" spans="2:2" x14ac:dyDescent="0.3">
      <c r="B3080" s="129" t="str">
        <f t="shared" si="81"/>
        <v/>
      </c>
    </row>
    <row r="3081" spans="2:2" x14ac:dyDescent="0.3">
      <c r="B3081" s="129" t="str">
        <f t="shared" si="81"/>
        <v/>
      </c>
    </row>
    <row r="3082" spans="2:2" x14ac:dyDescent="0.3">
      <c r="B3082" s="129" t="str">
        <f t="shared" si="81"/>
        <v/>
      </c>
    </row>
    <row r="3083" spans="2:2" x14ac:dyDescent="0.3">
      <c r="B3083" s="129" t="str">
        <f t="shared" si="81"/>
        <v/>
      </c>
    </row>
    <row r="3084" spans="2:2" x14ac:dyDescent="0.3">
      <c r="B3084" s="129" t="str">
        <f t="shared" si="81"/>
        <v/>
      </c>
    </row>
    <row r="3085" spans="2:2" x14ac:dyDescent="0.3">
      <c r="B3085" s="129" t="str">
        <f t="shared" si="81"/>
        <v/>
      </c>
    </row>
    <row r="3086" spans="2:2" x14ac:dyDescent="0.3">
      <c r="B3086" s="129" t="str">
        <f t="shared" si="81"/>
        <v/>
      </c>
    </row>
    <row r="3087" spans="2:2" x14ac:dyDescent="0.3">
      <c r="B3087" s="129" t="str">
        <f t="shared" si="81"/>
        <v/>
      </c>
    </row>
    <row r="3088" spans="2:2" x14ac:dyDescent="0.3">
      <c r="B3088" s="129" t="str">
        <f t="shared" si="81"/>
        <v/>
      </c>
    </row>
    <row r="3089" spans="2:2" x14ac:dyDescent="0.3">
      <c r="B3089" s="129" t="str">
        <f t="shared" si="81"/>
        <v/>
      </c>
    </row>
    <row r="3090" spans="2:2" x14ac:dyDescent="0.3">
      <c r="B3090" s="129" t="str">
        <f t="shared" si="81"/>
        <v/>
      </c>
    </row>
    <row r="3091" spans="2:2" x14ac:dyDescent="0.3">
      <c r="B3091" s="129" t="str">
        <f t="shared" si="81"/>
        <v/>
      </c>
    </row>
    <row r="3092" spans="2:2" x14ac:dyDescent="0.3">
      <c r="B3092" s="129" t="str">
        <f t="shared" si="81"/>
        <v/>
      </c>
    </row>
    <row r="3093" spans="2:2" x14ac:dyDescent="0.3">
      <c r="B3093" s="129" t="str">
        <f t="shared" si="81"/>
        <v/>
      </c>
    </row>
    <row r="3094" spans="2:2" x14ac:dyDescent="0.3">
      <c r="B3094" s="129" t="str">
        <f t="shared" si="81"/>
        <v/>
      </c>
    </row>
    <row r="3095" spans="2:2" x14ac:dyDescent="0.3">
      <c r="B3095" s="129" t="str">
        <f t="shared" si="81"/>
        <v/>
      </c>
    </row>
    <row r="3096" spans="2:2" x14ac:dyDescent="0.3">
      <c r="B3096" s="129" t="str">
        <f t="shared" si="81"/>
        <v/>
      </c>
    </row>
    <row r="3097" spans="2:2" x14ac:dyDescent="0.3">
      <c r="B3097" s="129" t="str">
        <f t="shared" si="81"/>
        <v/>
      </c>
    </row>
    <row r="3098" spans="2:2" x14ac:dyDescent="0.3">
      <c r="B3098" s="129" t="str">
        <f t="shared" si="81"/>
        <v/>
      </c>
    </row>
    <row r="3099" spans="2:2" x14ac:dyDescent="0.3">
      <c r="B3099" s="129" t="str">
        <f t="shared" si="81"/>
        <v/>
      </c>
    </row>
    <row r="3100" spans="2:2" x14ac:dyDescent="0.3">
      <c r="B3100" s="129" t="str">
        <f t="shared" si="81"/>
        <v/>
      </c>
    </row>
    <row r="3101" spans="2:2" x14ac:dyDescent="0.3">
      <c r="B3101" s="129" t="str">
        <f t="shared" si="81"/>
        <v/>
      </c>
    </row>
    <row r="3102" spans="2:2" x14ac:dyDescent="0.3">
      <c r="B3102" s="129" t="str">
        <f t="shared" si="81"/>
        <v/>
      </c>
    </row>
    <row r="3103" spans="2:2" x14ac:dyDescent="0.3">
      <c r="B3103" s="129" t="str">
        <f t="shared" si="81"/>
        <v/>
      </c>
    </row>
    <row r="3104" spans="2:2" x14ac:dyDescent="0.3">
      <c r="B3104" s="129" t="str">
        <f t="shared" si="81"/>
        <v/>
      </c>
    </row>
    <row r="3105" spans="2:2" x14ac:dyDescent="0.3">
      <c r="B3105" s="129" t="str">
        <f t="shared" si="81"/>
        <v/>
      </c>
    </row>
    <row r="3106" spans="2:2" x14ac:dyDescent="0.3">
      <c r="B3106" s="129" t="str">
        <f t="shared" si="81"/>
        <v/>
      </c>
    </row>
    <row r="3107" spans="2:2" x14ac:dyDescent="0.3">
      <c r="B3107" s="129" t="str">
        <f t="shared" si="81"/>
        <v/>
      </c>
    </row>
    <row r="3108" spans="2:2" x14ac:dyDescent="0.3">
      <c r="B3108" s="129" t="str">
        <f t="shared" si="81"/>
        <v/>
      </c>
    </row>
    <row r="3109" spans="2:2" x14ac:dyDescent="0.3">
      <c r="B3109" s="129" t="str">
        <f t="shared" si="81"/>
        <v/>
      </c>
    </row>
    <row r="3110" spans="2:2" x14ac:dyDescent="0.3">
      <c r="B3110" s="129" t="str">
        <f t="shared" si="81"/>
        <v/>
      </c>
    </row>
    <row r="3111" spans="2:2" x14ac:dyDescent="0.3">
      <c r="B3111" s="129" t="str">
        <f t="shared" si="81"/>
        <v/>
      </c>
    </row>
    <row r="3112" spans="2:2" x14ac:dyDescent="0.3">
      <c r="B3112" s="129" t="str">
        <f t="shared" si="81"/>
        <v/>
      </c>
    </row>
    <row r="3113" spans="2:2" x14ac:dyDescent="0.3">
      <c r="B3113" s="129" t="str">
        <f t="shared" si="81"/>
        <v/>
      </c>
    </row>
    <row r="3114" spans="2:2" x14ac:dyDescent="0.3">
      <c r="B3114" s="129" t="str">
        <f t="shared" si="81"/>
        <v/>
      </c>
    </row>
    <row r="3115" spans="2:2" x14ac:dyDescent="0.3">
      <c r="B3115" s="129" t="str">
        <f t="shared" si="81"/>
        <v/>
      </c>
    </row>
    <row r="3116" spans="2:2" x14ac:dyDescent="0.3">
      <c r="B3116" s="129" t="str">
        <f t="shared" si="81"/>
        <v/>
      </c>
    </row>
  </sheetData>
  <mergeCells count="27">
    <mergeCell ref="M17:N17"/>
    <mergeCell ref="M18:N18"/>
    <mergeCell ref="M19:N19"/>
    <mergeCell ref="O19:R19"/>
    <mergeCell ref="O18:R18"/>
    <mergeCell ref="A1:E1"/>
    <mergeCell ref="M10:N10"/>
    <mergeCell ref="M11:N11"/>
    <mergeCell ref="F1:G1"/>
    <mergeCell ref="H1:I1"/>
    <mergeCell ref="M9:N9"/>
    <mergeCell ref="J1:K1"/>
    <mergeCell ref="M4:O4"/>
    <mergeCell ref="O7:U7"/>
    <mergeCell ref="M6:N6"/>
    <mergeCell ref="M7:N7"/>
    <mergeCell ref="M8:N8"/>
    <mergeCell ref="O14:U15"/>
    <mergeCell ref="M14:N15"/>
    <mergeCell ref="O10:U10"/>
    <mergeCell ref="O9:U9"/>
    <mergeCell ref="O8:U8"/>
    <mergeCell ref="M12:N12"/>
    <mergeCell ref="M13:N13"/>
    <mergeCell ref="O11:U11"/>
    <mergeCell ref="O12:U12"/>
    <mergeCell ref="O13:U13"/>
  </mergeCells>
  <phoneticPr fontId="73" type="noConversion"/>
  <conditionalFormatting sqref="A3:G9961">
    <cfRule type="expression" dxfId="62" priority="5">
      <formula>EXACT($A3, "Daily")</formula>
    </cfRule>
    <cfRule type="expression" dxfId="61" priority="6">
      <formula>EXACT($A3, "Error")</formula>
    </cfRule>
    <cfRule type="expression" dxfId="60" priority="7">
      <formula>EXACT($A3, "Trial")</formula>
    </cfRule>
  </conditionalFormatting>
  <conditionalFormatting sqref="H3:H9962">
    <cfRule type="expression" dxfId="59" priority="3">
      <formula>$F3&gt;$H3</formula>
    </cfRule>
    <cfRule type="expression" dxfId="58" priority="4">
      <formula>$F3&lt;$H3</formula>
    </cfRule>
  </conditionalFormatting>
  <conditionalFormatting sqref="I3:I9962">
    <cfRule type="expression" dxfId="57" priority="1">
      <formula>$G3&gt;$I3</formula>
    </cfRule>
    <cfRule type="expression" dxfId="56" priority="2">
      <formula>$G3&lt;$I3</formula>
    </cfRule>
  </conditionalFormatting>
  <conditionalFormatting sqref="J1:K1048576">
    <cfRule type="cellIs" dxfId="55" priority="8" operator="equal">
      <formula>"No"</formula>
    </cfRule>
    <cfRule type="cellIs" dxfId="54"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zoomScale="85" zoomScaleNormal="85" workbookViewId="0">
      <pane xSplit="1" topLeftCell="B1" activePane="topRight" state="frozen"/>
      <selection pane="topRight" activeCell="D25" sqref="D25"/>
    </sheetView>
  </sheetViews>
  <sheetFormatPr defaultRowHeight="15" x14ac:dyDescent="0.25"/>
  <cols>
    <col min="1" max="1" width="20.77734375" style="238" customWidth="1"/>
    <col min="2" max="2" width="15.77734375" style="245" customWidth="1"/>
    <col min="3" max="20" width="8.33203125" style="129" customWidth="1"/>
    <col min="21" max="21" width="15.77734375" style="252" customWidth="1"/>
    <col min="22" max="22" width="15.77734375" style="253" customWidth="1"/>
    <col min="23" max="40" width="9.6640625" style="248" bestFit="1" customWidth="1"/>
    <col min="41" max="41" width="9.109375" style="246" hidden="1" customWidth="1"/>
    <col min="42" max="16384" width="8.88671875" style="53"/>
  </cols>
  <sheetData>
    <row r="1" spans="1:41" ht="14.4" customHeight="1" x14ac:dyDescent="0.25">
      <c r="A1" s="333" t="s">
        <v>31</v>
      </c>
      <c r="B1" s="322" t="s">
        <v>295</v>
      </c>
      <c r="C1" s="331" t="s">
        <v>309</v>
      </c>
      <c r="D1" s="331"/>
      <c r="E1" s="331"/>
      <c r="F1" s="331"/>
      <c r="G1" s="331"/>
      <c r="H1" s="331"/>
      <c r="I1" s="331"/>
      <c r="J1" s="331"/>
      <c r="K1" s="331"/>
      <c r="L1" s="331"/>
      <c r="M1" s="331"/>
      <c r="N1" s="331"/>
      <c r="O1" s="331"/>
      <c r="P1" s="331"/>
      <c r="Q1" s="331"/>
      <c r="R1" s="331"/>
      <c r="S1" s="331"/>
      <c r="T1" s="332"/>
      <c r="U1" s="324" t="s">
        <v>293</v>
      </c>
      <c r="V1" s="325"/>
      <c r="W1" s="254">
        <f>_xlfn.QUARTILE.INC(W5:W200,3)-_xlfn.QUARTILE.INC(W5:W200,1)</f>
        <v>0.28778169993610314</v>
      </c>
      <c r="X1" s="254">
        <f t="shared" ref="X1:AN1" si="0">_xlfn.QUARTILE.INC(X5:X200,3)-_xlfn.QUARTILE.INC(X5:X200,1)</f>
        <v>0.16634912218083042</v>
      </c>
      <c r="Y1" s="254">
        <f t="shared" si="0"/>
        <v>0.15370055302002283</v>
      </c>
      <c r="Z1" s="254">
        <f t="shared" si="0"/>
        <v>0.17260748327893194</v>
      </c>
      <c r="AA1" s="254">
        <f t="shared" si="0"/>
        <v>0.21015412701481406</v>
      </c>
      <c r="AB1" s="254">
        <f t="shared" si="0"/>
        <v>0.16414824753863078</v>
      </c>
      <c r="AC1" s="254">
        <f t="shared" si="0"/>
        <v>0.13359776127345557</v>
      </c>
      <c r="AD1" s="254">
        <f t="shared" si="0"/>
        <v>0.28003217910253575</v>
      </c>
      <c r="AE1" s="254">
        <f t="shared" si="0"/>
        <v>0.18839404804504079</v>
      </c>
      <c r="AF1" s="254">
        <f t="shared" si="0"/>
        <v>0.34408740920110792</v>
      </c>
      <c r="AG1" s="254">
        <f t="shared" si="0"/>
        <v>0.42308281399292014</v>
      </c>
      <c r="AH1" s="254">
        <f t="shared" si="0"/>
        <v>0.26307133393691295</v>
      </c>
      <c r="AI1" s="254">
        <f t="shared" si="0"/>
        <v>0.22057683018035557</v>
      </c>
      <c r="AJ1" s="254">
        <f t="shared" si="0"/>
        <v>0.20850362690619895</v>
      </c>
      <c r="AK1" s="254">
        <f t="shared" si="0"/>
        <v>0.25704946116874816</v>
      </c>
      <c r="AL1" s="254">
        <f t="shared" si="0"/>
        <v>0.24529038551774651</v>
      </c>
      <c r="AM1" s="254">
        <f t="shared" si="0"/>
        <v>0.13437650986748251</v>
      </c>
      <c r="AN1" s="254">
        <f t="shared" si="0"/>
        <v>0.25211010747471552</v>
      </c>
    </row>
    <row r="2" spans="1:41" ht="42" customHeight="1" x14ac:dyDescent="0.25">
      <c r="A2" s="333"/>
      <c r="B2" s="323"/>
      <c r="C2" s="255" cm="1">
        <f t="array" ref="C2">MEDIAN(_xlfn._xlws.FILTER(C$5:C$301, ISNUMBER(C$5:C$301)))</f>
        <v>0.10861</v>
      </c>
      <c r="D2" s="255" cm="1">
        <f t="array" ref="D2">MEDIAN(_xlfn._xlws.FILTER(D$5:D$301, ISNUMBER(D$5:D$301)))</f>
        <v>0.111508</v>
      </c>
      <c r="E2" s="255" cm="1">
        <f t="array" ref="E2">MEDIAN(_xlfn._xlws.FILTER(E$5:E$301, ISNUMBER(E$5:E$301)))</f>
        <v>0.113635</v>
      </c>
      <c r="F2" s="255" cm="1">
        <f t="array" ref="F2">MEDIAN(_xlfn._xlws.FILTER(F$5:F$301, ISNUMBER(F$5:F$301)))</f>
        <v>0.110303</v>
      </c>
      <c r="G2" s="255" cm="1">
        <f t="array" ref="G2">MEDIAN(_xlfn._xlws.FILTER(G$5:G$301, ISNUMBER(G$5:G$301)))</f>
        <v>7.16387E-2</v>
      </c>
      <c r="H2" s="255" cm="1">
        <f t="array" ref="H2">MEDIAN(_xlfn._xlws.FILTER(H$5:H$301, ISNUMBER(H$5:H$301)))</f>
        <v>9.7109000000000001E-2</v>
      </c>
      <c r="I2" s="255" cm="1">
        <f t="array" ref="I2">MEDIAN(_xlfn._xlws.FILTER(I$5:I$301, ISNUMBER(I$5:I$301)))</f>
        <v>0.10152</v>
      </c>
      <c r="J2" s="255" cm="1">
        <f t="array" ref="J2">MEDIAN(_xlfn._xlws.FILTER(J$5:J$301, ISNUMBER(J$5:J$301)))</f>
        <v>7.1449700000000005E-2</v>
      </c>
      <c r="K2" s="255" cm="1">
        <f t="array" ref="K2">MEDIAN(_xlfn._xlws.FILTER(K$5:K$301, ISNUMBER(K$5:K$301)))</f>
        <v>9.3003100000000005E-2</v>
      </c>
      <c r="L2" s="255" cm="1">
        <f t="array" ref="L2">MEDIAN(_xlfn._xlws.FILTER(L$5:L$301, ISNUMBER(L$5:L$301)))</f>
        <v>0.104974</v>
      </c>
      <c r="M2" s="255" cm="1">
        <f t="array" ref="M2">MEDIAN(_xlfn._xlws.FILTER(M$5:M$301, ISNUMBER(M$5:M$301)))</f>
        <v>0.121264</v>
      </c>
      <c r="N2" s="255" cm="1">
        <f t="array" ref="N2">MEDIAN(_xlfn._xlws.FILTER(N$5:N$301, ISNUMBER(N$5:N$301)))</f>
        <v>8.4493100000000002E-2</v>
      </c>
      <c r="O2" s="255" cm="1">
        <f t="array" ref="O2">MEDIAN(_xlfn._xlws.FILTER(O$5:O$301, ISNUMBER(O$5:O$301)))</f>
        <v>5.4853300000000001E-2</v>
      </c>
      <c r="P2" s="255" cm="1">
        <f t="array" ref="P2">MEDIAN(_xlfn._xlws.FILTER(P$5:P$301, ISNUMBER(P$5:P$301)))</f>
        <v>6.9651900000000003E-2</v>
      </c>
      <c r="Q2" s="255" cm="1">
        <f t="array" ref="Q2">MEDIAN(_xlfn._xlws.FILTER(Q$5:Q$301, ISNUMBER(Q$5:Q$301)))</f>
        <v>0.100879</v>
      </c>
      <c r="R2" s="255" cm="1">
        <f t="array" ref="R2">MEDIAN(_xlfn._xlws.FILTER(R$5:R$301, ISNUMBER(R$5:R$301)))</f>
        <v>9.1163099999999997E-2</v>
      </c>
      <c r="S2" s="255" cm="1">
        <f t="array" ref="S2">MEDIAN(_xlfn._xlws.FILTER(S$5:S$301, ISNUMBER(S$5:S$301)))</f>
        <v>7.6168700000000006E-2</v>
      </c>
      <c r="T2" s="255" cm="1">
        <f t="array" ref="T2">MEDIAN(_xlfn._xlws.FILTER(T$5:T$301, ISNUMBER(T$5:T$301)))</f>
        <v>0.106762</v>
      </c>
      <c r="U2" s="324"/>
      <c r="V2" s="325"/>
      <c r="W2" s="256" t="s">
        <v>299</v>
      </c>
      <c r="X2" s="328" t="s">
        <v>308</v>
      </c>
      <c r="Y2" s="329"/>
      <c r="Z2" s="329"/>
      <c r="AA2" s="329"/>
      <c r="AB2" s="329"/>
      <c r="AC2" s="329"/>
      <c r="AD2" s="329"/>
      <c r="AE2" s="329"/>
      <c r="AF2" s="329"/>
      <c r="AG2" s="329"/>
      <c r="AH2" s="329"/>
      <c r="AI2" s="329"/>
      <c r="AJ2" s="329"/>
      <c r="AK2" s="329"/>
      <c r="AL2" s="329"/>
      <c r="AM2" s="330"/>
      <c r="AN2" s="256" t="s">
        <v>299</v>
      </c>
    </row>
    <row r="3" spans="1:41" s="240" customFormat="1" ht="15.6" x14ac:dyDescent="0.2">
      <c r="A3" s="333"/>
      <c r="B3" s="244" t="s">
        <v>13</v>
      </c>
      <c r="C3" s="239" t="str" cm="1">
        <f t="array" ref="C3:T3">TRANSPOSE('Data-Lists'!$A$3:$A$20)</f>
        <v>#1 (Vero v2.2)</v>
      </c>
      <c r="D3" s="239" t="str">
        <v>#2 (Vero v2.2)</v>
      </c>
      <c r="E3" s="239" t="str">
        <v>#3 (Vero v2.2)</v>
      </c>
      <c r="F3" s="239" t="str">
        <v>#4 (Vero v2.2)</v>
      </c>
      <c r="G3" s="239" t="str">
        <v>#5 (Vero v2.2)</v>
      </c>
      <c r="H3" s="239" t="str">
        <v>#6 (Vero v2.2)</v>
      </c>
      <c r="I3" s="239" t="str">
        <v>#7 (Vero v2.2)</v>
      </c>
      <c r="J3" s="239" t="str">
        <v>#8 (Vero v2.2)</v>
      </c>
      <c r="K3" s="239" t="str">
        <v>#9 (Vero v2.2)</v>
      </c>
      <c r="L3" s="239" t="str">
        <v>#10 (Vero v2.2)</v>
      </c>
      <c r="M3" s="239" t="str">
        <v>#11 (Vero v2.2)</v>
      </c>
      <c r="N3" s="239" t="str">
        <v>#12 (Vero v2.2)</v>
      </c>
      <c r="O3" s="239" t="str">
        <v>#13 (Vero v2.2)</v>
      </c>
      <c r="P3" s="239" t="str">
        <v>#14 (Vero v2.2)</v>
      </c>
      <c r="Q3" s="239" t="str">
        <v>#15 (Vero v2.2)</v>
      </c>
      <c r="R3" s="239" t="str">
        <v>#16 (Vero v2.2)</v>
      </c>
      <c r="S3" s="239" t="str">
        <v>#17 (Vero v2.2)</v>
      </c>
      <c r="T3" s="239" t="str">
        <v>#18 (Vero v2.2)</v>
      </c>
      <c r="U3" s="326"/>
      <c r="V3" s="327"/>
      <c r="W3" s="254">
        <f>MEDIAN(W5:W201)</f>
        <v>1.1324028188603821</v>
      </c>
      <c r="X3" s="254">
        <f t="shared" ref="X3:AN3" si="1">MEDIAN(X5:X201)</f>
        <v>1.1670008048281413</v>
      </c>
      <c r="Y3" s="254">
        <f t="shared" si="1"/>
        <v>1.1849762893259645</v>
      </c>
      <c r="Z3" s="254">
        <f t="shared" si="1"/>
        <v>1.1815171670434828</v>
      </c>
      <c r="AA3" s="254">
        <f t="shared" si="1"/>
        <v>0.8030411644532377</v>
      </c>
      <c r="AB3" s="254">
        <f t="shared" si="1"/>
        <v>1.0284162639368155</v>
      </c>
      <c r="AC3" s="254">
        <f t="shared" si="1"/>
        <v>1.1122122744854075</v>
      </c>
      <c r="AD3" s="254">
        <f t="shared" si="1"/>
        <v>0.84479816658877072</v>
      </c>
      <c r="AE3" s="254">
        <f t="shared" si="1"/>
        <v>0.96153611100925485</v>
      </c>
      <c r="AF3" s="254">
        <f t="shared" si="1"/>
        <v>1.0413466358359071</v>
      </c>
      <c r="AG3" s="254">
        <f t="shared" si="1"/>
        <v>1.2071902077083949</v>
      </c>
      <c r="AH3" s="254">
        <f t="shared" si="1"/>
        <v>0.82634821510672574</v>
      </c>
      <c r="AI3" s="254">
        <f t="shared" si="1"/>
        <v>0.66970266575529735</v>
      </c>
      <c r="AJ3" s="254">
        <f t="shared" si="1"/>
        <v>0.77118949639204259</v>
      </c>
      <c r="AK3" s="254">
        <f t="shared" si="1"/>
        <v>1.0476651134279324</v>
      </c>
      <c r="AL3" s="254">
        <f t="shared" si="1"/>
        <v>0.96941611020558383</v>
      </c>
      <c r="AM3" s="254">
        <f t="shared" si="1"/>
        <v>0.85768374271470371</v>
      </c>
      <c r="AN3" s="254">
        <f t="shared" si="1"/>
        <v>1.1768599821231398</v>
      </c>
      <c r="AO3" s="247"/>
    </row>
    <row r="4" spans="1:41" s="243" customFormat="1" ht="16.2" thickBot="1" x14ac:dyDescent="0.35">
      <c r="A4" s="334"/>
      <c r="B4" s="266" t="s">
        <v>294</v>
      </c>
      <c r="C4" s="235">
        <f>VALUE(RIGHT(LEFT(C$3,3),2))</f>
        <v>1</v>
      </c>
      <c r="D4" s="235">
        <f t="shared" ref="D4:T4" si="2">VALUE(RIGHT(LEFT(D$3,3),2))</f>
        <v>2</v>
      </c>
      <c r="E4" s="235">
        <f t="shared" si="2"/>
        <v>3</v>
      </c>
      <c r="F4" s="235">
        <f t="shared" si="2"/>
        <v>4</v>
      </c>
      <c r="G4" s="235">
        <f t="shared" si="2"/>
        <v>5</v>
      </c>
      <c r="H4" s="235">
        <f t="shared" si="2"/>
        <v>6</v>
      </c>
      <c r="I4" s="235">
        <f t="shared" si="2"/>
        <v>7</v>
      </c>
      <c r="J4" s="235">
        <f t="shared" si="2"/>
        <v>8</v>
      </c>
      <c r="K4" s="235">
        <f t="shared" si="2"/>
        <v>9</v>
      </c>
      <c r="L4" s="235">
        <f t="shared" si="2"/>
        <v>10</v>
      </c>
      <c r="M4" s="235">
        <f t="shared" si="2"/>
        <v>11</v>
      </c>
      <c r="N4" s="235">
        <f t="shared" si="2"/>
        <v>12</v>
      </c>
      <c r="O4" s="235">
        <f t="shared" si="2"/>
        <v>13</v>
      </c>
      <c r="P4" s="235">
        <f t="shared" si="2"/>
        <v>14</v>
      </c>
      <c r="Q4" s="235">
        <f t="shared" si="2"/>
        <v>15</v>
      </c>
      <c r="R4" s="235">
        <f t="shared" si="2"/>
        <v>16</v>
      </c>
      <c r="S4" s="235">
        <f t="shared" si="2"/>
        <v>17</v>
      </c>
      <c r="T4" s="237">
        <f t="shared" si="2"/>
        <v>18</v>
      </c>
      <c r="U4" s="241" t="s">
        <v>292</v>
      </c>
      <c r="V4" s="242" t="s">
        <v>291</v>
      </c>
      <c r="W4" s="257" t="str">
        <f>_xlfn.CONCAT("Cam ", LEFT(C$3,3))</f>
        <v xml:space="preserve">Cam #1 </v>
      </c>
      <c r="X4" s="257" t="str">
        <f t="shared" ref="X4:AN4" si="3">_xlfn.CONCAT("Cam ", LEFT(D$3,3))</f>
        <v xml:space="preserve">Cam #2 </v>
      </c>
      <c r="Y4" s="257" t="str">
        <f t="shared" si="3"/>
        <v xml:space="preserve">Cam #3 </v>
      </c>
      <c r="Z4" s="257" t="str">
        <f t="shared" si="3"/>
        <v xml:space="preserve">Cam #4 </v>
      </c>
      <c r="AA4" s="257" t="str">
        <f t="shared" si="3"/>
        <v xml:space="preserve">Cam #5 </v>
      </c>
      <c r="AB4" s="257" t="str">
        <f t="shared" si="3"/>
        <v xml:space="preserve">Cam #6 </v>
      </c>
      <c r="AC4" s="257" t="str">
        <f t="shared" si="3"/>
        <v xml:space="preserve">Cam #7 </v>
      </c>
      <c r="AD4" s="257" t="str">
        <f t="shared" si="3"/>
        <v xml:space="preserve">Cam #8 </v>
      </c>
      <c r="AE4" s="257" t="str">
        <f t="shared" si="3"/>
        <v xml:space="preserve">Cam #9 </v>
      </c>
      <c r="AF4" s="257" t="str">
        <f t="shared" si="3"/>
        <v>Cam #10</v>
      </c>
      <c r="AG4" s="257" t="str">
        <f t="shared" si="3"/>
        <v>Cam #11</v>
      </c>
      <c r="AH4" s="257" t="str">
        <f t="shared" si="3"/>
        <v>Cam #12</v>
      </c>
      <c r="AI4" s="257" t="str">
        <f t="shared" si="3"/>
        <v>Cam #13</v>
      </c>
      <c r="AJ4" s="257" t="str">
        <f t="shared" si="3"/>
        <v>Cam #14</v>
      </c>
      <c r="AK4" s="257" t="str">
        <f t="shared" si="3"/>
        <v>Cam #15</v>
      </c>
      <c r="AL4" s="257" t="str">
        <f t="shared" si="3"/>
        <v>Cam #16</v>
      </c>
      <c r="AM4" s="257" t="str">
        <f t="shared" si="3"/>
        <v>Cam #17</v>
      </c>
      <c r="AN4" s="257" t="str">
        <f t="shared" si="3"/>
        <v>Cam #18</v>
      </c>
      <c r="AO4" s="251" t="s">
        <v>296</v>
      </c>
    </row>
    <row r="5" spans="1:41" x14ac:dyDescent="0.25">
      <c r="A5" s="238" cm="1">
        <f t="array" ref="A5:A25">_xlfn.UNIQUE(_xlfn._xlws.FILTER(Log!$C:$C, (Log!$B:B="n/a") * (Log!$A:$A="Daily")))</f>
        <v>46228</v>
      </c>
      <c r="B5" s="245">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252" t="str" cm="1">
        <f t="array" ref="U5">_xlfn._xlws.FILTER('Daily WE'!F:F, ('Daily WE'!$B:$B="n/a") * ('Daily WE'!$C:$C ='Daily IE'!$A5))</f>
        <v>A</v>
      </c>
      <c r="V5" s="253" cm="1">
        <f t="array" ref="V5">_xlfn._xlws.FILTER('Daily WE'!G:G, ('Daily WE'!$B:$B="n/a") * ('Daily WE'!$C:$C ='Daily IE'!$A5))</f>
        <v>1000</v>
      </c>
      <c r="W5" s="249">
        <f>IF(ISBLANK($A5), "", IF(ISNUMBER(C5), C5/$B5, "Unknown"))</f>
        <v>0.85858429579941042</v>
      </c>
      <c r="X5" s="249">
        <f t="shared" ref="X5:AN5" si="4">IF(ISBLANK($A5), "", IF(ISNUMBER(D5), D5/$B5, "Unknown"))</f>
        <v>1.2150712720781154</v>
      </c>
      <c r="Y5" s="249">
        <f t="shared" si="4"/>
        <v>1</v>
      </c>
      <c r="Z5" s="249">
        <f t="shared" si="4"/>
        <v>1.315398555624679</v>
      </c>
      <c r="AA5" s="249">
        <f t="shared" si="4"/>
        <v>0.48001839279435238</v>
      </c>
      <c r="AB5" s="249">
        <f t="shared" si="4"/>
        <v>0.97347001704038305</v>
      </c>
      <c r="AC5" s="249">
        <f t="shared" si="4"/>
        <v>1.1122122744854075</v>
      </c>
      <c r="AD5" s="249" t="str">
        <f t="shared" si="4"/>
        <v>Unknown</v>
      </c>
      <c r="AE5" s="249">
        <f t="shared" si="4"/>
        <v>0.86099483378864516</v>
      </c>
      <c r="AF5" s="249">
        <f t="shared" si="4"/>
        <v>1.428546698763896</v>
      </c>
      <c r="AG5" s="249">
        <f t="shared" si="4"/>
        <v>0.48747504801060293</v>
      </c>
      <c r="AH5" s="249">
        <f t="shared" si="4"/>
        <v>1.5218739011657787</v>
      </c>
      <c r="AI5" s="249">
        <f t="shared" si="4"/>
        <v>0.458908874523275</v>
      </c>
      <c r="AJ5" s="249">
        <f t="shared" si="4"/>
        <v>0.53068945930594247</v>
      </c>
      <c r="AK5" s="249">
        <f t="shared" si="4"/>
        <v>1.1109139595899491</v>
      </c>
      <c r="AL5" s="249">
        <f t="shared" si="4"/>
        <v>1.5938762814097538</v>
      </c>
      <c r="AM5" s="249">
        <f t="shared" si="4"/>
        <v>0.83518541559600779</v>
      </c>
      <c r="AN5" s="249">
        <f t="shared" si="4"/>
        <v>1.1893754564388306</v>
      </c>
      <c r="AO5" s="249" t="str">
        <f t="shared" ref="AO5" si="5">IF(ISBLANK(U5), "", IF(ISNUMBER(U5), U5/$B5, "Unknown"))</f>
        <v>Unknown</v>
      </c>
    </row>
    <row r="6" spans="1:41" x14ac:dyDescent="0.25">
      <c r="A6" s="238">
        <v>46230</v>
      </c>
      <c r="B6" s="245">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252" t="str" cm="1">
        <f t="array" ref="U6">_xlfn._xlws.FILTER('Daily WE'!F:F, ('Daily WE'!$B:$B="n/a") * ('Daily WE'!$C:$C ='Daily IE'!$A6))</f>
        <v>A</v>
      </c>
      <c r="V6" s="253" cm="1">
        <f t="array" ref="V6">_xlfn._xlws.FILTER('Daily WE'!G:G, ('Daily WE'!$B:$B="n/a") * ('Daily WE'!$C:$C ='Daily IE'!$A6))</f>
        <v>1000</v>
      </c>
      <c r="W6" s="249">
        <f t="shared" ref="W6:W53" si="7">IF(ISBLANK($A6), "", IF(ISNUMBER(C6), C6/$B6, "Unknown"))</f>
        <v>1.1324028188603821</v>
      </c>
      <c r="X6" s="249">
        <f t="shared" ref="X6:X53" si="8">IF(ISBLANK($A6), "", IF(ISNUMBER(D6), D6/$B6, "Unknown"))</f>
        <v>1.113322649828852</v>
      </c>
      <c r="Y6" s="249">
        <f t="shared" ref="Y6:Y53" si="9">IF(ISBLANK($A6), "", IF(ISNUMBER(E6), E6/$B6, "Unknown"))</f>
        <v>1.0295075335388708</v>
      </c>
      <c r="Z6" s="249">
        <f t="shared" ref="Z6:Z53" si="10">IF(ISBLANK($A6), "", IF(ISNUMBER(F6), F6/$B6, "Unknown"))</f>
        <v>1.2606152989591404</v>
      </c>
      <c r="AA6" s="249">
        <f t="shared" ref="AA6:AA53" si="11">IF(ISBLANK($A6), "", IF(ISNUMBER(G6), G6/$B6, "Unknown"))</f>
        <v>0.69952591514433671</v>
      </c>
      <c r="AB6" s="249">
        <f t="shared" ref="AB6:AB53" si="12">IF(ISBLANK($A6), "", IF(ISNUMBER(H6), H6/$B6, "Unknown"))</f>
        <v>0.76746591374720963</v>
      </c>
      <c r="AC6" s="249">
        <f t="shared" ref="AC6:AC53" si="13">IF(ISBLANK($A6), "", IF(ISNUMBER(I6), I6/$B6, "Unknown"))</f>
        <v>0.79986570897424814</v>
      </c>
      <c r="AD6" s="249">
        <f t="shared" ref="AD6:AD53" si="14">IF(ISBLANK($A6), "", IF(ISNUMBER(J6), J6/$B6, "Unknown"))</f>
        <v>0.51212529102470938</v>
      </c>
      <c r="AE6" s="249">
        <f t="shared" ref="AE6:AE53" si="15">IF(ISBLANK($A6), "", IF(ISNUMBER(K6), K6/$B6, "Unknown"))</f>
        <v>0.8535007939644107</v>
      </c>
      <c r="AF6" s="249">
        <f t="shared" ref="AF6:AF53" si="16">IF(ISBLANK($A6), "", IF(ISNUMBER(L6), L6/$B6, "Unknown"))</f>
        <v>1.2907265165345825</v>
      </c>
      <c r="AG6" s="249">
        <f t="shared" ref="AG6:AG53" si="17">IF(ISBLANK($A6), "", IF(ISNUMBER(M6), M6/$B6, "Unknown"))</f>
        <v>1.4955724624157161</v>
      </c>
      <c r="AH6" s="249">
        <f t="shared" ref="AH6:AH53" si="18">IF(ISBLANK($A6), "", IF(ISNUMBER(N6), N6/$B6, "Unknown"))</f>
        <v>0.97049246646112908</v>
      </c>
      <c r="AI6" s="249">
        <f t="shared" ref="AI6:AI53" si="19">IF(ISBLANK($A6), "", IF(ISNUMBER(O6), O6/$B6, "Unknown"))</f>
        <v>0.465904363519968</v>
      </c>
      <c r="AJ6" s="249">
        <f t="shared" ref="AJ6:AJ53" si="20">IF(ISBLANK($A6), "", IF(ISNUMBER(P6), P6/$B6, "Unknown"))</f>
        <v>0.72621312861597875</v>
      </c>
      <c r="AK6" s="249">
        <f t="shared" ref="AK6:AK53" si="21">IF(ISBLANK($A6), "", IF(ISNUMBER(Q6), Q6/$B6, "Unknown"))</f>
        <v>1.0923448902160438</v>
      </c>
      <c r="AL6" s="249">
        <f t="shared" ref="AL6:AL53" si="22">IF(ISBLANK($A6), "", IF(ISNUMBER(R6), R6/$B6, "Unknown"))</f>
        <v>1.1639215898889701</v>
      </c>
      <c r="AM6" s="249">
        <f t="shared" ref="AM6:AM53" si="23">IF(ISBLANK($A6), "", IF(ISNUMBER(S6), S6/$B6, "Unknown"))</f>
        <v>0.6923223693607935</v>
      </c>
      <c r="AN6" s="249">
        <f t="shared" ref="AN6:AN53" si="24">IF(ISBLANK($A6), "", IF(ISNUMBER(T6), T6/$B6, "Unknown"))</f>
        <v>1.1938972652800353</v>
      </c>
      <c r="AO6" s="250" cm="1">
        <f t="array" ref="AO6">MEDIAN(_xlfn._xlws.FILTER($W$5:$AN$5,($W$5:$AN$5&lt;&gt;"Unknown")))</f>
        <v>1</v>
      </c>
    </row>
    <row r="7" spans="1:41" x14ac:dyDescent="0.25">
      <c r="A7" s="238">
        <v>46231</v>
      </c>
      <c r="B7" s="245">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252" t="str" cm="1">
        <f t="array" ref="U7">_xlfn._xlws.FILTER('Daily WE'!F:F, ('Daily WE'!$B:$B="n/a") * ('Daily WE'!$C:$C ='Daily IE'!$A7))</f>
        <v>B</v>
      </c>
      <c r="V7" s="253" cm="1">
        <f t="array" ref="V7">_xlfn._xlws.FILTER('Daily WE'!G:G, ('Daily WE'!$B:$B="n/a") * ('Daily WE'!$C:$C ='Daily IE'!$A7))</f>
        <v>1000</v>
      </c>
      <c r="W7" s="249">
        <f t="shared" si="7"/>
        <v>1.1514780414659265</v>
      </c>
      <c r="X7" s="249">
        <f t="shared" si="8"/>
        <v>1.8371227417723974</v>
      </c>
      <c r="Y7" s="249">
        <f t="shared" si="9"/>
        <v>1.026186205363711</v>
      </c>
      <c r="Z7" s="249">
        <f t="shared" si="10"/>
        <v>1.3734531669186678</v>
      </c>
      <c r="AA7" s="249">
        <f t="shared" si="11"/>
        <v>0.97381379463628881</v>
      </c>
      <c r="AB7" s="249">
        <f t="shared" si="12"/>
        <v>1.0533096671393645</v>
      </c>
      <c r="AC7" s="249">
        <f t="shared" si="13"/>
        <v>1.1170330857148223</v>
      </c>
      <c r="AD7" s="249">
        <f t="shared" si="14"/>
        <v>0.59928813591157104</v>
      </c>
      <c r="AE7" s="249">
        <f t="shared" si="15"/>
        <v>0.85482668269456508</v>
      </c>
      <c r="AF7" s="249">
        <f t="shared" si="16"/>
        <v>1.7293852111331285</v>
      </c>
      <c r="AG7" s="249">
        <f t="shared" si="17"/>
        <v>1.4856108914579438</v>
      </c>
      <c r="AH7" s="249">
        <f t="shared" si="18"/>
        <v>0.74169351026630725</v>
      </c>
      <c r="AI7" s="249">
        <f t="shared" si="19"/>
        <v>0.6633271037399473</v>
      </c>
      <c r="AJ7" s="249">
        <f t="shared" si="20"/>
        <v>0.77107966053411714</v>
      </c>
      <c r="AK7" s="249">
        <f t="shared" si="21"/>
        <v>0.8397003534276849</v>
      </c>
      <c r="AL7" s="249">
        <f t="shared" si="22"/>
        <v>0.81739152211818689</v>
      </c>
      <c r="AM7" s="249">
        <f t="shared" si="23"/>
        <v>0.8699166987537682</v>
      </c>
      <c r="AN7" s="249">
        <f t="shared" si="24"/>
        <v>1.1929677595063908</v>
      </c>
      <c r="AO7" s="250" cm="1">
        <f t="array" ref="AO7">MEDIAN(_xlfn._xlws.FILTER($W$5:$AN$5,($W$5:$AN$5&lt;&gt;"Unknown")))</f>
        <v>1</v>
      </c>
    </row>
    <row r="8" spans="1:41" x14ac:dyDescent="0.25">
      <c r="A8" s="238">
        <v>46232</v>
      </c>
      <c r="B8" s="245">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252" t="str" cm="1">
        <f t="array" ref="U8">_xlfn._xlws.FILTER('Daily WE'!F:F, ('Daily WE'!$B:$B="n/a") * ('Daily WE'!$C:$C ='Daily IE'!$A8))</f>
        <v>A</v>
      </c>
      <c r="V8" s="253" cm="1">
        <f t="array" ref="V8">_xlfn._xlws.FILTER('Daily WE'!G:G, ('Daily WE'!$B:$B="n/a") * ('Daily WE'!$C:$C ='Daily IE'!$A8))</f>
        <v>1000</v>
      </c>
      <c r="W8" s="249">
        <f t="shared" si="7"/>
        <v>0.98313101711085848</v>
      </c>
      <c r="X8" s="249">
        <f t="shared" si="8"/>
        <v>1.2781287144073501</v>
      </c>
      <c r="Y8" s="249">
        <f t="shared" si="9"/>
        <v>1.2972466506963694</v>
      </c>
      <c r="Z8" s="249">
        <f t="shared" si="10"/>
        <v>1.3761371507311848</v>
      </c>
      <c r="AA8" s="249">
        <f t="shared" si="11"/>
        <v>0.78868999991448852</v>
      </c>
      <c r="AB8" s="249">
        <f t="shared" si="12"/>
        <v>0.98470809415553084</v>
      </c>
      <c r="AC8" s="249">
        <f t="shared" si="13"/>
        <v>1.0152919058444692</v>
      </c>
      <c r="AD8" s="249">
        <f t="shared" si="14"/>
        <v>0.84573230247140552</v>
      </c>
      <c r="AE8" s="249">
        <f t="shared" si="15"/>
        <v>1.0443279587296894</v>
      </c>
      <c r="AF8" s="249">
        <f t="shared" si="16"/>
        <v>1.666974100998897</v>
      </c>
      <c r="AG8" s="249">
        <f t="shared" si="17"/>
        <v>1.6071893213193695</v>
      </c>
      <c r="AH8" s="249">
        <f t="shared" si="18"/>
        <v>0.76509858869317604</v>
      </c>
      <c r="AI8" s="249">
        <f t="shared" si="19"/>
        <v>0.75497890919041344</v>
      </c>
      <c r="AJ8" s="249">
        <f t="shared" si="20"/>
        <v>0.72539680406741736</v>
      </c>
      <c r="AK8" s="249">
        <f t="shared" si="21"/>
        <v>1.2137409708979812</v>
      </c>
      <c r="AL8" s="249">
        <f t="shared" si="22"/>
        <v>0.97417918087277966</v>
      </c>
      <c r="AM8" s="249">
        <f t="shared" si="23"/>
        <v>0.89673504739171495</v>
      </c>
      <c r="AN8" s="249">
        <f t="shared" si="24"/>
        <v>1.3262228455063076</v>
      </c>
      <c r="AO8" s="250" cm="1">
        <f t="array" ref="AO8">MEDIAN(_xlfn._xlws.FILTER($W$5:$AN$5,($W$5:$AN$5&lt;&gt;"Unknown")))</f>
        <v>1</v>
      </c>
    </row>
    <row r="9" spans="1:41" x14ac:dyDescent="0.25">
      <c r="A9" s="238">
        <v>46233</v>
      </c>
      <c r="B9" s="245">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252" t="str" cm="1">
        <f t="array" ref="U9">_xlfn._xlws.FILTER('Daily WE'!F:F, ('Daily WE'!$B:$B="n/a") * ('Daily WE'!$C:$C ='Daily IE'!$A9))</f>
        <v>A</v>
      </c>
      <c r="V9" s="253" cm="1">
        <f t="array" ref="V9">_xlfn._xlws.FILTER('Daily WE'!G:G, ('Daily WE'!$B:$B="n/a") * ('Daily WE'!$C:$C ='Daily IE'!$A9))</f>
        <v>1000</v>
      </c>
      <c r="W9" s="249">
        <f t="shared" si="7"/>
        <v>0.81200904358799086</v>
      </c>
      <c r="X9" s="249">
        <f t="shared" si="8"/>
        <v>1.3165781586834218</v>
      </c>
      <c r="Y9" s="249">
        <f t="shared" si="9"/>
        <v>1.3352174141647826</v>
      </c>
      <c r="Z9" s="249">
        <f t="shared" si="10"/>
        <v>1.1815171670434828</v>
      </c>
      <c r="AA9" s="249">
        <f t="shared" si="11"/>
        <v>0.80740312319259677</v>
      </c>
      <c r="AB9" s="249">
        <f t="shared" si="12"/>
        <v>0.9310991639939008</v>
      </c>
      <c r="AC9" s="249">
        <f t="shared" si="13"/>
        <v>1.0476313160523685</v>
      </c>
      <c r="AD9" s="249">
        <f t="shared" si="14"/>
        <v>0.84386403070613591</v>
      </c>
      <c r="AE9" s="249">
        <f t="shared" si="15"/>
        <v>1.0830669330669329</v>
      </c>
      <c r="AF9" s="249">
        <f t="shared" si="16"/>
        <v>0.93498343761501657</v>
      </c>
      <c r="AG9" s="249">
        <f t="shared" si="17"/>
        <v>1.6090882801409114</v>
      </c>
      <c r="AH9" s="249">
        <f t="shared" si="18"/>
        <v>1.1106406751143594</v>
      </c>
      <c r="AI9" s="249">
        <f t="shared" si="19"/>
        <v>0.66970266575529735</v>
      </c>
      <c r="AJ9" s="249">
        <f t="shared" si="20"/>
        <v>0.97836768494663229</v>
      </c>
      <c r="AK9" s="249">
        <f t="shared" si="21"/>
        <v>1.0216323150533677</v>
      </c>
      <c r="AL9" s="249">
        <f t="shared" si="22"/>
        <v>0.96941611020558383</v>
      </c>
      <c r="AM9" s="249">
        <f t="shared" si="23"/>
        <v>0.90968242284031753</v>
      </c>
      <c r="AN9" s="249">
        <f t="shared" si="24"/>
        <v>1.1768599821231398</v>
      </c>
      <c r="AO9" s="250" cm="1">
        <f t="array" ref="AO9">MEDIAN(_xlfn._xlws.FILTER($W$5:$AN$5,($W$5:$AN$5&lt;&gt;"Unknown")))</f>
        <v>1</v>
      </c>
    </row>
    <row r="10" spans="1:41" x14ac:dyDescent="0.25">
      <c r="A10" s="238">
        <v>46234</v>
      </c>
      <c r="B10" s="245">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252" t="str" cm="1">
        <f t="array" ref="U10">_xlfn._xlws.FILTER('Daily WE'!F:F, ('Daily WE'!$B:$B="n/a") * ('Daily WE'!$C:$C ='Daily IE'!$A10))</f>
        <v>C</v>
      </c>
      <c r="V10" s="253" cm="1">
        <f t="array" ref="V10">_xlfn._xlws.FILTER('Daily WE'!G:G, ('Daily WE'!$B:$B="n/a") * ('Daily WE'!$C:$C ='Daily IE'!$A10))</f>
        <v>1500</v>
      </c>
      <c r="W10" s="249">
        <f t="shared" si="7"/>
        <v>1.6837218392499267</v>
      </c>
      <c r="X10" s="249">
        <f t="shared" si="8"/>
        <v>1.3688368938041922</v>
      </c>
      <c r="Y10" s="249">
        <f t="shared" si="9"/>
        <v>1.0816013861292215</v>
      </c>
      <c r="Z10" s="249">
        <f t="shared" si="10"/>
        <v>1.213114510525976</v>
      </c>
      <c r="AA10" s="249">
        <f t="shared" si="11"/>
        <v>0.59463206372445654</v>
      </c>
      <c r="AB10" s="249">
        <f t="shared" si="12"/>
        <v>0.8537586811657063</v>
      </c>
      <c r="AC10" s="249">
        <f t="shared" si="13"/>
        <v>0.89082232276078344</v>
      </c>
      <c r="AD10" s="249">
        <f t="shared" si="14"/>
        <v>0.91652880235486534</v>
      </c>
      <c r="AE10" s="249">
        <f t="shared" si="15"/>
        <v>1.0629478447164966</v>
      </c>
      <c r="AF10" s="249">
        <f t="shared" si="16"/>
        <v>1.6025290457960957</v>
      </c>
      <c r="AG10" s="249">
        <f t="shared" si="17"/>
        <v>2.3126345427105064</v>
      </c>
      <c r="AH10" s="249">
        <f t="shared" si="18"/>
        <v>0.93705215528350327</v>
      </c>
      <c r="AI10" s="249">
        <f t="shared" si="19"/>
        <v>0.67033428595429823</v>
      </c>
      <c r="AJ10" s="249">
        <f t="shared" si="20"/>
        <v>0.60178672148094559</v>
      </c>
      <c r="AK10" s="249">
        <f t="shared" si="21"/>
        <v>1.0844449625666248</v>
      </c>
      <c r="AL10" s="249">
        <f t="shared" si="22"/>
        <v>0.8286453752738</v>
      </c>
      <c r="AM10" s="249">
        <f t="shared" si="23"/>
        <v>0.88743471803390905</v>
      </c>
      <c r="AN10" s="249">
        <f t="shared" si="24"/>
        <v>1.1970679618197289</v>
      </c>
      <c r="AO10" s="250" cm="1">
        <f t="array" ref="AO10">MEDIAN(_xlfn._xlws.FILTER($W$5:$AN$5,($W$5:$AN$5&lt;&gt;"Unknown")))</f>
        <v>1</v>
      </c>
    </row>
    <row r="11" spans="1:41" x14ac:dyDescent="0.25">
      <c r="A11" s="238">
        <v>46235</v>
      </c>
      <c r="B11" s="245">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252" t="str" cm="1">
        <f t="array" ref="U11">_xlfn._xlws.FILTER('Daily WE'!F:F, ('Daily WE'!$B:$B="n/a") * ('Daily WE'!$C:$C ='Daily IE'!$A11))</f>
        <v>C</v>
      </c>
      <c r="V11" s="253" cm="1">
        <f t="array" ref="V11">_xlfn._xlws.FILTER('Daily WE'!G:G, ('Daily WE'!$B:$B="n/a") * ('Daily WE'!$C:$C ='Daily IE'!$A11))</f>
        <v>1500</v>
      </c>
      <c r="W11" s="249">
        <f t="shared" si="7"/>
        <v>1.1006601393852173</v>
      </c>
      <c r="X11" s="249">
        <f t="shared" si="8"/>
        <v>1.2905159031741669</v>
      </c>
      <c r="Y11" s="249">
        <f t="shared" si="9"/>
        <v>1.2914962081399672</v>
      </c>
      <c r="Z11" s="249">
        <f t="shared" si="10"/>
        <v>0.94404985204469383</v>
      </c>
      <c r="AA11" s="249">
        <f t="shared" si="11"/>
        <v>0.92853677861682005</v>
      </c>
      <c r="AB11" s="249">
        <f t="shared" si="12"/>
        <v>3.1376226897142767</v>
      </c>
      <c r="AC11" s="249">
        <f t="shared" si="13"/>
        <v>1.7159884708051032</v>
      </c>
      <c r="AD11" s="249">
        <f t="shared" si="14"/>
        <v>0.62705459793347662</v>
      </c>
      <c r="AE11" s="249">
        <f t="shared" si="15"/>
        <v>2.4878725158870041</v>
      </c>
      <c r="AF11" s="249">
        <f t="shared" si="16"/>
        <v>1.0413466358359071</v>
      </c>
      <c r="AG11" s="249">
        <f t="shared" si="17"/>
        <v>0.72026846207331474</v>
      </c>
      <c r="AH11" s="249">
        <f t="shared" si="18"/>
        <v>0.71092120369322309</v>
      </c>
      <c r="AI11" s="249">
        <f t="shared" si="19"/>
        <v>0.55436043691282766</v>
      </c>
      <c r="AJ11" s="249">
        <f t="shared" si="20"/>
        <v>0.79792074284882686</v>
      </c>
      <c r="AK11" s="249">
        <f t="shared" si="21"/>
        <v>1.6414650809307441</v>
      </c>
      <c r="AL11" s="249">
        <f t="shared" si="22"/>
        <v>0.87047948029688071</v>
      </c>
      <c r="AM11" s="249">
        <f t="shared" si="23"/>
        <v>2.2285565868408712</v>
      </c>
      <c r="AN11" s="249">
        <f t="shared" si="24"/>
        <v>0.95865336416409297</v>
      </c>
      <c r="AO11" s="250" cm="1">
        <f t="array" ref="AO11">MEDIAN(_xlfn._xlws.FILTER($W$5:$AN$5,($W$5:$AN$5&lt;&gt;"Unknown")))</f>
        <v>1</v>
      </c>
    </row>
    <row r="12" spans="1:41" x14ac:dyDescent="0.25">
      <c r="A12" s="238">
        <v>46237</v>
      </c>
      <c r="B12" s="245">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252" t="str" cm="1">
        <f t="array" ref="U12">_xlfn._xlws.FILTER('Daily WE'!F:F, ('Daily WE'!$B:$B="n/a") * ('Daily WE'!$C:$C ='Daily IE'!$A12))</f>
        <v>A</v>
      </c>
      <c r="V12" s="253" cm="1">
        <f t="array" ref="V12">_xlfn._xlws.FILTER('Daily WE'!G:G, ('Daily WE'!$B:$B="n/a") * ('Daily WE'!$C:$C ='Daily IE'!$A12))</f>
        <v>1000</v>
      </c>
      <c r="W12" s="249">
        <f t="shared" si="7"/>
        <v>0.6442952944902014</v>
      </c>
      <c r="X12" s="249">
        <f t="shared" si="8"/>
        <v>1.190201688726225</v>
      </c>
      <c r="Y12" s="249">
        <f t="shared" si="9"/>
        <v>1.3252773675375591</v>
      </c>
      <c r="Z12" s="249">
        <f t="shared" si="10"/>
        <v>1.0158778377802751</v>
      </c>
      <c r="AA12" s="249">
        <f t="shared" si="11"/>
        <v>0.8030411644532377</v>
      </c>
      <c r="AB12" s="249">
        <f t="shared" si="12"/>
        <v>1.0765072007667367</v>
      </c>
      <c r="AC12" s="249">
        <f t="shared" si="13"/>
        <v>1.1379985819856124</v>
      </c>
      <c r="AD12" s="249">
        <f t="shared" si="14"/>
        <v>0.98412216221972493</v>
      </c>
      <c r="AE12" s="249">
        <f t="shared" si="15"/>
        <v>0.85798838124970223</v>
      </c>
      <c r="AF12" s="249">
        <f t="shared" si="16"/>
        <v>0.93070841868976584</v>
      </c>
      <c r="AG12" s="249">
        <f t="shared" si="17"/>
        <v>1.0822846285558954</v>
      </c>
      <c r="AH12" s="249">
        <f t="shared" si="18"/>
        <v>1.3801035206550891</v>
      </c>
      <c r="AI12" s="249">
        <f t="shared" si="19"/>
        <v>0.47847504602941954</v>
      </c>
      <c r="AJ12" s="249">
        <f t="shared" si="20"/>
        <v>0.77948643218051938</v>
      </c>
      <c r="AK12" s="249">
        <f t="shared" si="21"/>
        <v>0.91978690550587516</v>
      </c>
      <c r="AL12" s="249">
        <f t="shared" si="22"/>
        <v>1.073386448154199</v>
      </c>
      <c r="AM12" s="249">
        <f t="shared" si="23"/>
        <v>0.84954082676404075</v>
      </c>
      <c r="AN12" s="249">
        <f t="shared" si="24"/>
        <v>1.7003842090366188</v>
      </c>
      <c r="AO12" s="250" cm="1">
        <f t="array" ref="AO12">MEDIAN(_xlfn._xlws.FILTER($W$5:$AN$5,($W$5:$AN$5&lt;&gt;"Unknown")))</f>
        <v>1</v>
      </c>
    </row>
    <row r="13" spans="1:41" x14ac:dyDescent="0.25">
      <c r="A13" s="238">
        <v>46238</v>
      </c>
      <c r="B13" s="245">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252" t="str" cm="1">
        <f t="array" ref="U13">_xlfn._xlws.FILTER('Daily WE'!F:F, ('Daily WE'!$B:$B="n/a") * ('Daily WE'!$C:$C ='Daily IE'!$A13))</f>
        <v>A</v>
      </c>
      <c r="V13" s="253" cm="1">
        <f t="array" ref="V13">_xlfn._xlws.FILTER('Daily WE'!G:G, ('Daily WE'!$B:$B="n/a") * ('Daily WE'!$C:$C ='Daily IE'!$A13))</f>
        <v>1000</v>
      </c>
      <c r="W13" s="249">
        <f t="shared" si="7"/>
        <v>1.197676367624311</v>
      </c>
      <c r="X13" s="249">
        <f t="shared" si="8"/>
        <v>1.062760103634387</v>
      </c>
      <c r="Y13" s="249">
        <f t="shared" si="9"/>
        <v>1.1710877300525355</v>
      </c>
      <c r="Z13" s="249">
        <f t="shared" si="10"/>
        <v>1.0880078156802084</v>
      </c>
      <c r="AA13" s="249">
        <f t="shared" si="11"/>
        <v>0.68738332750669262</v>
      </c>
      <c r="AB13" s="249">
        <f t="shared" si="12"/>
        <v>0.99468897711327464</v>
      </c>
      <c r="AC13" s="249">
        <f t="shared" si="13"/>
        <v>1.0053110228867252</v>
      </c>
      <c r="AD13" s="249">
        <f t="shared" si="14"/>
        <v>0.84044039825488115</v>
      </c>
      <c r="AE13" s="249">
        <f t="shared" si="15"/>
        <v>0.95326778761655284</v>
      </c>
      <c r="AF13" s="249">
        <f t="shared" si="16"/>
        <v>1.0158564443444071</v>
      </c>
      <c r="AG13" s="249">
        <f t="shared" si="17"/>
        <v>1.2106833452260655</v>
      </c>
      <c r="AH13" s="249">
        <f t="shared" si="18"/>
        <v>0.67688388063847205</v>
      </c>
      <c r="AI13" s="249">
        <f t="shared" si="19"/>
        <v>0.57512200027776317</v>
      </c>
      <c r="AJ13" s="249">
        <f t="shared" si="20"/>
        <v>0.53679930654994223</v>
      </c>
      <c r="AK13" s="249">
        <f t="shared" si="21"/>
        <v>1.0476651134279324</v>
      </c>
      <c r="AL13" s="249">
        <f t="shared" si="22"/>
        <v>0.5932695116636576</v>
      </c>
      <c r="AM13" s="249">
        <f t="shared" si="23"/>
        <v>0.85768374271470371</v>
      </c>
      <c r="AN13" s="249">
        <f t="shared" si="24"/>
        <v>1.1447864336648932</v>
      </c>
      <c r="AO13" s="250" cm="1">
        <f t="array" ref="AO13">MEDIAN(_xlfn._xlws.FILTER($W$5:$AN$5,($W$5:$AN$5&lt;&gt;"Unknown")))</f>
        <v>1</v>
      </c>
    </row>
    <row r="14" spans="1:41" x14ac:dyDescent="0.25">
      <c r="A14" s="238">
        <v>46239</v>
      </c>
      <c r="B14" s="245">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252" t="str" cm="1">
        <f t="array" ref="U14">_xlfn._xlws.FILTER('Daily WE'!F:F, ('Daily WE'!$B:$B="n/a") * ('Daily WE'!$C:$C ='Daily IE'!$A14))</f>
        <v>A</v>
      </c>
      <c r="V14" s="253" cm="1">
        <f t="array" ref="V14">_xlfn._xlws.FILTER('Daily WE'!G:G, ('Daily WE'!$B:$B="n/a") * ('Daily WE'!$C:$C ='Daily IE'!$A14))</f>
        <v>1000</v>
      </c>
      <c r="W14" s="249">
        <f t="shared" si="7"/>
        <v>1.1822904705451522</v>
      </c>
      <c r="X14" s="249">
        <f t="shared" si="8"/>
        <v>1.1670008048281413</v>
      </c>
      <c r="Y14" s="249">
        <f t="shared" si="9"/>
        <v>1.1795490893441996</v>
      </c>
      <c r="Z14" s="249">
        <f t="shared" si="10"/>
        <v>1.2021525532086577</v>
      </c>
      <c r="AA14" s="249">
        <f t="shared" si="11"/>
        <v>0.65252217415322356</v>
      </c>
      <c r="AB14" s="249">
        <f t="shared" si="12"/>
        <v>1.0045765548803827</v>
      </c>
      <c r="AC14" s="249">
        <f t="shared" si="13"/>
        <v>0.99542344511961733</v>
      </c>
      <c r="AD14" s="249">
        <f t="shared" si="14"/>
        <v>0.59716282562953493</v>
      </c>
      <c r="AE14" s="249">
        <f t="shared" si="15"/>
        <v>0.82251160173213911</v>
      </c>
      <c r="AF14" s="249">
        <f t="shared" si="16"/>
        <v>1.0672145291134685</v>
      </c>
      <c r="AG14" s="249">
        <f t="shared" si="17"/>
        <v>1.0754593623857673</v>
      </c>
      <c r="AH14" s="249">
        <f t="shared" si="18"/>
        <v>0.54002416553390731</v>
      </c>
      <c r="AI14" s="249">
        <f t="shared" si="19"/>
        <v>0.53989071716601189</v>
      </c>
      <c r="AJ14" s="249">
        <f t="shared" si="20"/>
        <v>0.78779330192641517</v>
      </c>
      <c r="AK14" s="249">
        <f t="shared" si="21"/>
        <v>0.86000335172644959</v>
      </c>
      <c r="AL14" s="249">
        <f t="shared" si="22"/>
        <v>1.0469593427305812</v>
      </c>
      <c r="AM14" s="249">
        <f t="shared" si="23"/>
        <v>0.71196152549070735</v>
      </c>
      <c r="AN14" s="249">
        <f t="shared" si="24"/>
        <v>1.1074042120029051</v>
      </c>
      <c r="AO14" s="250" cm="1">
        <f t="array" ref="AO14">MEDIAN(_xlfn._xlws.FILTER($W$5:$AN$5,($W$5:$AN$5&lt;&gt;"Unknown")))</f>
        <v>1</v>
      </c>
    </row>
    <row r="15" spans="1:41" x14ac:dyDescent="0.25">
      <c r="A15" s="238">
        <v>46240</v>
      </c>
      <c r="B15" s="245">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252" t="str" cm="1">
        <f t="array" ref="U15">_xlfn._xlws.FILTER('Daily WE'!F:F, ('Daily WE'!$B:$B="n/a") * ('Daily WE'!$C:$C ='Daily IE'!$A15))</f>
        <v>A</v>
      </c>
      <c r="V15" s="253" cm="1">
        <f t="array" ref="V15">_xlfn._xlws.FILTER('Daily WE'!G:G, ('Daily WE'!$B:$B="n/a") * ('Daily WE'!$C:$C ='Daily IE'!$A15))</f>
        <v>1000</v>
      </c>
      <c r="W15" s="249">
        <f t="shared" si="7"/>
        <v>1.1722941207108766</v>
      </c>
      <c r="X15" s="249">
        <f t="shared" si="8"/>
        <v>1.1306371628530465</v>
      </c>
      <c r="Y15" s="249">
        <f t="shared" si="9"/>
        <v>1.1997072280140024</v>
      </c>
      <c r="Z15" s="249">
        <f t="shared" si="10"/>
        <v>1.1444752994196643</v>
      </c>
      <c r="AA15" s="249">
        <f t="shared" si="11"/>
        <v>0.76889270235670482</v>
      </c>
      <c r="AB15" s="249">
        <f t="shared" si="12"/>
        <v>1.0835885950508375</v>
      </c>
      <c r="AC15" s="249">
        <f t="shared" si="13"/>
        <v>1.0196064026053417</v>
      </c>
      <c r="AD15" s="249">
        <f t="shared" si="14"/>
        <v>0.79442636702312841</v>
      </c>
      <c r="AE15" s="249">
        <f t="shared" si="15"/>
        <v>1.046382429294743</v>
      </c>
      <c r="AF15" s="249">
        <f t="shared" si="16"/>
        <v>0.93481108257102041</v>
      </c>
      <c r="AG15" s="249">
        <f t="shared" si="17"/>
        <v>0.96870903453777379</v>
      </c>
      <c r="AH15" s="249">
        <f t="shared" si="18"/>
        <v>0.8032413258075215</v>
      </c>
      <c r="AI15" s="249">
        <f t="shared" si="19"/>
        <v>0.53440207901005787</v>
      </c>
      <c r="AJ15" s="249">
        <f t="shared" si="20"/>
        <v>0.98039359739465815</v>
      </c>
      <c r="AK15" s="249">
        <f t="shared" si="21"/>
        <v>1.0219979220864663</v>
      </c>
      <c r="AL15" s="249">
        <f t="shared" si="22"/>
        <v>0.95871092604217778</v>
      </c>
      <c r="AM15" s="249">
        <f t="shared" si="23"/>
        <v>0.82158288764189702</v>
      </c>
      <c r="AN15" s="249">
        <f t="shared" si="24"/>
        <v>1.1326657327934777</v>
      </c>
      <c r="AO15" s="250" cm="1">
        <f t="array" ref="AO15">MEDIAN(_xlfn._xlws.FILTER($W$5:$AN$5,($W$5:$AN$5&lt;&gt;"Unknown")))</f>
        <v>1</v>
      </c>
    </row>
    <row r="16" spans="1:41" x14ac:dyDescent="0.25">
      <c r="A16" s="238">
        <v>46242</v>
      </c>
      <c r="B16" s="245">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252" t="str" cm="1">
        <f t="array" ref="U16">_xlfn._xlws.FILTER('Daily WE'!F:F, ('Daily WE'!$B:$B="n/a") * ('Daily WE'!$C:$C ='Daily IE'!$A16))</f>
        <v>A</v>
      </c>
      <c r="V16" s="253" cm="1">
        <f t="array" ref="V16">_xlfn._xlws.FILTER('Daily WE'!G:G, ('Daily WE'!$B:$B="n/a") * ('Daily WE'!$C:$C ='Daily IE'!$A16))</f>
        <v>1000</v>
      </c>
      <c r="W16" s="249">
        <f t="shared" si="7"/>
        <v>1.3498251590902273</v>
      </c>
      <c r="X16" s="249">
        <f t="shared" si="8"/>
        <v>1.1977296793972183</v>
      </c>
      <c r="Y16" s="249">
        <f t="shared" si="9"/>
        <v>1.2626658266302651</v>
      </c>
      <c r="Z16" s="249">
        <f t="shared" si="10"/>
        <v>1.2255864420791567</v>
      </c>
      <c r="AA16" s="249">
        <f t="shared" si="11"/>
        <v>1.0083714738749789</v>
      </c>
      <c r="AB16" s="249">
        <f t="shared" si="12"/>
        <v>0.90740376527427302</v>
      </c>
      <c r="AC16" s="249">
        <f t="shared" si="13"/>
        <v>0.99162852612502095</v>
      </c>
      <c r="AD16" s="249">
        <f t="shared" si="14"/>
        <v>0.90577369463787871</v>
      </c>
      <c r="AE16" s="249">
        <f t="shared" si="15"/>
        <v>0.96153611100925485</v>
      </c>
      <c r="AF16" s="249">
        <f t="shared" si="16"/>
        <v>1.166428323005108</v>
      </c>
      <c r="AG16" s="249">
        <f t="shared" si="17"/>
        <v>1.5411556723013553</v>
      </c>
      <c r="AH16" s="249">
        <f t="shared" si="18"/>
        <v>0.62325256316662614</v>
      </c>
      <c r="AI16" s="249">
        <f t="shared" si="19"/>
        <v>0.47957855951535683</v>
      </c>
      <c r="AJ16" s="249">
        <f t="shared" si="20"/>
        <v>0.61695117899553431</v>
      </c>
      <c r="AK16" s="249">
        <f t="shared" si="21"/>
        <v>0.89553547320383897</v>
      </c>
      <c r="AL16" s="249">
        <f t="shared" si="22"/>
        <v>1.319668296737303</v>
      </c>
      <c r="AM16" s="249">
        <f t="shared" si="23"/>
        <v>0.87321339480266369</v>
      </c>
      <c r="AN16" s="249">
        <f t="shared" si="24"/>
        <v>1.2502764008662597</v>
      </c>
      <c r="AO16" s="250" cm="1">
        <f t="array" ref="AO16">MEDIAN(_xlfn._xlws.FILTER($W$5:$AN$5,($W$5:$AN$5&lt;&gt;"Unknown")))</f>
        <v>1</v>
      </c>
    </row>
    <row r="17" spans="1:41" x14ac:dyDescent="0.25">
      <c r="A17" s="238">
        <v>46244</v>
      </c>
      <c r="B17" s="245">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252" t="str" cm="1">
        <f t="array" ref="U17">_xlfn._xlws.FILTER('Daily WE'!F:F, ('Daily WE'!$B:$B="n/a") * ('Daily WE'!$C:$C ='Daily IE'!$A17))</f>
        <v>D</v>
      </c>
      <c r="V17" s="253" cm="1">
        <f t="array" ref="V17">_xlfn._xlws.FILTER('Daily WE'!G:G, ('Daily WE'!$B:$B="n/a") * ('Daily WE'!$C:$C ='Daily IE'!$A17))</f>
        <v>1000</v>
      </c>
      <c r="W17" s="249">
        <f t="shared" si="7"/>
        <v>1.1555332728517087</v>
      </c>
      <c r="X17" s="249">
        <f t="shared" si="8"/>
        <v>1.1117795922265197</v>
      </c>
      <c r="Y17" s="249">
        <f t="shared" si="9"/>
        <v>1.1343249136545226</v>
      </c>
      <c r="Z17" s="249">
        <f t="shared" si="10"/>
        <v>0.9013831192602143</v>
      </c>
      <c r="AA17" s="249">
        <f t="shared" si="11"/>
        <v>0.83305479953524653</v>
      </c>
      <c r="AB17" s="249">
        <f t="shared" si="12"/>
        <v>1.1442964236260327</v>
      </c>
      <c r="AC17" s="249">
        <f t="shared" si="13"/>
        <v>1.1389087841601808</v>
      </c>
      <c r="AD17" s="249">
        <f t="shared" si="14"/>
        <v>0.55448121090579194</v>
      </c>
      <c r="AE17" s="249">
        <f t="shared" si="15"/>
        <v>0.97424756083973973</v>
      </c>
      <c r="AF17" s="249">
        <f t="shared" si="16"/>
        <v>1.0257524391602606</v>
      </c>
      <c r="AG17" s="249">
        <f t="shared" si="17"/>
        <v>1.0986805456079198</v>
      </c>
      <c r="AH17" s="249">
        <f t="shared" si="18"/>
        <v>1.1514985118337073</v>
      </c>
      <c r="AI17" s="249">
        <f t="shared" si="19"/>
        <v>0.37525346575625906</v>
      </c>
      <c r="AJ17" s="249">
        <f t="shared" si="20"/>
        <v>0.82545480590173326</v>
      </c>
      <c r="AK17" s="249">
        <f t="shared" si="21"/>
        <v>1.1788505308058383</v>
      </c>
      <c r="AL17" s="249">
        <f t="shared" si="22"/>
        <v>0.72548584252494874</v>
      </c>
      <c r="AM17" s="249">
        <f t="shared" si="23"/>
        <v>0.88825224020754756</v>
      </c>
      <c r="AN17" s="249">
        <f t="shared" si="24"/>
        <v>0.66237883779783224</v>
      </c>
      <c r="AO17" s="250" cm="1">
        <f t="array" ref="AO17">MEDIAN(_xlfn._xlws.FILTER($W$5:$AN$5,($W$5:$AN$5&lt;&gt;"Unknown")))</f>
        <v>1</v>
      </c>
    </row>
    <row r="18" spans="1:41" x14ac:dyDescent="0.25">
      <c r="A18" s="238">
        <v>46245</v>
      </c>
      <c r="B18" s="245">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252" t="str" cm="1">
        <f t="array" ref="U18">_xlfn._xlws.FILTER('Daily WE'!F:F, ('Daily WE'!$B:$B="n/a") * ('Daily WE'!$C:$C ='Daily IE'!$A18))</f>
        <v>E</v>
      </c>
      <c r="V18" s="253" cm="1">
        <f t="array" ref="V18">_xlfn._xlws.FILTER('Daily WE'!G:G, ('Daily WE'!$B:$B="n/a") * ('Daily WE'!$C:$C ='Daily IE'!$A18))</f>
        <v>1000</v>
      </c>
      <c r="W18" s="249">
        <f t="shared" si="7"/>
        <v>0.8945087706090491</v>
      </c>
      <c r="X18" s="249">
        <f t="shared" si="8"/>
        <v>1.1796416472182487</v>
      </c>
      <c r="Y18" s="249">
        <f t="shared" si="9"/>
        <v>1.4258134457577354</v>
      </c>
      <c r="Z18" s="249">
        <f t="shared" si="10"/>
        <v>1.6608145750207031</v>
      </c>
      <c r="AA18" s="249">
        <f t="shared" si="11"/>
        <v>0.90968004215915077</v>
      </c>
      <c r="AB18" s="249">
        <f t="shared" si="12"/>
        <v>0.89030640668523675</v>
      </c>
      <c r="AC18" s="249">
        <f t="shared" si="13"/>
        <v>1.023973499962358</v>
      </c>
      <c r="AD18" s="249">
        <f t="shared" si="14"/>
        <v>0.86763080629375888</v>
      </c>
      <c r="AE18" s="249">
        <f t="shared" si="15"/>
        <v>1.347052623654295</v>
      </c>
      <c r="AF18" s="249">
        <f t="shared" si="16"/>
        <v>1.0576089738763834</v>
      </c>
      <c r="AG18" s="249">
        <f t="shared" si="17"/>
        <v>1.0724896484227959</v>
      </c>
      <c r="AH18" s="249">
        <f t="shared" si="18"/>
        <v>1.5018790935782578</v>
      </c>
      <c r="AI18" s="249">
        <f t="shared" si="19"/>
        <v>0.74087630806293758</v>
      </c>
      <c r="AJ18" s="249">
        <f t="shared" si="20"/>
        <v>0.97602650003764202</v>
      </c>
      <c r="AK18" s="249">
        <f t="shared" si="21"/>
        <v>1.3624346909583678</v>
      </c>
      <c r="AL18" s="249">
        <f t="shared" si="22"/>
        <v>0.82809606263645252</v>
      </c>
      <c r="AM18" s="249">
        <f t="shared" si="23"/>
        <v>0.71383874124821201</v>
      </c>
      <c r="AN18" s="249">
        <f t="shared" si="24"/>
        <v>0.85818565083189036</v>
      </c>
      <c r="AO18" s="250" cm="1">
        <f t="array" ref="AO18">MEDIAN(_xlfn._xlws.FILTER($W$5:$AN$5,($W$5:$AN$5&lt;&gt;"Unknown")))</f>
        <v>1</v>
      </c>
    </row>
    <row r="19" spans="1:41" x14ac:dyDescent="0.25">
      <c r="A19" s="238">
        <v>46246</v>
      </c>
      <c r="B19" s="245">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252" t="str" cm="1">
        <f t="array" ref="U19">_xlfn._xlws.FILTER('Daily WE'!F:F, ('Daily WE'!$B:$B="n/a") * ('Daily WE'!$C:$C ='Daily IE'!$A19))</f>
        <v>G</v>
      </c>
      <c r="V19" s="253" cm="1">
        <f t="array" ref="V19">_xlfn._xlws.FILTER('Daily WE'!G:G, ('Daily WE'!$B:$B="n/a") * ('Daily WE'!$C:$C ='Daily IE'!$A19))</f>
        <v>1000</v>
      </c>
      <c r="W19" s="249">
        <f t="shared" si="7"/>
        <v>0.80716886114877273</v>
      </c>
      <c r="X19" s="249">
        <f t="shared" si="8"/>
        <v>1.0031583149855918</v>
      </c>
      <c r="Y19" s="249">
        <f t="shared" si="9"/>
        <v>1.2069743816778202</v>
      </c>
      <c r="Z19" s="249">
        <f t="shared" si="10"/>
        <v>1.1391437369309398</v>
      </c>
      <c r="AA19" s="249">
        <f t="shared" si="11"/>
        <v>1.7769889676381416</v>
      </c>
      <c r="AB19" s="249">
        <f t="shared" si="12"/>
        <v>2.0221595917512243</v>
      </c>
      <c r="AC19" s="249">
        <f t="shared" si="13"/>
        <v>2.2912053379080808</v>
      </c>
      <c r="AD19" s="249">
        <f t="shared" si="14"/>
        <v>1.324081064735575</v>
      </c>
      <c r="AE19" s="249">
        <f t="shared" si="15"/>
        <v>0.99684168501440806</v>
      </c>
      <c r="AF19" s="249">
        <f t="shared" si="16"/>
        <v>1.0760011542277543</v>
      </c>
      <c r="AG19" s="249">
        <f t="shared" si="17"/>
        <v>0.92606222552503514</v>
      </c>
      <c r="AH19" s="249">
        <f t="shared" si="18"/>
        <v>0.40291640149733376</v>
      </c>
      <c r="AI19" s="249">
        <f t="shared" si="19"/>
        <v>0.78966728989694956</v>
      </c>
      <c r="AJ19" s="249">
        <f t="shared" si="20"/>
        <v>0.33225236478340436</v>
      </c>
      <c r="AK19" s="249">
        <f t="shared" si="21"/>
        <v>0.92180106963709019</v>
      </c>
      <c r="AL19" s="249">
        <f t="shared" si="22"/>
        <v>0.49693220493076612</v>
      </c>
      <c r="AM19" s="249">
        <f t="shared" si="23"/>
        <v>1.1230161710470665</v>
      </c>
      <c r="AN19" s="249">
        <f t="shared" si="24"/>
        <v>0.84402509259515457</v>
      </c>
      <c r="AO19" s="250" cm="1">
        <f t="array" ref="AO19">MEDIAN(_xlfn._xlws.FILTER($W$5:$AN$5,($W$5:$AN$5&lt;&gt;"Unknown")))</f>
        <v>1</v>
      </c>
    </row>
    <row r="20" spans="1:41" x14ac:dyDescent="0.25">
      <c r="A20" s="238">
        <v>46247</v>
      </c>
      <c r="B20" s="245">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252" t="str" cm="1">
        <f t="array" ref="U20">_xlfn._xlws.FILTER('Daily WE'!F:F, ('Daily WE'!$B:$B="n/a") * ('Daily WE'!$C:$C ='Daily IE'!$A20))</f>
        <v>F</v>
      </c>
      <c r="V20" s="253" cm="1">
        <f t="array" ref="V20">_xlfn._xlws.FILTER('Daily WE'!G:G, ('Daily WE'!$B:$B="n/a") * ('Daily WE'!$C:$C ='Daily IE'!$A20))</f>
        <v>1000</v>
      </c>
      <c r="W20" s="249">
        <f t="shared" si="7"/>
        <v>1.5271700662763013</v>
      </c>
      <c r="X20" s="249">
        <f t="shared" si="8"/>
        <v>1.6089564163610235</v>
      </c>
      <c r="Y20" s="249">
        <f t="shared" si="9"/>
        <v>1.1870871136563499</v>
      </c>
      <c r="Z20" s="249">
        <f t="shared" si="10"/>
        <v>1.194696019132188</v>
      </c>
      <c r="AA20" s="249">
        <f t="shared" si="11"/>
        <v>0.69255517662956045</v>
      </c>
      <c r="AB20" s="249">
        <f t="shared" si="12"/>
        <v>0.99719827123951699</v>
      </c>
      <c r="AC20" s="249">
        <f t="shared" si="13"/>
        <v>0.99173154880638315</v>
      </c>
      <c r="AD20" s="249">
        <f t="shared" si="14"/>
        <v>0.73998214400617712</v>
      </c>
      <c r="AE20" s="249">
        <f t="shared" si="15"/>
        <v>1.3985988675117429</v>
      </c>
      <c r="AF20" s="249">
        <f t="shared" si="16"/>
        <v>1.4150606996546768</v>
      </c>
      <c r="AG20" s="249">
        <f t="shared" si="17"/>
        <v>1.6798307702207065</v>
      </c>
      <c r="AH20" s="249">
        <f t="shared" si="18"/>
        <v>0.75956877506809939</v>
      </c>
      <c r="AI20" s="249">
        <f t="shared" si="19"/>
        <v>1.1708813246680823</v>
      </c>
      <c r="AJ20" s="249">
        <f t="shared" si="20"/>
        <v>0.59672264762027327</v>
      </c>
      <c r="AK20" s="249">
        <f t="shared" si="21"/>
        <v>0.92830523561332379</v>
      </c>
      <c r="AL20" s="249">
        <f t="shared" si="22"/>
        <v>0.75867999699719024</v>
      </c>
      <c r="AM20" s="249">
        <f t="shared" si="23"/>
        <v>0.86148065332561186</v>
      </c>
      <c r="AN20" s="249">
        <f t="shared" si="24"/>
        <v>1.0028017287604831</v>
      </c>
      <c r="AO20" s="250"/>
    </row>
    <row r="21" spans="1:41" x14ac:dyDescent="0.25">
      <c r="A21" s="238">
        <v>46248</v>
      </c>
      <c r="B21" s="245">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252" t="str" cm="1">
        <f t="array" ref="U21">_xlfn._xlws.FILTER('Daily WE'!F:F, ('Daily WE'!$B:$B="n/a") * ('Daily WE'!$C:$C ='Daily IE'!$A21))</f>
        <v>H</v>
      </c>
      <c r="V21" s="253" cm="1">
        <f t="array" ref="V21">_xlfn._xlws.FILTER('Daily WE'!G:G, ('Daily WE'!$B:$B="n/a") * ('Daily WE'!$C:$C ='Daily IE'!$A21))</f>
        <v>1000</v>
      </c>
      <c r="W21" s="249">
        <f t="shared" si="7"/>
        <v>1.292333295027474</v>
      </c>
      <c r="X21" s="249">
        <f t="shared" si="8"/>
        <v>1.1413762869704749</v>
      </c>
      <c r="Y21" s="249">
        <f t="shared" si="9"/>
        <v>1.1089652736102422</v>
      </c>
      <c r="Z21" s="249">
        <f t="shared" si="10"/>
        <v>0.96525445731237591</v>
      </c>
      <c r="AA21" s="249">
        <f t="shared" si="11"/>
        <v>0.73430523811347903</v>
      </c>
      <c r="AB21" s="249">
        <f t="shared" si="12"/>
        <v>1.0795442453958486</v>
      </c>
      <c r="AC21" s="249">
        <f t="shared" si="13"/>
        <v>1.1214040374375935</v>
      </c>
      <c r="AD21" s="249">
        <f t="shared" si="14"/>
        <v>0.8609199364973974</v>
      </c>
      <c r="AE21" s="249">
        <f t="shared" si="15"/>
        <v>0.9328317393839568</v>
      </c>
      <c r="AF21" s="249">
        <f t="shared" si="16"/>
        <v>0.96080033709156387</v>
      </c>
      <c r="AG21" s="249">
        <f t="shared" si="17"/>
        <v>1.2903115968861594</v>
      </c>
      <c r="AH21" s="249">
        <f t="shared" si="18"/>
        <v>0.96402122144617397</v>
      </c>
      <c r="AI21" s="249">
        <f t="shared" si="19"/>
        <v>0.72932654042757861</v>
      </c>
      <c r="AJ21" s="249">
        <f t="shared" si="20"/>
        <v>1.2694561844810195</v>
      </c>
      <c r="AK21" s="249">
        <f t="shared" si="21"/>
        <v>1.0734046673561721</v>
      </c>
      <c r="AL21" s="249">
        <f t="shared" si="22"/>
        <v>1.0347455426876242</v>
      </c>
      <c r="AM21" s="249">
        <f t="shared" si="23"/>
        <v>0.82175645134517428</v>
      </c>
      <c r="AN21" s="249">
        <f t="shared" si="24"/>
        <v>0.85094019604087678</v>
      </c>
      <c r="AO21" s="250"/>
    </row>
    <row r="22" spans="1:41" x14ac:dyDescent="0.25">
      <c r="A22" s="238">
        <v>46251</v>
      </c>
      <c r="B22" s="245">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252" t="str" cm="1">
        <f t="array" ref="U22">_xlfn._xlws.FILTER('Daily WE'!F:F, ('Daily WE'!$B:$B="n/a") * ('Daily WE'!$C:$C ='Daily IE'!$A22))</f>
        <v>I</v>
      </c>
      <c r="V22" s="253" cm="1">
        <f t="array" ref="V22">_xlfn._xlws.FILTER('Daily WE'!G:G, ('Daily WE'!$B:$B="n/a") * ('Daily WE'!$C:$C ='Daily IE'!$A22))</f>
        <v>1000</v>
      </c>
      <c r="W22" s="249">
        <f t="shared" ref="W22" si="25">IF(ISBLANK($A22), "", IF(ISNUMBER(C22), C22/$B22, "Unknown"))</f>
        <v>1.1576114670063442</v>
      </c>
      <c r="X22" s="249">
        <f t="shared" ref="X22" si="26">IF(ISBLANK($A22), "", IF(ISNUMBER(D22), D22/$B22, "Unknown"))</f>
        <v>0.98399710145525954</v>
      </c>
      <c r="Y22" s="249">
        <f t="shared" ref="Y22" si="27">IF(ISBLANK($A22), "", IF(ISNUMBER(E22), E22/$B22, "Unknown"))</f>
        <v>1.1849762893259645</v>
      </c>
      <c r="Z22" s="249">
        <f t="shared" ref="Z22" si="28">IF(ISBLANK($A22), "", IF(ISNUMBER(F22), F22/$B22, "Unknown"))</f>
        <v>1.0787788951259443</v>
      </c>
      <c r="AA22" s="249">
        <f t="shared" ref="AA22" si="29">IF(ISBLANK($A22), "", IF(ISNUMBER(G22), G22/$B22, "Unknown"))</f>
        <v>0.87192932835928738</v>
      </c>
      <c r="AB22" s="249">
        <f t="shared" ref="AB22" si="30">IF(ISBLANK($A22), "", IF(ISNUMBER(H22), H22/$B22, "Unknown"))</f>
        <v>1.1601404679374294</v>
      </c>
      <c r="AC22" s="249">
        <f t="shared" ref="AC22" si="31">IF(ISBLANK($A22), "", IF(ISNUMBER(I22), I22/$B22, "Unknown"))</f>
        <v>1.119449359078907</v>
      </c>
      <c r="AD22" s="249">
        <f t="shared" ref="AD22" si="32">IF(ISBLANK($A22), "", IF(ISNUMBER(J22), J22/$B22, "Unknown"))</f>
        <v>0.90810952535297629</v>
      </c>
      <c r="AE22" s="249">
        <f t="shared" ref="AE22" si="33">IF(ISBLANK($A22), "", IF(ISNUMBER(K22), K22/$B22, "Unknown"))</f>
        <v>0.98105004118658656</v>
      </c>
      <c r="AF22" s="249">
        <f t="shared" ref="AF22" si="34">IF(ISBLANK($A22), "", IF(ISNUMBER(L22), L22/$B22, "Unknown"))</f>
        <v>0.96304561904781572</v>
      </c>
      <c r="AG22" s="249">
        <f t="shared" ref="AG22" si="35">IF(ISBLANK($A22), "", IF(ISNUMBER(M22), M22/$B22, "Unknown"))</f>
        <v>1.2071902077083949</v>
      </c>
      <c r="AH22" s="249">
        <f t="shared" ref="AH22" si="36">IF(ISBLANK($A22), "", IF(ISNUMBER(N22), N22/$B22, "Unknown"))</f>
        <v>1.0047648442032202</v>
      </c>
      <c r="AI22" s="249">
        <f t="shared" ref="AI22" si="37">IF(ISBLANK($A22), "", IF(ISNUMBER(O22), O22/$B22, "Unknown"))</f>
        <v>0.96970669782671082</v>
      </c>
      <c r="AJ22" s="249">
        <f t="shared" ref="AJ22" si="38">IF(ISBLANK($A22), "", IF(ISNUMBER(P22), P22/$B22, "Unknown"))</f>
        <v>0.95249916904255116</v>
      </c>
      <c r="AK22" s="249">
        <f t="shared" ref="AK22" si="39">IF(ISBLANK($A22), "", IF(ISNUMBER(Q22), Q22/$B22, "Unknown"))</f>
        <v>1.3423730493144859</v>
      </c>
      <c r="AL22" s="249">
        <f t="shared" ref="AL22" si="40">IF(ISBLANK($A22), "", IF(ISNUMBER(R22), R22/$B22, "Unknown"))</f>
        <v>0.9952351557967799</v>
      </c>
      <c r="AM22" s="249">
        <f t="shared" ref="AM22" si="41">IF(ISBLANK($A22), "", IF(ISNUMBER(S22), S22/$B22, "Unknown"))</f>
        <v>0.70811097049636551</v>
      </c>
      <c r="AN22" s="249">
        <f t="shared" ref="AN22" si="42">IF(ISBLANK($A22), "", IF(ISNUMBER(T22), T22/$B22, "Unknown"))</f>
        <v>1.2420904205573713</v>
      </c>
    </row>
    <row r="23" spans="1:41" x14ac:dyDescent="0.25">
      <c r="A23" s="238">
        <v>46252</v>
      </c>
      <c r="B23" s="245">
        <f t="shared" si="6"/>
        <v>0.11287549999999999</v>
      </c>
      <c r="C23" s="129" cm="1">
        <f t="array" ref="C23">IF($A23&lt;&gt;"", IFERROR(_xlfn._xlws.FILTER(Log!$G:$G, (Log!$A:$A="Daily") * (Log!$B:$B="n/a") * (Log!$C:$C=$A23) * (Log!$D:$D=C$3)), "Unknown"), "")</f>
        <v>0.116243</v>
      </c>
      <c r="D23" s="129" cm="1">
        <f t="array" ref="D23">IF($A23&lt;&gt;"", IFERROR(_xlfn._xlws.FILTER(Log!$G:$G, (Log!$A:$A="Daily") * (Log!$B:$B="n/a") * (Log!$C:$C=$A23) * (Log!$D:$D=D$3)), "Unknown"), "")</f>
        <v>0.114894</v>
      </c>
      <c r="E23" s="129" cm="1">
        <f t="array" ref="E23">IF($A23&lt;&gt;"", IFERROR(_xlfn._xlws.FILTER(Log!$G:$G, (Log!$A:$A="Daily") * (Log!$B:$B="n/a") * (Log!$C:$C=$A23) * (Log!$D:$D=E$3)), "Unknown"), "")</f>
        <v>0.12031799999999999</v>
      </c>
      <c r="F23" s="129" cm="1">
        <f t="array" ref="F23">IF($A23&lt;&gt;"", IFERROR(_xlfn._xlws.FILTER(Log!$G:$G, (Log!$A:$A="Daily") * (Log!$B:$B="n/a") * (Log!$C:$C=$A23) * (Log!$D:$D=F$3)), "Unknown"), "")</f>
        <v>0.12797800000000001</v>
      </c>
      <c r="G23" s="129" cm="1">
        <f t="array" ref="G23">IF($A23&lt;&gt;"", IFERROR(_xlfn._xlws.FILTER(Log!$G:$G, (Log!$A:$A="Daily") * (Log!$B:$B="n/a") * (Log!$C:$C=$A23) * (Log!$D:$D=G$3)), "Unknown"), "")</f>
        <v>8.7530300000000005E-2</v>
      </c>
      <c r="H23" s="129" cm="1">
        <f t="array" ref="H23">IF($A23&lt;&gt;"", IFERROR(_xlfn._xlws.FILTER(Log!$G:$G, (Log!$A:$A="Daily") * (Log!$B:$B="n/a") * (Log!$C:$C=$A23) * (Log!$D:$D=H$3)), "Unknown"), "")</f>
        <v>0.11608300000000001</v>
      </c>
      <c r="I23" s="129" cm="1">
        <f t="array" ref="I23">IF($A23&lt;&gt;"", IFERROR(_xlfn._xlws.FILTER(Log!$G:$G, (Log!$A:$A="Daily") * (Log!$B:$B="n/a") * (Log!$C:$C=$A23) * (Log!$D:$D=I$3)), "Unknown"), "")</f>
        <v>0.13243199999999999</v>
      </c>
      <c r="J23" s="129" cm="1">
        <f t="array" ref="J23">IF($A23&lt;&gt;"", IFERROR(_xlfn._xlws.FILTER(Log!$G:$G, (Log!$A:$A="Daily") * (Log!$B:$B="n/a") * (Log!$C:$C=$A23) * (Log!$D:$D=J$3)), "Unknown"), "")</f>
        <v>7.0449899999999996E-2</v>
      </c>
      <c r="K23" s="129" cm="1">
        <f t="array" ref="K23">IF($A23&lt;&gt;"", IFERROR(_xlfn._xlws.FILTER(Log!$G:$G, (Log!$A:$A="Daily") * (Log!$B:$B="n/a") * (Log!$C:$C=$A23) * (Log!$D:$D=K$3)), "Unknown"), "")</f>
        <v>9.5622499999999999E-2</v>
      </c>
      <c r="L23" s="129" cm="1">
        <f t="array" ref="L23">IF($A23&lt;&gt;"", IFERROR(_xlfn._xlws.FILTER(Log!$G:$G, (Log!$A:$A="Daily") * (Log!$B:$B="n/a") * (Log!$C:$C=$A23) * (Log!$D:$D=L$3)), "Unknown"), "")</f>
        <v>9.45627E-2</v>
      </c>
      <c r="M23" s="129" cm="1">
        <f t="array" ref="M23">IF($A23&lt;&gt;"", IFERROR(_xlfn._xlws.FILTER(Log!$G:$G, (Log!$A:$A="Daily") * (Log!$B:$B="n/a") * (Log!$C:$C=$A23) * (Log!$D:$D=M$3)), "Unknown"), "")</f>
        <v>0.135014</v>
      </c>
      <c r="N23" s="129" cm="1">
        <f t="array" ref="N23">IF($A23&lt;&gt;"", IFERROR(_xlfn._xlws.FILTER(Log!$G:$G, (Log!$A:$A="Daily") * (Log!$B:$B="n/a") * (Log!$C:$C=$A23) * (Log!$D:$D=N$3)), "Unknown"), "")</f>
        <v>9.1429200000000002E-2</v>
      </c>
      <c r="O23" s="129" cm="1">
        <f t="array" ref="O23">IF($A23&lt;&gt;"", IFERROR(_xlfn._xlws.FILTER(Log!$G:$G, (Log!$A:$A="Daily") * (Log!$B:$B="n/a") * (Log!$C:$C=$A23) * (Log!$D:$D=O$3)), "Unknown"), "")</f>
        <v>8.6167999999999995E-2</v>
      </c>
      <c r="P23" s="129" cm="1">
        <f t="array" ref="P23">IF($A23&lt;&gt;"", IFERROR(_xlfn._xlws.FILTER(Log!$G:$G, (Log!$A:$A="Daily") * (Log!$B:$B="n/a") * (Log!$C:$C=$A23) * (Log!$D:$D=P$3)), "Unknown"), "")</f>
        <v>8.7048399999999998E-2</v>
      </c>
      <c r="Q23" s="129" cm="1">
        <f t="array" ref="Q23">IF($A23&lt;&gt;"", IFERROR(_xlfn._xlws.FILTER(Log!$G:$G, (Log!$A:$A="Daily") * (Log!$B:$B="n/a") * (Log!$C:$C=$A23) * (Log!$D:$D=Q$3)), "Unknown"), "")</f>
        <v>0.110857</v>
      </c>
      <c r="R23" s="129" cm="1">
        <f t="array" ref="R23">IF($A23&lt;&gt;"", IFERROR(_xlfn._xlws.FILTER(Log!$G:$G, (Log!$A:$A="Daily") * (Log!$B:$B="n/a") * (Log!$C:$C=$A23) * (Log!$D:$D=R$3)), "Unknown"), "")</f>
        <v>0.121682</v>
      </c>
      <c r="S23" s="129" cm="1">
        <f t="array" ref="S23">IF($A23&lt;&gt;"", IFERROR(_xlfn._xlws.FILTER(Log!$G:$G, (Log!$A:$A="Daily") * (Log!$B:$B="n/a") * (Log!$C:$C=$A23) * (Log!$D:$D=S$3)), "Unknown"), "")</f>
        <v>8.5094100000000006E-2</v>
      </c>
      <c r="T23" s="129" cm="1">
        <f t="array" ref="T23">IF($A23&lt;&gt;"", IFERROR(_xlfn._xlws.FILTER(Log!$G:$G, (Log!$A:$A="Daily") * (Log!$B:$B="n/a") * (Log!$C:$C=$A23) * (Log!$D:$D=T$3)), "Unknown"), "")</f>
        <v>0.13900999999999999</v>
      </c>
      <c r="U23" s="252" t="str" cm="1">
        <f t="array" ref="U23">_xlfn._xlws.FILTER('Daily WE'!F:F, ('Daily WE'!$B:$B="n/a") * ('Daily WE'!$C:$C ='Daily IE'!$A23))</f>
        <v>I</v>
      </c>
      <c r="V23" s="253" cm="1">
        <f t="array" ref="V23">_xlfn._xlws.FILTER('Daily WE'!G:G, ('Daily WE'!$B:$B="n/a") * ('Daily WE'!$C:$C ='Daily IE'!$A23))</f>
        <v>1000</v>
      </c>
      <c r="W23" s="249">
        <f t="shared" ref="W23:W48" si="43">IF(ISBLANK($A23), "", IF(ISNUMBER(C23), C23/$B23, "Unknown"))</f>
        <v>1.0298337548892365</v>
      </c>
      <c r="X23" s="249">
        <f t="shared" ref="X23:X48" si="44">IF(ISBLANK($A23), "", IF(ISNUMBER(D23), D23/$B23, "Unknown"))</f>
        <v>1.0178825342966367</v>
      </c>
      <c r="Y23" s="249">
        <f t="shared" ref="Y23:Y48" si="45">IF(ISBLANK($A23), "", IF(ISNUMBER(E23), E23/$B23, "Unknown"))</f>
        <v>1.0659354775837095</v>
      </c>
      <c r="Z23" s="249">
        <f t="shared" ref="Z23:Z48" si="46">IF(ISBLANK($A23), "", IF(ISNUMBER(F23), F23/$B23, "Unknown"))</f>
        <v>1.1337978569308664</v>
      </c>
      <c r="AA23" s="249">
        <f t="shared" ref="AA23:AA48" si="47">IF(ISBLANK($A23), "", IF(ISNUMBER(G23), G23/$B23, "Unknown"))</f>
        <v>0.77545880195436578</v>
      </c>
      <c r="AB23" s="249">
        <f t="shared" ref="AB23:AB48" si="48">IF(ISBLANK($A23), "", IF(ISNUMBER(H23), H23/$B23, "Unknown"))</f>
        <v>1.0284162639368155</v>
      </c>
      <c r="AC23" s="249">
        <f t="shared" ref="AC23:AC48" si="49">IF(ISBLANK($A23), "", IF(ISNUMBER(I23), I23/$B23, "Unknown"))</f>
        <v>1.1732572613188867</v>
      </c>
      <c r="AD23" s="249">
        <f t="shared" ref="AD23:AD48" si="50">IF(ISBLANK($A23), "", IF(ISNUMBER(J23), J23/$B23, "Unknown"))</f>
        <v>0.62413809905603967</v>
      </c>
      <c r="AE23" s="249">
        <f t="shared" ref="AE23:AE48" si="51">IF(ISBLANK($A23), "", IF(ISNUMBER(K23), K23/$B23, "Unknown"))</f>
        <v>0.8471501787367498</v>
      </c>
      <c r="AF23" s="249">
        <f t="shared" ref="AF23:AF48" si="52">IF(ISBLANK($A23), "", IF(ISNUMBER(L23), L23/$B23, "Unknown"))</f>
        <v>0.83776107304065106</v>
      </c>
      <c r="AG23" s="249">
        <f t="shared" ref="AG23:AG48" si="53">IF(ISBLANK($A23), "", IF(ISNUMBER(M23), M23/$B23, "Unknown"))</f>
        <v>1.1961320215635811</v>
      </c>
      <c r="AH23" s="249">
        <f t="shared" ref="AH23:AH48" si="54">IF(ISBLANK($A23), "", IF(ISNUMBER(N23), N23/$B23, "Unknown"))</f>
        <v>0.81000039866933049</v>
      </c>
      <c r="AI23" s="249">
        <f t="shared" ref="AI23:AI48" si="55">IF(ISBLANK($A23), "", IF(ISNUMBER(O23), O23/$B23, "Unknown"))</f>
        <v>0.76338975242634588</v>
      </c>
      <c r="AJ23" s="249">
        <f t="shared" ref="AJ23:AJ48" si="56">IF(ISBLANK($A23), "", IF(ISNUMBER(P23), P23/$B23, "Unknown"))</f>
        <v>0.77118949639204259</v>
      </c>
      <c r="AK23" s="249">
        <f t="shared" ref="AK23:AK48" si="57">IF(ISBLANK($A23), "", IF(ISNUMBER(Q23), Q23/$B23, "Unknown"))</f>
        <v>0.98211746570336356</v>
      </c>
      <c r="AL23" s="249">
        <f t="shared" ref="AL23:AL48" si="58">IF(ISBLANK($A23), "", IF(ISNUMBER(R23), R23/$B23, "Unknown"))</f>
        <v>1.0780195879530989</v>
      </c>
      <c r="AM23" s="249">
        <f t="shared" ref="AM23:AM48" si="59">IF(ISBLANK($A23), "", IF(ISNUMBER(S23), S23/$B23, "Unknown"))</f>
        <v>0.75387573034006505</v>
      </c>
      <c r="AN23" s="249">
        <f t="shared" ref="AN23:AN48" si="60">IF(ISBLANK($A23), "", IF(ISNUMBER(T23), T23/$B23, "Unknown"))</f>
        <v>1.2315338581002964</v>
      </c>
    </row>
    <row r="24" spans="1:41" x14ac:dyDescent="0.25">
      <c r="A24" s="238">
        <v>46253</v>
      </c>
      <c r="B24" s="245">
        <f t="shared" si="6"/>
        <v>0.12506349999999999</v>
      </c>
      <c r="C24" s="129" cm="1">
        <f t="array" ref="C24">IF($A24&lt;&gt;"", IFERROR(_xlfn._xlws.FILTER(Log!$G:$G, (Log!$A:$A="Daily") * (Log!$B:$B="n/a") * (Log!$C:$C=$A24) * (Log!$D:$D=C$3)), "Unknown"), "")</f>
        <v>8.9035699999999995E-2</v>
      </c>
      <c r="D24" s="129" cm="1">
        <f t="array" ref="D24">IF($A24&lt;&gt;"", IFERROR(_xlfn._xlws.FILTER(Log!$G:$G, (Log!$A:$A="Daily") * (Log!$B:$B="n/a") * (Log!$C:$C=$A24) * (Log!$D:$D=D$3)), "Unknown"), "")</f>
        <v>0.144426</v>
      </c>
      <c r="E24" s="129" cm="1">
        <f t="array" ref="E24">IF($A24&lt;&gt;"", IFERROR(_xlfn._xlws.FILTER(Log!$G:$G, (Log!$A:$A="Daily") * (Log!$B:$B="n/a") * (Log!$C:$C=$A24) * (Log!$D:$D=E$3)), "Unknown"), "")</f>
        <v>0.14702699999999999</v>
      </c>
      <c r="F24" s="129" cm="1">
        <f t="array" ref="F24">IF($A24&lt;&gt;"", IFERROR(_xlfn._xlws.FILTER(Log!$G:$G, (Log!$A:$A="Daily") * (Log!$B:$B="n/a") * (Log!$C:$C=$A24) * (Log!$D:$D=F$3)), "Unknown"), "")</f>
        <v>0.16939599999999999</v>
      </c>
      <c r="G24" s="129" cm="1">
        <f t="array" ref="G24">IF($A24&lt;&gt;"", IFERROR(_xlfn._xlws.FILTER(Log!$G:$G, (Log!$A:$A="Daily") * (Log!$B:$B="n/a") * (Log!$C:$C=$A24) * (Log!$D:$D=G$3)), "Unknown"), "")</f>
        <v>0.13553999999999999</v>
      </c>
      <c r="H24" s="129" cm="1">
        <f t="array" ref="H24">IF($A24&lt;&gt;"", IFERROR(_xlfn._xlws.FILTER(Log!$G:$G, (Log!$A:$A="Daily") * (Log!$B:$B="n/a") * (Log!$C:$C=$A24) * (Log!$D:$D=H$3)), "Unknown"), "")</f>
        <v>0.143265</v>
      </c>
      <c r="I24" s="129" cm="1">
        <f t="array" ref="I24">IF($A24&lt;&gt;"", IFERROR(_xlfn._xlws.FILTER(Log!$G:$G, (Log!$A:$A="Daily") * (Log!$B:$B="n/a") * (Log!$C:$C=$A24) * (Log!$D:$D=I$3)), "Unknown"), "")</f>
        <v>0.16206999999999999</v>
      </c>
      <c r="J24" s="129" cm="1">
        <f t="array" ref="J24">IF($A24&lt;&gt;"", IFERROR(_xlfn._xlws.FILTER(Log!$G:$G, (Log!$A:$A="Daily") * (Log!$B:$B="n/a") * (Log!$C:$C=$A24) * (Log!$D:$D=J$3)), "Unknown"), "")</f>
        <v>0.11058999999999999</v>
      </c>
      <c r="K24" s="129" cm="1">
        <f t="array" ref="K24">IF($A24&lt;&gt;"", IFERROR(_xlfn._xlws.FILTER(Log!$G:$G, (Log!$A:$A="Daily") * (Log!$B:$B="n/a") * (Log!$C:$C=$A24) * (Log!$D:$D=K$3)), "Unknown"), "")</f>
        <v>9.7254199999999999E-2</v>
      </c>
      <c r="L24" s="129" cm="1">
        <f t="array" ref="L24">IF($A24&lt;&gt;"", IFERROR(_xlfn._xlws.FILTER(Log!$G:$G, (Log!$A:$A="Daily") * (Log!$B:$B="n/a") * (Log!$C:$C=$A24) * (Log!$D:$D=L$3)), "Unknown"), "")</f>
        <v>0.11839</v>
      </c>
      <c r="M24" s="129" cm="1">
        <f t="array" ref="M24">IF($A24&lt;&gt;"", IFERROR(_xlfn._xlws.FILTER(Log!$G:$G, (Log!$A:$A="Daily") * (Log!$B:$B="n/a") * (Log!$C:$C=$A24) * (Log!$D:$D=M$3)), "Unknown"), "")</f>
        <v>8.3699099999999999E-2</v>
      </c>
      <c r="N24" s="129" cm="1">
        <f t="array" ref="N24">IF($A24&lt;&gt;"", IFERROR(_xlfn._xlws.FILTER(Log!$G:$G, (Log!$A:$A="Daily") * (Log!$B:$B="n/a") * (Log!$C:$C=$A24) * (Log!$D:$D=N$3)), "Unknown"), "")</f>
        <v>0.10334599999999999</v>
      </c>
      <c r="O24" s="129" cm="1">
        <f t="array" ref="O24">IF($A24&lt;&gt;"", IFERROR(_xlfn._xlws.FILTER(Log!$G:$G, (Log!$A:$A="Daily") * (Log!$B:$B="n/a") * (Log!$C:$C=$A24) * (Log!$D:$D=O$3)), "Unknown"), "")</f>
        <v>8.9939000000000005E-2</v>
      </c>
      <c r="P24" s="129" cm="1">
        <f t="array" ref="P24">IF($A24&lt;&gt;"", IFERROR(_xlfn._xlws.FILTER(Log!$G:$G, (Log!$A:$A="Daily") * (Log!$B:$B="n/a") * (Log!$C:$C=$A24) * (Log!$D:$D=P$3)), "Unknown"), "")</f>
        <v>8.3743399999999996E-2</v>
      </c>
      <c r="Q24" s="129" cm="1">
        <f t="array" ref="Q24">IF($A24&lt;&gt;"", IFERROR(_xlfn._xlws.FILTER(Log!$G:$G, (Log!$A:$A="Daily") * (Log!$B:$B="n/a") * (Log!$C:$C=$A24) * (Log!$D:$D=Q$3)), "Unknown"), "")</f>
        <v>0.103865</v>
      </c>
      <c r="R24" s="129" cm="1">
        <f t="array" ref="R24">IF($A24&lt;&gt;"", IFERROR(_xlfn._xlws.FILTER(Log!$G:$G, (Log!$A:$A="Daily") * (Log!$B:$B="n/a") * (Log!$C:$C=$A24) * (Log!$D:$D=R$3)), "Unknown"), "")</f>
        <v>0.21911</v>
      </c>
      <c r="S24" s="129" cm="1">
        <f t="array" ref="S24">IF($A24&lt;&gt;"", IFERROR(_xlfn._xlws.FILTER(Log!$G:$G, (Log!$A:$A="Daily") * (Log!$B:$B="n/a") * (Log!$C:$C=$A24) * (Log!$D:$D=S$3)), "Unknown"), "")</f>
        <v>0.13173699999999999</v>
      </c>
      <c r="T24" s="129" cm="1">
        <f t="array" ref="T24">IF($A24&lt;&gt;"", IFERROR(_xlfn._xlws.FILTER(Log!$G:$G, (Log!$A:$A="Daily") * (Log!$B:$B="n/a") * (Log!$C:$C=$A24) * (Log!$D:$D=T$3)), "Unknown"), "")</f>
        <v>0.17069999999999999</v>
      </c>
      <c r="W24" s="249">
        <f t="shared" si="43"/>
        <v>0.71192394263714032</v>
      </c>
      <c r="X24" s="249">
        <f t="shared" si="44"/>
        <v>1.1548213507538172</v>
      </c>
      <c r="Y24" s="249">
        <f t="shared" si="45"/>
        <v>1.1756187856568863</v>
      </c>
      <c r="Z24" s="249">
        <f t="shared" si="46"/>
        <v>1.354479924198507</v>
      </c>
      <c r="AA24" s="249">
        <f t="shared" si="47"/>
        <v>1.083769445121878</v>
      </c>
      <c r="AB24" s="249">
        <f t="shared" si="48"/>
        <v>1.1455380666621358</v>
      </c>
      <c r="AC24" s="249">
        <f t="shared" si="49"/>
        <v>1.2959016819455715</v>
      </c>
      <c r="AD24" s="249">
        <f t="shared" si="50"/>
        <v>0.88427079043845724</v>
      </c>
      <c r="AE24" s="249">
        <f t="shared" si="51"/>
        <v>0.77763855961171724</v>
      </c>
      <c r="AF24" s="249">
        <f t="shared" si="52"/>
        <v>0.94663910733347456</v>
      </c>
      <c r="AG24" s="249">
        <f t="shared" si="53"/>
        <v>0.6692528195676597</v>
      </c>
      <c r="AH24" s="249">
        <f t="shared" si="54"/>
        <v>0.82634821510672574</v>
      </c>
      <c r="AI24" s="249">
        <f t="shared" si="55"/>
        <v>0.71914667348986727</v>
      </c>
      <c r="AJ24" s="249">
        <f t="shared" si="56"/>
        <v>0.66960703962387103</v>
      </c>
      <c r="AK24" s="249">
        <f t="shared" si="57"/>
        <v>0.83049810696166348</v>
      </c>
      <c r="AL24" s="249">
        <f t="shared" si="58"/>
        <v>1.7519899890855446</v>
      </c>
      <c r="AM24" s="249">
        <f t="shared" si="59"/>
        <v>1.0533608926665254</v>
      </c>
      <c r="AN24" s="249">
        <f t="shared" si="60"/>
        <v>1.364906627433264</v>
      </c>
    </row>
    <row r="25" spans="1:41" x14ac:dyDescent="0.25">
      <c r="A25" s="238">
        <v>46254</v>
      </c>
      <c r="B25" s="245">
        <f t="shared" si="6"/>
        <v>0.10490250000000001</v>
      </c>
      <c r="C25" s="129" cm="1">
        <f t="array" ref="C25">IF($A25&lt;&gt;"", IFERROR(_xlfn._xlws.FILTER(Log!$G:$G, (Log!$A:$A="Daily") * (Log!$B:$B="n/a") * (Log!$C:$C=$A25) * (Log!$D:$D=C$3)), "Unknown"), "")</f>
        <v>9.47881E-2</v>
      </c>
      <c r="D25" s="129" cm="1">
        <f t="array" ref="D25">IF($A25&lt;&gt;"", IFERROR(_xlfn._xlws.FILTER(Log!$G:$G, (Log!$A:$A="Daily") * (Log!$B:$B="n/a") * (Log!$C:$C=$A25) * (Log!$D:$D=D$3)), "Unknown"), "")</f>
        <v>0.111508</v>
      </c>
      <c r="E25" s="129" cm="1">
        <f t="array" ref="E25">IF($A25&lt;&gt;"", IFERROR(_xlfn._xlws.FILTER(Log!$G:$G, (Log!$A:$A="Daily") * (Log!$B:$B="n/a") * (Log!$C:$C=$A25) * (Log!$D:$D=E$3)), "Unknown"), "")</f>
        <v>0.13175400000000001</v>
      </c>
      <c r="F25" s="129" cm="1">
        <f t="array" ref="F25">IF($A25&lt;&gt;"", IFERROR(_xlfn._xlws.FILTER(Log!$G:$G, (Log!$A:$A="Daily") * (Log!$B:$B="n/a") * (Log!$C:$C=$A25) * (Log!$D:$D=F$3)), "Unknown"), "")</f>
        <v>0.119186</v>
      </c>
      <c r="G25" s="129" cm="1">
        <f t="array" ref="G25">IF($A25&lt;&gt;"", IFERROR(_xlfn._xlws.FILTER(Log!$G:$G, (Log!$A:$A="Daily") * (Log!$B:$B="n/a") * (Log!$C:$C=$A25) * (Log!$D:$D=G$3)), "Unknown"), "")</f>
        <v>8.6050100000000004E-2</v>
      </c>
      <c r="H25" s="129" cm="1">
        <f t="array" ref="H25">IF($A25&lt;&gt;"", IFERROR(_xlfn._xlws.FILTER(Log!$G:$G, (Log!$A:$A="Daily") * (Log!$B:$B="n/a") * (Log!$C:$C=$A25) * (Log!$D:$D=H$3)), "Unknown"), "")</f>
        <v>0.119339</v>
      </c>
      <c r="I25" s="129" cm="1">
        <f t="array" ref="I25">IF($A25&lt;&gt;"", IFERROR(_xlfn._xlws.FILTER(Log!$G:$G, (Log!$A:$A="Daily") * (Log!$B:$B="n/a") * (Log!$C:$C=$A25) * (Log!$D:$D=I$3)), "Unknown"), "")</f>
        <v>0.12601200000000001</v>
      </c>
      <c r="J25" s="129" cm="1">
        <f t="array" ref="J25">IF($A25&lt;&gt;"", IFERROR(_xlfn._xlws.FILTER(Log!$G:$G, (Log!$A:$A="Daily") * (Log!$B:$B="n/a") * (Log!$C:$C=$A25) * (Log!$D:$D=J$3)), "Unknown"), "")</f>
        <v>0.111093</v>
      </c>
      <c r="K25" s="129" cm="1">
        <f t="array" ref="K25">IF($A25&lt;&gt;"", IFERROR(_xlfn._xlws.FILTER(Log!$G:$G, (Log!$A:$A="Daily") * (Log!$B:$B="n/a") * (Log!$C:$C=$A25) * (Log!$D:$D=K$3)), "Unknown"), "")</f>
        <v>0.100517</v>
      </c>
      <c r="L25" s="129" cm="1">
        <f t="array" ref="L25">IF($A25&lt;&gt;"", IFERROR(_xlfn._xlws.FILTER(Log!$G:$G, (Log!$A:$A="Daily") * (Log!$B:$B="n/a") * (Log!$C:$C=$A25) * (Log!$D:$D=L$3)), "Unknown"), "")</f>
        <v>9.3672500000000006E-2</v>
      </c>
      <c r="M25" s="129" cm="1">
        <f t="array" ref="M25">IF($A25&lt;&gt;"", IFERROR(_xlfn._xlws.FILTER(Log!$G:$G, (Log!$A:$A="Daily") * (Log!$B:$B="n/a") * (Log!$C:$C=$A25) * (Log!$D:$D=M$3)), "Unknown"), "")</f>
        <v>0.127884</v>
      </c>
      <c r="N25" s="129" cm="1">
        <f t="array" ref="N25">IF($A25&lt;&gt;"", IFERROR(_xlfn._xlws.FILTER(Log!$G:$G, (Log!$A:$A="Daily") * (Log!$B:$B="n/a") * (Log!$C:$C=$A25) * (Log!$D:$D=N$3)), "Unknown"), "")</f>
        <v>9.0604199999999996E-2</v>
      </c>
      <c r="O25" s="129" cm="1">
        <f t="array" ref="O25">IF($A25&lt;&gt;"", IFERROR(_xlfn._xlws.FILTER(Log!$G:$G, (Log!$A:$A="Daily") * (Log!$B:$B="n/a") * (Log!$C:$C=$A25) * (Log!$D:$D=O$3)), "Unknown"), "")</f>
        <v>0.107061</v>
      </c>
      <c r="P25" s="129" cm="1">
        <f t="array" ref="P25">IF($A25&lt;&gt;"", IFERROR(_xlfn._xlws.FILTER(Log!$G:$G, (Log!$A:$A="Daily") * (Log!$B:$B="n/a") * (Log!$C:$C=$A25) * (Log!$D:$D=P$3)), "Unknown"), "")</f>
        <v>8.6382500000000001E-2</v>
      </c>
      <c r="Q25" s="129" cm="1">
        <f t="array" ref="Q25">IF($A25&lt;&gt;"", IFERROR(_xlfn._xlws.FILTER(Log!$G:$G, (Log!$A:$A="Daily") * (Log!$B:$B="n/a") * (Log!$C:$C=$A25) * (Log!$D:$D=Q$3)), "Unknown"), "")</f>
        <v>0.13422300000000001</v>
      </c>
      <c r="R25" s="129" cm="1">
        <f t="array" ref="R25">IF($A25&lt;&gt;"", IFERROR(_xlfn._xlws.FILTER(Log!$G:$G, (Log!$A:$A="Daily") * (Log!$B:$B="n/a") * (Log!$C:$C=$A25) * (Log!$D:$D=R$3)), "Unknown"), "")</f>
        <v>9.4141199999999994E-2</v>
      </c>
      <c r="S25" s="129" cm="1">
        <f t="array" ref="S25">IF($A25&lt;&gt;"", IFERROR(_xlfn._xlws.FILTER(Log!$G:$G, (Log!$A:$A="Daily") * (Log!$B:$B="n/a") * (Log!$C:$C=$A25) * (Log!$D:$D=S$3)), "Unknown"), "")</f>
        <v>7.6168700000000006E-2</v>
      </c>
      <c r="T25" s="129" cm="1">
        <f t="array" ref="T25">IF($A25&lt;&gt;"", IFERROR(_xlfn._xlws.FILTER(Log!$G:$G, (Log!$A:$A="Daily") * (Log!$B:$B="n/a") * (Log!$C:$C=$A25) * (Log!$D:$D=T$3)), "Unknown"), "")</f>
        <v>0.102744</v>
      </c>
      <c r="W25" s="249">
        <f t="shared" si="43"/>
        <v>0.90358285074235589</v>
      </c>
      <c r="X25" s="249">
        <f t="shared" si="44"/>
        <v>1.0629679940897498</v>
      </c>
      <c r="Y25" s="249">
        <f t="shared" si="45"/>
        <v>1.2559662543790662</v>
      </c>
      <c r="Z25" s="249">
        <f t="shared" si="46"/>
        <v>1.1361597674030646</v>
      </c>
      <c r="AA25" s="249">
        <f t="shared" si="47"/>
        <v>0.82028645647148535</v>
      </c>
      <c r="AB25" s="249">
        <f t="shared" si="48"/>
        <v>1.1376182645790138</v>
      </c>
      <c r="AC25" s="249">
        <f t="shared" si="49"/>
        <v>1.2012297133052119</v>
      </c>
      <c r="AD25" s="249">
        <f t="shared" si="50"/>
        <v>1.059011939658254</v>
      </c>
      <c r="AE25" s="249">
        <f t="shared" si="51"/>
        <v>0.9581945139534328</v>
      </c>
      <c r="AF25" s="249">
        <f t="shared" si="52"/>
        <v>0.89294821381759248</v>
      </c>
      <c r="AG25" s="249">
        <f t="shared" si="53"/>
        <v>1.2190748552227066</v>
      </c>
      <c r="AH25" s="249">
        <f t="shared" si="54"/>
        <v>0.86369914920998059</v>
      </c>
      <c r="AI25" s="249">
        <f t="shared" si="55"/>
        <v>1.020576249374419</v>
      </c>
      <c r="AJ25" s="249">
        <f t="shared" si="56"/>
        <v>0.82345511308119435</v>
      </c>
      <c r="AK25" s="249">
        <f t="shared" si="57"/>
        <v>1.2795023950811468</v>
      </c>
      <c r="AL25" s="249">
        <f t="shared" si="58"/>
        <v>0.89741617215986258</v>
      </c>
      <c r="AM25" s="249">
        <f t="shared" si="59"/>
        <v>0.72609041729224755</v>
      </c>
      <c r="AN25" s="249">
        <f t="shared" si="60"/>
        <v>0.97942375062558085</v>
      </c>
    </row>
    <row r="26" spans="1:41" x14ac:dyDescent="0.25">
      <c r="B26" s="245" t="str">
        <f t="shared" si="6"/>
        <v/>
      </c>
      <c r="C26" s="129" t="str" cm="1">
        <f t="array" ref="C26">IF($A26&lt;&gt;"", IFERROR(_xlfn._xlws.FILTER(Log!$G:$G, (Log!$A:$A="Daily") * (Log!$B:$B="n/a") * (Log!$C:$C=$A26) * (Log!$D:$D=C$3)), "Unknown"), "")</f>
        <v/>
      </c>
      <c r="D26" s="129" t="str" cm="1">
        <f t="array" ref="D26">IF($A26&lt;&gt;"", IFERROR(_xlfn._xlws.FILTER(Log!$G:$G, (Log!$A:$A="Daily") * (Log!$B:$B="n/a") * (Log!$C:$C=$A26) * (Log!$D:$D=D$3)), "Unknown"), "")</f>
        <v/>
      </c>
      <c r="E26" s="129" t="str" cm="1">
        <f t="array" ref="E26">IF($A26&lt;&gt;"", IFERROR(_xlfn._xlws.FILTER(Log!$G:$G, (Log!$A:$A="Daily") * (Log!$B:$B="n/a") * (Log!$C:$C=$A26) * (Log!$D:$D=E$3)), "Unknown"), "")</f>
        <v/>
      </c>
      <c r="F26" s="129" t="str" cm="1">
        <f t="array" ref="F26">IF($A26&lt;&gt;"", IFERROR(_xlfn._xlws.FILTER(Log!$G:$G, (Log!$A:$A="Daily") * (Log!$B:$B="n/a") * (Log!$C:$C=$A26) * (Log!$D:$D=F$3)), "Unknown"), "")</f>
        <v/>
      </c>
      <c r="G26" s="129" t="str" cm="1">
        <f t="array" ref="G26">IF($A26&lt;&gt;"", IFERROR(_xlfn._xlws.FILTER(Log!$G:$G, (Log!$A:$A="Daily") * (Log!$B:$B="n/a") * (Log!$C:$C=$A26) * (Log!$D:$D=G$3)), "Unknown"), "")</f>
        <v/>
      </c>
      <c r="H26" s="129" t="str" cm="1">
        <f t="array" ref="H26">IF($A26&lt;&gt;"", IFERROR(_xlfn._xlws.FILTER(Log!$G:$G, (Log!$A:$A="Daily") * (Log!$B:$B="n/a") * (Log!$C:$C=$A26) * (Log!$D:$D=H$3)), "Unknown"), "")</f>
        <v/>
      </c>
      <c r="I26" s="129" t="str" cm="1">
        <f t="array" ref="I26">IF($A26&lt;&gt;"", IFERROR(_xlfn._xlws.FILTER(Log!$G:$G, (Log!$A:$A="Daily") * (Log!$B:$B="n/a") * (Log!$C:$C=$A26) * (Log!$D:$D=I$3)), "Unknown"), "")</f>
        <v/>
      </c>
      <c r="J26" s="129" t="str" cm="1">
        <f t="array" ref="J26">IF($A26&lt;&gt;"", IFERROR(_xlfn._xlws.FILTER(Log!$G:$G, (Log!$A:$A="Daily") * (Log!$B:$B="n/a") * (Log!$C:$C=$A26) * (Log!$D:$D=J$3)), "Unknown"), "")</f>
        <v/>
      </c>
      <c r="K26" s="129" t="str" cm="1">
        <f t="array" ref="K26">IF($A26&lt;&gt;"", IFERROR(_xlfn._xlws.FILTER(Log!$G:$G, (Log!$A:$A="Daily") * (Log!$B:$B="n/a") * (Log!$C:$C=$A26) * (Log!$D:$D=K$3)), "Unknown"), "")</f>
        <v/>
      </c>
      <c r="L26" s="129" t="str" cm="1">
        <f t="array" ref="L26">IF($A26&lt;&gt;"", IFERROR(_xlfn._xlws.FILTER(Log!$G:$G, (Log!$A:$A="Daily") * (Log!$B:$B="n/a") * (Log!$C:$C=$A26) * (Log!$D:$D=L$3)), "Unknown"), "")</f>
        <v/>
      </c>
      <c r="M26" s="129" t="str" cm="1">
        <f t="array" ref="M26">IF($A26&lt;&gt;"", IFERROR(_xlfn._xlws.FILTER(Log!$G:$G, (Log!$A:$A="Daily") * (Log!$B:$B="n/a") * (Log!$C:$C=$A26) * (Log!$D:$D=M$3)), "Unknown"), "")</f>
        <v/>
      </c>
      <c r="N26" s="129" t="str" cm="1">
        <f t="array" ref="N26">IF($A26&lt;&gt;"", IFERROR(_xlfn._xlws.FILTER(Log!$G:$G, (Log!$A:$A="Daily") * (Log!$B:$B="n/a") * (Log!$C:$C=$A26) * (Log!$D:$D=N$3)), "Unknown"), "")</f>
        <v/>
      </c>
      <c r="O26" s="129" t="str" cm="1">
        <f t="array" ref="O26">IF($A26&lt;&gt;"", IFERROR(_xlfn._xlws.FILTER(Log!$G:$G, (Log!$A:$A="Daily") * (Log!$B:$B="n/a") * (Log!$C:$C=$A26) * (Log!$D:$D=O$3)), "Unknown"), "")</f>
        <v/>
      </c>
      <c r="P26" s="129" t="str" cm="1">
        <f t="array" ref="P26">IF($A26&lt;&gt;"", IFERROR(_xlfn._xlws.FILTER(Log!$G:$G, (Log!$A:$A="Daily") * (Log!$B:$B="n/a") * (Log!$C:$C=$A26) * (Log!$D:$D=P$3)), "Unknown"), "")</f>
        <v/>
      </c>
      <c r="Q26" s="129" t="str" cm="1">
        <f t="array" ref="Q26">IF($A26&lt;&gt;"", IFERROR(_xlfn._xlws.FILTER(Log!$G:$G, (Log!$A:$A="Daily") * (Log!$B:$B="n/a") * (Log!$C:$C=$A26) * (Log!$D:$D=Q$3)), "Unknown"), "")</f>
        <v/>
      </c>
      <c r="R26" s="129" t="str" cm="1">
        <f t="array" ref="R26">IF($A26&lt;&gt;"", IFERROR(_xlfn._xlws.FILTER(Log!$G:$G, (Log!$A:$A="Daily") * (Log!$B:$B="n/a") * (Log!$C:$C=$A26) * (Log!$D:$D=R$3)), "Unknown"), "")</f>
        <v/>
      </c>
      <c r="S26" s="129" t="str" cm="1">
        <f t="array" ref="S26">IF($A26&lt;&gt;"", IFERROR(_xlfn._xlws.FILTER(Log!$G:$G, (Log!$A:$A="Daily") * (Log!$B:$B="n/a") * (Log!$C:$C=$A26) * (Log!$D:$D=S$3)), "Unknown"), "")</f>
        <v/>
      </c>
      <c r="T26" s="129" t="str" cm="1">
        <f t="array" ref="T26">IF($A26&lt;&gt;"", IFERROR(_xlfn._xlws.FILTER(Log!$G:$G, (Log!$A:$A="Daily") * (Log!$B:$B="n/a") * (Log!$C:$C=$A26) * (Log!$D:$D=T$3)), "Unknown"), "")</f>
        <v/>
      </c>
      <c r="W26" s="249" t="str">
        <f t="shared" si="43"/>
        <v/>
      </c>
      <c r="X26" s="249" t="str">
        <f t="shared" si="44"/>
        <v/>
      </c>
      <c r="Y26" s="249" t="str">
        <f t="shared" si="45"/>
        <v/>
      </c>
      <c r="Z26" s="249" t="str">
        <f t="shared" si="46"/>
        <v/>
      </c>
      <c r="AA26" s="249" t="str">
        <f t="shared" si="47"/>
        <v/>
      </c>
      <c r="AB26" s="249" t="str">
        <f t="shared" si="48"/>
        <v/>
      </c>
      <c r="AC26" s="249" t="str">
        <f t="shared" si="49"/>
        <v/>
      </c>
      <c r="AD26" s="249" t="str">
        <f t="shared" si="50"/>
        <v/>
      </c>
      <c r="AE26" s="249" t="str">
        <f t="shared" si="51"/>
        <v/>
      </c>
      <c r="AF26" s="249" t="str">
        <f t="shared" si="52"/>
        <v/>
      </c>
      <c r="AG26" s="249" t="str">
        <f t="shared" si="53"/>
        <v/>
      </c>
      <c r="AH26" s="249" t="str">
        <f t="shared" si="54"/>
        <v/>
      </c>
      <c r="AI26" s="249" t="str">
        <f t="shared" si="55"/>
        <v/>
      </c>
      <c r="AJ26" s="249" t="str">
        <f t="shared" si="56"/>
        <v/>
      </c>
      <c r="AK26" s="249" t="str">
        <f t="shared" si="57"/>
        <v/>
      </c>
      <c r="AL26" s="249" t="str">
        <f t="shared" si="58"/>
        <v/>
      </c>
      <c r="AM26" s="249" t="str">
        <f t="shared" si="59"/>
        <v/>
      </c>
      <c r="AN26" s="249" t="str">
        <f t="shared" si="60"/>
        <v/>
      </c>
    </row>
    <row r="27" spans="1:41" x14ac:dyDescent="0.25">
      <c r="B27" s="245" t="str">
        <f t="shared" si="6"/>
        <v/>
      </c>
      <c r="C27" s="129" t="str" cm="1">
        <f t="array" ref="C27">IF($A27&lt;&gt;"", IFERROR(_xlfn._xlws.FILTER(Log!$G:$G, (Log!$A:$A="Daily") * (Log!$B:$B="n/a") * (Log!$C:$C=$A27) * (Log!$D:$D=C$3)), "Unknown"), "")</f>
        <v/>
      </c>
      <c r="D27" s="129" t="str" cm="1">
        <f t="array" ref="D27">IF($A27&lt;&gt;"", IFERROR(_xlfn._xlws.FILTER(Log!$G:$G, (Log!$A:$A="Daily") * (Log!$B:$B="n/a") * (Log!$C:$C=$A27) * (Log!$D:$D=D$3)), "Unknown"), "")</f>
        <v/>
      </c>
      <c r="E27" s="129" t="str" cm="1">
        <f t="array" ref="E27">IF($A27&lt;&gt;"", IFERROR(_xlfn._xlws.FILTER(Log!$G:$G, (Log!$A:$A="Daily") * (Log!$B:$B="n/a") * (Log!$C:$C=$A27) * (Log!$D:$D=E$3)), "Unknown"), "")</f>
        <v/>
      </c>
      <c r="F27" s="129" t="str" cm="1">
        <f t="array" ref="F27">IF($A27&lt;&gt;"", IFERROR(_xlfn._xlws.FILTER(Log!$G:$G, (Log!$A:$A="Daily") * (Log!$B:$B="n/a") * (Log!$C:$C=$A27) * (Log!$D:$D=F$3)), "Unknown"), "")</f>
        <v/>
      </c>
      <c r="G27" s="129" t="str" cm="1">
        <f t="array" ref="G27">IF($A27&lt;&gt;"", IFERROR(_xlfn._xlws.FILTER(Log!$G:$G, (Log!$A:$A="Daily") * (Log!$B:$B="n/a") * (Log!$C:$C=$A27) * (Log!$D:$D=G$3)), "Unknown"), "")</f>
        <v/>
      </c>
      <c r="H27" s="129" t="str" cm="1">
        <f t="array" ref="H27">IF($A27&lt;&gt;"", IFERROR(_xlfn._xlws.FILTER(Log!$G:$G, (Log!$A:$A="Daily") * (Log!$B:$B="n/a") * (Log!$C:$C=$A27) * (Log!$D:$D=H$3)), "Unknown"), "")</f>
        <v/>
      </c>
      <c r="I27" s="129" t="str" cm="1">
        <f t="array" ref="I27">IF($A27&lt;&gt;"", IFERROR(_xlfn._xlws.FILTER(Log!$G:$G, (Log!$A:$A="Daily") * (Log!$B:$B="n/a") * (Log!$C:$C=$A27) * (Log!$D:$D=I$3)), "Unknown"), "")</f>
        <v/>
      </c>
      <c r="J27" s="129" t="str" cm="1">
        <f t="array" ref="J27">IF($A27&lt;&gt;"", IFERROR(_xlfn._xlws.FILTER(Log!$G:$G, (Log!$A:$A="Daily") * (Log!$B:$B="n/a") * (Log!$C:$C=$A27) * (Log!$D:$D=J$3)), "Unknown"), "")</f>
        <v/>
      </c>
      <c r="K27" s="129" t="str" cm="1">
        <f t="array" ref="K27">IF($A27&lt;&gt;"", IFERROR(_xlfn._xlws.FILTER(Log!$G:$G, (Log!$A:$A="Daily") * (Log!$B:$B="n/a") * (Log!$C:$C=$A27) * (Log!$D:$D=K$3)), "Unknown"), "")</f>
        <v/>
      </c>
      <c r="L27" s="129" t="str" cm="1">
        <f t="array" ref="L27">IF($A27&lt;&gt;"", IFERROR(_xlfn._xlws.FILTER(Log!$G:$G, (Log!$A:$A="Daily") * (Log!$B:$B="n/a") * (Log!$C:$C=$A27) * (Log!$D:$D=L$3)), "Unknown"), "")</f>
        <v/>
      </c>
      <c r="M27" s="129" t="str" cm="1">
        <f t="array" ref="M27">IF($A27&lt;&gt;"", IFERROR(_xlfn._xlws.FILTER(Log!$G:$G, (Log!$A:$A="Daily") * (Log!$B:$B="n/a") * (Log!$C:$C=$A27) * (Log!$D:$D=M$3)), "Unknown"), "")</f>
        <v/>
      </c>
      <c r="N27" s="129" t="str" cm="1">
        <f t="array" ref="N27">IF($A27&lt;&gt;"", IFERROR(_xlfn._xlws.FILTER(Log!$G:$G, (Log!$A:$A="Daily") * (Log!$B:$B="n/a") * (Log!$C:$C=$A27) * (Log!$D:$D=N$3)), "Unknown"), "")</f>
        <v/>
      </c>
      <c r="O27" s="129" t="str" cm="1">
        <f t="array" ref="O27">IF($A27&lt;&gt;"", IFERROR(_xlfn._xlws.FILTER(Log!$G:$G, (Log!$A:$A="Daily") * (Log!$B:$B="n/a") * (Log!$C:$C=$A27) * (Log!$D:$D=O$3)), "Unknown"), "")</f>
        <v/>
      </c>
      <c r="P27" s="129" t="str" cm="1">
        <f t="array" ref="P27">IF($A27&lt;&gt;"", IFERROR(_xlfn._xlws.FILTER(Log!$G:$G, (Log!$A:$A="Daily") * (Log!$B:$B="n/a") * (Log!$C:$C=$A27) * (Log!$D:$D=P$3)), "Unknown"), "")</f>
        <v/>
      </c>
      <c r="Q27" s="129" t="str" cm="1">
        <f t="array" ref="Q27">IF($A27&lt;&gt;"", IFERROR(_xlfn._xlws.FILTER(Log!$G:$G, (Log!$A:$A="Daily") * (Log!$B:$B="n/a") * (Log!$C:$C=$A27) * (Log!$D:$D=Q$3)), "Unknown"), "")</f>
        <v/>
      </c>
      <c r="R27" s="129" t="str" cm="1">
        <f t="array" ref="R27">IF($A27&lt;&gt;"", IFERROR(_xlfn._xlws.FILTER(Log!$G:$G, (Log!$A:$A="Daily") * (Log!$B:$B="n/a") * (Log!$C:$C=$A27) * (Log!$D:$D=R$3)), "Unknown"), "")</f>
        <v/>
      </c>
      <c r="S27" s="129" t="str" cm="1">
        <f t="array" ref="S27">IF($A27&lt;&gt;"", IFERROR(_xlfn._xlws.FILTER(Log!$G:$G, (Log!$A:$A="Daily") * (Log!$B:$B="n/a") * (Log!$C:$C=$A27) * (Log!$D:$D=S$3)), "Unknown"), "")</f>
        <v/>
      </c>
      <c r="T27" s="129" t="str" cm="1">
        <f t="array" ref="T27">IF($A27&lt;&gt;"", IFERROR(_xlfn._xlws.FILTER(Log!$G:$G, (Log!$A:$A="Daily") * (Log!$B:$B="n/a") * (Log!$C:$C=$A27) * (Log!$D:$D=T$3)), "Unknown"), "")</f>
        <v/>
      </c>
      <c r="W27" s="249" t="str">
        <f t="shared" si="43"/>
        <v/>
      </c>
      <c r="X27" s="249" t="str">
        <f t="shared" si="44"/>
        <v/>
      </c>
      <c r="Y27" s="249" t="str">
        <f t="shared" si="45"/>
        <v/>
      </c>
      <c r="Z27" s="249" t="str">
        <f t="shared" si="46"/>
        <v/>
      </c>
      <c r="AA27" s="249" t="str">
        <f t="shared" si="47"/>
        <v/>
      </c>
      <c r="AB27" s="249" t="str">
        <f t="shared" si="48"/>
        <v/>
      </c>
      <c r="AC27" s="249" t="str">
        <f t="shared" si="49"/>
        <v/>
      </c>
      <c r="AD27" s="249" t="str">
        <f t="shared" si="50"/>
        <v/>
      </c>
      <c r="AE27" s="249" t="str">
        <f t="shared" si="51"/>
        <v/>
      </c>
      <c r="AF27" s="249" t="str">
        <f t="shared" si="52"/>
        <v/>
      </c>
      <c r="AG27" s="249" t="str">
        <f t="shared" si="53"/>
        <v/>
      </c>
      <c r="AH27" s="249" t="str">
        <f t="shared" si="54"/>
        <v/>
      </c>
      <c r="AI27" s="249" t="str">
        <f t="shared" si="55"/>
        <v/>
      </c>
      <c r="AJ27" s="249" t="str">
        <f t="shared" si="56"/>
        <v/>
      </c>
      <c r="AK27" s="249" t="str">
        <f t="shared" si="57"/>
        <v/>
      </c>
      <c r="AL27" s="249" t="str">
        <f t="shared" si="58"/>
        <v/>
      </c>
      <c r="AM27" s="249" t="str">
        <f t="shared" si="59"/>
        <v/>
      </c>
      <c r="AN27" s="249" t="str">
        <f t="shared" si="60"/>
        <v/>
      </c>
    </row>
    <row r="28" spans="1:41" x14ac:dyDescent="0.25">
      <c r="B28" s="245" t="str">
        <f t="shared" si="6"/>
        <v/>
      </c>
      <c r="C28" s="129" t="str" cm="1">
        <f t="array" ref="C28">IF($A28&lt;&gt;"", IFERROR(_xlfn._xlws.FILTER(Log!$G:$G, (Log!$A:$A="Daily") * (Log!$B:$B="n/a") * (Log!$C:$C=$A28) * (Log!$D:$D=C$3)), "Unknown"), "")</f>
        <v/>
      </c>
      <c r="D28" s="129" t="str" cm="1">
        <f t="array" ref="D28">IF($A28&lt;&gt;"", IFERROR(_xlfn._xlws.FILTER(Log!$G:$G, (Log!$A:$A="Daily") * (Log!$B:$B="n/a") * (Log!$C:$C=$A28) * (Log!$D:$D=D$3)), "Unknown"), "")</f>
        <v/>
      </c>
      <c r="E28" s="129" t="str" cm="1">
        <f t="array" ref="E28">IF($A28&lt;&gt;"", IFERROR(_xlfn._xlws.FILTER(Log!$G:$G, (Log!$A:$A="Daily") * (Log!$B:$B="n/a") * (Log!$C:$C=$A28) * (Log!$D:$D=E$3)), "Unknown"), "")</f>
        <v/>
      </c>
      <c r="F28" s="129" t="str" cm="1">
        <f t="array" ref="F28">IF($A28&lt;&gt;"", IFERROR(_xlfn._xlws.FILTER(Log!$G:$G, (Log!$A:$A="Daily") * (Log!$B:$B="n/a") * (Log!$C:$C=$A28) * (Log!$D:$D=F$3)), "Unknown"), "")</f>
        <v/>
      </c>
      <c r="G28" s="129" t="str" cm="1">
        <f t="array" ref="G28">IF($A28&lt;&gt;"", IFERROR(_xlfn._xlws.FILTER(Log!$G:$G, (Log!$A:$A="Daily") * (Log!$B:$B="n/a") * (Log!$C:$C=$A28) * (Log!$D:$D=G$3)), "Unknown"), "")</f>
        <v/>
      </c>
      <c r="H28" s="129" t="str" cm="1">
        <f t="array" ref="H28">IF($A28&lt;&gt;"", IFERROR(_xlfn._xlws.FILTER(Log!$G:$G, (Log!$A:$A="Daily") * (Log!$B:$B="n/a") * (Log!$C:$C=$A28) * (Log!$D:$D=H$3)), "Unknown"), "")</f>
        <v/>
      </c>
      <c r="I28" s="129" t="str" cm="1">
        <f t="array" ref="I28">IF($A28&lt;&gt;"", IFERROR(_xlfn._xlws.FILTER(Log!$G:$G, (Log!$A:$A="Daily") * (Log!$B:$B="n/a") * (Log!$C:$C=$A28) * (Log!$D:$D=I$3)), "Unknown"), "")</f>
        <v/>
      </c>
      <c r="J28" s="129" t="str" cm="1">
        <f t="array" ref="J28">IF($A28&lt;&gt;"", IFERROR(_xlfn._xlws.FILTER(Log!$G:$G, (Log!$A:$A="Daily") * (Log!$B:$B="n/a") * (Log!$C:$C=$A28) * (Log!$D:$D=J$3)), "Unknown"), "")</f>
        <v/>
      </c>
      <c r="K28" s="129" t="str" cm="1">
        <f t="array" ref="K28">IF($A28&lt;&gt;"", IFERROR(_xlfn._xlws.FILTER(Log!$G:$G, (Log!$A:$A="Daily") * (Log!$B:$B="n/a") * (Log!$C:$C=$A28) * (Log!$D:$D=K$3)), "Unknown"), "")</f>
        <v/>
      </c>
      <c r="L28" s="129" t="str" cm="1">
        <f t="array" ref="L28">IF($A28&lt;&gt;"", IFERROR(_xlfn._xlws.FILTER(Log!$G:$G, (Log!$A:$A="Daily") * (Log!$B:$B="n/a") * (Log!$C:$C=$A28) * (Log!$D:$D=L$3)), "Unknown"), "")</f>
        <v/>
      </c>
      <c r="M28" s="129" t="str" cm="1">
        <f t="array" ref="M28">IF($A28&lt;&gt;"", IFERROR(_xlfn._xlws.FILTER(Log!$G:$G, (Log!$A:$A="Daily") * (Log!$B:$B="n/a") * (Log!$C:$C=$A28) * (Log!$D:$D=M$3)), "Unknown"), "")</f>
        <v/>
      </c>
      <c r="N28" s="129" t="str" cm="1">
        <f t="array" ref="N28">IF($A28&lt;&gt;"", IFERROR(_xlfn._xlws.FILTER(Log!$G:$G, (Log!$A:$A="Daily") * (Log!$B:$B="n/a") * (Log!$C:$C=$A28) * (Log!$D:$D=N$3)), "Unknown"), "")</f>
        <v/>
      </c>
      <c r="O28" s="129" t="str" cm="1">
        <f t="array" ref="O28">IF($A28&lt;&gt;"", IFERROR(_xlfn._xlws.FILTER(Log!$G:$G, (Log!$A:$A="Daily") * (Log!$B:$B="n/a") * (Log!$C:$C=$A28) * (Log!$D:$D=O$3)), "Unknown"), "")</f>
        <v/>
      </c>
      <c r="P28" s="129" t="str" cm="1">
        <f t="array" ref="P28">IF($A28&lt;&gt;"", IFERROR(_xlfn._xlws.FILTER(Log!$G:$G, (Log!$A:$A="Daily") * (Log!$B:$B="n/a") * (Log!$C:$C=$A28) * (Log!$D:$D=P$3)), "Unknown"), "")</f>
        <v/>
      </c>
      <c r="Q28" s="129" t="str" cm="1">
        <f t="array" ref="Q28">IF($A28&lt;&gt;"", IFERROR(_xlfn._xlws.FILTER(Log!$G:$G, (Log!$A:$A="Daily") * (Log!$B:$B="n/a") * (Log!$C:$C=$A28) * (Log!$D:$D=Q$3)), "Unknown"), "")</f>
        <v/>
      </c>
      <c r="R28" s="129" t="str" cm="1">
        <f t="array" ref="R28">IF($A28&lt;&gt;"", IFERROR(_xlfn._xlws.FILTER(Log!$G:$G, (Log!$A:$A="Daily") * (Log!$B:$B="n/a") * (Log!$C:$C=$A28) * (Log!$D:$D=R$3)), "Unknown"), "")</f>
        <v/>
      </c>
      <c r="S28" s="129" t="str" cm="1">
        <f t="array" ref="S28">IF($A28&lt;&gt;"", IFERROR(_xlfn._xlws.FILTER(Log!$G:$G, (Log!$A:$A="Daily") * (Log!$B:$B="n/a") * (Log!$C:$C=$A28) * (Log!$D:$D=S$3)), "Unknown"), "")</f>
        <v/>
      </c>
      <c r="T28" s="129" t="str" cm="1">
        <f t="array" ref="T28">IF($A28&lt;&gt;"", IFERROR(_xlfn._xlws.FILTER(Log!$G:$G, (Log!$A:$A="Daily") * (Log!$B:$B="n/a") * (Log!$C:$C=$A28) * (Log!$D:$D=T$3)), "Unknown"), "")</f>
        <v/>
      </c>
      <c r="W28" s="249" t="str">
        <f t="shared" si="43"/>
        <v/>
      </c>
      <c r="X28" s="249" t="str">
        <f t="shared" si="44"/>
        <v/>
      </c>
      <c r="Y28" s="249" t="str">
        <f t="shared" si="45"/>
        <v/>
      </c>
      <c r="Z28" s="249" t="str">
        <f t="shared" si="46"/>
        <v/>
      </c>
      <c r="AA28" s="249" t="str">
        <f t="shared" si="47"/>
        <v/>
      </c>
      <c r="AB28" s="249" t="str">
        <f t="shared" si="48"/>
        <v/>
      </c>
      <c r="AC28" s="249" t="str">
        <f t="shared" si="49"/>
        <v/>
      </c>
      <c r="AD28" s="249" t="str">
        <f t="shared" si="50"/>
        <v/>
      </c>
      <c r="AE28" s="249" t="str">
        <f t="shared" si="51"/>
        <v/>
      </c>
      <c r="AF28" s="249" t="str">
        <f t="shared" si="52"/>
        <v/>
      </c>
      <c r="AG28" s="249" t="str">
        <f t="shared" si="53"/>
        <v/>
      </c>
      <c r="AH28" s="249" t="str">
        <f t="shared" si="54"/>
        <v/>
      </c>
      <c r="AI28" s="249" t="str">
        <f t="shared" si="55"/>
        <v/>
      </c>
      <c r="AJ28" s="249" t="str">
        <f t="shared" si="56"/>
        <v/>
      </c>
      <c r="AK28" s="249" t="str">
        <f t="shared" si="57"/>
        <v/>
      </c>
      <c r="AL28" s="249" t="str">
        <f t="shared" si="58"/>
        <v/>
      </c>
      <c r="AM28" s="249" t="str">
        <f t="shared" si="59"/>
        <v/>
      </c>
      <c r="AN28" s="249" t="str">
        <f t="shared" si="60"/>
        <v/>
      </c>
    </row>
    <row r="29" spans="1:41" x14ac:dyDescent="0.25">
      <c r="B29" s="245" t="str">
        <f t="shared" si="6"/>
        <v/>
      </c>
      <c r="C29" s="129" t="str" cm="1">
        <f t="array" ref="C29">IF($A29&lt;&gt;"", IFERROR(_xlfn._xlws.FILTER(Log!$G:$G, (Log!$A:$A="Daily") * (Log!$B:$B="n/a") * (Log!$C:$C=$A29) * (Log!$D:$D=C$3)), "Unknown"), "")</f>
        <v/>
      </c>
      <c r="D29" s="129" t="str" cm="1">
        <f t="array" ref="D29">IF($A29&lt;&gt;"", IFERROR(_xlfn._xlws.FILTER(Log!$G:$G, (Log!$A:$A="Daily") * (Log!$B:$B="n/a") * (Log!$C:$C=$A29) * (Log!$D:$D=D$3)), "Unknown"), "")</f>
        <v/>
      </c>
      <c r="E29" s="129" t="str" cm="1">
        <f t="array" ref="E29">IF($A29&lt;&gt;"", IFERROR(_xlfn._xlws.FILTER(Log!$G:$G, (Log!$A:$A="Daily") * (Log!$B:$B="n/a") * (Log!$C:$C=$A29) * (Log!$D:$D=E$3)), "Unknown"), "")</f>
        <v/>
      </c>
      <c r="F29" s="129" t="str" cm="1">
        <f t="array" ref="F29">IF($A29&lt;&gt;"", IFERROR(_xlfn._xlws.FILTER(Log!$G:$G, (Log!$A:$A="Daily") * (Log!$B:$B="n/a") * (Log!$C:$C=$A29) * (Log!$D:$D=F$3)), "Unknown"), "")</f>
        <v/>
      </c>
      <c r="G29" s="129" t="str" cm="1">
        <f t="array" ref="G29">IF($A29&lt;&gt;"", IFERROR(_xlfn._xlws.FILTER(Log!$G:$G, (Log!$A:$A="Daily") * (Log!$B:$B="n/a") * (Log!$C:$C=$A29) * (Log!$D:$D=G$3)), "Unknown"), "")</f>
        <v/>
      </c>
      <c r="H29" s="129" t="str" cm="1">
        <f t="array" ref="H29">IF($A29&lt;&gt;"", IFERROR(_xlfn._xlws.FILTER(Log!$G:$G, (Log!$A:$A="Daily") * (Log!$B:$B="n/a") * (Log!$C:$C=$A29) * (Log!$D:$D=H$3)), "Unknown"), "")</f>
        <v/>
      </c>
      <c r="I29" s="129" t="str" cm="1">
        <f t="array" ref="I29">IF($A29&lt;&gt;"", IFERROR(_xlfn._xlws.FILTER(Log!$G:$G, (Log!$A:$A="Daily") * (Log!$B:$B="n/a") * (Log!$C:$C=$A29) * (Log!$D:$D=I$3)), "Unknown"), "")</f>
        <v/>
      </c>
      <c r="J29" s="129" t="str" cm="1">
        <f t="array" ref="J29">IF($A29&lt;&gt;"", IFERROR(_xlfn._xlws.FILTER(Log!$G:$G, (Log!$A:$A="Daily") * (Log!$B:$B="n/a") * (Log!$C:$C=$A29) * (Log!$D:$D=J$3)), "Unknown"), "")</f>
        <v/>
      </c>
      <c r="K29" s="129" t="str" cm="1">
        <f t="array" ref="K29">IF($A29&lt;&gt;"", IFERROR(_xlfn._xlws.FILTER(Log!$G:$G, (Log!$A:$A="Daily") * (Log!$B:$B="n/a") * (Log!$C:$C=$A29) * (Log!$D:$D=K$3)), "Unknown"), "")</f>
        <v/>
      </c>
      <c r="L29" s="129" t="str" cm="1">
        <f t="array" ref="L29">IF($A29&lt;&gt;"", IFERROR(_xlfn._xlws.FILTER(Log!$G:$G, (Log!$A:$A="Daily") * (Log!$B:$B="n/a") * (Log!$C:$C=$A29) * (Log!$D:$D=L$3)), "Unknown"), "")</f>
        <v/>
      </c>
      <c r="M29" s="129" t="str" cm="1">
        <f t="array" ref="M29">IF($A29&lt;&gt;"", IFERROR(_xlfn._xlws.FILTER(Log!$G:$G, (Log!$A:$A="Daily") * (Log!$B:$B="n/a") * (Log!$C:$C=$A29) * (Log!$D:$D=M$3)), "Unknown"), "")</f>
        <v/>
      </c>
      <c r="N29" s="129" t="str" cm="1">
        <f t="array" ref="N29">IF($A29&lt;&gt;"", IFERROR(_xlfn._xlws.FILTER(Log!$G:$G, (Log!$A:$A="Daily") * (Log!$B:$B="n/a") * (Log!$C:$C=$A29) * (Log!$D:$D=N$3)), "Unknown"), "")</f>
        <v/>
      </c>
      <c r="O29" s="129" t="str" cm="1">
        <f t="array" ref="O29">IF($A29&lt;&gt;"", IFERROR(_xlfn._xlws.FILTER(Log!$G:$G, (Log!$A:$A="Daily") * (Log!$B:$B="n/a") * (Log!$C:$C=$A29) * (Log!$D:$D=O$3)), "Unknown"), "")</f>
        <v/>
      </c>
      <c r="P29" s="129" t="str" cm="1">
        <f t="array" ref="P29">IF($A29&lt;&gt;"", IFERROR(_xlfn._xlws.FILTER(Log!$G:$G, (Log!$A:$A="Daily") * (Log!$B:$B="n/a") * (Log!$C:$C=$A29) * (Log!$D:$D=P$3)), "Unknown"), "")</f>
        <v/>
      </c>
      <c r="Q29" s="129" t="str" cm="1">
        <f t="array" ref="Q29">IF($A29&lt;&gt;"", IFERROR(_xlfn._xlws.FILTER(Log!$G:$G, (Log!$A:$A="Daily") * (Log!$B:$B="n/a") * (Log!$C:$C=$A29) * (Log!$D:$D=Q$3)), "Unknown"), "")</f>
        <v/>
      </c>
      <c r="R29" s="129" t="str" cm="1">
        <f t="array" ref="R29">IF($A29&lt;&gt;"", IFERROR(_xlfn._xlws.FILTER(Log!$G:$G, (Log!$A:$A="Daily") * (Log!$B:$B="n/a") * (Log!$C:$C=$A29) * (Log!$D:$D=R$3)), "Unknown"), "")</f>
        <v/>
      </c>
      <c r="S29" s="129" t="str" cm="1">
        <f t="array" ref="S29">IF($A29&lt;&gt;"", IFERROR(_xlfn._xlws.FILTER(Log!$G:$G, (Log!$A:$A="Daily") * (Log!$B:$B="n/a") * (Log!$C:$C=$A29) * (Log!$D:$D=S$3)), "Unknown"), "")</f>
        <v/>
      </c>
      <c r="T29" s="129" t="str" cm="1">
        <f t="array" ref="T29">IF($A29&lt;&gt;"", IFERROR(_xlfn._xlws.FILTER(Log!$G:$G, (Log!$A:$A="Daily") * (Log!$B:$B="n/a") * (Log!$C:$C=$A29) * (Log!$D:$D=T$3)), "Unknown"), "")</f>
        <v/>
      </c>
      <c r="W29" s="249" t="str">
        <f t="shared" si="43"/>
        <v/>
      </c>
      <c r="X29" s="249" t="str">
        <f t="shared" si="44"/>
        <v/>
      </c>
      <c r="Y29" s="249" t="str">
        <f t="shared" si="45"/>
        <v/>
      </c>
      <c r="Z29" s="249" t="str">
        <f t="shared" si="46"/>
        <v/>
      </c>
      <c r="AA29" s="249" t="str">
        <f t="shared" si="47"/>
        <v/>
      </c>
      <c r="AB29" s="249" t="str">
        <f t="shared" si="48"/>
        <v/>
      </c>
      <c r="AC29" s="249" t="str">
        <f t="shared" si="49"/>
        <v/>
      </c>
      <c r="AD29" s="249" t="str">
        <f t="shared" si="50"/>
        <v/>
      </c>
      <c r="AE29" s="249" t="str">
        <f t="shared" si="51"/>
        <v/>
      </c>
      <c r="AF29" s="249" t="str">
        <f t="shared" si="52"/>
        <v/>
      </c>
      <c r="AG29" s="249" t="str">
        <f t="shared" si="53"/>
        <v/>
      </c>
      <c r="AH29" s="249" t="str">
        <f t="shared" si="54"/>
        <v/>
      </c>
      <c r="AI29" s="249" t="str">
        <f t="shared" si="55"/>
        <v/>
      </c>
      <c r="AJ29" s="249" t="str">
        <f t="shared" si="56"/>
        <v/>
      </c>
      <c r="AK29" s="249" t="str">
        <f t="shared" si="57"/>
        <v/>
      </c>
      <c r="AL29" s="249" t="str">
        <f t="shared" si="58"/>
        <v/>
      </c>
      <c r="AM29" s="249" t="str">
        <f t="shared" si="59"/>
        <v/>
      </c>
      <c r="AN29" s="249" t="str">
        <f t="shared" si="60"/>
        <v/>
      </c>
    </row>
    <row r="30" spans="1:41" x14ac:dyDescent="0.25">
      <c r="B30" s="245" t="str">
        <f t="shared" si="6"/>
        <v/>
      </c>
      <c r="C30" s="129" t="str" cm="1">
        <f t="array" ref="C30">IF($A30&lt;&gt;"", IFERROR(_xlfn._xlws.FILTER(Log!$G:$G, (Log!$A:$A="Daily") * (Log!$B:$B="n/a") * (Log!$C:$C=$A30) * (Log!$D:$D=C$3)), "Unknown"), "")</f>
        <v/>
      </c>
      <c r="D30" s="129" t="str" cm="1">
        <f t="array" ref="D30">IF($A30&lt;&gt;"", IFERROR(_xlfn._xlws.FILTER(Log!$G:$G, (Log!$A:$A="Daily") * (Log!$B:$B="n/a") * (Log!$C:$C=$A30) * (Log!$D:$D=D$3)), "Unknown"), "")</f>
        <v/>
      </c>
      <c r="E30" s="129" t="str" cm="1">
        <f t="array" ref="E30">IF($A30&lt;&gt;"", IFERROR(_xlfn._xlws.FILTER(Log!$G:$G, (Log!$A:$A="Daily") * (Log!$B:$B="n/a") * (Log!$C:$C=$A30) * (Log!$D:$D=E$3)), "Unknown"), "")</f>
        <v/>
      </c>
      <c r="F30" s="129" t="str" cm="1">
        <f t="array" ref="F30">IF($A30&lt;&gt;"", IFERROR(_xlfn._xlws.FILTER(Log!$G:$G, (Log!$A:$A="Daily") * (Log!$B:$B="n/a") * (Log!$C:$C=$A30) * (Log!$D:$D=F$3)), "Unknown"), "")</f>
        <v/>
      </c>
      <c r="G30" s="129" t="str" cm="1">
        <f t="array" ref="G30">IF($A30&lt;&gt;"", IFERROR(_xlfn._xlws.FILTER(Log!$G:$G, (Log!$A:$A="Daily") * (Log!$B:$B="n/a") * (Log!$C:$C=$A30) * (Log!$D:$D=G$3)), "Unknown"), "")</f>
        <v/>
      </c>
      <c r="H30" s="129" t="str" cm="1">
        <f t="array" ref="H30">IF($A30&lt;&gt;"", IFERROR(_xlfn._xlws.FILTER(Log!$G:$G, (Log!$A:$A="Daily") * (Log!$B:$B="n/a") * (Log!$C:$C=$A30) * (Log!$D:$D=H$3)), "Unknown"), "")</f>
        <v/>
      </c>
      <c r="I30" s="129" t="str" cm="1">
        <f t="array" ref="I30">IF($A30&lt;&gt;"", IFERROR(_xlfn._xlws.FILTER(Log!$G:$G, (Log!$A:$A="Daily") * (Log!$B:$B="n/a") * (Log!$C:$C=$A30) * (Log!$D:$D=I$3)), "Unknown"), "")</f>
        <v/>
      </c>
      <c r="J30" s="129" t="str" cm="1">
        <f t="array" ref="J30">IF($A30&lt;&gt;"", IFERROR(_xlfn._xlws.FILTER(Log!$G:$G, (Log!$A:$A="Daily") * (Log!$B:$B="n/a") * (Log!$C:$C=$A30) * (Log!$D:$D=J$3)), "Unknown"), "")</f>
        <v/>
      </c>
      <c r="K30" s="129" t="str" cm="1">
        <f t="array" ref="K30">IF($A30&lt;&gt;"", IFERROR(_xlfn._xlws.FILTER(Log!$G:$G, (Log!$A:$A="Daily") * (Log!$B:$B="n/a") * (Log!$C:$C=$A30) * (Log!$D:$D=K$3)), "Unknown"), "")</f>
        <v/>
      </c>
      <c r="L30" s="129" t="str" cm="1">
        <f t="array" ref="L30">IF($A30&lt;&gt;"", IFERROR(_xlfn._xlws.FILTER(Log!$G:$G, (Log!$A:$A="Daily") * (Log!$B:$B="n/a") * (Log!$C:$C=$A30) * (Log!$D:$D=L$3)), "Unknown"), "")</f>
        <v/>
      </c>
      <c r="M30" s="129" t="str" cm="1">
        <f t="array" ref="M30">IF($A30&lt;&gt;"", IFERROR(_xlfn._xlws.FILTER(Log!$G:$G, (Log!$A:$A="Daily") * (Log!$B:$B="n/a") * (Log!$C:$C=$A30) * (Log!$D:$D=M$3)), "Unknown"), "")</f>
        <v/>
      </c>
      <c r="N30" s="129" t="str" cm="1">
        <f t="array" ref="N30">IF($A30&lt;&gt;"", IFERROR(_xlfn._xlws.FILTER(Log!$G:$G, (Log!$A:$A="Daily") * (Log!$B:$B="n/a") * (Log!$C:$C=$A30) * (Log!$D:$D=N$3)), "Unknown"), "")</f>
        <v/>
      </c>
      <c r="O30" s="129" t="str" cm="1">
        <f t="array" ref="O30">IF($A30&lt;&gt;"", IFERROR(_xlfn._xlws.FILTER(Log!$G:$G, (Log!$A:$A="Daily") * (Log!$B:$B="n/a") * (Log!$C:$C=$A30) * (Log!$D:$D=O$3)), "Unknown"), "")</f>
        <v/>
      </c>
      <c r="P30" s="129" t="str" cm="1">
        <f t="array" ref="P30">IF($A30&lt;&gt;"", IFERROR(_xlfn._xlws.FILTER(Log!$G:$G, (Log!$A:$A="Daily") * (Log!$B:$B="n/a") * (Log!$C:$C=$A30) * (Log!$D:$D=P$3)), "Unknown"), "")</f>
        <v/>
      </c>
      <c r="Q30" s="129" t="str" cm="1">
        <f t="array" ref="Q30">IF($A30&lt;&gt;"", IFERROR(_xlfn._xlws.FILTER(Log!$G:$G, (Log!$A:$A="Daily") * (Log!$B:$B="n/a") * (Log!$C:$C=$A30) * (Log!$D:$D=Q$3)), "Unknown"), "")</f>
        <v/>
      </c>
      <c r="R30" s="129" t="str" cm="1">
        <f t="array" ref="R30">IF($A30&lt;&gt;"", IFERROR(_xlfn._xlws.FILTER(Log!$G:$G, (Log!$A:$A="Daily") * (Log!$B:$B="n/a") * (Log!$C:$C=$A30) * (Log!$D:$D=R$3)), "Unknown"), "")</f>
        <v/>
      </c>
      <c r="S30" s="129" t="str" cm="1">
        <f t="array" ref="S30">IF($A30&lt;&gt;"", IFERROR(_xlfn._xlws.FILTER(Log!$G:$G, (Log!$A:$A="Daily") * (Log!$B:$B="n/a") * (Log!$C:$C=$A30) * (Log!$D:$D=S$3)), "Unknown"), "")</f>
        <v/>
      </c>
      <c r="T30" s="129" t="str" cm="1">
        <f t="array" ref="T30">IF($A30&lt;&gt;"", IFERROR(_xlfn._xlws.FILTER(Log!$G:$G, (Log!$A:$A="Daily") * (Log!$B:$B="n/a") * (Log!$C:$C=$A30) * (Log!$D:$D=T$3)), "Unknown"), "")</f>
        <v/>
      </c>
      <c r="W30" s="249" t="str">
        <f t="shared" si="43"/>
        <v/>
      </c>
      <c r="X30" s="249" t="str">
        <f t="shared" si="44"/>
        <v/>
      </c>
      <c r="Y30" s="249" t="str">
        <f t="shared" si="45"/>
        <v/>
      </c>
      <c r="Z30" s="249" t="str">
        <f t="shared" si="46"/>
        <v/>
      </c>
      <c r="AA30" s="249" t="str">
        <f t="shared" si="47"/>
        <v/>
      </c>
      <c r="AB30" s="249" t="str">
        <f t="shared" si="48"/>
        <v/>
      </c>
      <c r="AC30" s="249" t="str">
        <f t="shared" si="49"/>
        <v/>
      </c>
      <c r="AD30" s="249" t="str">
        <f t="shared" si="50"/>
        <v/>
      </c>
      <c r="AE30" s="249" t="str">
        <f t="shared" si="51"/>
        <v/>
      </c>
      <c r="AF30" s="249" t="str">
        <f t="shared" si="52"/>
        <v/>
      </c>
      <c r="AG30" s="249" t="str">
        <f t="shared" si="53"/>
        <v/>
      </c>
      <c r="AH30" s="249" t="str">
        <f t="shared" si="54"/>
        <v/>
      </c>
      <c r="AI30" s="249" t="str">
        <f t="shared" si="55"/>
        <v/>
      </c>
      <c r="AJ30" s="249" t="str">
        <f t="shared" si="56"/>
        <v/>
      </c>
      <c r="AK30" s="249" t="str">
        <f t="shared" si="57"/>
        <v/>
      </c>
      <c r="AL30" s="249" t="str">
        <f t="shared" si="58"/>
        <v/>
      </c>
      <c r="AM30" s="249" t="str">
        <f t="shared" si="59"/>
        <v/>
      </c>
      <c r="AN30" s="249" t="str">
        <f t="shared" si="60"/>
        <v/>
      </c>
    </row>
    <row r="31" spans="1:41" x14ac:dyDescent="0.25">
      <c r="B31" s="245" t="str">
        <f t="shared" si="6"/>
        <v/>
      </c>
      <c r="C31" s="129" t="str" cm="1">
        <f t="array" ref="C31">IF($A31&lt;&gt;"", IFERROR(_xlfn._xlws.FILTER(Log!$G:$G, (Log!$A:$A="Daily") * (Log!$B:$B="n/a") * (Log!$C:$C=$A31) * (Log!$D:$D=C$3)), "Unknown"), "")</f>
        <v/>
      </c>
      <c r="D31" s="129" t="str" cm="1">
        <f t="array" ref="D31">IF($A31&lt;&gt;"", IFERROR(_xlfn._xlws.FILTER(Log!$G:$G, (Log!$A:$A="Daily") * (Log!$B:$B="n/a") * (Log!$C:$C=$A31) * (Log!$D:$D=D$3)), "Unknown"), "")</f>
        <v/>
      </c>
      <c r="E31" s="129" t="str" cm="1">
        <f t="array" ref="E31">IF($A31&lt;&gt;"", IFERROR(_xlfn._xlws.FILTER(Log!$G:$G, (Log!$A:$A="Daily") * (Log!$B:$B="n/a") * (Log!$C:$C=$A31) * (Log!$D:$D=E$3)), "Unknown"), "")</f>
        <v/>
      </c>
      <c r="F31" s="129" t="str" cm="1">
        <f t="array" ref="F31">IF($A31&lt;&gt;"", IFERROR(_xlfn._xlws.FILTER(Log!$G:$G, (Log!$A:$A="Daily") * (Log!$B:$B="n/a") * (Log!$C:$C=$A31) * (Log!$D:$D=F$3)), "Unknown"), "")</f>
        <v/>
      </c>
      <c r="G31" s="129" t="str" cm="1">
        <f t="array" ref="G31">IF($A31&lt;&gt;"", IFERROR(_xlfn._xlws.FILTER(Log!$G:$G, (Log!$A:$A="Daily") * (Log!$B:$B="n/a") * (Log!$C:$C=$A31) * (Log!$D:$D=G$3)), "Unknown"), "")</f>
        <v/>
      </c>
      <c r="H31" s="129" t="str" cm="1">
        <f t="array" ref="H31">IF($A31&lt;&gt;"", IFERROR(_xlfn._xlws.FILTER(Log!$G:$G, (Log!$A:$A="Daily") * (Log!$B:$B="n/a") * (Log!$C:$C=$A31) * (Log!$D:$D=H$3)), "Unknown"), "")</f>
        <v/>
      </c>
      <c r="I31" s="129" t="str" cm="1">
        <f t="array" ref="I31">IF($A31&lt;&gt;"", IFERROR(_xlfn._xlws.FILTER(Log!$G:$G, (Log!$A:$A="Daily") * (Log!$B:$B="n/a") * (Log!$C:$C=$A31) * (Log!$D:$D=I$3)), "Unknown"), "")</f>
        <v/>
      </c>
      <c r="J31" s="129" t="str" cm="1">
        <f t="array" ref="J31">IF($A31&lt;&gt;"", IFERROR(_xlfn._xlws.FILTER(Log!$G:$G, (Log!$A:$A="Daily") * (Log!$B:$B="n/a") * (Log!$C:$C=$A31) * (Log!$D:$D=J$3)), "Unknown"), "")</f>
        <v/>
      </c>
      <c r="K31" s="129" t="str" cm="1">
        <f t="array" ref="K31">IF($A31&lt;&gt;"", IFERROR(_xlfn._xlws.FILTER(Log!$G:$G, (Log!$A:$A="Daily") * (Log!$B:$B="n/a") * (Log!$C:$C=$A31) * (Log!$D:$D=K$3)), "Unknown"), "")</f>
        <v/>
      </c>
      <c r="L31" s="129" t="str" cm="1">
        <f t="array" ref="L31">IF($A31&lt;&gt;"", IFERROR(_xlfn._xlws.FILTER(Log!$G:$G, (Log!$A:$A="Daily") * (Log!$B:$B="n/a") * (Log!$C:$C=$A31) * (Log!$D:$D=L$3)), "Unknown"), "")</f>
        <v/>
      </c>
      <c r="M31" s="129" t="str" cm="1">
        <f t="array" ref="M31">IF($A31&lt;&gt;"", IFERROR(_xlfn._xlws.FILTER(Log!$G:$G, (Log!$A:$A="Daily") * (Log!$B:$B="n/a") * (Log!$C:$C=$A31) * (Log!$D:$D=M$3)), "Unknown"), "")</f>
        <v/>
      </c>
      <c r="N31" s="129" t="str" cm="1">
        <f t="array" ref="N31">IF($A31&lt;&gt;"", IFERROR(_xlfn._xlws.FILTER(Log!$G:$G, (Log!$A:$A="Daily") * (Log!$B:$B="n/a") * (Log!$C:$C=$A31) * (Log!$D:$D=N$3)), "Unknown"), "")</f>
        <v/>
      </c>
      <c r="O31" s="129" t="str" cm="1">
        <f t="array" ref="O31">IF($A31&lt;&gt;"", IFERROR(_xlfn._xlws.FILTER(Log!$G:$G, (Log!$A:$A="Daily") * (Log!$B:$B="n/a") * (Log!$C:$C=$A31) * (Log!$D:$D=O$3)), "Unknown"), "")</f>
        <v/>
      </c>
      <c r="P31" s="129" t="str" cm="1">
        <f t="array" ref="P31">IF($A31&lt;&gt;"", IFERROR(_xlfn._xlws.FILTER(Log!$G:$G, (Log!$A:$A="Daily") * (Log!$B:$B="n/a") * (Log!$C:$C=$A31) * (Log!$D:$D=P$3)), "Unknown"), "")</f>
        <v/>
      </c>
      <c r="Q31" s="129" t="str" cm="1">
        <f t="array" ref="Q31">IF($A31&lt;&gt;"", IFERROR(_xlfn._xlws.FILTER(Log!$G:$G, (Log!$A:$A="Daily") * (Log!$B:$B="n/a") * (Log!$C:$C=$A31) * (Log!$D:$D=Q$3)), "Unknown"), "")</f>
        <v/>
      </c>
      <c r="R31" s="129" t="str" cm="1">
        <f t="array" ref="R31">IF($A31&lt;&gt;"", IFERROR(_xlfn._xlws.FILTER(Log!$G:$G, (Log!$A:$A="Daily") * (Log!$B:$B="n/a") * (Log!$C:$C=$A31) * (Log!$D:$D=R$3)), "Unknown"), "")</f>
        <v/>
      </c>
      <c r="S31" s="129" t="str" cm="1">
        <f t="array" ref="S31">IF($A31&lt;&gt;"", IFERROR(_xlfn._xlws.FILTER(Log!$G:$G, (Log!$A:$A="Daily") * (Log!$B:$B="n/a") * (Log!$C:$C=$A31) * (Log!$D:$D=S$3)), "Unknown"), "")</f>
        <v/>
      </c>
      <c r="T31" s="129" t="str" cm="1">
        <f t="array" ref="T31">IF($A31&lt;&gt;"", IFERROR(_xlfn._xlws.FILTER(Log!$G:$G, (Log!$A:$A="Daily") * (Log!$B:$B="n/a") * (Log!$C:$C=$A31) * (Log!$D:$D=T$3)), "Unknown"), "")</f>
        <v/>
      </c>
      <c r="W31" s="249" t="str">
        <f t="shared" si="43"/>
        <v/>
      </c>
      <c r="X31" s="249" t="str">
        <f t="shared" si="44"/>
        <v/>
      </c>
      <c r="Y31" s="249" t="str">
        <f t="shared" si="45"/>
        <v/>
      </c>
      <c r="Z31" s="249" t="str">
        <f t="shared" si="46"/>
        <v/>
      </c>
      <c r="AA31" s="249" t="str">
        <f t="shared" si="47"/>
        <v/>
      </c>
      <c r="AB31" s="249" t="str">
        <f t="shared" si="48"/>
        <v/>
      </c>
      <c r="AC31" s="249" t="str">
        <f t="shared" si="49"/>
        <v/>
      </c>
      <c r="AD31" s="249" t="str">
        <f t="shared" si="50"/>
        <v/>
      </c>
      <c r="AE31" s="249" t="str">
        <f t="shared" si="51"/>
        <v/>
      </c>
      <c r="AF31" s="249" t="str">
        <f t="shared" si="52"/>
        <v/>
      </c>
      <c r="AG31" s="249" t="str">
        <f t="shared" si="53"/>
        <v/>
      </c>
      <c r="AH31" s="249" t="str">
        <f t="shared" si="54"/>
        <v/>
      </c>
      <c r="AI31" s="249" t="str">
        <f t="shared" si="55"/>
        <v/>
      </c>
      <c r="AJ31" s="249" t="str">
        <f t="shared" si="56"/>
        <v/>
      </c>
      <c r="AK31" s="249" t="str">
        <f t="shared" si="57"/>
        <v/>
      </c>
      <c r="AL31" s="249" t="str">
        <f t="shared" si="58"/>
        <v/>
      </c>
      <c r="AM31" s="249" t="str">
        <f t="shared" si="59"/>
        <v/>
      </c>
      <c r="AN31" s="249" t="str">
        <f t="shared" si="60"/>
        <v/>
      </c>
    </row>
    <row r="32" spans="1:41" x14ac:dyDescent="0.25">
      <c r="B32" s="245" t="str">
        <f t="shared" si="6"/>
        <v/>
      </c>
      <c r="C32" s="129" t="str" cm="1">
        <f t="array" ref="C32">IF($A32&lt;&gt;"", IFERROR(_xlfn._xlws.FILTER(Log!$G:$G, (Log!$A:$A="Daily") * (Log!$B:$B="n/a") * (Log!$C:$C=$A32) * (Log!$D:$D=C$3)), "Unknown"), "")</f>
        <v/>
      </c>
      <c r="D32" s="129" t="str" cm="1">
        <f t="array" ref="D32">IF($A32&lt;&gt;"", IFERROR(_xlfn._xlws.FILTER(Log!$G:$G, (Log!$A:$A="Daily") * (Log!$B:$B="n/a") * (Log!$C:$C=$A32) * (Log!$D:$D=D$3)), "Unknown"), "")</f>
        <v/>
      </c>
      <c r="E32" s="129" t="str" cm="1">
        <f t="array" ref="E32">IF($A32&lt;&gt;"", IFERROR(_xlfn._xlws.FILTER(Log!$G:$G, (Log!$A:$A="Daily") * (Log!$B:$B="n/a") * (Log!$C:$C=$A32) * (Log!$D:$D=E$3)), "Unknown"), "")</f>
        <v/>
      </c>
      <c r="F32" s="129" t="str" cm="1">
        <f t="array" ref="F32">IF($A32&lt;&gt;"", IFERROR(_xlfn._xlws.FILTER(Log!$G:$G, (Log!$A:$A="Daily") * (Log!$B:$B="n/a") * (Log!$C:$C=$A32) * (Log!$D:$D=F$3)), "Unknown"), "")</f>
        <v/>
      </c>
      <c r="G32" s="129" t="str" cm="1">
        <f t="array" ref="G32">IF($A32&lt;&gt;"", IFERROR(_xlfn._xlws.FILTER(Log!$G:$G, (Log!$A:$A="Daily") * (Log!$B:$B="n/a") * (Log!$C:$C=$A32) * (Log!$D:$D=G$3)), "Unknown"), "")</f>
        <v/>
      </c>
      <c r="H32" s="129" t="str" cm="1">
        <f t="array" ref="H32">IF($A32&lt;&gt;"", IFERROR(_xlfn._xlws.FILTER(Log!$G:$G, (Log!$A:$A="Daily") * (Log!$B:$B="n/a") * (Log!$C:$C=$A32) * (Log!$D:$D=H$3)), "Unknown"), "")</f>
        <v/>
      </c>
      <c r="I32" s="129" t="str" cm="1">
        <f t="array" ref="I32">IF($A32&lt;&gt;"", IFERROR(_xlfn._xlws.FILTER(Log!$G:$G, (Log!$A:$A="Daily") * (Log!$B:$B="n/a") * (Log!$C:$C=$A32) * (Log!$D:$D=I$3)), "Unknown"), "")</f>
        <v/>
      </c>
      <c r="J32" s="129" t="str" cm="1">
        <f t="array" ref="J32">IF($A32&lt;&gt;"", IFERROR(_xlfn._xlws.FILTER(Log!$G:$G, (Log!$A:$A="Daily") * (Log!$B:$B="n/a") * (Log!$C:$C=$A32) * (Log!$D:$D=J$3)), "Unknown"), "")</f>
        <v/>
      </c>
      <c r="K32" s="129" t="str" cm="1">
        <f t="array" ref="K32">IF($A32&lt;&gt;"", IFERROR(_xlfn._xlws.FILTER(Log!$G:$G, (Log!$A:$A="Daily") * (Log!$B:$B="n/a") * (Log!$C:$C=$A32) * (Log!$D:$D=K$3)), "Unknown"), "")</f>
        <v/>
      </c>
      <c r="L32" s="129" t="str" cm="1">
        <f t="array" ref="L32">IF($A32&lt;&gt;"", IFERROR(_xlfn._xlws.FILTER(Log!$G:$G, (Log!$A:$A="Daily") * (Log!$B:$B="n/a") * (Log!$C:$C=$A32) * (Log!$D:$D=L$3)), "Unknown"), "")</f>
        <v/>
      </c>
      <c r="M32" s="129" t="str" cm="1">
        <f t="array" ref="M32">IF($A32&lt;&gt;"", IFERROR(_xlfn._xlws.FILTER(Log!$G:$G, (Log!$A:$A="Daily") * (Log!$B:$B="n/a") * (Log!$C:$C=$A32) * (Log!$D:$D=M$3)), "Unknown"), "")</f>
        <v/>
      </c>
      <c r="N32" s="129" t="str" cm="1">
        <f t="array" ref="N32">IF($A32&lt;&gt;"", IFERROR(_xlfn._xlws.FILTER(Log!$G:$G, (Log!$A:$A="Daily") * (Log!$B:$B="n/a") * (Log!$C:$C=$A32) * (Log!$D:$D=N$3)), "Unknown"), "")</f>
        <v/>
      </c>
      <c r="O32" s="129" t="str" cm="1">
        <f t="array" ref="O32">IF($A32&lt;&gt;"", IFERROR(_xlfn._xlws.FILTER(Log!$G:$G, (Log!$A:$A="Daily") * (Log!$B:$B="n/a") * (Log!$C:$C=$A32) * (Log!$D:$D=O$3)), "Unknown"), "")</f>
        <v/>
      </c>
      <c r="P32" s="129" t="str" cm="1">
        <f t="array" ref="P32">IF($A32&lt;&gt;"", IFERROR(_xlfn._xlws.FILTER(Log!$G:$G, (Log!$A:$A="Daily") * (Log!$B:$B="n/a") * (Log!$C:$C=$A32) * (Log!$D:$D=P$3)), "Unknown"), "")</f>
        <v/>
      </c>
      <c r="Q32" s="129" t="str" cm="1">
        <f t="array" ref="Q32">IF($A32&lt;&gt;"", IFERROR(_xlfn._xlws.FILTER(Log!$G:$G, (Log!$A:$A="Daily") * (Log!$B:$B="n/a") * (Log!$C:$C=$A32) * (Log!$D:$D=Q$3)), "Unknown"), "")</f>
        <v/>
      </c>
      <c r="R32" s="129" t="str" cm="1">
        <f t="array" ref="R32">IF($A32&lt;&gt;"", IFERROR(_xlfn._xlws.FILTER(Log!$G:$G, (Log!$A:$A="Daily") * (Log!$B:$B="n/a") * (Log!$C:$C=$A32) * (Log!$D:$D=R$3)), "Unknown"), "")</f>
        <v/>
      </c>
      <c r="S32" s="129" t="str" cm="1">
        <f t="array" ref="S32">IF($A32&lt;&gt;"", IFERROR(_xlfn._xlws.FILTER(Log!$G:$G, (Log!$A:$A="Daily") * (Log!$B:$B="n/a") * (Log!$C:$C=$A32) * (Log!$D:$D=S$3)), "Unknown"), "")</f>
        <v/>
      </c>
      <c r="T32" s="129" t="str" cm="1">
        <f t="array" ref="T32">IF($A32&lt;&gt;"", IFERROR(_xlfn._xlws.FILTER(Log!$G:$G, (Log!$A:$A="Daily") * (Log!$B:$B="n/a") * (Log!$C:$C=$A32) * (Log!$D:$D=T$3)), "Unknown"), "")</f>
        <v/>
      </c>
      <c r="W32" s="249" t="str">
        <f t="shared" si="43"/>
        <v/>
      </c>
      <c r="X32" s="249" t="str">
        <f t="shared" si="44"/>
        <v/>
      </c>
      <c r="Y32" s="249" t="str">
        <f t="shared" si="45"/>
        <v/>
      </c>
      <c r="Z32" s="249" t="str">
        <f t="shared" si="46"/>
        <v/>
      </c>
      <c r="AA32" s="249" t="str">
        <f t="shared" si="47"/>
        <v/>
      </c>
      <c r="AB32" s="249" t="str">
        <f t="shared" si="48"/>
        <v/>
      </c>
      <c r="AC32" s="249" t="str">
        <f t="shared" si="49"/>
        <v/>
      </c>
      <c r="AD32" s="249" t="str">
        <f t="shared" si="50"/>
        <v/>
      </c>
      <c r="AE32" s="249" t="str">
        <f t="shared" si="51"/>
        <v/>
      </c>
      <c r="AF32" s="249" t="str">
        <f t="shared" si="52"/>
        <v/>
      </c>
      <c r="AG32" s="249" t="str">
        <f t="shared" si="53"/>
        <v/>
      </c>
      <c r="AH32" s="249" t="str">
        <f t="shared" si="54"/>
        <v/>
      </c>
      <c r="AI32" s="249" t="str">
        <f t="shared" si="55"/>
        <v/>
      </c>
      <c r="AJ32" s="249" t="str">
        <f t="shared" si="56"/>
        <v/>
      </c>
      <c r="AK32" s="249" t="str">
        <f t="shared" si="57"/>
        <v/>
      </c>
      <c r="AL32" s="249" t="str">
        <f t="shared" si="58"/>
        <v/>
      </c>
      <c r="AM32" s="249" t="str">
        <f t="shared" si="59"/>
        <v/>
      </c>
      <c r="AN32" s="249" t="str">
        <f t="shared" si="60"/>
        <v/>
      </c>
    </row>
    <row r="33" spans="2:40" x14ac:dyDescent="0.25">
      <c r="B33" s="245" t="str">
        <f t="shared" si="6"/>
        <v/>
      </c>
      <c r="C33" s="129" t="str" cm="1">
        <f t="array" ref="C33">IF($A33&lt;&gt;"", IFERROR(_xlfn._xlws.FILTER(Log!$G:$G, (Log!$A:$A="Daily") * (Log!$B:$B="n/a") * (Log!$C:$C=$A33) * (Log!$D:$D=C$3)), "Unknown"), "")</f>
        <v/>
      </c>
      <c r="D33" s="129" t="str" cm="1">
        <f t="array" ref="D33">IF($A33&lt;&gt;"", IFERROR(_xlfn._xlws.FILTER(Log!$G:$G, (Log!$A:$A="Daily") * (Log!$B:$B="n/a") * (Log!$C:$C=$A33) * (Log!$D:$D=D$3)), "Unknown"), "")</f>
        <v/>
      </c>
      <c r="E33" s="129" t="str" cm="1">
        <f t="array" ref="E33">IF($A33&lt;&gt;"", IFERROR(_xlfn._xlws.FILTER(Log!$G:$G, (Log!$A:$A="Daily") * (Log!$B:$B="n/a") * (Log!$C:$C=$A33) * (Log!$D:$D=E$3)), "Unknown"), "")</f>
        <v/>
      </c>
      <c r="F33" s="129" t="str" cm="1">
        <f t="array" ref="F33">IF($A33&lt;&gt;"", IFERROR(_xlfn._xlws.FILTER(Log!$G:$G, (Log!$A:$A="Daily") * (Log!$B:$B="n/a") * (Log!$C:$C=$A33) * (Log!$D:$D=F$3)), "Unknown"), "")</f>
        <v/>
      </c>
      <c r="G33" s="129" t="str" cm="1">
        <f t="array" ref="G33">IF($A33&lt;&gt;"", IFERROR(_xlfn._xlws.FILTER(Log!$G:$G, (Log!$A:$A="Daily") * (Log!$B:$B="n/a") * (Log!$C:$C=$A33) * (Log!$D:$D=G$3)), "Unknown"), "")</f>
        <v/>
      </c>
      <c r="H33" s="129" t="str" cm="1">
        <f t="array" ref="H33">IF($A33&lt;&gt;"", IFERROR(_xlfn._xlws.FILTER(Log!$G:$G, (Log!$A:$A="Daily") * (Log!$B:$B="n/a") * (Log!$C:$C=$A33) * (Log!$D:$D=H$3)), "Unknown"), "")</f>
        <v/>
      </c>
      <c r="I33" s="129" t="str" cm="1">
        <f t="array" ref="I33">IF($A33&lt;&gt;"", IFERROR(_xlfn._xlws.FILTER(Log!$G:$G, (Log!$A:$A="Daily") * (Log!$B:$B="n/a") * (Log!$C:$C=$A33) * (Log!$D:$D=I$3)), "Unknown"), "")</f>
        <v/>
      </c>
      <c r="J33" s="129" t="str" cm="1">
        <f t="array" ref="J33">IF($A33&lt;&gt;"", IFERROR(_xlfn._xlws.FILTER(Log!$G:$G, (Log!$A:$A="Daily") * (Log!$B:$B="n/a") * (Log!$C:$C=$A33) * (Log!$D:$D=J$3)), "Unknown"), "")</f>
        <v/>
      </c>
      <c r="K33" s="129" t="str" cm="1">
        <f t="array" ref="K33">IF($A33&lt;&gt;"", IFERROR(_xlfn._xlws.FILTER(Log!$G:$G, (Log!$A:$A="Daily") * (Log!$B:$B="n/a") * (Log!$C:$C=$A33) * (Log!$D:$D=K$3)), "Unknown"), "")</f>
        <v/>
      </c>
      <c r="L33" s="129" t="str" cm="1">
        <f t="array" ref="L33">IF($A33&lt;&gt;"", IFERROR(_xlfn._xlws.FILTER(Log!$G:$G, (Log!$A:$A="Daily") * (Log!$B:$B="n/a") * (Log!$C:$C=$A33) * (Log!$D:$D=L$3)), "Unknown"), "")</f>
        <v/>
      </c>
      <c r="M33" s="129" t="str" cm="1">
        <f t="array" ref="M33">IF($A33&lt;&gt;"", IFERROR(_xlfn._xlws.FILTER(Log!$G:$G, (Log!$A:$A="Daily") * (Log!$B:$B="n/a") * (Log!$C:$C=$A33) * (Log!$D:$D=M$3)), "Unknown"), "")</f>
        <v/>
      </c>
      <c r="N33" s="129" t="str" cm="1">
        <f t="array" ref="N33">IF($A33&lt;&gt;"", IFERROR(_xlfn._xlws.FILTER(Log!$G:$G, (Log!$A:$A="Daily") * (Log!$B:$B="n/a") * (Log!$C:$C=$A33) * (Log!$D:$D=N$3)), "Unknown"), "")</f>
        <v/>
      </c>
      <c r="O33" s="129" t="str" cm="1">
        <f t="array" ref="O33">IF($A33&lt;&gt;"", IFERROR(_xlfn._xlws.FILTER(Log!$G:$G, (Log!$A:$A="Daily") * (Log!$B:$B="n/a") * (Log!$C:$C=$A33) * (Log!$D:$D=O$3)), "Unknown"), "")</f>
        <v/>
      </c>
      <c r="P33" s="129" t="str" cm="1">
        <f t="array" ref="P33">IF($A33&lt;&gt;"", IFERROR(_xlfn._xlws.FILTER(Log!$G:$G, (Log!$A:$A="Daily") * (Log!$B:$B="n/a") * (Log!$C:$C=$A33) * (Log!$D:$D=P$3)), "Unknown"), "")</f>
        <v/>
      </c>
      <c r="Q33" s="129" t="str" cm="1">
        <f t="array" ref="Q33">IF($A33&lt;&gt;"", IFERROR(_xlfn._xlws.FILTER(Log!$G:$G, (Log!$A:$A="Daily") * (Log!$B:$B="n/a") * (Log!$C:$C=$A33) * (Log!$D:$D=Q$3)), "Unknown"), "")</f>
        <v/>
      </c>
      <c r="R33" s="129" t="str" cm="1">
        <f t="array" ref="R33">IF($A33&lt;&gt;"", IFERROR(_xlfn._xlws.FILTER(Log!$G:$G, (Log!$A:$A="Daily") * (Log!$B:$B="n/a") * (Log!$C:$C=$A33) * (Log!$D:$D=R$3)), "Unknown"), "")</f>
        <v/>
      </c>
      <c r="S33" s="129" t="str" cm="1">
        <f t="array" ref="S33">IF($A33&lt;&gt;"", IFERROR(_xlfn._xlws.FILTER(Log!$G:$G, (Log!$A:$A="Daily") * (Log!$B:$B="n/a") * (Log!$C:$C=$A33) * (Log!$D:$D=S$3)), "Unknown"), "")</f>
        <v/>
      </c>
      <c r="T33" s="129" t="str" cm="1">
        <f t="array" ref="T33">IF($A33&lt;&gt;"", IFERROR(_xlfn._xlws.FILTER(Log!$G:$G, (Log!$A:$A="Daily") * (Log!$B:$B="n/a") * (Log!$C:$C=$A33) * (Log!$D:$D=T$3)), "Unknown"), "")</f>
        <v/>
      </c>
      <c r="W33" s="249" t="str">
        <f t="shared" si="43"/>
        <v/>
      </c>
      <c r="X33" s="249" t="str">
        <f t="shared" si="44"/>
        <v/>
      </c>
      <c r="Y33" s="249" t="str">
        <f t="shared" si="45"/>
        <v/>
      </c>
      <c r="Z33" s="249" t="str">
        <f t="shared" si="46"/>
        <v/>
      </c>
      <c r="AA33" s="249" t="str">
        <f t="shared" si="47"/>
        <v/>
      </c>
      <c r="AB33" s="249" t="str">
        <f t="shared" si="48"/>
        <v/>
      </c>
      <c r="AC33" s="249" t="str">
        <f t="shared" si="49"/>
        <v/>
      </c>
      <c r="AD33" s="249" t="str">
        <f t="shared" si="50"/>
        <v/>
      </c>
      <c r="AE33" s="249" t="str">
        <f t="shared" si="51"/>
        <v/>
      </c>
      <c r="AF33" s="249" t="str">
        <f t="shared" si="52"/>
        <v/>
      </c>
      <c r="AG33" s="249" t="str">
        <f t="shared" si="53"/>
        <v/>
      </c>
      <c r="AH33" s="249" t="str">
        <f t="shared" si="54"/>
        <v/>
      </c>
      <c r="AI33" s="249" t="str">
        <f t="shared" si="55"/>
        <v/>
      </c>
      <c r="AJ33" s="249" t="str">
        <f t="shared" si="56"/>
        <v/>
      </c>
      <c r="AK33" s="249" t="str">
        <f t="shared" si="57"/>
        <v/>
      </c>
      <c r="AL33" s="249" t="str">
        <f t="shared" si="58"/>
        <v/>
      </c>
      <c r="AM33" s="249" t="str">
        <f t="shared" si="59"/>
        <v/>
      </c>
      <c r="AN33" s="249" t="str">
        <f t="shared" si="60"/>
        <v/>
      </c>
    </row>
    <row r="34" spans="2:40" x14ac:dyDescent="0.25">
      <c r="B34" s="245" t="str">
        <f t="shared" si="6"/>
        <v/>
      </c>
      <c r="C34" s="129" t="str" cm="1">
        <f t="array" ref="C34">IF($A34&lt;&gt;"", IFERROR(_xlfn._xlws.FILTER(Log!$G:$G, (Log!$A:$A="Daily") * (Log!$B:$B="n/a") * (Log!$C:$C=$A34) * (Log!$D:$D=C$3)), "Unknown"), "")</f>
        <v/>
      </c>
      <c r="D34" s="129" t="str" cm="1">
        <f t="array" ref="D34">IF($A34&lt;&gt;"", IFERROR(_xlfn._xlws.FILTER(Log!$G:$G, (Log!$A:$A="Daily") * (Log!$B:$B="n/a") * (Log!$C:$C=$A34) * (Log!$D:$D=D$3)), "Unknown"), "")</f>
        <v/>
      </c>
      <c r="E34" s="129" t="str" cm="1">
        <f t="array" ref="E34">IF($A34&lt;&gt;"", IFERROR(_xlfn._xlws.FILTER(Log!$G:$G, (Log!$A:$A="Daily") * (Log!$B:$B="n/a") * (Log!$C:$C=$A34) * (Log!$D:$D=E$3)), "Unknown"), "")</f>
        <v/>
      </c>
      <c r="F34" s="129" t="str" cm="1">
        <f t="array" ref="F34">IF($A34&lt;&gt;"", IFERROR(_xlfn._xlws.FILTER(Log!$G:$G, (Log!$A:$A="Daily") * (Log!$B:$B="n/a") * (Log!$C:$C=$A34) * (Log!$D:$D=F$3)), "Unknown"), "")</f>
        <v/>
      </c>
      <c r="G34" s="129" t="str" cm="1">
        <f t="array" ref="G34">IF($A34&lt;&gt;"", IFERROR(_xlfn._xlws.FILTER(Log!$G:$G, (Log!$A:$A="Daily") * (Log!$B:$B="n/a") * (Log!$C:$C=$A34) * (Log!$D:$D=G$3)), "Unknown"), "")</f>
        <v/>
      </c>
      <c r="H34" s="129" t="str" cm="1">
        <f t="array" ref="H34">IF($A34&lt;&gt;"", IFERROR(_xlfn._xlws.FILTER(Log!$G:$G, (Log!$A:$A="Daily") * (Log!$B:$B="n/a") * (Log!$C:$C=$A34) * (Log!$D:$D=H$3)), "Unknown"), "")</f>
        <v/>
      </c>
      <c r="I34" s="129" t="str" cm="1">
        <f t="array" ref="I34">IF($A34&lt;&gt;"", IFERROR(_xlfn._xlws.FILTER(Log!$G:$G, (Log!$A:$A="Daily") * (Log!$B:$B="n/a") * (Log!$C:$C=$A34) * (Log!$D:$D=I$3)), "Unknown"), "")</f>
        <v/>
      </c>
      <c r="J34" s="129" t="str" cm="1">
        <f t="array" ref="J34">IF($A34&lt;&gt;"", IFERROR(_xlfn._xlws.FILTER(Log!$G:$G, (Log!$A:$A="Daily") * (Log!$B:$B="n/a") * (Log!$C:$C=$A34) * (Log!$D:$D=J$3)), "Unknown"), "")</f>
        <v/>
      </c>
      <c r="K34" s="129" t="str" cm="1">
        <f t="array" ref="K34">IF($A34&lt;&gt;"", IFERROR(_xlfn._xlws.FILTER(Log!$G:$G, (Log!$A:$A="Daily") * (Log!$B:$B="n/a") * (Log!$C:$C=$A34) * (Log!$D:$D=K$3)), "Unknown"), "")</f>
        <v/>
      </c>
      <c r="L34" s="129" t="str" cm="1">
        <f t="array" ref="L34">IF($A34&lt;&gt;"", IFERROR(_xlfn._xlws.FILTER(Log!$G:$G, (Log!$A:$A="Daily") * (Log!$B:$B="n/a") * (Log!$C:$C=$A34) * (Log!$D:$D=L$3)), "Unknown"), "")</f>
        <v/>
      </c>
      <c r="M34" s="129" t="str" cm="1">
        <f t="array" ref="M34">IF($A34&lt;&gt;"", IFERROR(_xlfn._xlws.FILTER(Log!$G:$G, (Log!$A:$A="Daily") * (Log!$B:$B="n/a") * (Log!$C:$C=$A34) * (Log!$D:$D=M$3)), "Unknown"), "")</f>
        <v/>
      </c>
      <c r="N34" s="129" t="str" cm="1">
        <f t="array" ref="N34">IF($A34&lt;&gt;"", IFERROR(_xlfn._xlws.FILTER(Log!$G:$G, (Log!$A:$A="Daily") * (Log!$B:$B="n/a") * (Log!$C:$C=$A34) * (Log!$D:$D=N$3)), "Unknown"), "")</f>
        <v/>
      </c>
      <c r="O34" s="129" t="str" cm="1">
        <f t="array" ref="O34">IF($A34&lt;&gt;"", IFERROR(_xlfn._xlws.FILTER(Log!$G:$G, (Log!$A:$A="Daily") * (Log!$B:$B="n/a") * (Log!$C:$C=$A34) * (Log!$D:$D=O$3)), "Unknown"), "")</f>
        <v/>
      </c>
      <c r="P34" s="129" t="str" cm="1">
        <f t="array" ref="P34">IF($A34&lt;&gt;"", IFERROR(_xlfn._xlws.FILTER(Log!$G:$G, (Log!$A:$A="Daily") * (Log!$B:$B="n/a") * (Log!$C:$C=$A34) * (Log!$D:$D=P$3)), "Unknown"), "")</f>
        <v/>
      </c>
      <c r="Q34" s="129" t="str" cm="1">
        <f t="array" ref="Q34">IF($A34&lt;&gt;"", IFERROR(_xlfn._xlws.FILTER(Log!$G:$G, (Log!$A:$A="Daily") * (Log!$B:$B="n/a") * (Log!$C:$C=$A34) * (Log!$D:$D=Q$3)), "Unknown"), "")</f>
        <v/>
      </c>
      <c r="R34" s="129" t="str" cm="1">
        <f t="array" ref="R34">IF($A34&lt;&gt;"", IFERROR(_xlfn._xlws.FILTER(Log!$G:$G, (Log!$A:$A="Daily") * (Log!$B:$B="n/a") * (Log!$C:$C=$A34) * (Log!$D:$D=R$3)), "Unknown"), "")</f>
        <v/>
      </c>
      <c r="S34" s="129" t="str" cm="1">
        <f t="array" ref="S34">IF($A34&lt;&gt;"", IFERROR(_xlfn._xlws.FILTER(Log!$G:$G, (Log!$A:$A="Daily") * (Log!$B:$B="n/a") * (Log!$C:$C=$A34) * (Log!$D:$D=S$3)), "Unknown"), "")</f>
        <v/>
      </c>
      <c r="T34" s="129" t="str" cm="1">
        <f t="array" ref="T34">IF($A34&lt;&gt;"", IFERROR(_xlfn._xlws.FILTER(Log!$G:$G, (Log!$A:$A="Daily") * (Log!$B:$B="n/a") * (Log!$C:$C=$A34) * (Log!$D:$D=T$3)), "Unknown"), "")</f>
        <v/>
      </c>
      <c r="W34" s="249" t="str">
        <f t="shared" si="43"/>
        <v/>
      </c>
      <c r="X34" s="249" t="str">
        <f t="shared" si="44"/>
        <v/>
      </c>
      <c r="Y34" s="249" t="str">
        <f t="shared" si="45"/>
        <v/>
      </c>
      <c r="Z34" s="249" t="str">
        <f t="shared" si="46"/>
        <v/>
      </c>
      <c r="AA34" s="249" t="str">
        <f t="shared" si="47"/>
        <v/>
      </c>
      <c r="AB34" s="249" t="str">
        <f t="shared" si="48"/>
        <v/>
      </c>
      <c r="AC34" s="249" t="str">
        <f t="shared" si="49"/>
        <v/>
      </c>
      <c r="AD34" s="249" t="str">
        <f t="shared" si="50"/>
        <v/>
      </c>
      <c r="AE34" s="249" t="str">
        <f t="shared" si="51"/>
        <v/>
      </c>
      <c r="AF34" s="249" t="str">
        <f t="shared" si="52"/>
        <v/>
      </c>
      <c r="AG34" s="249" t="str">
        <f t="shared" si="53"/>
        <v/>
      </c>
      <c r="AH34" s="249" t="str">
        <f t="shared" si="54"/>
        <v/>
      </c>
      <c r="AI34" s="249" t="str">
        <f t="shared" si="55"/>
        <v/>
      </c>
      <c r="AJ34" s="249" t="str">
        <f t="shared" si="56"/>
        <v/>
      </c>
      <c r="AK34" s="249" t="str">
        <f t="shared" si="57"/>
        <v/>
      </c>
      <c r="AL34" s="249" t="str">
        <f t="shared" si="58"/>
        <v/>
      </c>
      <c r="AM34" s="249" t="str">
        <f t="shared" si="59"/>
        <v/>
      </c>
      <c r="AN34" s="249" t="str">
        <f t="shared" si="60"/>
        <v/>
      </c>
    </row>
    <row r="35" spans="2:40" x14ac:dyDescent="0.25">
      <c r="B35" s="245" t="str">
        <f t="shared" si="6"/>
        <v/>
      </c>
      <c r="C35" s="129" t="str" cm="1">
        <f t="array" ref="C35">IF($A35&lt;&gt;"", IFERROR(_xlfn._xlws.FILTER(Log!$G:$G, (Log!$A:$A="Daily") * (Log!$B:$B="n/a") * (Log!$C:$C=$A35) * (Log!$D:$D=C$3)), "Unknown"), "")</f>
        <v/>
      </c>
      <c r="D35" s="129" t="str" cm="1">
        <f t="array" ref="D35">IF($A35&lt;&gt;"", IFERROR(_xlfn._xlws.FILTER(Log!$G:$G, (Log!$A:$A="Daily") * (Log!$B:$B="n/a") * (Log!$C:$C=$A35) * (Log!$D:$D=D$3)), "Unknown"), "")</f>
        <v/>
      </c>
      <c r="E35" s="129" t="str" cm="1">
        <f t="array" ref="E35">IF($A35&lt;&gt;"", IFERROR(_xlfn._xlws.FILTER(Log!$G:$G, (Log!$A:$A="Daily") * (Log!$B:$B="n/a") * (Log!$C:$C=$A35) * (Log!$D:$D=E$3)), "Unknown"), "")</f>
        <v/>
      </c>
      <c r="F35" s="129" t="str" cm="1">
        <f t="array" ref="F35">IF($A35&lt;&gt;"", IFERROR(_xlfn._xlws.FILTER(Log!$G:$G, (Log!$A:$A="Daily") * (Log!$B:$B="n/a") * (Log!$C:$C=$A35) * (Log!$D:$D=F$3)), "Unknown"), "")</f>
        <v/>
      </c>
      <c r="G35" s="129" t="str" cm="1">
        <f t="array" ref="G35">IF($A35&lt;&gt;"", IFERROR(_xlfn._xlws.FILTER(Log!$G:$G, (Log!$A:$A="Daily") * (Log!$B:$B="n/a") * (Log!$C:$C=$A35) * (Log!$D:$D=G$3)), "Unknown"), "")</f>
        <v/>
      </c>
      <c r="H35" s="129" t="str" cm="1">
        <f t="array" ref="H35">IF($A35&lt;&gt;"", IFERROR(_xlfn._xlws.FILTER(Log!$G:$G, (Log!$A:$A="Daily") * (Log!$B:$B="n/a") * (Log!$C:$C=$A35) * (Log!$D:$D=H$3)), "Unknown"), "")</f>
        <v/>
      </c>
      <c r="I35" s="129" t="str" cm="1">
        <f t="array" ref="I35">IF($A35&lt;&gt;"", IFERROR(_xlfn._xlws.FILTER(Log!$G:$G, (Log!$A:$A="Daily") * (Log!$B:$B="n/a") * (Log!$C:$C=$A35) * (Log!$D:$D=I$3)), "Unknown"), "")</f>
        <v/>
      </c>
      <c r="J35" s="129" t="str" cm="1">
        <f t="array" ref="J35">IF($A35&lt;&gt;"", IFERROR(_xlfn._xlws.FILTER(Log!$G:$G, (Log!$A:$A="Daily") * (Log!$B:$B="n/a") * (Log!$C:$C=$A35) * (Log!$D:$D=J$3)), "Unknown"), "")</f>
        <v/>
      </c>
      <c r="K35" s="129" t="str" cm="1">
        <f t="array" ref="K35">IF($A35&lt;&gt;"", IFERROR(_xlfn._xlws.FILTER(Log!$G:$G, (Log!$A:$A="Daily") * (Log!$B:$B="n/a") * (Log!$C:$C=$A35) * (Log!$D:$D=K$3)), "Unknown"), "")</f>
        <v/>
      </c>
      <c r="L35" s="129" t="str" cm="1">
        <f t="array" ref="L35">IF($A35&lt;&gt;"", IFERROR(_xlfn._xlws.FILTER(Log!$G:$G, (Log!$A:$A="Daily") * (Log!$B:$B="n/a") * (Log!$C:$C=$A35) * (Log!$D:$D=L$3)), "Unknown"), "")</f>
        <v/>
      </c>
      <c r="M35" s="129" t="str" cm="1">
        <f t="array" ref="M35">IF($A35&lt;&gt;"", IFERROR(_xlfn._xlws.FILTER(Log!$G:$G, (Log!$A:$A="Daily") * (Log!$B:$B="n/a") * (Log!$C:$C=$A35) * (Log!$D:$D=M$3)), "Unknown"), "")</f>
        <v/>
      </c>
      <c r="N35" s="129" t="str" cm="1">
        <f t="array" ref="N35">IF($A35&lt;&gt;"", IFERROR(_xlfn._xlws.FILTER(Log!$G:$G, (Log!$A:$A="Daily") * (Log!$B:$B="n/a") * (Log!$C:$C=$A35) * (Log!$D:$D=N$3)), "Unknown"), "")</f>
        <v/>
      </c>
      <c r="O35" s="129" t="str" cm="1">
        <f t="array" ref="O35">IF($A35&lt;&gt;"", IFERROR(_xlfn._xlws.FILTER(Log!$G:$G, (Log!$A:$A="Daily") * (Log!$B:$B="n/a") * (Log!$C:$C=$A35) * (Log!$D:$D=O$3)), "Unknown"), "")</f>
        <v/>
      </c>
      <c r="P35" s="129" t="str" cm="1">
        <f t="array" ref="P35">IF($A35&lt;&gt;"", IFERROR(_xlfn._xlws.FILTER(Log!$G:$G, (Log!$A:$A="Daily") * (Log!$B:$B="n/a") * (Log!$C:$C=$A35) * (Log!$D:$D=P$3)), "Unknown"), "")</f>
        <v/>
      </c>
      <c r="Q35" s="129" t="str" cm="1">
        <f t="array" ref="Q35">IF($A35&lt;&gt;"", IFERROR(_xlfn._xlws.FILTER(Log!$G:$G, (Log!$A:$A="Daily") * (Log!$B:$B="n/a") * (Log!$C:$C=$A35) * (Log!$D:$D=Q$3)), "Unknown"), "")</f>
        <v/>
      </c>
      <c r="R35" s="129" t="str" cm="1">
        <f t="array" ref="R35">IF($A35&lt;&gt;"", IFERROR(_xlfn._xlws.FILTER(Log!$G:$G, (Log!$A:$A="Daily") * (Log!$B:$B="n/a") * (Log!$C:$C=$A35) * (Log!$D:$D=R$3)), "Unknown"), "")</f>
        <v/>
      </c>
      <c r="S35" s="129" t="str" cm="1">
        <f t="array" ref="S35">IF($A35&lt;&gt;"", IFERROR(_xlfn._xlws.FILTER(Log!$G:$G, (Log!$A:$A="Daily") * (Log!$B:$B="n/a") * (Log!$C:$C=$A35) * (Log!$D:$D=S$3)), "Unknown"), "")</f>
        <v/>
      </c>
      <c r="T35" s="129" t="str" cm="1">
        <f t="array" ref="T35">IF($A35&lt;&gt;"", IFERROR(_xlfn._xlws.FILTER(Log!$G:$G, (Log!$A:$A="Daily") * (Log!$B:$B="n/a") * (Log!$C:$C=$A35) * (Log!$D:$D=T$3)), "Unknown"), "")</f>
        <v/>
      </c>
      <c r="W35" s="249" t="str">
        <f t="shared" si="43"/>
        <v/>
      </c>
      <c r="X35" s="249" t="str">
        <f t="shared" si="44"/>
        <v/>
      </c>
      <c r="Y35" s="249" t="str">
        <f t="shared" si="45"/>
        <v/>
      </c>
      <c r="Z35" s="249" t="str">
        <f t="shared" si="46"/>
        <v/>
      </c>
      <c r="AA35" s="249" t="str">
        <f t="shared" si="47"/>
        <v/>
      </c>
      <c r="AB35" s="249" t="str">
        <f t="shared" si="48"/>
        <v/>
      </c>
      <c r="AC35" s="249" t="str">
        <f t="shared" si="49"/>
        <v/>
      </c>
      <c r="AD35" s="249" t="str">
        <f t="shared" si="50"/>
        <v/>
      </c>
      <c r="AE35" s="249" t="str">
        <f t="shared" si="51"/>
        <v/>
      </c>
      <c r="AF35" s="249" t="str">
        <f t="shared" si="52"/>
        <v/>
      </c>
      <c r="AG35" s="249" t="str">
        <f t="shared" si="53"/>
        <v/>
      </c>
      <c r="AH35" s="249" t="str">
        <f t="shared" si="54"/>
        <v/>
      </c>
      <c r="AI35" s="249" t="str">
        <f t="shared" si="55"/>
        <v/>
      </c>
      <c r="AJ35" s="249" t="str">
        <f t="shared" si="56"/>
        <v/>
      </c>
      <c r="AK35" s="249" t="str">
        <f t="shared" si="57"/>
        <v/>
      </c>
      <c r="AL35" s="249" t="str">
        <f t="shared" si="58"/>
        <v/>
      </c>
      <c r="AM35" s="249" t="str">
        <f t="shared" si="59"/>
        <v/>
      </c>
      <c r="AN35" s="249" t="str">
        <f t="shared" si="60"/>
        <v/>
      </c>
    </row>
    <row r="36" spans="2:40" x14ac:dyDescent="0.25">
      <c r="B36" s="245" t="str">
        <f t="shared" si="6"/>
        <v/>
      </c>
      <c r="C36" s="129" t="str" cm="1">
        <f t="array" ref="C36">IF($A36&lt;&gt;"", IFERROR(_xlfn._xlws.FILTER(Log!$G:$G, (Log!$A:$A="Daily") * (Log!$B:$B="n/a") * (Log!$C:$C=$A36) * (Log!$D:$D=C$3)), "Unknown"), "")</f>
        <v/>
      </c>
      <c r="D36" s="129" t="str" cm="1">
        <f t="array" ref="D36">IF($A36&lt;&gt;"", IFERROR(_xlfn._xlws.FILTER(Log!$G:$G, (Log!$A:$A="Daily") * (Log!$B:$B="n/a") * (Log!$C:$C=$A36) * (Log!$D:$D=D$3)), "Unknown"), "")</f>
        <v/>
      </c>
      <c r="E36" s="129" t="str" cm="1">
        <f t="array" ref="E36">IF($A36&lt;&gt;"", IFERROR(_xlfn._xlws.FILTER(Log!$G:$G, (Log!$A:$A="Daily") * (Log!$B:$B="n/a") * (Log!$C:$C=$A36) * (Log!$D:$D=E$3)), "Unknown"), "")</f>
        <v/>
      </c>
      <c r="F36" s="129" t="str" cm="1">
        <f t="array" ref="F36">IF($A36&lt;&gt;"", IFERROR(_xlfn._xlws.FILTER(Log!$G:$G, (Log!$A:$A="Daily") * (Log!$B:$B="n/a") * (Log!$C:$C=$A36) * (Log!$D:$D=F$3)), "Unknown"), "")</f>
        <v/>
      </c>
      <c r="G36" s="129" t="str" cm="1">
        <f t="array" ref="G36">IF($A36&lt;&gt;"", IFERROR(_xlfn._xlws.FILTER(Log!$G:$G, (Log!$A:$A="Daily") * (Log!$B:$B="n/a") * (Log!$C:$C=$A36) * (Log!$D:$D=G$3)), "Unknown"), "")</f>
        <v/>
      </c>
      <c r="H36" s="129" t="str" cm="1">
        <f t="array" ref="H36">IF($A36&lt;&gt;"", IFERROR(_xlfn._xlws.FILTER(Log!$G:$G, (Log!$A:$A="Daily") * (Log!$B:$B="n/a") * (Log!$C:$C=$A36) * (Log!$D:$D=H$3)), "Unknown"), "")</f>
        <v/>
      </c>
      <c r="I36" s="129" t="str" cm="1">
        <f t="array" ref="I36">IF($A36&lt;&gt;"", IFERROR(_xlfn._xlws.FILTER(Log!$G:$G, (Log!$A:$A="Daily") * (Log!$B:$B="n/a") * (Log!$C:$C=$A36) * (Log!$D:$D=I$3)), "Unknown"), "")</f>
        <v/>
      </c>
      <c r="J36" s="129" t="str" cm="1">
        <f t="array" ref="J36">IF($A36&lt;&gt;"", IFERROR(_xlfn._xlws.FILTER(Log!$G:$G, (Log!$A:$A="Daily") * (Log!$B:$B="n/a") * (Log!$C:$C=$A36) * (Log!$D:$D=J$3)), "Unknown"), "")</f>
        <v/>
      </c>
      <c r="K36" s="129" t="str" cm="1">
        <f t="array" ref="K36">IF($A36&lt;&gt;"", IFERROR(_xlfn._xlws.FILTER(Log!$G:$G, (Log!$A:$A="Daily") * (Log!$B:$B="n/a") * (Log!$C:$C=$A36) * (Log!$D:$D=K$3)), "Unknown"), "")</f>
        <v/>
      </c>
      <c r="L36" s="129" t="str" cm="1">
        <f t="array" ref="L36">IF($A36&lt;&gt;"", IFERROR(_xlfn._xlws.FILTER(Log!$G:$G, (Log!$A:$A="Daily") * (Log!$B:$B="n/a") * (Log!$C:$C=$A36) * (Log!$D:$D=L$3)), "Unknown"), "")</f>
        <v/>
      </c>
      <c r="M36" s="129" t="str" cm="1">
        <f t="array" ref="M36">IF($A36&lt;&gt;"", IFERROR(_xlfn._xlws.FILTER(Log!$G:$G, (Log!$A:$A="Daily") * (Log!$B:$B="n/a") * (Log!$C:$C=$A36) * (Log!$D:$D=M$3)), "Unknown"), "")</f>
        <v/>
      </c>
      <c r="N36" s="129" t="str" cm="1">
        <f t="array" ref="N36">IF($A36&lt;&gt;"", IFERROR(_xlfn._xlws.FILTER(Log!$G:$G, (Log!$A:$A="Daily") * (Log!$B:$B="n/a") * (Log!$C:$C=$A36) * (Log!$D:$D=N$3)), "Unknown"), "")</f>
        <v/>
      </c>
      <c r="O36" s="129" t="str" cm="1">
        <f t="array" ref="O36">IF($A36&lt;&gt;"", IFERROR(_xlfn._xlws.FILTER(Log!$G:$G, (Log!$A:$A="Daily") * (Log!$B:$B="n/a") * (Log!$C:$C=$A36) * (Log!$D:$D=O$3)), "Unknown"), "")</f>
        <v/>
      </c>
      <c r="P36" s="129" t="str" cm="1">
        <f t="array" ref="P36">IF($A36&lt;&gt;"", IFERROR(_xlfn._xlws.FILTER(Log!$G:$G, (Log!$A:$A="Daily") * (Log!$B:$B="n/a") * (Log!$C:$C=$A36) * (Log!$D:$D=P$3)), "Unknown"), "")</f>
        <v/>
      </c>
      <c r="Q36" s="129" t="str" cm="1">
        <f t="array" ref="Q36">IF($A36&lt;&gt;"", IFERROR(_xlfn._xlws.FILTER(Log!$G:$G, (Log!$A:$A="Daily") * (Log!$B:$B="n/a") * (Log!$C:$C=$A36) * (Log!$D:$D=Q$3)), "Unknown"), "")</f>
        <v/>
      </c>
      <c r="R36" s="129" t="str" cm="1">
        <f t="array" ref="R36">IF($A36&lt;&gt;"", IFERROR(_xlfn._xlws.FILTER(Log!$G:$G, (Log!$A:$A="Daily") * (Log!$B:$B="n/a") * (Log!$C:$C=$A36) * (Log!$D:$D=R$3)), "Unknown"), "")</f>
        <v/>
      </c>
      <c r="S36" s="129" t="str" cm="1">
        <f t="array" ref="S36">IF($A36&lt;&gt;"", IFERROR(_xlfn._xlws.FILTER(Log!$G:$G, (Log!$A:$A="Daily") * (Log!$B:$B="n/a") * (Log!$C:$C=$A36) * (Log!$D:$D=S$3)), "Unknown"), "")</f>
        <v/>
      </c>
      <c r="T36" s="129" t="str" cm="1">
        <f t="array" ref="T36">IF($A36&lt;&gt;"", IFERROR(_xlfn._xlws.FILTER(Log!$G:$G, (Log!$A:$A="Daily") * (Log!$B:$B="n/a") * (Log!$C:$C=$A36) * (Log!$D:$D=T$3)), "Unknown"), "")</f>
        <v/>
      </c>
      <c r="W36" s="249" t="str">
        <f t="shared" si="43"/>
        <v/>
      </c>
      <c r="X36" s="249" t="str">
        <f t="shared" si="44"/>
        <v/>
      </c>
      <c r="Y36" s="249" t="str">
        <f t="shared" si="45"/>
        <v/>
      </c>
      <c r="Z36" s="249" t="str">
        <f t="shared" si="46"/>
        <v/>
      </c>
      <c r="AA36" s="249" t="str">
        <f t="shared" si="47"/>
        <v/>
      </c>
      <c r="AB36" s="249" t="str">
        <f t="shared" si="48"/>
        <v/>
      </c>
      <c r="AC36" s="249" t="str">
        <f t="shared" si="49"/>
        <v/>
      </c>
      <c r="AD36" s="249" t="str">
        <f t="shared" si="50"/>
        <v/>
      </c>
      <c r="AE36" s="249" t="str">
        <f t="shared" si="51"/>
        <v/>
      </c>
      <c r="AF36" s="249" t="str">
        <f t="shared" si="52"/>
        <v/>
      </c>
      <c r="AG36" s="249" t="str">
        <f t="shared" si="53"/>
        <v/>
      </c>
      <c r="AH36" s="249" t="str">
        <f t="shared" si="54"/>
        <v/>
      </c>
      <c r="AI36" s="249" t="str">
        <f t="shared" si="55"/>
        <v/>
      </c>
      <c r="AJ36" s="249" t="str">
        <f t="shared" si="56"/>
        <v/>
      </c>
      <c r="AK36" s="249" t="str">
        <f t="shared" si="57"/>
        <v/>
      </c>
      <c r="AL36" s="249" t="str">
        <f t="shared" si="58"/>
        <v/>
      </c>
      <c r="AM36" s="249" t="str">
        <f t="shared" si="59"/>
        <v/>
      </c>
      <c r="AN36" s="249" t="str">
        <f t="shared" si="60"/>
        <v/>
      </c>
    </row>
    <row r="37" spans="2:40" x14ac:dyDescent="0.25">
      <c r="B37" s="245" t="str">
        <f t="shared" si="6"/>
        <v/>
      </c>
      <c r="C37" s="129" t="str" cm="1">
        <f t="array" ref="C37">IF($A37&lt;&gt;"", IFERROR(_xlfn._xlws.FILTER(Log!$G:$G, (Log!$A:$A="Daily") * (Log!$B:$B="n/a") * (Log!$C:$C=$A37) * (Log!$D:$D=C$3)), "Unknown"), "")</f>
        <v/>
      </c>
      <c r="D37" s="129" t="str" cm="1">
        <f t="array" ref="D37">IF($A37&lt;&gt;"", IFERROR(_xlfn._xlws.FILTER(Log!$G:$G, (Log!$A:$A="Daily") * (Log!$B:$B="n/a") * (Log!$C:$C=$A37) * (Log!$D:$D=D$3)), "Unknown"), "")</f>
        <v/>
      </c>
      <c r="E37" s="129" t="str" cm="1">
        <f t="array" ref="E37">IF($A37&lt;&gt;"", IFERROR(_xlfn._xlws.FILTER(Log!$G:$G, (Log!$A:$A="Daily") * (Log!$B:$B="n/a") * (Log!$C:$C=$A37) * (Log!$D:$D=E$3)), "Unknown"), "")</f>
        <v/>
      </c>
      <c r="F37" s="129" t="str" cm="1">
        <f t="array" ref="F37">IF($A37&lt;&gt;"", IFERROR(_xlfn._xlws.FILTER(Log!$G:$G, (Log!$A:$A="Daily") * (Log!$B:$B="n/a") * (Log!$C:$C=$A37) * (Log!$D:$D=F$3)), "Unknown"), "")</f>
        <v/>
      </c>
      <c r="G37" s="129" t="str" cm="1">
        <f t="array" ref="G37">IF($A37&lt;&gt;"", IFERROR(_xlfn._xlws.FILTER(Log!$G:$G, (Log!$A:$A="Daily") * (Log!$B:$B="n/a") * (Log!$C:$C=$A37) * (Log!$D:$D=G$3)), "Unknown"), "")</f>
        <v/>
      </c>
      <c r="H37" s="129" t="str" cm="1">
        <f t="array" ref="H37">IF($A37&lt;&gt;"", IFERROR(_xlfn._xlws.FILTER(Log!$G:$G, (Log!$A:$A="Daily") * (Log!$B:$B="n/a") * (Log!$C:$C=$A37) * (Log!$D:$D=H$3)), "Unknown"), "")</f>
        <v/>
      </c>
      <c r="I37" s="129" t="str" cm="1">
        <f t="array" ref="I37">IF($A37&lt;&gt;"", IFERROR(_xlfn._xlws.FILTER(Log!$G:$G, (Log!$A:$A="Daily") * (Log!$B:$B="n/a") * (Log!$C:$C=$A37) * (Log!$D:$D=I$3)), "Unknown"), "")</f>
        <v/>
      </c>
      <c r="J37" s="129" t="str" cm="1">
        <f t="array" ref="J37">IF($A37&lt;&gt;"", IFERROR(_xlfn._xlws.FILTER(Log!$G:$G, (Log!$A:$A="Daily") * (Log!$B:$B="n/a") * (Log!$C:$C=$A37) * (Log!$D:$D=J$3)), "Unknown"), "")</f>
        <v/>
      </c>
      <c r="K37" s="129" t="str" cm="1">
        <f t="array" ref="K37">IF($A37&lt;&gt;"", IFERROR(_xlfn._xlws.FILTER(Log!$G:$G, (Log!$A:$A="Daily") * (Log!$B:$B="n/a") * (Log!$C:$C=$A37) * (Log!$D:$D=K$3)), "Unknown"), "")</f>
        <v/>
      </c>
      <c r="L37" s="129" t="str" cm="1">
        <f t="array" ref="L37">IF($A37&lt;&gt;"", IFERROR(_xlfn._xlws.FILTER(Log!$G:$G, (Log!$A:$A="Daily") * (Log!$B:$B="n/a") * (Log!$C:$C=$A37) * (Log!$D:$D=L$3)), "Unknown"), "")</f>
        <v/>
      </c>
      <c r="M37" s="129" t="str" cm="1">
        <f t="array" ref="M37">IF($A37&lt;&gt;"", IFERROR(_xlfn._xlws.FILTER(Log!$G:$G, (Log!$A:$A="Daily") * (Log!$B:$B="n/a") * (Log!$C:$C=$A37) * (Log!$D:$D=M$3)), "Unknown"), "")</f>
        <v/>
      </c>
      <c r="N37" s="129" t="str" cm="1">
        <f t="array" ref="N37">IF($A37&lt;&gt;"", IFERROR(_xlfn._xlws.FILTER(Log!$G:$G, (Log!$A:$A="Daily") * (Log!$B:$B="n/a") * (Log!$C:$C=$A37) * (Log!$D:$D=N$3)), "Unknown"), "")</f>
        <v/>
      </c>
      <c r="O37" s="129" t="str" cm="1">
        <f t="array" ref="O37">IF($A37&lt;&gt;"", IFERROR(_xlfn._xlws.FILTER(Log!$G:$G, (Log!$A:$A="Daily") * (Log!$B:$B="n/a") * (Log!$C:$C=$A37) * (Log!$D:$D=O$3)), "Unknown"), "")</f>
        <v/>
      </c>
      <c r="P37" s="129" t="str" cm="1">
        <f t="array" ref="P37">IF($A37&lt;&gt;"", IFERROR(_xlfn._xlws.FILTER(Log!$G:$G, (Log!$A:$A="Daily") * (Log!$B:$B="n/a") * (Log!$C:$C=$A37) * (Log!$D:$D=P$3)), "Unknown"), "")</f>
        <v/>
      </c>
      <c r="Q37" s="129" t="str" cm="1">
        <f t="array" ref="Q37">IF($A37&lt;&gt;"", IFERROR(_xlfn._xlws.FILTER(Log!$G:$G, (Log!$A:$A="Daily") * (Log!$B:$B="n/a") * (Log!$C:$C=$A37) * (Log!$D:$D=Q$3)), "Unknown"), "")</f>
        <v/>
      </c>
      <c r="R37" s="129" t="str" cm="1">
        <f t="array" ref="R37">IF($A37&lt;&gt;"", IFERROR(_xlfn._xlws.FILTER(Log!$G:$G, (Log!$A:$A="Daily") * (Log!$B:$B="n/a") * (Log!$C:$C=$A37) * (Log!$D:$D=R$3)), "Unknown"), "")</f>
        <v/>
      </c>
      <c r="S37" s="129" t="str" cm="1">
        <f t="array" ref="S37">IF($A37&lt;&gt;"", IFERROR(_xlfn._xlws.FILTER(Log!$G:$G, (Log!$A:$A="Daily") * (Log!$B:$B="n/a") * (Log!$C:$C=$A37) * (Log!$D:$D=S$3)), "Unknown"), "")</f>
        <v/>
      </c>
      <c r="T37" s="129" t="str" cm="1">
        <f t="array" ref="T37">IF($A37&lt;&gt;"", IFERROR(_xlfn._xlws.FILTER(Log!$G:$G, (Log!$A:$A="Daily") * (Log!$B:$B="n/a") * (Log!$C:$C=$A37) * (Log!$D:$D=T$3)), "Unknown"), "")</f>
        <v/>
      </c>
      <c r="W37" s="249" t="str">
        <f t="shared" si="43"/>
        <v/>
      </c>
      <c r="X37" s="249" t="str">
        <f t="shared" si="44"/>
        <v/>
      </c>
      <c r="Y37" s="249" t="str">
        <f t="shared" si="45"/>
        <v/>
      </c>
      <c r="Z37" s="249" t="str">
        <f t="shared" si="46"/>
        <v/>
      </c>
      <c r="AA37" s="249" t="str">
        <f t="shared" si="47"/>
        <v/>
      </c>
      <c r="AB37" s="249" t="str">
        <f t="shared" si="48"/>
        <v/>
      </c>
      <c r="AC37" s="249" t="str">
        <f t="shared" si="49"/>
        <v/>
      </c>
      <c r="AD37" s="249" t="str">
        <f t="shared" si="50"/>
        <v/>
      </c>
      <c r="AE37" s="249" t="str">
        <f t="shared" si="51"/>
        <v/>
      </c>
      <c r="AF37" s="249" t="str">
        <f t="shared" si="52"/>
        <v/>
      </c>
      <c r="AG37" s="249" t="str">
        <f t="shared" si="53"/>
        <v/>
      </c>
      <c r="AH37" s="249" t="str">
        <f t="shared" si="54"/>
        <v/>
      </c>
      <c r="AI37" s="249" t="str">
        <f t="shared" si="55"/>
        <v/>
      </c>
      <c r="AJ37" s="249" t="str">
        <f t="shared" si="56"/>
        <v/>
      </c>
      <c r="AK37" s="249" t="str">
        <f t="shared" si="57"/>
        <v/>
      </c>
      <c r="AL37" s="249" t="str">
        <f t="shared" si="58"/>
        <v/>
      </c>
      <c r="AM37" s="249" t="str">
        <f t="shared" si="59"/>
        <v/>
      </c>
      <c r="AN37" s="249" t="str">
        <f t="shared" si="60"/>
        <v/>
      </c>
    </row>
    <row r="38" spans="2:40" x14ac:dyDescent="0.25">
      <c r="B38" s="245" t="str">
        <f t="shared" si="6"/>
        <v/>
      </c>
      <c r="C38" s="129" t="str" cm="1">
        <f t="array" ref="C38">IF($A38&lt;&gt;"", IFERROR(_xlfn._xlws.FILTER(Log!$G:$G, (Log!$A:$A="Daily") * (Log!$B:$B="n/a") * (Log!$C:$C=$A38) * (Log!$D:$D=C$3)), "Unknown"), "")</f>
        <v/>
      </c>
      <c r="D38" s="129" t="str" cm="1">
        <f t="array" ref="D38">IF($A38&lt;&gt;"", IFERROR(_xlfn._xlws.FILTER(Log!$G:$G, (Log!$A:$A="Daily") * (Log!$B:$B="n/a") * (Log!$C:$C=$A38) * (Log!$D:$D=D$3)), "Unknown"), "")</f>
        <v/>
      </c>
      <c r="E38" s="129" t="str" cm="1">
        <f t="array" ref="E38">IF($A38&lt;&gt;"", IFERROR(_xlfn._xlws.FILTER(Log!$G:$G, (Log!$A:$A="Daily") * (Log!$B:$B="n/a") * (Log!$C:$C=$A38) * (Log!$D:$D=E$3)), "Unknown"), "")</f>
        <v/>
      </c>
      <c r="F38" s="129" t="str" cm="1">
        <f t="array" ref="F38">IF($A38&lt;&gt;"", IFERROR(_xlfn._xlws.FILTER(Log!$G:$G, (Log!$A:$A="Daily") * (Log!$B:$B="n/a") * (Log!$C:$C=$A38) * (Log!$D:$D=F$3)), "Unknown"), "")</f>
        <v/>
      </c>
      <c r="G38" s="129" t="str" cm="1">
        <f t="array" ref="G38">IF($A38&lt;&gt;"", IFERROR(_xlfn._xlws.FILTER(Log!$G:$G, (Log!$A:$A="Daily") * (Log!$B:$B="n/a") * (Log!$C:$C=$A38) * (Log!$D:$D=G$3)), "Unknown"), "")</f>
        <v/>
      </c>
      <c r="H38" s="129" t="str" cm="1">
        <f t="array" ref="H38">IF($A38&lt;&gt;"", IFERROR(_xlfn._xlws.FILTER(Log!$G:$G, (Log!$A:$A="Daily") * (Log!$B:$B="n/a") * (Log!$C:$C=$A38) * (Log!$D:$D=H$3)), "Unknown"), "")</f>
        <v/>
      </c>
      <c r="I38" s="129" t="str" cm="1">
        <f t="array" ref="I38">IF($A38&lt;&gt;"", IFERROR(_xlfn._xlws.FILTER(Log!$G:$G, (Log!$A:$A="Daily") * (Log!$B:$B="n/a") * (Log!$C:$C=$A38) * (Log!$D:$D=I$3)), "Unknown"), "")</f>
        <v/>
      </c>
      <c r="J38" s="129" t="str" cm="1">
        <f t="array" ref="J38">IF($A38&lt;&gt;"", IFERROR(_xlfn._xlws.FILTER(Log!$G:$G, (Log!$A:$A="Daily") * (Log!$B:$B="n/a") * (Log!$C:$C=$A38) * (Log!$D:$D=J$3)), "Unknown"), "")</f>
        <v/>
      </c>
      <c r="K38" s="129" t="str" cm="1">
        <f t="array" ref="K38">IF($A38&lt;&gt;"", IFERROR(_xlfn._xlws.FILTER(Log!$G:$G, (Log!$A:$A="Daily") * (Log!$B:$B="n/a") * (Log!$C:$C=$A38) * (Log!$D:$D=K$3)), "Unknown"), "")</f>
        <v/>
      </c>
      <c r="L38" s="129" t="str" cm="1">
        <f t="array" ref="L38">IF($A38&lt;&gt;"", IFERROR(_xlfn._xlws.FILTER(Log!$G:$G, (Log!$A:$A="Daily") * (Log!$B:$B="n/a") * (Log!$C:$C=$A38) * (Log!$D:$D=L$3)), "Unknown"), "")</f>
        <v/>
      </c>
      <c r="M38" s="129" t="str" cm="1">
        <f t="array" ref="M38">IF($A38&lt;&gt;"", IFERROR(_xlfn._xlws.FILTER(Log!$G:$G, (Log!$A:$A="Daily") * (Log!$B:$B="n/a") * (Log!$C:$C=$A38) * (Log!$D:$D=M$3)), "Unknown"), "")</f>
        <v/>
      </c>
      <c r="N38" s="129" t="str" cm="1">
        <f t="array" ref="N38">IF($A38&lt;&gt;"", IFERROR(_xlfn._xlws.FILTER(Log!$G:$G, (Log!$A:$A="Daily") * (Log!$B:$B="n/a") * (Log!$C:$C=$A38) * (Log!$D:$D=N$3)), "Unknown"), "")</f>
        <v/>
      </c>
      <c r="O38" s="129" t="str" cm="1">
        <f t="array" ref="O38">IF($A38&lt;&gt;"", IFERROR(_xlfn._xlws.FILTER(Log!$G:$G, (Log!$A:$A="Daily") * (Log!$B:$B="n/a") * (Log!$C:$C=$A38) * (Log!$D:$D=O$3)), "Unknown"), "")</f>
        <v/>
      </c>
      <c r="P38" s="129" t="str" cm="1">
        <f t="array" ref="P38">IF($A38&lt;&gt;"", IFERROR(_xlfn._xlws.FILTER(Log!$G:$G, (Log!$A:$A="Daily") * (Log!$B:$B="n/a") * (Log!$C:$C=$A38) * (Log!$D:$D=P$3)), "Unknown"), "")</f>
        <v/>
      </c>
      <c r="Q38" s="129" t="str" cm="1">
        <f t="array" ref="Q38">IF($A38&lt;&gt;"", IFERROR(_xlfn._xlws.FILTER(Log!$G:$G, (Log!$A:$A="Daily") * (Log!$B:$B="n/a") * (Log!$C:$C=$A38) * (Log!$D:$D=Q$3)), "Unknown"), "")</f>
        <v/>
      </c>
      <c r="R38" s="129" t="str" cm="1">
        <f t="array" ref="R38">IF($A38&lt;&gt;"", IFERROR(_xlfn._xlws.FILTER(Log!$G:$G, (Log!$A:$A="Daily") * (Log!$B:$B="n/a") * (Log!$C:$C=$A38) * (Log!$D:$D=R$3)), "Unknown"), "")</f>
        <v/>
      </c>
      <c r="S38" s="129" t="str" cm="1">
        <f t="array" ref="S38">IF($A38&lt;&gt;"", IFERROR(_xlfn._xlws.FILTER(Log!$G:$G, (Log!$A:$A="Daily") * (Log!$B:$B="n/a") * (Log!$C:$C=$A38) * (Log!$D:$D=S$3)), "Unknown"), "")</f>
        <v/>
      </c>
      <c r="T38" s="129" t="str" cm="1">
        <f t="array" ref="T38">IF($A38&lt;&gt;"", IFERROR(_xlfn._xlws.FILTER(Log!$G:$G, (Log!$A:$A="Daily") * (Log!$B:$B="n/a") * (Log!$C:$C=$A38) * (Log!$D:$D=T$3)), "Unknown"), "")</f>
        <v/>
      </c>
      <c r="W38" s="249" t="str">
        <f t="shared" si="43"/>
        <v/>
      </c>
      <c r="X38" s="249" t="str">
        <f t="shared" si="44"/>
        <v/>
      </c>
      <c r="Y38" s="249" t="str">
        <f t="shared" si="45"/>
        <v/>
      </c>
      <c r="Z38" s="249" t="str">
        <f t="shared" si="46"/>
        <v/>
      </c>
      <c r="AA38" s="249" t="str">
        <f t="shared" si="47"/>
        <v/>
      </c>
      <c r="AB38" s="249" t="str">
        <f t="shared" si="48"/>
        <v/>
      </c>
      <c r="AC38" s="249" t="str">
        <f t="shared" si="49"/>
        <v/>
      </c>
      <c r="AD38" s="249" t="str">
        <f t="shared" si="50"/>
        <v/>
      </c>
      <c r="AE38" s="249" t="str">
        <f t="shared" si="51"/>
        <v/>
      </c>
      <c r="AF38" s="249" t="str">
        <f t="shared" si="52"/>
        <v/>
      </c>
      <c r="AG38" s="249" t="str">
        <f t="shared" si="53"/>
        <v/>
      </c>
      <c r="AH38" s="249" t="str">
        <f t="shared" si="54"/>
        <v/>
      </c>
      <c r="AI38" s="249" t="str">
        <f t="shared" si="55"/>
        <v/>
      </c>
      <c r="AJ38" s="249" t="str">
        <f t="shared" si="56"/>
        <v/>
      </c>
      <c r="AK38" s="249" t="str">
        <f t="shared" si="57"/>
        <v/>
      </c>
      <c r="AL38" s="249" t="str">
        <f t="shared" si="58"/>
        <v/>
      </c>
      <c r="AM38" s="249" t="str">
        <f t="shared" si="59"/>
        <v/>
      </c>
      <c r="AN38" s="249" t="str">
        <f t="shared" si="60"/>
        <v/>
      </c>
    </row>
    <row r="39" spans="2:40" x14ac:dyDescent="0.25">
      <c r="C39" s="129" t="str" cm="1">
        <f t="array" ref="C39">IF($A39&lt;&gt;"", IFERROR(_xlfn._xlws.FILTER(Log!$G:$G, (Log!$A:$A="Daily") * (Log!$B:$B="n/a") * (Log!$C:$C=$A39) * (Log!$D:$D=C$3)), "Unknown"), "")</f>
        <v/>
      </c>
      <c r="D39" s="129" t="str" cm="1">
        <f t="array" ref="D39">IF($A39&lt;&gt;"", IFERROR(_xlfn._xlws.FILTER(Log!$G:$G, (Log!$A:$A="Daily") * (Log!$B:$B="n/a") * (Log!$C:$C=$A39) * (Log!$D:$D=D$3)), "Unknown"), "")</f>
        <v/>
      </c>
      <c r="E39" s="129" t="str" cm="1">
        <f t="array" ref="E39">IF($A39&lt;&gt;"", IFERROR(_xlfn._xlws.FILTER(Log!$G:$G, (Log!$A:$A="Daily") * (Log!$B:$B="n/a") * (Log!$C:$C=$A39) * (Log!$D:$D=E$3)), "Unknown"), "")</f>
        <v/>
      </c>
      <c r="F39" s="129" t="str" cm="1">
        <f t="array" ref="F39">IF($A39&lt;&gt;"", IFERROR(_xlfn._xlws.FILTER(Log!$G:$G, (Log!$A:$A="Daily") * (Log!$B:$B="n/a") * (Log!$C:$C=$A39) * (Log!$D:$D=F$3)), "Unknown"), "")</f>
        <v/>
      </c>
      <c r="G39" s="129" t="str" cm="1">
        <f t="array" ref="G39">IF($A39&lt;&gt;"", IFERROR(_xlfn._xlws.FILTER(Log!$G:$G, (Log!$A:$A="Daily") * (Log!$B:$B="n/a") * (Log!$C:$C=$A39) * (Log!$D:$D=G$3)), "Unknown"), "")</f>
        <v/>
      </c>
      <c r="H39" s="129" t="str" cm="1">
        <f t="array" ref="H39">IF($A39&lt;&gt;"", IFERROR(_xlfn._xlws.FILTER(Log!$G:$G, (Log!$A:$A="Daily") * (Log!$B:$B="n/a") * (Log!$C:$C=$A39) * (Log!$D:$D=H$3)), "Unknown"), "")</f>
        <v/>
      </c>
      <c r="I39" s="129" t="str" cm="1">
        <f t="array" ref="I39">IF($A39&lt;&gt;"", IFERROR(_xlfn._xlws.FILTER(Log!$G:$G, (Log!$A:$A="Daily") * (Log!$B:$B="n/a") * (Log!$C:$C=$A39) * (Log!$D:$D=I$3)), "Unknown"), "")</f>
        <v/>
      </c>
      <c r="J39" s="129" t="str" cm="1">
        <f t="array" ref="J39">IF($A39&lt;&gt;"", IFERROR(_xlfn._xlws.FILTER(Log!$G:$G, (Log!$A:$A="Daily") * (Log!$B:$B="n/a") * (Log!$C:$C=$A39) * (Log!$D:$D=J$3)), "Unknown"), "")</f>
        <v/>
      </c>
      <c r="K39" s="129" t="str" cm="1">
        <f t="array" ref="K39">IF($A39&lt;&gt;"", IFERROR(_xlfn._xlws.FILTER(Log!$G:$G, (Log!$A:$A="Daily") * (Log!$B:$B="n/a") * (Log!$C:$C=$A39) * (Log!$D:$D=K$3)), "Unknown"), "")</f>
        <v/>
      </c>
      <c r="L39" s="129" t="str" cm="1">
        <f t="array" ref="L39">IF($A39&lt;&gt;"", IFERROR(_xlfn._xlws.FILTER(Log!$G:$G, (Log!$A:$A="Daily") * (Log!$B:$B="n/a") * (Log!$C:$C=$A39) * (Log!$D:$D=L$3)), "Unknown"), "")</f>
        <v/>
      </c>
      <c r="M39" s="129" t="str" cm="1">
        <f t="array" ref="M39">IF($A39&lt;&gt;"", IFERROR(_xlfn._xlws.FILTER(Log!$G:$G, (Log!$A:$A="Daily") * (Log!$B:$B="n/a") * (Log!$C:$C=$A39) * (Log!$D:$D=M$3)), "Unknown"), "")</f>
        <v/>
      </c>
      <c r="N39" s="129" t="str" cm="1">
        <f t="array" ref="N39">IF($A39&lt;&gt;"", IFERROR(_xlfn._xlws.FILTER(Log!$G:$G, (Log!$A:$A="Daily") * (Log!$B:$B="n/a") * (Log!$C:$C=$A39) * (Log!$D:$D=N$3)), "Unknown"), "")</f>
        <v/>
      </c>
      <c r="O39" s="129" t="str" cm="1">
        <f t="array" ref="O39">IF($A39&lt;&gt;"", IFERROR(_xlfn._xlws.FILTER(Log!$G:$G, (Log!$A:$A="Daily") * (Log!$B:$B="n/a") * (Log!$C:$C=$A39) * (Log!$D:$D=O$3)), "Unknown"), "")</f>
        <v/>
      </c>
      <c r="P39" s="129" t="str" cm="1">
        <f t="array" ref="P39">IF($A39&lt;&gt;"", IFERROR(_xlfn._xlws.FILTER(Log!$G:$G, (Log!$A:$A="Daily") * (Log!$B:$B="n/a") * (Log!$C:$C=$A39) * (Log!$D:$D=P$3)), "Unknown"), "")</f>
        <v/>
      </c>
      <c r="Q39" s="129" t="str" cm="1">
        <f t="array" ref="Q39">IF($A39&lt;&gt;"", IFERROR(_xlfn._xlws.FILTER(Log!$G:$G, (Log!$A:$A="Daily") * (Log!$B:$B="n/a") * (Log!$C:$C=$A39) * (Log!$D:$D=Q$3)), "Unknown"), "")</f>
        <v/>
      </c>
      <c r="R39" s="129" t="str" cm="1">
        <f t="array" ref="R39">IF($A39&lt;&gt;"", IFERROR(_xlfn._xlws.FILTER(Log!$G:$G, (Log!$A:$A="Daily") * (Log!$B:$B="n/a") * (Log!$C:$C=$A39) * (Log!$D:$D=R$3)), "Unknown"), "")</f>
        <v/>
      </c>
      <c r="S39" s="129" t="str" cm="1">
        <f t="array" ref="S39">IF($A39&lt;&gt;"", IFERROR(_xlfn._xlws.FILTER(Log!$G:$G, (Log!$A:$A="Daily") * (Log!$B:$B="n/a") * (Log!$C:$C=$A39) * (Log!$D:$D=S$3)), "Unknown"), "")</f>
        <v/>
      </c>
      <c r="T39" s="129" t="str" cm="1">
        <f t="array" ref="T39">IF($A39&lt;&gt;"", IFERROR(_xlfn._xlws.FILTER(Log!$G:$G, (Log!$A:$A="Daily") * (Log!$B:$B="n/a") * (Log!$C:$C=$A39) * (Log!$D:$D=T$3)), "Unknown"), "")</f>
        <v/>
      </c>
      <c r="W39" s="249" t="str">
        <f t="shared" si="43"/>
        <v/>
      </c>
      <c r="X39" s="249" t="str">
        <f t="shared" si="44"/>
        <v/>
      </c>
      <c r="Y39" s="249" t="str">
        <f t="shared" si="45"/>
        <v/>
      </c>
      <c r="Z39" s="249" t="str">
        <f t="shared" si="46"/>
        <v/>
      </c>
      <c r="AA39" s="249" t="str">
        <f t="shared" si="47"/>
        <v/>
      </c>
      <c r="AB39" s="249" t="str">
        <f t="shared" si="48"/>
        <v/>
      </c>
      <c r="AC39" s="249" t="str">
        <f t="shared" si="49"/>
        <v/>
      </c>
      <c r="AD39" s="249" t="str">
        <f t="shared" si="50"/>
        <v/>
      </c>
      <c r="AE39" s="249" t="str">
        <f t="shared" si="51"/>
        <v/>
      </c>
      <c r="AF39" s="249" t="str">
        <f t="shared" si="52"/>
        <v/>
      </c>
      <c r="AG39" s="249" t="str">
        <f t="shared" si="53"/>
        <v/>
      </c>
      <c r="AH39" s="249" t="str">
        <f t="shared" si="54"/>
        <v/>
      </c>
      <c r="AI39" s="249" t="str">
        <f t="shared" si="55"/>
        <v/>
      </c>
      <c r="AJ39" s="249" t="str">
        <f t="shared" si="56"/>
        <v/>
      </c>
      <c r="AK39" s="249" t="str">
        <f t="shared" si="57"/>
        <v/>
      </c>
      <c r="AL39" s="249" t="str">
        <f t="shared" si="58"/>
        <v/>
      </c>
      <c r="AM39" s="249" t="str">
        <f t="shared" si="59"/>
        <v/>
      </c>
      <c r="AN39" s="249" t="str">
        <f t="shared" si="60"/>
        <v/>
      </c>
    </row>
    <row r="40" spans="2:40" x14ac:dyDescent="0.25">
      <c r="C40" s="129" t="str" cm="1">
        <f t="array" ref="C40">IF($A40&lt;&gt;"", IFERROR(_xlfn._xlws.FILTER(Log!$G:$G, (Log!$A:$A="Daily") * (Log!$B:$B="n/a") * (Log!$C:$C=$A40) * (Log!$D:$D=C$3)), "Unknown"), "")</f>
        <v/>
      </c>
      <c r="D40" s="129" t="str" cm="1">
        <f t="array" ref="D40">IF($A40&lt;&gt;"", IFERROR(_xlfn._xlws.FILTER(Log!$G:$G, (Log!$A:$A="Daily") * (Log!$B:$B="n/a") * (Log!$C:$C=$A40) * (Log!$D:$D=D$3)), "Unknown"), "")</f>
        <v/>
      </c>
      <c r="E40" s="129" t="str" cm="1">
        <f t="array" ref="E40">IF($A40&lt;&gt;"", IFERROR(_xlfn._xlws.FILTER(Log!$G:$G, (Log!$A:$A="Daily") * (Log!$B:$B="n/a") * (Log!$C:$C=$A40) * (Log!$D:$D=E$3)), "Unknown"), "")</f>
        <v/>
      </c>
      <c r="F40" s="129" t="str" cm="1">
        <f t="array" ref="F40">IF($A40&lt;&gt;"", IFERROR(_xlfn._xlws.FILTER(Log!$G:$G, (Log!$A:$A="Daily") * (Log!$B:$B="n/a") * (Log!$C:$C=$A40) * (Log!$D:$D=F$3)), "Unknown"), "")</f>
        <v/>
      </c>
      <c r="G40" s="129" t="str" cm="1">
        <f t="array" ref="G40">IF($A40&lt;&gt;"", IFERROR(_xlfn._xlws.FILTER(Log!$G:$G, (Log!$A:$A="Daily") * (Log!$B:$B="n/a") * (Log!$C:$C=$A40) * (Log!$D:$D=G$3)), "Unknown"), "")</f>
        <v/>
      </c>
      <c r="H40" s="129" t="str" cm="1">
        <f t="array" ref="H40">IF($A40&lt;&gt;"", IFERROR(_xlfn._xlws.FILTER(Log!$G:$G, (Log!$A:$A="Daily") * (Log!$B:$B="n/a") * (Log!$C:$C=$A40) * (Log!$D:$D=H$3)), "Unknown"), "")</f>
        <v/>
      </c>
      <c r="I40" s="129" t="str" cm="1">
        <f t="array" ref="I40">IF($A40&lt;&gt;"", IFERROR(_xlfn._xlws.FILTER(Log!$G:$G, (Log!$A:$A="Daily") * (Log!$B:$B="n/a") * (Log!$C:$C=$A40) * (Log!$D:$D=I$3)), "Unknown"), "")</f>
        <v/>
      </c>
      <c r="J40" s="129" t="str" cm="1">
        <f t="array" ref="J40">IF($A40&lt;&gt;"", IFERROR(_xlfn._xlws.FILTER(Log!$G:$G, (Log!$A:$A="Daily") * (Log!$B:$B="n/a") * (Log!$C:$C=$A40) * (Log!$D:$D=J$3)), "Unknown"), "")</f>
        <v/>
      </c>
      <c r="K40" s="129" t="str" cm="1">
        <f t="array" ref="K40">IF($A40&lt;&gt;"", IFERROR(_xlfn._xlws.FILTER(Log!$G:$G, (Log!$A:$A="Daily") * (Log!$B:$B="n/a") * (Log!$C:$C=$A40) * (Log!$D:$D=K$3)), "Unknown"), "")</f>
        <v/>
      </c>
      <c r="L40" s="129" t="str" cm="1">
        <f t="array" ref="L40">IF($A40&lt;&gt;"", IFERROR(_xlfn._xlws.FILTER(Log!$G:$G, (Log!$A:$A="Daily") * (Log!$B:$B="n/a") * (Log!$C:$C=$A40) * (Log!$D:$D=L$3)), "Unknown"), "")</f>
        <v/>
      </c>
      <c r="M40" s="129" t="str" cm="1">
        <f t="array" ref="M40">IF($A40&lt;&gt;"", IFERROR(_xlfn._xlws.FILTER(Log!$G:$G, (Log!$A:$A="Daily") * (Log!$B:$B="n/a") * (Log!$C:$C=$A40) * (Log!$D:$D=M$3)), "Unknown"), "")</f>
        <v/>
      </c>
      <c r="N40" s="129" t="str" cm="1">
        <f t="array" ref="N40">IF($A40&lt;&gt;"", IFERROR(_xlfn._xlws.FILTER(Log!$G:$G, (Log!$A:$A="Daily") * (Log!$B:$B="n/a") * (Log!$C:$C=$A40) * (Log!$D:$D=N$3)), "Unknown"), "")</f>
        <v/>
      </c>
      <c r="O40" s="129" t="str" cm="1">
        <f t="array" ref="O40">IF($A40&lt;&gt;"", IFERROR(_xlfn._xlws.FILTER(Log!$G:$G, (Log!$A:$A="Daily") * (Log!$B:$B="n/a") * (Log!$C:$C=$A40) * (Log!$D:$D=O$3)), "Unknown"), "")</f>
        <v/>
      </c>
      <c r="P40" s="129" t="str" cm="1">
        <f t="array" ref="P40">IF($A40&lt;&gt;"", IFERROR(_xlfn._xlws.FILTER(Log!$G:$G, (Log!$A:$A="Daily") * (Log!$B:$B="n/a") * (Log!$C:$C=$A40) * (Log!$D:$D=P$3)), "Unknown"), "")</f>
        <v/>
      </c>
      <c r="Q40" s="129" t="str" cm="1">
        <f t="array" ref="Q40">IF($A40&lt;&gt;"", IFERROR(_xlfn._xlws.FILTER(Log!$G:$G, (Log!$A:$A="Daily") * (Log!$B:$B="n/a") * (Log!$C:$C=$A40) * (Log!$D:$D=Q$3)), "Unknown"), "")</f>
        <v/>
      </c>
      <c r="R40" s="129" t="str" cm="1">
        <f t="array" ref="R40">IF($A40&lt;&gt;"", IFERROR(_xlfn._xlws.FILTER(Log!$G:$G, (Log!$A:$A="Daily") * (Log!$B:$B="n/a") * (Log!$C:$C=$A40) * (Log!$D:$D=R$3)), "Unknown"), "")</f>
        <v/>
      </c>
      <c r="S40" s="129" t="str" cm="1">
        <f t="array" ref="S40">IF($A40&lt;&gt;"", IFERROR(_xlfn._xlws.FILTER(Log!$G:$G, (Log!$A:$A="Daily") * (Log!$B:$B="n/a") * (Log!$C:$C=$A40) * (Log!$D:$D=S$3)), "Unknown"), "")</f>
        <v/>
      </c>
      <c r="T40" s="129" t="str" cm="1">
        <f t="array" ref="T40">IF($A40&lt;&gt;"", IFERROR(_xlfn._xlws.FILTER(Log!$G:$G, (Log!$A:$A="Daily") * (Log!$B:$B="n/a") * (Log!$C:$C=$A40) * (Log!$D:$D=T$3)), "Unknown"), "")</f>
        <v/>
      </c>
      <c r="W40" s="249" t="str">
        <f t="shared" si="43"/>
        <v/>
      </c>
      <c r="X40" s="249" t="str">
        <f t="shared" si="44"/>
        <v/>
      </c>
      <c r="Y40" s="249" t="str">
        <f t="shared" si="45"/>
        <v/>
      </c>
      <c r="Z40" s="249" t="str">
        <f t="shared" si="46"/>
        <v/>
      </c>
      <c r="AA40" s="249" t="str">
        <f t="shared" si="47"/>
        <v/>
      </c>
      <c r="AB40" s="249" t="str">
        <f t="shared" si="48"/>
        <v/>
      </c>
      <c r="AC40" s="249" t="str">
        <f t="shared" si="49"/>
        <v/>
      </c>
      <c r="AD40" s="249" t="str">
        <f t="shared" si="50"/>
        <v/>
      </c>
      <c r="AE40" s="249" t="str">
        <f t="shared" si="51"/>
        <v/>
      </c>
      <c r="AF40" s="249" t="str">
        <f t="shared" si="52"/>
        <v/>
      </c>
      <c r="AG40" s="249" t="str">
        <f t="shared" si="53"/>
        <v/>
      </c>
      <c r="AH40" s="249" t="str">
        <f t="shared" si="54"/>
        <v/>
      </c>
      <c r="AI40" s="249" t="str">
        <f t="shared" si="55"/>
        <v/>
      </c>
      <c r="AJ40" s="249" t="str">
        <f t="shared" si="56"/>
        <v/>
      </c>
      <c r="AK40" s="249" t="str">
        <f t="shared" si="57"/>
        <v/>
      </c>
      <c r="AL40" s="249" t="str">
        <f t="shared" si="58"/>
        <v/>
      </c>
      <c r="AM40" s="249" t="str">
        <f t="shared" si="59"/>
        <v/>
      </c>
      <c r="AN40" s="249" t="str">
        <f t="shared" si="60"/>
        <v/>
      </c>
    </row>
    <row r="41" spans="2:40" x14ac:dyDescent="0.25">
      <c r="C41" s="129" t="str" cm="1">
        <f t="array" ref="C41">IF($A41&lt;&gt;"", IFERROR(_xlfn._xlws.FILTER(Log!$G:$G, (Log!$A:$A="Daily") * (Log!$B:$B="n/a") * (Log!$C:$C=$A41) * (Log!$D:$D=C$3)), "Unknown"), "")</f>
        <v/>
      </c>
      <c r="D41" s="129" t="str" cm="1">
        <f t="array" ref="D41">IF($A41&lt;&gt;"", IFERROR(_xlfn._xlws.FILTER(Log!$G:$G, (Log!$A:$A="Daily") * (Log!$B:$B="n/a") * (Log!$C:$C=$A41) * (Log!$D:$D=D$3)), "Unknown"), "")</f>
        <v/>
      </c>
      <c r="E41" s="129" t="str" cm="1">
        <f t="array" ref="E41">IF($A41&lt;&gt;"", IFERROR(_xlfn._xlws.FILTER(Log!$G:$G, (Log!$A:$A="Daily") * (Log!$B:$B="n/a") * (Log!$C:$C=$A41) * (Log!$D:$D=E$3)), "Unknown"), "")</f>
        <v/>
      </c>
      <c r="F41" s="129" t="str" cm="1">
        <f t="array" ref="F41">IF($A41&lt;&gt;"", IFERROR(_xlfn._xlws.FILTER(Log!$G:$G, (Log!$A:$A="Daily") * (Log!$B:$B="n/a") * (Log!$C:$C=$A41) * (Log!$D:$D=F$3)), "Unknown"), "")</f>
        <v/>
      </c>
      <c r="G41" s="129" t="str" cm="1">
        <f t="array" ref="G41">IF($A41&lt;&gt;"", IFERROR(_xlfn._xlws.FILTER(Log!$G:$G, (Log!$A:$A="Daily") * (Log!$B:$B="n/a") * (Log!$C:$C=$A41) * (Log!$D:$D=G$3)), "Unknown"), "")</f>
        <v/>
      </c>
      <c r="H41" s="129" t="str" cm="1">
        <f t="array" ref="H41">IF($A41&lt;&gt;"", IFERROR(_xlfn._xlws.FILTER(Log!$G:$G, (Log!$A:$A="Daily") * (Log!$B:$B="n/a") * (Log!$C:$C=$A41) * (Log!$D:$D=H$3)), "Unknown"), "")</f>
        <v/>
      </c>
      <c r="I41" s="129" t="str" cm="1">
        <f t="array" ref="I41">IF($A41&lt;&gt;"", IFERROR(_xlfn._xlws.FILTER(Log!$G:$G, (Log!$A:$A="Daily") * (Log!$B:$B="n/a") * (Log!$C:$C=$A41) * (Log!$D:$D=I$3)), "Unknown"), "")</f>
        <v/>
      </c>
      <c r="J41" s="129" t="str" cm="1">
        <f t="array" ref="J41">IF($A41&lt;&gt;"", IFERROR(_xlfn._xlws.FILTER(Log!$G:$G, (Log!$A:$A="Daily") * (Log!$B:$B="n/a") * (Log!$C:$C=$A41) * (Log!$D:$D=J$3)), "Unknown"), "")</f>
        <v/>
      </c>
      <c r="K41" s="129" t="str" cm="1">
        <f t="array" ref="K41">IF($A41&lt;&gt;"", IFERROR(_xlfn._xlws.FILTER(Log!$G:$G, (Log!$A:$A="Daily") * (Log!$B:$B="n/a") * (Log!$C:$C=$A41) * (Log!$D:$D=K$3)), "Unknown"), "")</f>
        <v/>
      </c>
      <c r="L41" s="129" t="str" cm="1">
        <f t="array" ref="L41">IF($A41&lt;&gt;"", IFERROR(_xlfn._xlws.FILTER(Log!$G:$G, (Log!$A:$A="Daily") * (Log!$B:$B="n/a") * (Log!$C:$C=$A41) * (Log!$D:$D=L$3)), "Unknown"), "")</f>
        <v/>
      </c>
      <c r="M41" s="129" t="str" cm="1">
        <f t="array" ref="M41">IF($A41&lt;&gt;"", IFERROR(_xlfn._xlws.FILTER(Log!$G:$G, (Log!$A:$A="Daily") * (Log!$B:$B="n/a") * (Log!$C:$C=$A41) * (Log!$D:$D=M$3)), "Unknown"), "")</f>
        <v/>
      </c>
      <c r="N41" s="129" t="str" cm="1">
        <f t="array" ref="N41">IF($A41&lt;&gt;"", IFERROR(_xlfn._xlws.FILTER(Log!$G:$G, (Log!$A:$A="Daily") * (Log!$B:$B="n/a") * (Log!$C:$C=$A41) * (Log!$D:$D=N$3)), "Unknown"), "")</f>
        <v/>
      </c>
      <c r="O41" s="129" t="str" cm="1">
        <f t="array" ref="O41">IF($A41&lt;&gt;"", IFERROR(_xlfn._xlws.FILTER(Log!$G:$G, (Log!$A:$A="Daily") * (Log!$B:$B="n/a") * (Log!$C:$C=$A41) * (Log!$D:$D=O$3)), "Unknown"), "")</f>
        <v/>
      </c>
      <c r="P41" s="129" t="str" cm="1">
        <f t="array" ref="P41">IF($A41&lt;&gt;"", IFERROR(_xlfn._xlws.FILTER(Log!$G:$G, (Log!$A:$A="Daily") * (Log!$B:$B="n/a") * (Log!$C:$C=$A41) * (Log!$D:$D=P$3)), "Unknown"), "")</f>
        <v/>
      </c>
      <c r="Q41" s="129" t="str" cm="1">
        <f t="array" ref="Q41">IF($A41&lt;&gt;"", IFERROR(_xlfn._xlws.FILTER(Log!$G:$G, (Log!$A:$A="Daily") * (Log!$B:$B="n/a") * (Log!$C:$C=$A41) * (Log!$D:$D=Q$3)), "Unknown"), "")</f>
        <v/>
      </c>
      <c r="R41" s="129" t="str" cm="1">
        <f t="array" ref="R41">IF($A41&lt;&gt;"", IFERROR(_xlfn._xlws.FILTER(Log!$G:$G, (Log!$A:$A="Daily") * (Log!$B:$B="n/a") * (Log!$C:$C=$A41) * (Log!$D:$D=R$3)), "Unknown"), "")</f>
        <v/>
      </c>
      <c r="S41" s="129" t="str" cm="1">
        <f t="array" ref="S41">IF($A41&lt;&gt;"", IFERROR(_xlfn._xlws.FILTER(Log!$G:$G, (Log!$A:$A="Daily") * (Log!$B:$B="n/a") * (Log!$C:$C=$A41) * (Log!$D:$D=S$3)), "Unknown"), "")</f>
        <v/>
      </c>
      <c r="T41" s="129" t="str" cm="1">
        <f t="array" ref="T41">IF($A41&lt;&gt;"", IFERROR(_xlfn._xlws.FILTER(Log!$G:$G, (Log!$A:$A="Daily") * (Log!$B:$B="n/a") * (Log!$C:$C=$A41) * (Log!$D:$D=T$3)), "Unknown"), "")</f>
        <v/>
      </c>
      <c r="W41" s="249" t="str">
        <f t="shared" si="43"/>
        <v/>
      </c>
      <c r="X41" s="249" t="str">
        <f t="shared" si="44"/>
        <v/>
      </c>
      <c r="Y41" s="249" t="str">
        <f t="shared" si="45"/>
        <v/>
      </c>
      <c r="Z41" s="249" t="str">
        <f t="shared" si="46"/>
        <v/>
      </c>
      <c r="AA41" s="249" t="str">
        <f t="shared" si="47"/>
        <v/>
      </c>
      <c r="AB41" s="249" t="str">
        <f t="shared" si="48"/>
        <v/>
      </c>
      <c r="AC41" s="249" t="str">
        <f t="shared" si="49"/>
        <v/>
      </c>
      <c r="AD41" s="249" t="str">
        <f t="shared" si="50"/>
        <v/>
      </c>
      <c r="AE41" s="249" t="str">
        <f t="shared" si="51"/>
        <v/>
      </c>
      <c r="AF41" s="249" t="str">
        <f t="shared" si="52"/>
        <v/>
      </c>
      <c r="AG41" s="249" t="str">
        <f t="shared" si="53"/>
        <v/>
      </c>
      <c r="AH41" s="249" t="str">
        <f t="shared" si="54"/>
        <v/>
      </c>
      <c r="AI41" s="249" t="str">
        <f t="shared" si="55"/>
        <v/>
      </c>
      <c r="AJ41" s="249" t="str">
        <f t="shared" si="56"/>
        <v/>
      </c>
      <c r="AK41" s="249" t="str">
        <f t="shared" si="57"/>
        <v/>
      </c>
      <c r="AL41" s="249" t="str">
        <f t="shared" si="58"/>
        <v/>
      </c>
      <c r="AM41" s="249" t="str">
        <f t="shared" si="59"/>
        <v/>
      </c>
      <c r="AN41" s="249" t="str">
        <f t="shared" si="60"/>
        <v/>
      </c>
    </row>
    <row r="42" spans="2:40" x14ac:dyDescent="0.25">
      <c r="C42" s="129" t="str" cm="1">
        <f t="array" ref="C42">IF($A42&lt;&gt;"", IFERROR(_xlfn._xlws.FILTER(Log!$G:$G, (Log!$A:$A="Daily") * (Log!$B:$B="n/a") * (Log!$C:$C=$A42) * (Log!$D:$D=C$3)), "Unknown"), "")</f>
        <v/>
      </c>
      <c r="D42" s="129" t="str" cm="1">
        <f t="array" ref="D42">IF($A42&lt;&gt;"", IFERROR(_xlfn._xlws.FILTER(Log!$G:$G, (Log!$A:$A="Daily") * (Log!$B:$B="n/a") * (Log!$C:$C=$A42) * (Log!$D:$D=D$3)), "Unknown"), "")</f>
        <v/>
      </c>
      <c r="E42" s="129" t="str" cm="1">
        <f t="array" ref="E42">IF($A42&lt;&gt;"", IFERROR(_xlfn._xlws.FILTER(Log!$G:$G, (Log!$A:$A="Daily") * (Log!$B:$B="n/a") * (Log!$C:$C=$A42) * (Log!$D:$D=E$3)), "Unknown"), "")</f>
        <v/>
      </c>
      <c r="F42" s="129" t="str" cm="1">
        <f t="array" ref="F42">IF($A42&lt;&gt;"", IFERROR(_xlfn._xlws.FILTER(Log!$G:$G, (Log!$A:$A="Daily") * (Log!$B:$B="n/a") * (Log!$C:$C=$A42) * (Log!$D:$D=F$3)), "Unknown"), "")</f>
        <v/>
      </c>
      <c r="G42" s="129" t="str" cm="1">
        <f t="array" ref="G42">IF($A42&lt;&gt;"", IFERROR(_xlfn._xlws.FILTER(Log!$G:$G, (Log!$A:$A="Daily") * (Log!$B:$B="n/a") * (Log!$C:$C=$A42) * (Log!$D:$D=G$3)), "Unknown"), "")</f>
        <v/>
      </c>
      <c r="H42" s="129" t="str" cm="1">
        <f t="array" ref="H42">IF($A42&lt;&gt;"", IFERROR(_xlfn._xlws.FILTER(Log!$G:$G, (Log!$A:$A="Daily") * (Log!$B:$B="n/a") * (Log!$C:$C=$A42) * (Log!$D:$D=H$3)), "Unknown"), "")</f>
        <v/>
      </c>
      <c r="I42" s="129" t="str" cm="1">
        <f t="array" ref="I42">IF($A42&lt;&gt;"", IFERROR(_xlfn._xlws.FILTER(Log!$G:$G, (Log!$A:$A="Daily") * (Log!$B:$B="n/a") * (Log!$C:$C=$A42) * (Log!$D:$D=I$3)), "Unknown"), "")</f>
        <v/>
      </c>
      <c r="J42" s="129" t="str" cm="1">
        <f t="array" ref="J42">IF($A42&lt;&gt;"", IFERROR(_xlfn._xlws.FILTER(Log!$G:$G, (Log!$A:$A="Daily") * (Log!$B:$B="n/a") * (Log!$C:$C=$A42) * (Log!$D:$D=J$3)), "Unknown"), "")</f>
        <v/>
      </c>
      <c r="K42" s="129" t="str" cm="1">
        <f t="array" ref="K42">IF($A42&lt;&gt;"", IFERROR(_xlfn._xlws.FILTER(Log!$G:$G, (Log!$A:$A="Daily") * (Log!$B:$B="n/a") * (Log!$C:$C=$A42) * (Log!$D:$D=K$3)), "Unknown"), "")</f>
        <v/>
      </c>
      <c r="L42" s="129" t="str" cm="1">
        <f t="array" ref="L42">IF($A42&lt;&gt;"", IFERROR(_xlfn._xlws.FILTER(Log!$G:$G, (Log!$A:$A="Daily") * (Log!$B:$B="n/a") * (Log!$C:$C=$A42) * (Log!$D:$D=L$3)), "Unknown"), "")</f>
        <v/>
      </c>
      <c r="M42" s="129" t="str" cm="1">
        <f t="array" ref="M42">IF($A42&lt;&gt;"", IFERROR(_xlfn._xlws.FILTER(Log!$G:$G, (Log!$A:$A="Daily") * (Log!$B:$B="n/a") * (Log!$C:$C=$A42) * (Log!$D:$D=M$3)), "Unknown"), "")</f>
        <v/>
      </c>
      <c r="N42" s="129" t="str" cm="1">
        <f t="array" ref="N42">IF($A42&lt;&gt;"", IFERROR(_xlfn._xlws.FILTER(Log!$G:$G, (Log!$A:$A="Daily") * (Log!$B:$B="n/a") * (Log!$C:$C=$A42) * (Log!$D:$D=N$3)), "Unknown"), "")</f>
        <v/>
      </c>
      <c r="O42" s="129" t="str" cm="1">
        <f t="array" ref="O42">IF($A42&lt;&gt;"", IFERROR(_xlfn._xlws.FILTER(Log!$G:$G, (Log!$A:$A="Daily") * (Log!$B:$B="n/a") * (Log!$C:$C=$A42) * (Log!$D:$D=O$3)), "Unknown"), "")</f>
        <v/>
      </c>
      <c r="P42" s="129" t="str" cm="1">
        <f t="array" ref="P42">IF($A42&lt;&gt;"", IFERROR(_xlfn._xlws.FILTER(Log!$G:$G, (Log!$A:$A="Daily") * (Log!$B:$B="n/a") * (Log!$C:$C=$A42) * (Log!$D:$D=P$3)), "Unknown"), "")</f>
        <v/>
      </c>
      <c r="Q42" s="129" t="str" cm="1">
        <f t="array" ref="Q42">IF($A42&lt;&gt;"", IFERROR(_xlfn._xlws.FILTER(Log!$G:$G, (Log!$A:$A="Daily") * (Log!$B:$B="n/a") * (Log!$C:$C=$A42) * (Log!$D:$D=Q$3)), "Unknown"), "")</f>
        <v/>
      </c>
      <c r="R42" s="129" t="str" cm="1">
        <f t="array" ref="R42">IF($A42&lt;&gt;"", IFERROR(_xlfn._xlws.FILTER(Log!$G:$G, (Log!$A:$A="Daily") * (Log!$B:$B="n/a") * (Log!$C:$C=$A42) * (Log!$D:$D=R$3)), "Unknown"), "")</f>
        <v/>
      </c>
      <c r="S42" s="129" t="str" cm="1">
        <f t="array" ref="S42">IF($A42&lt;&gt;"", IFERROR(_xlfn._xlws.FILTER(Log!$G:$G, (Log!$A:$A="Daily") * (Log!$B:$B="n/a") * (Log!$C:$C=$A42) * (Log!$D:$D=S$3)), "Unknown"), "")</f>
        <v/>
      </c>
      <c r="T42" s="129" t="str" cm="1">
        <f t="array" ref="T42">IF($A42&lt;&gt;"", IFERROR(_xlfn._xlws.FILTER(Log!$G:$G, (Log!$A:$A="Daily") * (Log!$B:$B="n/a") * (Log!$C:$C=$A42) * (Log!$D:$D=T$3)), "Unknown"), "")</f>
        <v/>
      </c>
      <c r="W42" s="249" t="str">
        <f t="shared" si="43"/>
        <v/>
      </c>
      <c r="X42" s="249" t="str">
        <f t="shared" si="44"/>
        <v/>
      </c>
      <c r="Y42" s="249" t="str">
        <f t="shared" si="45"/>
        <v/>
      </c>
      <c r="Z42" s="249" t="str">
        <f t="shared" si="46"/>
        <v/>
      </c>
      <c r="AA42" s="249" t="str">
        <f t="shared" si="47"/>
        <v/>
      </c>
      <c r="AB42" s="249" t="str">
        <f t="shared" si="48"/>
        <v/>
      </c>
      <c r="AC42" s="249" t="str">
        <f t="shared" si="49"/>
        <v/>
      </c>
      <c r="AD42" s="249" t="str">
        <f t="shared" si="50"/>
        <v/>
      </c>
      <c r="AE42" s="249" t="str">
        <f t="shared" si="51"/>
        <v/>
      </c>
      <c r="AF42" s="249" t="str">
        <f t="shared" si="52"/>
        <v/>
      </c>
      <c r="AG42" s="249" t="str">
        <f t="shared" si="53"/>
        <v/>
      </c>
      <c r="AH42" s="249" t="str">
        <f t="shared" si="54"/>
        <v/>
      </c>
      <c r="AI42" s="249" t="str">
        <f t="shared" si="55"/>
        <v/>
      </c>
      <c r="AJ42" s="249" t="str">
        <f t="shared" si="56"/>
        <v/>
      </c>
      <c r="AK42" s="249" t="str">
        <f t="shared" si="57"/>
        <v/>
      </c>
      <c r="AL42" s="249" t="str">
        <f t="shared" si="58"/>
        <v/>
      </c>
      <c r="AM42" s="249" t="str">
        <f t="shared" si="59"/>
        <v/>
      </c>
      <c r="AN42" s="249" t="str">
        <f t="shared" si="60"/>
        <v/>
      </c>
    </row>
    <row r="43" spans="2:40" x14ac:dyDescent="0.25">
      <c r="C43" s="129" t="str" cm="1">
        <f t="array" ref="C43">IF($A43&lt;&gt;"", IFERROR(_xlfn._xlws.FILTER(Log!$G:$G, (Log!$A:$A="Daily") * (Log!$B:$B="n/a") * (Log!$C:$C=$A43) * (Log!$D:$D=C$3)), "Unknown"), "")</f>
        <v/>
      </c>
      <c r="D43" s="129" t="str" cm="1">
        <f t="array" ref="D43">IF($A43&lt;&gt;"", IFERROR(_xlfn._xlws.FILTER(Log!$G:$G, (Log!$A:$A="Daily") * (Log!$B:$B="n/a") * (Log!$C:$C=$A43) * (Log!$D:$D=D$3)), "Unknown"), "")</f>
        <v/>
      </c>
      <c r="E43" s="129" t="str" cm="1">
        <f t="array" ref="E43">IF($A43&lt;&gt;"", IFERROR(_xlfn._xlws.FILTER(Log!$G:$G, (Log!$A:$A="Daily") * (Log!$B:$B="n/a") * (Log!$C:$C=$A43) * (Log!$D:$D=E$3)), "Unknown"), "")</f>
        <v/>
      </c>
      <c r="F43" s="129" t="str" cm="1">
        <f t="array" ref="F43">IF($A43&lt;&gt;"", IFERROR(_xlfn._xlws.FILTER(Log!$G:$G, (Log!$A:$A="Daily") * (Log!$B:$B="n/a") * (Log!$C:$C=$A43) * (Log!$D:$D=F$3)), "Unknown"), "")</f>
        <v/>
      </c>
      <c r="G43" s="129" t="str" cm="1">
        <f t="array" ref="G43">IF($A43&lt;&gt;"", IFERROR(_xlfn._xlws.FILTER(Log!$G:$G, (Log!$A:$A="Daily") * (Log!$B:$B="n/a") * (Log!$C:$C=$A43) * (Log!$D:$D=G$3)), "Unknown"), "")</f>
        <v/>
      </c>
      <c r="H43" s="129" t="str" cm="1">
        <f t="array" ref="H43">IF($A43&lt;&gt;"", IFERROR(_xlfn._xlws.FILTER(Log!$G:$G, (Log!$A:$A="Daily") * (Log!$B:$B="n/a") * (Log!$C:$C=$A43) * (Log!$D:$D=H$3)), "Unknown"), "")</f>
        <v/>
      </c>
      <c r="I43" s="129" t="str" cm="1">
        <f t="array" ref="I43">IF($A43&lt;&gt;"", IFERROR(_xlfn._xlws.FILTER(Log!$G:$G, (Log!$A:$A="Daily") * (Log!$B:$B="n/a") * (Log!$C:$C=$A43) * (Log!$D:$D=I$3)), "Unknown"), "")</f>
        <v/>
      </c>
      <c r="J43" s="129" t="str" cm="1">
        <f t="array" ref="J43">IF($A43&lt;&gt;"", IFERROR(_xlfn._xlws.FILTER(Log!$G:$G, (Log!$A:$A="Daily") * (Log!$B:$B="n/a") * (Log!$C:$C=$A43) * (Log!$D:$D=J$3)), "Unknown"), "")</f>
        <v/>
      </c>
      <c r="K43" s="129" t="str" cm="1">
        <f t="array" ref="K43">IF($A43&lt;&gt;"", IFERROR(_xlfn._xlws.FILTER(Log!$G:$G, (Log!$A:$A="Daily") * (Log!$B:$B="n/a") * (Log!$C:$C=$A43) * (Log!$D:$D=K$3)), "Unknown"), "")</f>
        <v/>
      </c>
      <c r="L43" s="129" t="str" cm="1">
        <f t="array" ref="L43">IF($A43&lt;&gt;"", IFERROR(_xlfn._xlws.FILTER(Log!$G:$G, (Log!$A:$A="Daily") * (Log!$B:$B="n/a") * (Log!$C:$C=$A43) * (Log!$D:$D=L$3)), "Unknown"), "")</f>
        <v/>
      </c>
      <c r="M43" s="129" t="str" cm="1">
        <f t="array" ref="M43">IF($A43&lt;&gt;"", IFERROR(_xlfn._xlws.FILTER(Log!$G:$G, (Log!$A:$A="Daily") * (Log!$B:$B="n/a") * (Log!$C:$C=$A43) * (Log!$D:$D=M$3)), "Unknown"), "")</f>
        <v/>
      </c>
      <c r="N43" s="129" t="str" cm="1">
        <f t="array" ref="N43">IF($A43&lt;&gt;"", IFERROR(_xlfn._xlws.FILTER(Log!$G:$G, (Log!$A:$A="Daily") * (Log!$B:$B="n/a") * (Log!$C:$C=$A43) * (Log!$D:$D=N$3)), "Unknown"), "")</f>
        <v/>
      </c>
      <c r="O43" s="129" t="str" cm="1">
        <f t="array" ref="O43">IF($A43&lt;&gt;"", IFERROR(_xlfn._xlws.FILTER(Log!$G:$G, (Log!$A:$A="Daily") * (Log!$B:$B="n/a") * (Log!$C:$C=$A43) * (Log!$D:$D=O$3)), "Unknown"), "")</f>
        <v/>
      </c>
      <c r="P43" s="129" t="str" cm="1">
        <f t="array" ref="P43">IF($A43&lt;&gt;"", IFERROR(_xlfn._xlws.FILTER(Log!$G:$G, (Log!$A:$A="Daily") * (Log!$B:$B="n/a") * (Log!$C:$C=$A43) * (Log!$D:$D=P$3)), "Unknown"), "")</f>
        <v/>
      </c>
      <c r="Q43" s="129" t="str" cm="1">
        <f t="array" ref="Q43">IF($A43&lt;&gt;"", IFERROR(_xlfn._xlws.FILTER(Log!$G:$G, (Log!$A:$A="Daily") * (Log!$B:$B="n/a") * (Log!$C:$C=$A43) * (Log!$D:$D=Q$3)), "Unknown"), "")</f>
        <v/>
      </c>
      <c r="R43" s="129" t="str" cm="1">
        <f t="array" ref="R43">IF($A43&lt;&gt;"", IFERROR(_xlfn._xlws.FILTER(Log!$G:$G, (Log!$A:$A="Daily") * (Log!$B:$B="n/a") * (Log!$C:$C=$A43) * (Log!$D:$D=R$3)), "Unknown"), "")</f>
        <v/>
      </c>
      <c r="S43" s="129" t="str" cm="1">
        <f t="array" ref="S43">IF($A43&lt;&gt;"", IFERROR(_xlfn._xlws.FILTER(Log!$G:$G, (Log!$A:$A="Daily") * (Log!$B:$B="n/a") * (Log!$C:$C=$A43) * (Log!$D:$D=S$3)), "Unknown"), "")</f>
        <v/>
      </c>
      <c r="T43" s="129" t="str" cm="1">
        <f t="array" ref="T43">IF($A43&lt;&gt;"", IFERROR(_xlfn._xlws.FILTER(Log!$G:$G, (Log!$A:$A="Daily") * (Log!$B:$B="n/a") * (Log!$C:$C=$A43) * (Log!$D:$D=T$3)), "Unknown"), "")</f>
        <v/>
      </c>
      <c r="W43" s="249" t="str">
        <f t="shared" si="43"/>
        <v/>
      </c>
      <c r="X43" s="249" t="str">
        <f t="shared" si="44"/>
        <v/>
      </c>
      <c r="Y43" s="249" t="str">
        <f t="shared" si="45"/>
        <v/>
      </c>
      <c r="Z43" s="249" t="str">
        <f t="shared" si="46"/>
        <v/>
      </c>
      <c r="AA43" s="249" t="str">
        <f t="shared" si="47"/>
        <v/>
      </c>
      <c r="AB43" s="249" t="str">
        <f t="shared" si="48"/>
        <v/>
      </c>
      <c r="AC43" s="249" t="str">
        <f t="shared" si="49"/>
        <v/>
      </c>
      <c r="AD43" s="249" t="str">
        <f t="shared" si="50"/>
        <v/>
      </c>
      <c r="AE43" s="249" t="str">
        <f t="shared" si="51"/>
        <v/>
      </c>
      <c r="AF43" s="249" t="str">
        <f t="shared" si="52"/>
        <v/>
      </c>
      <c r="AG43" s="249" t="str">
        <f t="shared" si="53"/>
        <v/>
      </c>
      <c r="AH43" s="249" t="str">
        <f t="shared" si="54"/>
        <v/>
      </c>
      <c r="AI43" s="249" t="str">
        <f t="shared" si="55"/>
        <v/>
      </c>
      <c r="AJ43" s="249" t="str">
        <f t="shared" si="56"/>
        <v/>
      </c>
      <c r="AK43" s="249" t="str">
        <f t="shared" si="57"/>
        <v/>
      </c>
      <c r="AL43" s="249" t="str">
        <f t="shared" si="58"/>
        <v/>
      </c>
      <c r="AM43" s="249" t="str">
        <f t="shared" si="59"/>
        <v/>
      </c>
      <c r="AN43" s="249" t="str">
        <f t="shared" si="60"/>
        <v/>
      </c>
    </row>
    <row r="44" spans="2:40" x14ac:dyDescent="0.25">
      <c r="C44" s="129" t="str" cm="1">
        <f t="array" ref="C44">IF($A44&lt;&gt;"", IFERROR(_xlfn._xlws.FILTER(Log!$G:$G, (Log!$A:$A="Daily") * (Log!$B:$B="n/a") * (Log!$C:$C=$A44) * (Log!$D:$D=C$3)), "Unknown"), "")</f>
        <v/>
      </c>
      <c r="D44" s="129" t="str" cm="1">
        <f t="array" ref="D44">IF($A44&lt;&gt;"", IFERROR(_xlfn._xlws.FILTER(Log!$G:$G, (Log!$A:$A="Daily") * (Log!$B:$B="n/a") * (Log!$C:$C=$A44) * (Log!$D:$D=D$3)), "Unknown"), "")</f>
        <v/>
      </c>
      <c r="E44" s="129" t="str" cm="1">
        <f t="array" ref="E44">IF($A44&lt;&gt;"", IFERROR(_xlfn._xlws.FILTER(Log!$G:$G, (Log!$A:$A="Daily") * (Log!$B:$B="n/a") * (Log!$C:$C=$A44) * (Log!$D:$D=E$3)), "Unknown"), "")</f>
        <v/>
      </c>
      <c r="F44" s="129" t="str" cm="1">
        <f t="array" ref="F44">IF($A44&lt;&gt;"", IFERROR(_xlfn._xlws.FILTER(Log!$G:$G, (Log!$A:$A="Daily") * (Log!$B:$B="n/a") * (Log!$C:$C=$A44) * (Log!$D:$D=F$3)), "Unknown"), "")</f>
        <v/>
      </c>
      <c r="G44" s="129" t="str" cm="1">
        <f t="array" ref="G44">IF($A44&lt;&gt;"", IFERROR(_xlfn._xlws.FILTER(Log!$G:$G, (Log!$A:$A="Daily") * (Log!$B:$B="n/a") * (Log!$C:$C=$A44) * (Log!$D:$D=G$3)), "Unknown"), "")</f>
        <v/>
      </c>
      <c r="H44" s="129" t="str" cm="1">
        <f t="array" ref="H44">IF($A44&lt;&gt;"", IFERROR(_xlfn._xlws.FILTER(Log!$G:$G, (Log!$A:$A="Daily") * (Log!$B:$B="n/a") * (Log!$C:$C=$A44) * (Log!$D:$D=H$3)), "Unknown"), "")</f>
        <v/>
      </c>
      <c r="I44" s="129" t="str" cm="1">
        <f t="array" ref="I44">IF($A44&lt;&gt;"", IFERROR(_xlfn._xlws.FILTER(Log!$G:$G, (Log!$A:$A="Daily") * (Log!$B:$B="n/a") * (Log!$C:$C=$A44) * (Log!$D:$D=I$3)), "Unknown"), "")</f>
        <v/>
      </c>
      <c r="J44" s="129" t="str" cm="1">
        <f t="array" ref="J44">IF($A44&lt;&gt;"", IFERROR(_xlfn._xlws.FILTER(Log!$G:$G, (Log!$A:$A="Daily") * (Log!$B:$B="n/a") * (Log!$C:$C=$A44) * (Log!$D:$D=J$3)), "Unknown"), "")</f>
        <v/>
      </c>
      <c r="K44" s="129" t="str" cm="1">
        <f t="array" ref="K44">IF($A44&lt;&gt;"", IFERROR(_xlfn._xlws.FILTER(Log!$G:$G, (Log!$A:$A="Daily") * (Log!$B:$B="n/a") * (Log!$C:$C=$A44) * (Log!$D:$D=K$3)), "Unknown"), "")</f>
        <v/>
      </c>
      <c r="L44" s="129" t="str" cm="1">
        <f t="array" ref="L44">IF($A44&lt;&gt;"", IFERROR(_xlfn._xlws.FILTER(Log!$G:$G, (Log!$A:$A="Daily") * (Log!$B:$B="n/a") * (Log!$C:$C=$A44) * (Log!$D:$D=L$3)), "Unknown"), "")</f>
        <v/>
      </c>
      <c r="M44" s="129" t="str" cm="1">
        <f t="array" ref="M44">IF($A44&lt;&gt;"", IFERROR(_xlfn._xlws.FILTER(Log!$G:$G, (Log!$A:$A="Daily") * (Log!$B:$B="n/a") * (Log!$C:$C=$A44) * (Log!$D:$D=M$3)), "Unknown"), "")</f>
        <v/>
      </c>
      <c r="N44" s="129" t="str" cm="1">
        <f t="array" ref="N44">IF($A44&lt;&gt;"", IFERROR(_xlfn._xlws.FILTER(Log!$G:$G, (Log!$A:$A="Daily") * (Log!$B:$B="n/a") * (Log!$C:$C=$A44) * (Log!$D:$D=N$3)), "Unknown"), "")</f>
        <v/>
      </c>
      <c r="O44" s="129" t="str" cm="1">
        <f t="array" ref="O44">IF($A44&lt;&gt;"", IFERROR(_xlfn._xlws.FILTER(Log!$G:$G, (Log!$A:$A="Daily") * (Log!$B:$B="n/a") * (Log!$C:$C=$A44) * (Log!$D:$D=O$3)), "Unknown"), "")</f>
        <v/>
      </c>
      <c r="P44" s="129" t="str" cm="1">
        <f t="array" ref="P44">IF($A44&lt;&gt;"", IFERROR(_xlfn._xlws.FILTER(Log!$G:$G, (Log!$A:$A="Daily") * (Log!$B:$B="n/a") * (Log!$C:$C=$A44) * (Log!$D:$D=P$3)), "Unknown"), "")</f>
        <v/>
      </c>
      <c r="Q44" s="129" t="str" cm="1">
        <f t="array" ref="Q44">IF($A44&lt;&gt;"", IFERROR(_xlfn._xlws.FILTER(Log!$G:$G, (Log!$A:$A="Daily") * (Log!$B:$B="n/a") * (Log!$C:$C=$A44) * (Log!$D:$D=Q$3)), "Unknown"), "")</f>
        <v/>
      </c>
      <c r="R44" s="129" t="str" cm="1">
        <f t="array" ref="R44">IF($A44&lt;&gt;"", IFERROR(_xlfn._xlws.FILTER(Log!$G:$G, (Log!$A:$A="Daily") * (Log!$B:$B="n/a") * (Log!$C:$C=$A44) * (Log!$D:$D=R$3)), "Unknown"), "")</f>
        <v/>
      </c>
      <c r="S44" s="129" t="str" cm="1">
        <f t="array" ref="S44">IF($A44&lt;&gt;"", IFERROR(_xlfn._xlws.FILTER(Log!$G:$G, (Log!$A:$A="Daily") * (Log!$B:$B="n/a") * (Log!$C:$C=$A44) * (Log!$D:$D=S$3)), "Unknown"), "")</f>
        <v/>
      </c>
      <c r="T44" s="129" t="str" cm="1">
        <f t="array" ref="T44">IF($A44&lt;&gt;"", IFERROR(_xlfn._xlws.FILTER(Log!$G:$G, (Log!$A:$A="Daily") * (Log!$B:$B="n/a") * (Log!$C:$C=$A44) * (Log!$D:$D=T$3)), "Unknown"), "")</f>
        <v/>
      </c>
      <c r="W44" s="249" t="str">
        <f t="shared" si="43"/>
        <v/>
      </c>
      <c r="X44" s="249" t="str">
        <f t="shared" si="44"/>
        <v/>
      </c>
      <c r="Y44" s="249" t="str">
        <f t="shared" si="45"/>
        <v/>
      </c>
      <c r="Z44" s="249" t="str">
        <f t="shared" si="46"/>
        <v/>
      </c>
      <c r="AA44" s="249" t="str">
        <f t="shared" si="47"/>
        <v/>
      </c>
      <c r="AB44" s="249" t="str">
        <f t="shared" si="48"/>
        <v/>
      </c>
      <c r="AC44" s="249" t="str">
        <f t="shared" si="49"/>
        <v/>
      </c>
      <c r="AD44" s="249" t="str">
        <f t="shared" si="50"/>
        <v/>
      </c>
      <c r="AE44" s="249" t="str">
        <f t="shared" si="51"/>
        <v/>
      </c>
      <c r="AF44" s="249" t="str">
        <f t="shared" si="52"/>
        <v/>
      </c>
      <c r="AG44" s="249" t="str">
        <f t="shared" si="53"/>
        <v/>
      </c>
      <c r="AH44" s="249" t="str">
        <f t="shared" si="54"/>
        <v/>
      </c>
      <c r="AI44" s="249" t="str">
        <f t="shared" si="55"/>
        <v/>
      </c>
      <c r="AJ44" s="249" t="str">
        <f t="shared" si="56"/>
        <v/>
      </c>
      <c r="AK44" s="249" t="str">
        <f t="shared" si="57"/>
        <v/>
      </c>
      <c r="AL44" s="249" t="str">
        <f t="shared" si="58"/>
        <v/>
      </c>
      <c r="AM44" s="249" t="str">
        <f t="shared" si="59"/>
        <v/>
      </c>
      <c r="AN44" s="249" t="str">
        <f t="shared" si="60"/>
        <v/>
      </c>
    </row>
    <row r="45" spans="2:40" x14ac:dyDescent="0.25">
      <c r="C45" s="129" t="str" cm="1">
        <f t="array" ref="C45">IF($A45&lt;&gt;"", IFERROR(_xlfn._xlws.FILTER(Log!$G:$G, (Log!$A:$A="Daily") * (Log!$B:$B="n/a") * (Log!$C:$C=$A45) * (Log!$D:$D=C$3)), "Unknown"), "")</f>
        <v/>
      </c>
      <c r="D45" s="129" t="str" cm="1">
        <f t="array" ref="D45">IF($A45&lt;&gt;"", IFERROR(_xlfn._xlws.FILTER(Log!$G:$G, (Log!$A:$A="Daily") * (Log!$B:$B="n/a") * (Log!$C:$C=$A45) * (Log!$D:$D=D$3)), "Unknown"), "")</f>
        <v/>
      </c>
      <c r="E45" s="129" t="str" cm="1">
        <f t="array" ref="E45">IF($A45&lt;&gt;"", IFERROR(_xlfn._xlws.FILTER(Log!$G:$G, (Log!$A:$A="Daily") * (Log!$B:$B="n/a") * (Log!$C:$C=$A45) * (Log!$D:$D=E$3)), "Unknown"), "")</f>
        <v/>
      </c>
      <c r="F45" s="129" t="str" cm="1">
        <f t="array" ref="F45">IF($A45&lt;&gt;"", IFERROR(_xlfn._xlws.FILTER(Log!$G:$G, (Log!$A:$A="Daily") * (Log!$B:$B="n/a") * (Log!$C:$C=$A45) * (Log!$D:$D=F$3)), "Unknown"), "")</f>
        <v/>
      </c>
      <c r="G45" s="129" t="str" cm="1">
        <f t="array" ref="G45">IF($A45&lt;&gt;"", IFERROR(_xlfn._xlws.FILTER(Log!$G:$G, (Log!$A:$A="Daily") * (Log!$B:$B="n/a") * (Log!$C:$C=$A45) * (Log!$D:$D=G$3)), "Unknown"), "")</f>
        <v/>
      </c>
      <c r="H45" s="129" t="str" cm="1">
        <f t="array" ref="H45">IF($A45&lt;&gt;"", IFERROR(_xlfn._xlws.FILTER(Log!$G:$G, (Log!$A:$A="Daily") * (Log!$B:$B="n/a") * (Log!$C:$C=$A45) * (Log!$D:$D=H$3)), "Unknown"), "")</f>
        <v/>
      </c>
      <c r="I45" s="129" t="str" cm="1">
        <f t="array" ref="I45">IF($A45&lt;&gt;"", IFERROR(_xlfn._xlws.FILTER(Log!$G:$G, (Log!$A:$A="Daily") * (Log!$B:$B="n/a") * (Log!$C:$C=$A45) * (Log!$D:$D=I$3)), "Unknown"), "")</f>
        <v/>
      </c>
      <c r="J45" s="129" t="str" cm="1">
        <f t="array" ref="J45">IF($A45&lt;&gt;"", IFERROR(_xlfn._xlws.FILTER(Log!$G:$G, (Log!$A:$A="Daily") * (Log!$B:$B="n/a") * (Log!$C:$C=$A45) * (Log!$D:$D=J$3)), "Unknown"), "")</f>
        <v/>
      </c>
      <c r="K45" s="129" t="str" cm="1">
        <f t="array" ref="K45">IF($A45&lt;&gt;"", IFERROR(_xlfn._xlws.FILTER(Log!$G:$G, (Log!$A:$A="Daily") * (Log!$B:$B="n/a") * (Log!$C:$C=$A45) * (Log!$D:$D=K$3)), "Unknown"), "")</f>
        <v/>
      </c>
      <c r="L45" s="129" t="str" cm="1">
        <f t="array" ref="L45">IF($A45&lt;&gt;"", IFERROR(_xlfn._xlws.FILTER(Log!$G:$G, (Log!$A:$A="Daily") * (Log!$B:$B="n/a") * (Log!$C:$C=$A45) * (Log!$D:$D=L$3)), "Unknown"), "")</f>
        <v/>
      </c>
      <c r="M45" s="129" t="str" cm="1">
        <f t="array" ref="M45">IF($A45&lt;&gt;"", IFERROR(_xlfn._xlws.FILTER(Log!$G:$G, (Log!$A:$A="Daily") * (Log!$B:$B="n/a") * (Log!$C:$C=$A45) * (Log!$D:$D=M$3)), "Unknown"), "")</f>
        <v/>
      </c>
      <c r="N45" s="129" t="str" cm="1">
        <f t="array" ref="N45">IF($A45&lt;&gt;"", IFERROR(_xlfn._xlws.FILTER(Log!$G:$G, (Log!$A:$A="Daily") * (Log!$B:$B="n/a") * (Log!$C:$C=$A45) * (Log!$D:$D=N$3)), "Unknown"), "")</f>
        <v/>
      </c>
      <c r="O45" s="129" t="str" cm="1">
        <f t="array" ref="O45">IF($A45&lt;&gt;"", IFERROR(_xlfn._xlws.FILTER(Log!$G:$G, (Log!$A:$A="Daily") * (Log!$B:$B="n/a") * (Log!$C:$C=$A45) * (Log!$D:$D=O$3)), "Unknown"), "")</f>
        <v/>
      </c>
      <c r="P45" s="129" t="str" cm="1">
        <f t="array" ref="P45">IF($A45&lt;&gt;"", IFERROR(_xlfn._xlws.FILTER(Log!$G:$G, (Log!$A:$A="Daily") * (Log!$B:$B="n/a") * (Log!$C:$C=$A45) * (Log!$D:$D=P$3)), "Unknown"), "")</f>
        <v/>
      </c>
      <c r="Q45" s="129" t="str" cm="1">
        <f t="array" ref="Q45">IF($A45&lt;&gt;"", IFERROR(_xlfn._xlws.FILTER(Log!$G:$G, (Log!$A:$A="Daily") * (Log!$B:$B="n/a") * (Log!$C:$C=$A45) * (Log!$D:$D=Q$3)), "Unknown"), "")</f>
        <v/>
      </c>
      <c r="R45" s="129" t="str" cm="1">
        <f t="array" ref="R45">IF($A45&lt;&gt;"", IFERROR(_xlfn._xlws.FILTER(Log!$G:$G, (Log!$A:$A="Daily") * (Log!$B:$B="n/a") * (Log!$C:$C=$A45) * (Log!$D:$D=R$3)), "Unknown"), "")</f>
        <v/>
      </c>
      <c r="S45" s="129" t="str" cm="1">
        <f t="array" ref="S45">IF($A45&lt;&gt;"", IFERROR(_xlfn._xlws.FILTER(Log!$G:$G, (Log!$A:$A="Daily") * (Log!$B:$B="n/a") * (Log!$C:$C=$A45) * (Log!$D:$D=S$3)), "Unknown"), "")</f>
        <v/>
      </c>
      <c r="T45" s="129" t="str" cm="1">
        <f t="array" ref="T45">IF($A45&lt;&gt;"", IFERROR(_xlfn._xlws.FILTER(Log!$G:$G, (Log!$A:$A="Daily") * (Log!$B:$B="n/a") * (Log!$C:$C=$A45) * (Log!$D:$D=T$3)), "Unknown"), "")</f>
        <v/>
      </c>
      <c r="W45" s="249" t="str">
        <f t="shared" si="43"/>
        <v/>
      </c>
      <c r="X45" s="249" t="str">
        <f t="shared" si="44"/>
        <v/>
      </c>
      <c r="Y45" s="249" t="str">
        <f t="shared" si="45"/>
        <v/>
      </c>
      <c r="Z45" s="249" t="str">
        <f t="shared" si="46"/>
        <v/>
      </c>
      <c r="AA45" s="249" t="str">
        <f t="shared" si="47"/>
        <v/>
      </c>
      <c r="AB45" s="249" t="str">
        <f t="shared" si="48"/>
        <v/>
      </c>
      <c r="AC45" s="249" t="str">
        <f t="shared" si="49"/>
        <v/>
      </c>
      <c r="AD45" s="249" t="str">
        <f t="shared" si="50"/>
        <v/>
      </c>
      <c r="AE45" s="249" t="str">
        <f t="shared" si="51"/>
        <v/>
      </c>
      <c r="AF45" s="249" t="str">
        <f t="shared" si="52"/>
        <v/>
      </c>
      <c r="AG45" s="249" t="str">
        <f t="shared" si="53"/>
        <v/>
      </c>
      <c r="AH45" s="249" t="str">
        <f t="shared" si="54"/>
        <v/>
      </c>
      <c r="AI45" s="249" t="str">
        <f t="shared" si="55"/>
        <v/>
      </c>
      <c r="AJ45" s="249" t="str">
        <f t="shared" si="56"/>
        <v/>
      </c>
      <c r="AK45" s="249" t="str">
        <f t="shared" si="57"/>
        <v/>
      </c>
      <c r="AL45" s="249" t="str">
        <f t="shared" si="58"/>
        <v/>
      </c>
      <c r="AM45" s="249" t="str">
        <f t="shared" si="59"/>
        <v/>
      </c>
      <c r="AN45" s="249" t="str">
        <f t="shared" si="60"/>
        <v/>
      </c>
    </row>
    <row r="46" spans="2:40" x14ac:dyDescent="0.25">
      <c r="C46" s="129" t="str" cm="1">
        <f t="array" ref="C46">IF($A46&lt;&gt;"", IFERROR(_xlfn._xlws.FILTER(Log!$G:$G, (Log!$A:$A="Daily") * (Log!$B:$B="n/a") * (Log!$C:$C=$A46) * (Log!$D:$D=C$3)), "Unknown"), "")</f>
        <v/>
      </c>
      <c r="D46" s="129" t="str" cm="1">
        <f t="array" ref="D46">IF($A46&lt;&gt;"", IFERROR(_xlfn._xlws.FILTER(Log!$G:$G, (Log!$A:$A="Daily") * (Log!$B:$B="n/a") * (Log!$C:$C=$A46) * (Log!$D:$D=D$3)), "Unknown"), "")</f>
        <v/>
      </c>
      <c r="E46" s="129" t="str" cm="1">
        <f t="array" ref="E46">IF($A46&lt;&gt;"", IFERROR(_xlfn._xlws.FILTER(Log!$G:$G, (Log!$A:$A="Daily") * (Log!$B:$B="n/a") * (Log!$C:$C=$A46) * (Log!$D:$D=E$3)), "Unknown"), "")</f>
        <v/>
      </c>
      <c r="F46" s="129" t="str" cm="1">
        <f t="array" ref="F46">IF($A46&lt;&gt;"", IFERROR(_xlfn._xlws.FILTER(Log!$G:$G, (Log!$A:$A="Daily") * (Log!$B:$B="n/a") * (Log!$C:$C=$A46) * (Log!$D:$D=F$3)), "Unknown"), "")</f>
        <v/>
      </c>
      <c r="G46" s="129" t="str" cm="1">
        <f t="array" ref="G46">IF($A46&lt;&gt;"", IFERROR(_xlfn._xlws.FILTER(Log!$G:$G, (Log!$A:$A="Daily") * (Log!$B:$B="n/a") * (Log!$C:$C=$A46) * (Log!$D:$D=G$3)), "Unknown"), "")</f>
        <v/>
      </c>
      <c r="H46" s="129" t="str" cm="1">
        <f t="array" ref="H46">IF($A46&lt;&gt;"", IFERROR(_xlfn._xlws.FILTER(Log!$G:$G, (Log!$A:$A="Daily") * (Log!$B:$B="n/a") * (Log!$C:$C=$A46) * (Log!$D:$D=H$3)), "Unknown"), "")</f>
        <v/>
      </c>
      <c r="I46" s="129" t="str" cm="1">
        <f t="array" ref="I46">IF($A46&lt;&gt;"", IFERROR(_xlfn._xlws.FILTER(Log!$G:$G, (Log!$A:$A="Daily") * (Log!$B:$B="n/a") * (Log!$C:$C=$A46) * (Log!$D:$D=I$3)), "Unknown"), "")</f>
        <v/>
      </c>
      <c r="J46" s="129" t="str" cm="1">
        <f t="array" ref="J46">IF($A46&lt;&gt;"", IFERROR(_xlfn._xlws.FILTER(Log!$G:$G, (Log!$A:$A="Daily") * (Log!$B:$B="n/a") * (Log!$C:$C=$A46) * (Log!$D:$D=J$3)), "Unknown"), "")</f>
        <v/>
      </c>
      <c r="K46" s="129" t="str" cm="1">
        <f t="array" ref="K46">IF($A46&lt;&gt;"", IFERROR(_xlfn._xlws.FILTER(Log!$G:$G, (Log!$A:$A="Daily") * (Log!$B:$B="n/a") * (Log!$C:$C=$A46) * (Log!$D:$D=K$3)), "Unknown"), "")</f>
        <v/>
      </c>
      <c r="L46" s="129" t="str" cm="1">
        <f t="array" ref="L46">IF($A46&lt;&gt;"", IFERROR(_xlfn._xlws.FILTER(Log!$G:$G, (Log!$A:$A="Daily") * (Log!$B:$B="n/a") * (Log!$C:$C=$A46) * (Log!$D:$D=L$3)), "Unknown"), "")</f>
        <v/>
      </c>
      <c r="M46" s="129" t="str" cm="1">
        <f t="array" ref="M46">IF($A46&lt;&gt;"", IFERROR(_xlfn._xlws.FILTER(Log!$G:$G, (Log!$A:$A="Daily") * (Log!$B:$B="n/a") * (Log!$C:$C=$A46) * (Log!$D:$D=M$3)), "Unknown"), "")</f>
        <v/>
      </c>
      <c r="N46" s="129" t="str" cm="1">
        <f t="array" ref="N46">IF($A46&lt;&gt;"", IFERROR(_xlfn._xlws.FILTER(Log!$G:$G, (Log!$A:$A="Daily") * (Log!$B:$B="n/a") * (Log!$C:$C=$A46) * (Log!$D:$D=N$3)), "Unknown"), "")</f>
        <v/>
      </c>
      <c r="O46" s="129" t="str" cm="1">
        <f t="array" ref="O46">IF($A46&lt;&gt;"", IFERROR(_xlfn._xlws.FILTER(Log!$G:$G, (Log!$A:$A="Daily") * (Log!$B:$B="n/a") * (Log!$C:$C=$A46) * (Log!$D:$D=O$3)), "Unknown"), "")</f>
        <v/>
      </c>
      <c r="P46" s="129" t="str" cm="1">
        <f t="array" ref="P46">IF($A46&lt;&gt;"", IFERROR(_xlfn._xlws.FILTER(Log!$G:$G, (Log!$A:$A="Daily") * (Log!$B:$B="n/a") * (Log!$C:$C=$A46) * (Log!$D:$D=P$3)), "Unknown"), "")</f>
        <v/>
      </c>
      <c r="Q46" s="129" t="str" cm="1">
        <f t="array" ref="Q46">IF($A46&lt;&gt;"", IFERROR(_xlfn._xlws.FILTER(Log!$G:$G, (Log!$A:$A="Daily") * (Log!$B:$B="n/a") * (Log!$C:$C=$A46) * (Log!$D:$D=Q$3)), "Unknown"), "")</f>
        <v/>
      </c>
      <c r="R46" s="129" t="str" cm="1">
        <f t="array" ref="R46">IF($A46&lt;&gt;"", IFERROR(_xlfn._xlws.FILTER(Log!$G:$G, (Log!$A:$A="Daily") * (Log!$B:$B="n/a") * (Log!$C:$C=$A46) * (Log!$D:$D=R$3)), "Unknown"), "")</f>
        <v/>
      </c>
      <c r="S46" s="129" t="str" cm="1">
        <f t="array" ref="S46">IF($A46&lt;&gt;"", IFERROR(_xlfn._xlws.FILTER(Log!$G:$G, (Log!$A:$A="Daily") * (Log!$B:$B="n/a") * (Log!$C:$C=$A46) * (Log!$D:$D=S$3)), "Unknown"), "")</f>
        <v/>
      </c>
      <c r="T46" s="129" t="str" cm="1">
        <f t="array" ref="T46">IF($A46&lt;&gt;"", IFERROR(_xlfn._xlws.FILTER(Log!$G:$G, (Log!$A:$A="Daily") * (Log!$B:$B="n/a") * (Log!$C:$C=$A46) * (Log!$D:$D=T$3)), "Unknown"), "")</f>
        <v/>
      </c>
      <c r="W46" s="249" t="str">
        <f t="shared" si="43"/>
        <v/>
      </c>
      <c r="X46" s="249" t="str">
        <f t="shared" si="44"/>
        <v/>
      </c>
      <c r="Y46" s="249" t="str">
        <f t="shared" si="45"/>
        <v/>
      </c>
      <c r="Z46" s="249" t="str">
        <f t="shared" si="46"/>
        <v/>
      </c>
      <c r="AA46" s="249" t="str">
        <f t="shared" si="47"/>
        <v/>
      </c>
      <c r="AB46" s="249" t="str">
        <f t="shared" si="48"/>
        <v/>
      </c>
      <c r="AC46" s="249" t="str">
        <f t="shared" si="49"/>
        <v/>
      </c>
      <c r="AD46" s="249" t="str">
        <f t="shared" si="50"/>
        <v/>
      </c>
      <c r="AE46" s="249" t="str">
        <f t="shared" si="51"/>
        <v/>
      </c>
      <c r="AF46" s="249" t="str">
        <f t="shared" si="52"/>
        <v/>
      </c>
      <c r="AG46" s="249" t="str">
        <f t="shared" si="53"/>
        <v/>
      </c>
      <c r="AH46" s="249" t="str">
        <f t="shared" si="54"/>
        <v/>
      </c>
      <c r="AI46" s="249" t="str">
        <f t="shared" si="55"/>
        <v/>
      </c>
      <c r="AJ46" s="249" t="str">
        <f t="shared" si="56"/>
        <v/>
      </c>
      <c r="AK46" s="249" t="str">
        <f t="shared" si="57"/>
        <v/>
      </c>
      <c r="AL46" s="249" t="str">
        <f t="shared" si="58"/>
        <v/>
      </c>
      <c r="AM46" s="249" t="str">
        <f t="shared" si="59"/>
        <v/>
      </c>
      <c r="AN46" s="249" t="str">
        <f t="shared" si="60"/>
        <v/>
      </c>
    </row>
    <row r="47" spans="2:40" x14ac:dyDescent="0.25">
      <c r="C47" s="129" t="str" cm="1">
        <f t="array" ref="C47">IF($A47&lt;&gt;"", IFERROR(_xlfn._xlws.FILTER(Log!$G:$G, (Log!$A:$A="Daily") * (Log!$B:$B="n/a") * (Log!$C:$C=$A47) * (Log!$D:$D=C$3)), "Unknown"), "")</f>
        <v/>
      </c>
      <c r="D47" s="129" t="str" cm="1">
        <f t="array" ref="D47">IF($A47&lt;&gt;"", IFERROR(_xlfn._xlws.FILTER(Log!$G:$G, (Log!$A:$A="Daily") * (Log!$B:$B="n/a") * (Log!$C:$C=$A47) * (Log!$D:$D=D$3)), "Unknown"), "")</f>
        <v/>
      </c>
      <c r="E47" s="129" t="str" cm="1">
        <f t="array" ref="E47">IF($A47&lt;&gt;"", IFERROR(_xlfn._xlws.FILTER(Log!$G:$G, (Log!$A:$A="Daily") * (Log!$B:$B="n/a") * (Log!$C:$C=$A47) * (Log!$D:$D=E$3)), "Unknown"), "")</f>
        <v/>
      </c>
      <c r="F47" s="129" t="str" cm="1">
        <f t="array" ref="F47">IF($A47&lt;&gt;"", IFERROR(_xlfn._xlws.FILTER(Log!$G:$G, (Log!$A:$A="Daily") * (Log!$B:$B="n/a") * (Log!$C:$C=$A47) * (Log!$D:$D=F$3)), "Unknown"), "")</f>
        <v/>
      </c>
      <c r="G47" s="129" t="str" cm="1">
        <f t="array" ref="G47">IF($A47&lt;&gt;"", IFERROR(_xlfn._xlws.FILTER(Log!$G:$G, (Log!$A:$A="Daily") * (Log!$B:$B="n/a") * (Log!$C:$C=$A47) * (Log!$D:$D=G$3)), "Unknown"), "")</f>
        <v/>
      </c>
      <c r="H47" s="129" t="str" cm="1">
        <f t="array" ref="H47">IF($A47&lt;&gt;"", IFERROR(_xlfn._xlws.FILTER(Log!$G:$G, (Log!$A:$A="Daily") * (Log!$B:$B="n/a") * (Log!$C:$C=$A47) * (Log!$D:$D=H$3)), "Unknown"), "")</f>
        <v/>
      </c>
      <c r="I47" s="129" t="str" cm="1">
        <f t="array" ref="I47">IF($A47&lt;&gt;"", IFERROR(_xlfn._xlws.FILTER(Log!$G:$G, (Log!$A:$A="Daily") * (Log!$B:$B="n/a") * (Log!$C:$C=$A47) * (Log!$D:$D=I$3)), "Unknown"), "")</f>
        <v/>
      </c>
      <c r="J47" s="129" t="str" cm="1">
        <f t="array" ref="J47">IF($A47&lt;&gt;"", IFERROR(_xlfn._xlws.FILTER(Log!$G:$G, (Log!$A:$A="Daily") * (Log!$B:$B="n/a") * (Log!$C:$C=$A47) * (Log!$D:$D=J$3)), "Unknown"), "")</f>
        <v/>
      </c>
      <c r="K47" s="129" t="str" cm="1">
        <f t="array" ref="K47">IF($A47&lt;&gt;"", IFERROR(_xlfn._xlws.FILTER(Log!$G:$G, (Log!$A:$A="Daily") * (Log!$B:$B="n/a") * (Log!$C:$C=$A47) * (Log!$D:$D=K$3)), "Unknown"), "")</f>
        <v/>
      </c>
      <c r="L47" s="129" t="str" cm="1">
        <f t="array" ref="L47">IF($A47&lt;&gt;"", IFERROR(_xlfn._xlws.FILTER(Log!$G:$G, (Log!$A:$A="Daily") * (Log!$B:$B="n/a") * (Log!$C:$C=$A47) * (Log!$D:$D=L$3)), "Unknown"), "")</f>
        <v/>
      </c>
      <c r="M47" s="129" t="str" cm="1">
        <f t="array" ref="M47">IF($A47&lt;&gt;"", IFERROR(_xlfn._xlws.FILTER(Log!$G:$G, (Log!$A:$A="Daily") * (Log!$B:$B="n/a") * (Log!$C:$C=$A47) * (Log!$D:$D=M$3)), "Unknown"), "")</f>
        <v/>
      </c>
      <c r="N47" s="129" t="str" cm="1">
        <f t="array" ref="N47">IF($A47&lt;&gt;"", IFERROR(_xlfn._xlws.FILTER(Log!$G:$G, (Log!$A:$A="Daily") * (Log!$B:$B="n/a") * (Log!$C:$C=$A47) * (Log!$D:$D=N$3)), "Unknown"), "")</f>
        <v/>
      </c>
      <c r="O47" s="129" t="str" cm="1">
        <f t="array" ref="O47">IF($A47&lt;&gt;"", IFERROR(_xlfn._xlws.FILTER(Log!$G:$G, (Log!$A:$A="Daily") * (Log!$B:$B="n/a") * (Log!$C:$C=$A47) * (Log!$D:$D=O$3)), "Unknown"), "")</f>
        <v/>
      </c>
      <c r="P47" s="129" t="str" cm="1">
        <f t="array" ref="P47">IF($A47&lt;&gt;"", IFERROR(_xlfn._xlws.FILTER(Log!$G:$G, (Log!$A:$A="Daily") * (Log!$B:$B="n/a") * (Log!$C:$C=$A47) * (Log!$D:$D=P$3)), "Unknown"), "")</f>
        <v/>
      </c>
      <c r="Q47" s="129" t="str" cm="1">
        <f t="array" ref="Q47">IF($A47&lt;&gt;"", IFERROR(_xlfn._xlws.FILTER(Log!$G:$G, (Log!$A:$A="Daily") * (Log!$B:$B="n/a") * (Log!$C:$C=$A47) * (Log!$D:$D=Q$3)), "Unknown"), "")</f>
        <v/>
      </c>
      <c r="R47" s="129" t="str" cm="1">
        <f t="array" ref="R47">IF($A47&lt;&gt;"", IFERROR(_xlfn._xlws.FILTER(Log!$G:$G, (Log!$A:$A="Daily") * (Log!$B:$B="n/a") * (Log!$C:$C=$A47) * (Log!$D:$D=R$3)), "Unknown"), "")</f>
        <v/>
      </c>
      <c r="S47" s="129" t="str" cm="1">
        <f t="array" ref="S47">IF($A47&lt;&gt;"", IFERROR(_xlfn._xlws.FILTER(Log!$G:$G, (Log!$A:$A="Daily") * (Log!$B:$B="n/a") * (Log!$C:$C=$A47) * (Log!$D:$D=S$3)), "Unknown"), "")</f>
        <v/>
      </c>
      <c r="T47" s="129" t="str" cm="1">
        <f t="array" ref="T47">IF($A47&lt;&gt;"", IFERROR(_xlfn._xlws.FILTER(Log!$G:$G, (Log!$A:$A="Daily") * (Log!$B:$B="n/a") * (Log!$C:$C=$A47) * (Log!$D:$D=T$3)), "Unknown"), "")</f>
        <v/>
      </c>
      <c r="W47" s="249" t="str">
        <f t="shared" si="43"/>
        <v/>
      </c>
      <c r="X47" s="249" t="str">
        <f t="shared" si="44"/>
        <v/>
      </c>
      <c r="Y47" s="249" t="str">
        <f t="shared" si="45"/>
        <v/>
      </c>
      <c r="Z47" s="249" t="str">
        <f t="shared" si="46"/>
        <v/>
      </c>
      <c r="AA47" s="249" t="str">
        <f t="shared" si="47"/>
        <v/>
      </c>
      <c r="AB47" s="249" t="str">
        <f t="shared" si="48"/>
        <v/>
      </c>
      <c r="AC47" s="249" t="str">
        <f t="shared" si="49"/>
        <v/>
      </c>
      <c r="AD47" s="249" t="str">
        <f t="shared" si="50"/>
        <v/>
      </c>
      <c r="AE47" s="249" t="str">
        <f t="shared" si="51"/>
        <v/>
      </c>
      <c r="AF47" s="249" t="str">
        <f t="shared" si="52"/>
        <v/>
      </c>
      <c r="AG47" s="249" t="str">
        <f t="shared" si="53"/>
        <v/>
      </c>
      <c r="AH47" s="249" t="str">
        <f t="shared" si="54"/>
        <v/>
      </c>
      <c r="AI47" s="249" t="str">
        <f t="shared" si="55"/>
        <v/>
      </c>
      <c r="AJ47" s="249" t="str">
        <f t="shared" si="56"/>
        <v/>
      </c>
      <c r="AK47" s="249" t="str">
        <f t="shared" si="57"/>
        <v/>
      </c>
      <c r="AL47" s="249" t="str">
        <f t="shared" si="58"/>
        <v/>
      </c>
      <c r="AM47" s="249" t="str">
        <f t="shared" si="59"/>
        <v/>
      </c>
      <c r="AN47" s="249" t="str">
        <f t="shared" si="60"/>
        <v/>
      </c>
    </row>
    <row r="48" spans="2:40" x14ac:dyDescent="0.25">
      <c r="C48" s="129" t="str" cm="1">
        <f t="array" ref="C48">IF($A48&lt;&gt;"", IFERROR(_xlfn._xlws.FILTER(Log!$G:$G, (Log!$A:$A="Daily") * (Log!$B:$B="n/a") * (Log!$C:$C=$A48) * (Log!$D:$D=C$3)), "Unknown"), "")</f>
        <v/>
      </c>
      <c r="D48" s="129" t="str" cm="1">
        <f t="array" ref="D48">IF($A48&lt;&gt;"", IFERROR(_xlfn._xlws.FILTER(Log!$G:$G, (Log!$A:$A="Daily") * (Log!$B:$B="n/a") * (Log!$C:$C=$A48) * (Log!$D:$D=D$3)), "Unknown"), "")</f>
        <v/>
      </c>
      <c r="E48" s="129" t="str" cm="1">
        <f t="array" ref="E48">IF($A48&lt;&gt;"", IFERROR(_xlfn._xlws.FILTER(Log!$G:$G, (Log!$A:$A="Daily") * (Log!$B:$B="n/a") * (Log!$C:$C=$A48) * (Log!$D:$D=E$3)), "Unknown"), "")</f>
        <v/>
      </c>
      <c r="F48" s="129" t="str" cm="1">
        <f t="array" ref="F48">IF($A48&lt;&gt;"", IFERROR(_xlfn._xlws.FILTER(Log!$G:$G, (Log!$A:$A="Daily") * (Log!$B:$B="n/a") * (Log!$C:$C=$A48) * (Log!$D:$D=F$3)), "Unknown"), "")</f>
        <v/>
      </c>
      <c r="G48" s="129" t="str" cm="1">
        <f t="array" ref="G48">IF($A48&lt;&gt;"", IFERROR(_xlfn._xlws.FILTER(Log!$G:$G, (Log!$A:$A="Daily") * (Log!$B:$B="n/a") * (Log!$C:$C=$A48) * (Log!$D:$D=G$3)), "Unknown"), "")</f>
        <v/>
      </c>
      <c r="H48" s="129" t="str" cm="1">
        <f t="array" ref="H48">IF($A48&lt;&gt;"", IFERROR(_xlfn._xlws.FILTER(Log!$G:$G, (Log!$A:$A="Daily") * (Log!$B:$B="n/a") * (Log!$C:$C=$A48) * (Log!$D:$D=H$3)), "Unknown"), "")</f>
        <v/>
      </c>
      <c r="I48" s="129" t="str" cm="1">
        <f t="array" ref="I48">IF($A48&lt;&gt;"", IFERROR(_xlfn._xlws.FILTER(Log!$G:$G, (Log!$A:$A="Daily") * (Log!$B:$B="n/a") * (Log!$C:$C=$A48) * (Log!$D:$D=I$3)), "Unknown"), "")</f>
        <v/>
      </c>
      <c r="J48" s="129" t="str" cm="1">
        <f t="array" ref="J48">IF($A48&lt;&gt;"", IFERROR(_xlfn._xlws.FILTER(Log!$G:$G, (Log!$A:$A="Daily") * (Log!$B:$B="n/a") * (Log!$C:$C=$A48) * (Log!$D:$D=J$3)), "Unknown"), "")</f>
        <v/>
      </c>
      <c r="K48" s="129" t="str" cm="1">
        <f t="array" ref="K48">IF($A48&lt;&gt;"", IFERROR(_xlfn._xlws.FILTER(Log!$G:$G, (Log!$A:$A="Daily") * (Log!$B:$B="n/a") * (Log!$C:$C=$A48) * (Log!$D:$D=K$3)), "Unknown"), "")</f>
        <v/>
      </c>
      <c r="L48" s="129" t="str" cm="1">
        <f t="array" ref="L48">IF($A48&lt;&gt;"", IFERROR(_xlfn._xlws.FILTER(Log!$G:$G, (Log!$A:$A="Daily") * (Log!$B:$B="n/a") * (Log!$C:$C=$A48) * (Log!$D:$D=L$3)), "Unknown"), "")</f>
        <v/>
      </c>
      <c r="M48" s="129" t="str" cm="1">
        <f t="array" ref="M48">IF($A48&lt;&gt;"", IFERROR(_xlfn._xlws.FILTER(Log!$G:$G, (Log!$A:$A="Daily") * (Log!$B:$B="n/a") * (Log!$C:$C=$A48) * (Log!$D:$D=M$3)), "Unknown"), "")</f>
        <v/>
      </c>
      <c r="N48" s="129" t="str" cm="1">
        <f t="array" ref="N48">IF($A48&lt;&gt;"", IFERROR(_xlfn._xlws.FILTER(Log!$G:$G, (Log!$A:$A="Daily") * (Log!$B:$B="n/a") * (Log!$C:$C=$A48) * (Log!$D:$D=N$3)), "Unknown"), "")</f>
        <v/>
      </c>
      <c r="O48" s="129" t="str" cm="1">
        <f t="array" ref="O48">IF($A48&lt;&gt;"", IFERROR(_xlfn._xlws.FILTER(Log!$G:$G, (Log!$A:$A="Daily") * (Log!$B:$B="n/a") * (Log!$C:$C=$A48) * (Log!$D:$D=O$3)), "Unknown"), "")</f>
        <v/>
      </c>
      <c r="P48" s="129" t="str" cm="1">
        <f t="array" ref="P48">IF($A48&lt;&gt;"", IFERROR(_xlfn._xlws.FILTER(Log!$G:$G, (Log!$A:$A="Daily") * (Log!$B:$B="n/a") * (Log!$C:$C=$A48) * (Log!$D:$D=P$3)), "Unknown"), "")</f>
        <v/>
      </c>
      <c r="Q48" s="129" t="str" cm="1">
        <f t="array" ref="Q48">IF($A48&lt;&gt;"", IFERROR(_xlfn._xlws.FILTER(Log!$G:$G, (Log!$A:$A="Daily") * (Log!$B:$B="n/a") * (Log!$C:$C=$A48) * (Log!$D:$D=Q$3)), "Unknown"), "")</f>
        <v/>
      </c>
      <c r="R48" s="129" t="str" cm="1">
        <f t="array" ref="R48">IF($A48&lt;&gt;"", IFERROR(_xlfn._xlws.FILTER(Log!$G:$G, (Log!$A:$A="Daily") * (Log!$B:$B="n/a") * (Log!$C:$C=$A48) * (Log!$D:$D=R$3)), "Unknown"), "")</f>
        <v/>
      </c>
      <c r="S48" s="129" t="str" cm="1">
        <f t="array" ref="S48">IF($A48&lt;&gt;"", IFERROR(_xlfn._xlws.FILTER(Log!$G:$G, (Log!$A:$A="Daily") * (Log!$B:$B="n/a") * (Log!$C:$C=$A48) * (Log!$D:$D=S$3)), "Unknown"), "")</f>
        <v/>
      </c>
      <c r="T48" s="129" t="str" cm="1">
        <f t="array" ref="T48">IF($A48&lt;&gt;"", IFERROR(_xlfn._xlws.FILTER(Log!$G:$G, (Log!$A:$A="Daily") * (Log!$B:$B="n/a") * (Log!$C:$C=$A48) * (Log!$D:$D=T$3)), "Unknown"), "")</f>
        <v/>
      </c>
      <c r="W48" s="249" t="str">
        <f t="shared" si="43"/>
        <v/>
      </c>
      <c r="X48" s="249" t="str">
        <f t="shared" si="44"/>
        <v/>
      </c>
      <c r="Y48" s="249" t="str">
        <f t="shared" si="45"/>
        <v/>
      </c>
      <c r="Z48" s="249" t="str">
        <f t="shared" si="46"/>
        <v/>
      </c>
      <c r="AA48" s="249" t="str">
        <f t="shared" si="47"/>
        <v/>
      </c>
      <c r="AB48" s="249" t="str">
        <f t="shared" si="48"/>
        <v/>
      </c>
      <c r="AC48" s="249" t="str">
        <f t="shared" si="49"/>
        <v/>
      </c>
      <c r="AD48" s="249" t="str">
        <f t="shared" si="50"/>
        <v/>
      </c>
      <c r="AE48" s="249" t="str">
        <f t="shared" si="51"/>
        <v/>
      </c>
      <c r="AF48" s="249" t="str">
        <f t="shared" si="52"/>
        <v/>
      </c>
      <c r="AG48" s="249" t="str">
        <f t="shared" si="53"/>
        <v/>
      </c>
      <c r="AH48" s="249" t="str">
        <f t="shared" si="54"/>
        <v/>
      </c>
      <c r="AI48" s="249" t="str">
        <f t="shared" si="55"/>
        <v/>
      </c>
      <c r="AJ48" s="249" t="str">
        <f t="shared" si="56"/>
        <v/>
      </c>
      <c r="AK48" s="249" t="str">
        <f t="shared" si="57"/>
        <v/>
      </c>
      <c r="AL48" s="249" t="str">
        <f t="shared" si="58"/>
        <v/>
      </c>
      <c r="AM48" s="249" t="str">
        <f t="shared" si="59"/>
        <v/>
      </c>
      <c r="AN48" s="249" t="str">
        <f t="shared" si="60"/>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249" t="str">
        <f t="shared" si="7"/>
        <v/>
      </c>
      <c r="X49" s="249" t="str">
        <f t="shared" si="8"/>
        <v/>
      </c>
      <c r="Y49" s="249" t="str">
        <f t="shared" si="9"/>
        <v/>
      </c>
      <c r="Z49" s="249" t="str">
        <f t="shared" si="10"/>
        <v/>
      </c>
      <c r="AA49" s="249" t="str">
        <f t="shared" si="11"/>
        <v/>
      </c>
      <c r="AB49" s="249" t="str">
        <f t="shared" si="12"/>
        <v/>
      </c>
      <c r="AC49" s="249" t="str">
        <f t="shared" si="13"/>
        <v/>
      </c>
      <c r="AD49" s="249" t="str">
        <f t="shared" si="14"/>
        <v/>
      </c>
      <c r="AE49" s="249" t="str">
        <f t="shared" si="15"/>
        <v/>
      </c>
      <c r="AF49" s="249" t="str">
        <f t="shared" si="16"/>
        <v/>
      </c>
      <c r="AG49" s="249" t="str">
        <f t="shared" si="17"/>
        <v/>
      </c>
      <c r="AH49" s="249" t="str">
        <f t="shared" si="18"/>
        <v/>
      </c>
      <c r="AI49" s="249" t="str">
        <f t="shared" si="19"/>
        <v/>
      </c>
      <c r="AJ49" s="249" t="str">
        <f t="shared" si="20"/>
        <v/>
      </c>
      <c r="AK49" s="249" t="str">
        <f t="shared" si="21"/>
        <v/>
      </c>
      <c r="AL49" s="249" t="str">
        <f t="shared" si="22"/>
        <v/>
      </c>
      <c r="AM49" s="249" t="str">
        <f t="shared" si="23"/>
        <v/>
      </c>
      <c r="AN49" s="249"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249" t="str">
        <f t="shared" si="7"/>
        <v/>
      </c>
      <c r="X50" s="249" t="str">
        <f t="shared" si="8"/>
        <v/>
      </c>
      <c r="Y50" s="249" t="str">
        <f t="shared" si="9"/>
        <v/>
      </c>
      <c r="Z50" s="249" t="str">
        <f t="shared" si="10"/>
        <v/>
      </c>
      <c r="AA50" s="249" t="str">
        <f t="shared" si="11"/>
        <v/>
      </c>
      <c r="AB50" s="249" t="str">
        <f t="shared" si="12"/>
        <v/>
      </c>
      <c r="AC50" s="249" t="str">
        <f t="shared" si="13"/>
        <v/>
      </c>
      <c r="AD50" s="249" t="str">
        <f t="shared" si="14"/>
        <v/>
      </c>
      <c r="AE50" s="249" t="str">
        <f t="shared" si="15"/>
        <v/>
      </c>
      <c r="AF50" s="249" t="str">
        <f t="shared" si="16"/>
        <v/>
      </c>
      <c r="AG50" s="249" t="str">
        <f t="shared" si="17"/>
        <v/>
      </c>
      <c r="AH50" s="249" t="str">
        <f t="shared" si="18"/>
        <v/>
      </c>
      <c r="AI50" s="249" t="str">
        <f t="shared" si="19"/>
        <v/>
      </c>
      <c r="AJ50" s="249" t="str">
        <f t="shared" si="20"/>
        <v/>
      </c>
      <c r="AK50" s="249" t="str">
        <f t="shared" si="21"/>
        <v/>
      </c>
      <c r="AL50" s="249" t="str">
        <f t="shared" si="22"/>
        <v/>
      </c>
      <c r="AM50" s="249" t="str">
        <f t="shared" si="23"/>
        <v/>
      </c>
      <c r="AN50" s="249"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249" t="str">
        <f t="shared" si="7"/>
        <v/>
      </c>
      <c r="X51" s="249" t="str">
        <f t="shared" si="8"/>
        <v/>
      </c>
      <c r="Y51" s="249" t="str">
        <f t="shared" si="9"/>
        <v/>
      </c>
      <c r="Z51" s="249" t="str">
        <f t="shared" si="10"/>
        <v/>
      </c>
      <c r="AA51" s="249" t="str">
        <f t="shared" si="11"/>
        <v/>
      </c>
      <c r="AB51" s="249" t="str">
        <f t="shared" si="12"/>
        <v/>
      </c>
      <c r="AC51" s="249" t="str">
        <f t="shared" si="13"/>
        <v/>
      </c>
      <c r="AD51" s="249" t="str">
        <f t="shared" si="14"/>
        <v/>
      </c>
      <c r="AE51" s="249" t="str">
        <f t="shared" si="15"/>
        <v/>
      </c>
      <c r="AF51" s="249" t="str">
        <f t="shared" si="16"/>
        <v/>
      </c>
      <c r="AG51" s="249" t="str">
        <f t="shared" si="17"/>
        <v/>
      </c>
      <c r="AH51" s="249" t="str">
        <f t="shared" si="18"/>
        <v/>
      </c>
      <c r="AI51" s="249" t="str">
        <f t="shared" si="19"/>
        <v/>
      </c>
      <c r="AJ51" s="249" t="str">
        <f t="shared" si="20"/>
        <v/>
      </c>
      <c r="AK51" s="249" t="str">
        <f t="shared" si="21"/>
        <v/>
      </c>
      <c r="AL51" s="249" t="str">
        <f t="shared" si="22"/>
        <v/>
      </c>
      <c r="AM51" s="249" t="str">
        <f t="shared" si="23"/>
        <v/>
      </c>
      <c r="AN51" s="249"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249" t="str">
        <f t="shared" si="7"/>
        <v/>
      </c>
      <c r="X52" s="249" t="str">
        <f t="shared" si="8"/>
        <v/>
      </c>
      <c r="Y52" s="249" t="str">
        <f t="shared" si="9"/>
        <v/>
      </c>
      <c r="Z52" s="249" t="str">
        <f t="shared" si="10"/>
        <v/>
      </c>
      <c r="AA52" s="249" t="str">
        <f t="shared" si="11"/>
        <v/>
      </c>
      <c r="AB52" s="249" t="str">
        <f t="shared" si="12"/>
        <v/>
      </c>
      <c r="AC52" s="249" t="str">
        <f t="shared" si="13"/>
        <v/>
      </c>
      <c r="AD52" s="249" t="str">
        <f t="shared" si="14"/>
        <v/>
      </c>
      <c r="AE52" s="249" t="str">
        <f t="shared" si="15"/>
        <v/>
      </c>
      <c r="AF52" s="249" t="str">
        <f t="shared" si="16"/>
        <v/>
      </c>
      <c r="AG52" s="249" t="str">
        <f t="shared" si="17"/>
        <v/>
      </c>
      <c r="AH52" s="249" t="str">
        <f t="shared" si="18"/>
        <v/>
      </c>
      <c r="AI52" s="249" t="str">
        <f t="shared" si="19"/>
        <v/>
      </c>
      <c r="AJ52" s="249" t="str">
        <f t="shared" si="20"/>
        <v/>
      </c>
      <c r="AK52" s="249" t="str">
        <f t="shared" si="21"/>
        <v/>
      </c>
      <c r="AL52" s="249" t="str">
        <f t="shared" si="22"/>
        <v/>
      </c>
      <c r="AM52" s="249" t="str">
        <f t="shared" si="23"/>
        <v/>
      </c>
      <c r="AN52" s="249"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249" t="str">
        <f t="shared" si="7"/>
        <v/>
      </c>
      <c r="X53" s="249" t="str">
        <f t="shared" si="8"/>
        <v/>
      </c>
      <c r="Y53" s="249" t="str">
        <f t="shared" si="9"/>
        <v/>
      </c>
      <c r="Z53" s="249" t="str">
        <f t="shared" si="10"/>
        <v/>
      </c>
      <c r="AA53" s="249" t="str">
        <f t="shared" si="11"/>
        <v/>
      </c>
      <c r="AB53" s="249" t="str">
        <f t="shared" si="12"/>
        <v/>
      </c>
      <c r="AC53" s="249" t="str">
        <f t="shared" si="13"/>
        <v/>
      </c>
      <c r="AD53" s="249" t="str">
        <f t="shared" si="14"/>
        <v/>
      </c>
      <c r="AE53" s="249" t="str">
        <f t="shared" si="15"/>
        <v/>
      </c>
      <c r="AF53" s="249" t="str">
        <f t="shared" si="16"/>
        <v/>
      </c>
      <c r="AG53" s="249" t="str">
        <f t="shared" si="17"/>
        <v/>
      </c>
      <c r="AH53" s="249" t="str">
        <f t="shared" si="18"/>
        <v/>
      </c>
      <c r="AI53" s="249" t="str">
        <f t="shared" si="19"/>
        <v/>
      </c>
      <c r="AJ53" s="249" t="str">
        <f t="shared" si="20"/>
        <v/>
      </c>
      <c r="AK53" s="249" t="str">
        <f t="shared" si="21"/>
        <v/>
      </c>
      <c r="AL53" s="249" t="str">
        <f t="shared" si="22"/>
        <v/>
      </c>
      <c r="AM53" s="249" t="str">
        <f t="shared" si="23"/>
        <v/>
      </c>
      <c r="AN53" s="249"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5">
    <mergeCell ref="B1:B2"/>
    <mergeCell ref="U1:V3"/>
    <mergeCell ref="X2:AM2"/>
    <mergeCell ref="C1:T1"/>
    <mergeCell ref="A1:A4"/>
  </mergeCells>
  <conditionalFormatting sqref="B5:B199">
    <cfRule type="expression" dxfId="53" priority="12">
      <formula>AND(MOD(ROW(), 2)=1, $A5&lt;&gt;"")</formula>
    </cfRule>
  </conditionalFormatting>
  <conditionalFormatting sqref="C1 C2:T1048576">
    <cfRule type="containsText" dxfId="52" priority="13" operator="containsText" text="Unknown">
      <formula>NOT(ISERROR(SEARCH("Unknown",C1)))</formula>
    </cfRule>
  </conditionalFormatting>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U5:V401">
    <cfRule type="expression" dxfId="51" priority="6">
      <formula>AND(MOD(ROW(), 2)=1, $A5&lt;&gt;"")</formula>
    </cfRule>
  </conditionalFormatting>
  <conditionalFormatting sqref="W5:AN200">
    <cfRule type="containsText" dxfId="50" priority="1" stopIfTrue="1" operator="containsText" text="Unknown">
      <formula>NOT(ISERROR(SEARCH("Unknown",W5)))</formula>
    </cfRule>
    <cfRule type="expression" dxfId="49" priority="2" stopIfTrue="1">
      <formula>AND(W5&gt;(W$3+(W$1*2.5)), W5&lt;&gt;"")</formula>
    </cfRule>
    <cfRule type="expression" dxfId="48" priority="3" stopIfTrue="1">
      <formula>AND(W5&lt;(W$3-(W$1*2.5)), W5&lt;&gt;"")</formula>
    </cfRule>
    <cfRule type="expression" dxfId="47" priority="5">
      <formula>AND(W5&lt;(W$3-(W$1*1)), W5&lt;&gt;"")</formula>
    </cfRule>
    <cfRule type="expression" dxfId="46" priority="8">
      <formula>AND(W5&gt;(W$3+(W$1*1)), W5&lt;&gt;"")</formula>
    </cfRule>
  </conditionalFormatting>
  <conditionalFormatting sqref="AO2:AO4 AO6:AO1048576">
    <cfRule type="cellIs" dxfId="45" priority="7" operator="equal">
      <formula>1</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topLeftCell="B1" zoomScale="70" zoomScaleNormal="70" workbookViewId="0">
      <pane ySplit="1" topLeftCell="A14" activePane="bottomLeft" state="frozen"/>
      <selection activeCell="U16" sqref="U16:AA16"/>
      <selection pane="bottomLeft" activeCell="F25" sqref="F25"/>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258" t="s">
        <v>302</v>
      </c>
      <c r="C1" s="198" t="s">
        <v>31</v>
      </c>
      <c r="D1" s="199" t="s">
        <v>51</v>
      </c>
      <c r="E1" s="199" t="s">
        <v>52</v>
      </c>
      <c r="F1" s="200" t="s">
        <v>84</v>
      </c>
      <c r="G1" s="201" t="s">
        <v>250</v>
      </c>
      <c r="H1" s="204" t="s">
        <v>265</v>
      </c>
      <c r="I1" s="202" t="s">
        <v>253</v>
      </c>
      <c r="J1" s="204" t="s">
        <v>267</v>
      </c>
      <c r="K1" s="204" t="s">
        <v>268</v>
      </c>
      <c r="L1" s="198" t="s">
        <v>264</v>
      </c>
      <c r="M1" s="198" t="s">
        <v>269</v>
      </c>
      <c r="N1" s="198" t="s">
        <v>189</v>
      </c>
      <c r="O1" s="198" t="s">
        <v>190</v>
      </c>
      <c r="P1" s="198" t="s">
        <v>191</v>
      </c>
      <c r="Q1" s="198" t="s">
        <v>192</v>
      </c>
      <c r="R1" s="198" t="s">
        <v>193</v>
      </c>
      <c r="S1" s="198" t="s">
        <v>194</v>
      </c>
      <c r="T1" s="269" t="s">
        <v>178</v>
      </c>
      <c r="U1" s="270"/>
      <c r="V1" s="273" t="s">
        <v>49</v>
      </c>
      <c r="W1" s="274"/>
      <c r="X1" s="268" t="s">
        <v>188</v>
      </c>
      <c r="Y1" s="268"/>
      <c r="Z1" s="268"/>
      <c r="AA1" s="268"/>
      <c r="AB1" s="268"/>
      <c r="AC1" s="268"/>
      <c r="AD1" s="268"/>
      <c r="AE1" s="268"/>
      <c r="AF1" s="268"/>
      <c r="AG1" s="268"/>
      <c r="AH1" s="268"/>
      <c r="AI1" s="268"/>
      <c r="AJ1" s="268"/>
      <c r="AK1" s="268"/>
      <c r="AL1" s="268"/>
      <c r="CP1" s="269" t="s">
        <v>178</v>
      </c>
      <c r="CQ1" s="270"/>
    </row>
    <row r="2" spans="1:97" ht="40.049999999999997" customHeight="1" x14ac:dyDescent="0.3">
      <c r="A2" s="126" t="str">
        <f t="shared" ref="A2:A33" si="0">IF(C2&lt;&gt;"", "Daily", "")</f>
        <v>Daily</v>
      </c>
      <c r="B2" s="259" t="s">
        <v>101</v>
      </c>
      <c r="C2" s="227" cm="1">
        <f t="array" ref="C2:C24">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3"/>
      <c r="M2" s="203"/>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0.41469928087167107</v>
      </c>
      <c r="U2" s="9">
        <f>IF(Q2&lt;&gt;"", 'Daily Camera Trends'!$N$4, "")</f>
        <v>9.9175409927360722E-2</v>
      </c>
      <c r="V2" s="166" t="s">
        <v>141</v>
      </c>
      <c r="Y2" s="51"/>
      <c r="CP2" s="9">
        <f>IF($N2&lt;&gt;"", 'Daily Camera Trends'!$M$4, "")</f>
        <v>0.41469928087167107</v>
      </c>
      <c r="CQ2" s="9">
        <f>IF($Q2&lt;&gt;"", 'Daily Camera Trends'!$N$4, "")</f>
        <v>9.9175409927360722E-2</v>
      </c>
      <c r="CS2" s="63" t="s">
        <v>179</v>
      </c>
    </row>
    <row r="3" spans="1:97" ht="40.049999999999997" customHeight="1" x14ac:dyDescent="0.3">
      <c r="A3" s="126" t="str">
        <f t="shared" si="0"/>
        <v>Daily</v>
      </c>
      <c r="B3" s="259" t="s">
        <v>101</v>
      </c>
      <c r="C3" s="227">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3"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3"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0.41469928087167107</v>
      </c>
      <c r="U3" s="9">
        <f>IF(Q3&lt;&gt;"", 'Daily Camera Trends'!$N$4, "")</f>
        <v>9.9175409927360722E-2</v>
      </c>
      <c r="V3" s="166" t="s">
        <v>50</v>
      </c>
      <c r="CP3" s="9">
        <f>IF($N3&lt;&gt;"", 'Daily Camera Trends'!$M$4, "")</f>
        <v>0.41469928087167107</v>
      </c>
      <c r="CQ3" s="9">
        <f>IF($Q3&lt;&gt;"", 'Daily Camera Trends'!$N$4, "")</f>
        <v>9.9175409927360722E-2</v>
      </c>
      <c r="CS3" s="91" t="s">
        <v>180</v>
      </c>
    </row>
    <row r="4" spans="1:97" ht="40.049999999999997" customHeight="1" x14ac:dyDescent="0.3">
      <c r="A4" s="126" t="str">
        <f t="shared" si="0"/>
        <v>Daily</v>
      </c>
      <c r="B4" s="259" t="s">
        <v>101</v>
      </c>
      <c r="C4" s="227">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3"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3"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0.41469928087167107</v>
      </c>
      <c r="U4" s="9">
        <f>IF(Q4&lt;&gt;"", 'Daily Camera Trends'!$N$4, "")</f>
        <v>9.9175409927360722E-2</v>
      </c>
      <c r="V4" s="166" t="s">
        <v>86</v>
      </c>
      <c r="CP4" s="9">
        <f>IF($N4&lt;&gt;"", 'Daily Camera Trends'!$M$4, "")</f>
        <v>0.41469928087167107</v>
      </c>
      <c r="CQ4" s="9">
        <f>IF($Q4&lt;&gt;"", 'Daily Camera Trends'!$N$4, "")</f>
        <v>9.9175409927360722E-2</v>
      </c>
    </row>
    <row r="5" spans="1:97" ht="40.049999999999997" customHeight="1" x14ac:dyDescent="0.3">
      <c r="A5" s="126" t="str">
        <f t="shared" si="0"/>
        <v>Daily</v>
      </c>
      <c r="B5" s="259" t="s">
        <v>101</v>
      </c>
      <c r="C5" s="227">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3"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3"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0.41469928087167107</v>
      </c>
      <c r="U5" s="9">
        <f>IF(Q5&lt;&gt;"", 'Daily Camera Trends'!$N$4, "")</f>
        <v>9.9175409927360722E-2</v>
      </c>
      <c r="V5" s="166" t="s">
        <v>56</v>
      </c>
      <c r="CP5" s="9">
        <f>IF($N5&lt;&gt;"", 'Daily Camera Trends'!$M$4, "")</f>
        <v>0.41469928087167107</v>
      </c>
      <c r="CQ5" s="9">
        <f>IF($Q5&lt;&gt;"", 'Daily Camera Trends'!$N$4, "")</f>
        <v>9.9175409927360722E-2</v>
      </c>
    </row>
    <row r="6" spans="1:97" ht="40.049999999999997" customHeight="1" x14ac:dyDescent="0.3">
      <c r="A6" s="126" t="str">
        <f t="shared" si="0"/>
        <v>Daily</v>
      </c>
      <c r="B6" s="259" t="s">
        <v>101</v>
      </c>
      <c r="C6" s="227">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3"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3"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0.41469928087167107</v>
      </c>
      <c r="U6" s="9">
        <f>IF(Q6&lt;&gt;"", 'Daily Camera Trends'!$N$4, "")</f>
        <v>9.9175409927360722E-2</v>
      </c>
      <c r="V6" s="166" t="s">
        <v>58</v>
      </c>
      <c r="CP6" s="9">
        <f>IF($N6&lt;&gt;"", 'Daily Camera Trends'!$M$4, "")</f>
        <v>0.41469928087167107</v>
      </c>
      <c r="CQ6" s="9">
        <f>IF($Q6&lt;&gt;"", 'Daily Camera Trends'!$N$4, "")</f>
        <v>9.9175409927360722E-2</v>
      </c>
    </row>
    <row r="7" spans="1:97" ht="40.049999999999997" customHeight="1" x14ac:dyDescent="0.3">
      <c r="A7" s="126" t="str">
        <f t="shared" si="0"/>
        <v>Daily</v>
      </c>
      <c r="B7" s="259" t="s">
        <v>101</v>
      </c>
      <c r="C7" s="227">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3"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3"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0.41469928087167107</v>
      </c>
      <c r="U7" s="9">
        <f>IF(Q7&lt;&gt;"", 'Daily Camera Trends'!$N$4, "")</f>
        <v>9.9175409927360722E-2</v>
      </c>
      <c r="V7" s="166" t="s">
        <v>222</v>
      </c>
      <c r="CP7" s="9">
        <f>IF($N7&lt;&gt;"", 'Daily Camera Trends'!$M$4, "")</f>
        <v>0.41469928087167107</v>
      </c>
      <c r="CQ7" s="9">
        <f>IF($Q7&lt;&gt;"", 'Daily Camera Trends'!$N$4, "")</f>
        <v>9.9175409927360722E-2</v>
      </c>
    </row>
    <row r="8" spans="1:97" ht="40.049999999999997" customHeight="1" x14ac:dyDescent="0.3">
      <c r="A8" s="126" t="str">
        <f t="shared" si="0"/>
        <v>Daily</v>
      </c>
      <c r="B8" s="259" t="s">
        <v>101</v>
      </c>
      <c r="C8" s="227">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3"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3"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0.41469928087167107</v>
      </c>
      <c r="U8" s="9">
        <f>IF(Q8&lt;&gt;"", 'Daily Camera Trends'!$N$4, "")</f>
        <v>9.9175409927360722E-2</v>
      </c>
      <c r="V8" s="166" t="s">
        <v>61</v>
      </c>
      <c r="CP8" s="9">
        <f>IF($N8&lt;&gt;"", 'Daily Camera Trends'!$M$4, "")</f>
        <v>0.41469928087167107</v>
      </c>
      <c r="CQ8" s="9">
        <f>IF($Q8&lt;&gt;"", 'Daily Camera Trends'!$N$4, "")</f>
        <v>9.9175409927360722E-2</v>
      </c>
    </row>
    <row r="9" spans="1:97" ht="40.049999999999997" customHeight="1" x14ac:dyDescent="0.3">
      <c r="A9" s="126" t="str">
        <f t="shared" si="0"/>
        <v>Daily</v>
      </c>
      <c r="B9" s="259" t="s">
        <v>101</v>
      </c>
      <c r="C9" s="227">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3"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3"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0.41469928087167107</v>
      </c>
      <c r="U9" s="9">
        <f>IF(Q9&lt;&gt;"", 'Daily Camera Trends'!$N$4, "")</f>
        <v>9.9175409927360722E-2</v>
      </c>
      <c r="V9" s="167" t="s">
        <v>142</v>
      </c>
      <c r="CP9" s="9">
        <f>IF($N9&lt;&gt;"", 'Daily Camera Trends'!$M$4, "")</f>
        <v>0.41469928087167107</v>
      </c>
      <c r="CQ9" s="9">
        <f>IF($Q9&lt;&gt;"", 'Daily Camera Trends'!$N$4, "")</f>
        <v>9.9175409927360722E-2</v>
      </c>
    </row>
    <row r="10" spans="1:97" ht="40.049999999999997" customHeight="1" x14ac:dyDescent="0.3">
      <c r="A10" s="126" t="str">
        <f t="shared" si="0"/>
        <v>Daily</v>
      </c>
      <c r="B10" s="259" t="s">
        <v>101</v>
      </c>
      <c r="C10" s="227">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3"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3"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0.41469928087167107</v>
      </c>
      <c r="U10" s="9">
        <f>IF(Q10&lt;&gt;"", 'Daily Camera Trends'!$N$4, "")</f>
        <v>9.9175409927360722E-2</v>
      </c>
      <c r="V10" s="166" t="s">
        <v>87</v>
      </c>
      <c r="CP10" s="9">
        <f>IF($N10&lt;&gt;"", 'Daily Camera Trends'!$M$4, "")</f>
        <v>0.41469928087167107</v>
      </c>
      <c r="CQ10" s="9">
        <f>IF($Q10&lt;&gt;"", 'Daily Camera Trends'!$N$4, "")</f>
        <v>9.9175409927360722E-2</v>
      </c>
    </row>
    <row r="11" spans="1:97" ht="40.049999999999997" customHeight="1" x14ac:dyDescent="0.3">
      <c r="A11" s="126" t="str">
        <f t="shared" si="0"/>
        <v>Daily</v>
      </c>
      <c r="B11" s="259" t="s">
        <v>101</v>
      </c>
      <c r="C11" s="227">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3"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3"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0.41469928087167107</v>
      </c>
      <c r="U11" s="9">
        <f>IF(Q11&lt;&gt;"", 'Daily Camera Trends'!$N$4, "")</f>
        <v>9.9175409927360722E-2</v>
      </c>
      <c r="V11" s="166" t="s">
        <v>140</v>
      </c>
      <c r="CP11" s="9">
        <f>IF($N11&lt;&gt;"", 'Daily Camera Trends'!$M$4, "")</f>
        <v>0.41469928087167107</v>
      </c>
      <c r="CQ11" s="9">
        <f>IF($Q11&lt;&gt;"", 'Daily Camera Trends'!$N$4, "")</f>
        <v>9.9175409927360722E-2</v>
      </c>
    </row>
    <row r="12" spans="1:97" ht="40.049999999999997" customHeight="1" x14ac:dyDescent="0.3">
      <c r="A12" s="126" t="str">
        <f t="shared" si="0"/>
        <v>Daily</v>
      </c>
      <c r="B12" s="259" t="s">
        <v>101</v>
      </c>
      <c r="C12" s="227">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3"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3"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0.41469928087167107</v>
      </c>
      <c r="U12" s="9">
        <f>IF(Q12&lt;&gt;"", 'Daily Camera Trends'!$N$4, "")</f>
        <v>9.9175409927360722E-2</v>
      </c>
      <c r="V12" s="166" t="s">
        <v>139</v>
      </c>
      <c r="CP12" s="9">
        <f>IF($N12&lt;&gt;"", 'Daily Camera Trends'!$M$4, "")</f>
        <v>0.41469928087167107</v>
      </c>
      <c r="CQ12" s="9">
        <f>IF($Q12&lt;&gt;"", 'Daily Camera Trends'!$N$4, "")</f>
        <v>9.9175409927360722E-2</v>
      </c>
    </row>
    <row r="13" spans="1:97" ht="40.049999999999997" customHeight="1" x14ac:dyDescent="0.3">
      <c r="A13" s="126" t="str">
        <f t="shared" si="0"/>
        <v>Daily</v>
      </c>
      <c r="B13" s="259" t="s">
        <v>101</v>
      </c>
      <c r="C13" s="227">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3"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3"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0.41469928087167107</v>
      </c>
      <c r="U13" s="9">
        <f>IF(Q13&lt;&gt;"", 'Daily Camera Trends'!$N$4, "")</f>
        <v>9.9175409927360722E-2</v>
      </c>
      <c r="V13" s="166" t="s">
        <v>155</v>
      </c>
      <c r="AG13" s="197"/>
      <c r="CP13" s="9">
        <f>IF($N13&lt;&gt;"", 'Daily Camera Trends'!$M$4, "")</f>
        <v>0.41469928087167107</v>
      </c>
      <c r="CQ13" s="9">
        <f>IF($Q13&lt;&gt;"", 'Daily Camera Trends'!$N$4, "")</f>
        <v>9.9175409927360722E-2</v>
      </c>
    </row>
    <row r="14" spans="1:97" ht="40.049999999999997" customHeight="1" x14ac:dyDescent="0.3">
      <c r="A14" s="126" t="str">
        <f t="shared" si="0"/>
        <v>Daily</v>
      </c>
      <c r="B14" s="259" t="s">
        <v>101</v>
      </c>
      <c r="C14" s="227">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3"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3"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0.41469928087167107</v>
      </c>
      <c r="U14" s="9">
        <f>IF(Q14&lt;&gt;"", 'Daily Camera Trends'!$N$4, "")</f>
        <v>9.9175409927360722E-2</v>
      </c>
      <c r="AG14" s="197"/>
      <c r="CP14" s="9">
        <f>IF($N14&lt;&gt;"", 'Daily Camera Trends'!$M$4, "")</f>
        <v>0.41469928087167107</v>
      </c>
      <c r="CQ14" s="9">
        <f>IF($Q14&lt;&gt;"", 'Daily Camera Trends'!$N$4, "")</f>
        <v>9.9175409927360722E-2</v>
      </c>
    </row>
    <row r="15" spans="1:97" ht="40.049999999999997" customHeight="1" x14ac:dyDescent="0.3">
      <c r="A15" s="126" t="str">
        <f t="shared" si="0"/>
        <v>Daily</v>
      </c>
      <c r="B15" s="259" t="s">
        <v>101</v>
      </c>
      <c r="C15" s="227">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3"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3"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0.41469928087167107</v>
      </c>
      <c r="U15" s="9">
        <f>IF(Q15&lt;&gt;"", 'Daily Camera Trends'!$N$4, "")</f>
        <v>9.9175409927360722E-2</v>
      </c>
      <c r="V15" s="168" t="s">
        <v>195</v>
      </c>
      <c r="CP15" s="9">
        <f>IF($N15&lt;&gt;"", 'Daily Camera Trends'!$M$4, "")</f>
        <v>0.41469928087167107</v>
      </c>
      <c r="CQ15" s="9">
        <f>IF($Q15&lt;&gt;"", 'Daily Camera Trends'!$N$4, "")</f>
        <v>9.9175409927360722E-2</v>
      </c>
    </row>
    <row r="16" spans="1:97" ht="40.049999999999997" customHeight="1" x14ac:dyDescent="0.3">
      <c r="A16" s="126" t="str">
        <f t="shared" si="0"/>
        <v>Daily</v>
      </c>
      <c r="B16" s="259" t="s">
        <v>101</v>
      </c>
      <c r="C16" s="227">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3"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3"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0.41469928087167107</v>
      </c>
      <c r="U16" s="9">
        <f>IF(Q16&lt;&gt;"", 'Daily Camera Trends'!$N$4, "")</f>
        <v>9.9175409927360722E-2</v>
      </c>
      <c r="V16" s="168" t="s">
        <v>248</v>
      </c>
      <c r="CP16" s="9">
        <f>IF($N16&lt;&gt;"", 'Daily Camera Trends'!$M$4, "")</f>
        <v>0.41469928087167107</v>
      </c>
      <c r="CQ16" s="9">
        <f>IF($Q16&lt;&gt;"", 'Daily Camera Trends'!$N$4, "")</f>
        <v>9.9175409927360722E-2</v>
      </c>
    </row>
    <row r="17" spans="1:95" ht="40.049999999999997" customHeight="1" x14ac:dyDescent="0.3">
      <c r="A17" s="126" t="str">
        <f t="shared" si="0"/>
        <v>Daily</v>
      </c>
      <c r="B17" s="259" t="s">
        <v>101</v>
      </c>
      <c r="C17" s="227">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3"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3"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0.41469928087167107</v>
      </c>
      <c r="U17" s="9">
        <f>IF(Q17&lt;&gt;"", 'Daily Camera Trends'!$N$4, "")</f>
        <v>9.9175409927360722E-2</v>
      </c>
      <c r="V17" s="168" t="s">
        <v>249</v>
      </c>
      <c r="Y17" s="51"/>
      <c r="CP17" s="9">
        <f>IF($N17&lt;&gt;"", 'Daily Camera Trends'!$M$4, "")</f>
        <v>0.41469928087167107</v>
      </c>
      <c r="CQ17" s="9">
        <f>IF($Q17&lt;&gt;"", 'Daily Camera Trends'!$N$4, "")</f>
        <v>9.9175409927360722E-2</v>
      </c>
    </row>
    <row r="18" spans="1:95" ht="40.049999999999997" customHeight="1" x14ac:dyDescent="0.3">
      <c r="A18" s="126" t="str">
        <f t="shared" si="0"/>
        <v>Daily</v>
      </c>
      <c r="B18" s="259" t="s">
        <v>101</v>
      </c>
      <c r="C18" s="227">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3"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3"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0.41469928087167107</v>
      </c>
      <c r="U18" s="9">
        <f>IF(Q18&lt;&gt;"", 'Daily Camera Trends'!$N$4, "")</f>
        <v>9.9175409927360722E-2</v>
      </c>
      <c r="V18" s="169" t="s">
        <v>275</v>
      </c>
      <c r="Y18" s="51"/>
      <c r="CP18" s="9">
        <f>IF($N18&lt;&gt;"", 'Daily Camera Trends'!$M$4, "")</f>
        <v>0.41469928087167107</v>
      </c>
      <c r="CQ18" s="9">
        <f>IF($Q18&lt;&gt;"", 'Daily Camera Trends'!$N$4, "")</f>
        <v>9.9175409927360722E-2</v>
      </c>
    </row>
    <row r="19" spans="1:95" ht="40.049999999999997" customHeight="1" x14ac:dyDescent="0.3">
      <c r="A19" s="126" t="str">
        <f t="shared" si="0"/>
        <v>Daily</v>
      </c>
      <c r="B19" s="259" t="s">
        <v>300</v>
      </c>
      <c r="C19" s="227">
        <v>46251</v>
      </c>
      <c r="D19" s="42">
        <v>25</v>
      </c>
      <c r="E19" s="43">
        <v>0.71805555555555556</v>
      </c>
      <c r="F19" s="91" t="s">
        <v>298</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3"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3"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0.41469928087167107</v>
      </c>
      <c r="U19" s="9">
        <f>IF(Q19&lt;&gt;"", 'Daily Camera Trends'!$N$4, "")</f>
        <v>9.9175409927360722E-2</v>
      </c>
      <c r="V19" s="166" t="s">
        <v>306</v>
      </c>
      <c r="W19" s="271" t="s">
        <v>305</v>
      </c>
      <c r="Y19" s="51"/>
      <c r="CP19" s="9">
        <f>IF($N19&lt;&gt;"", 'Daily Camera Trends'!$M$4, "")</f>
        <v>0.41469928087167107</v>
      </c>
      <c r="CQ19" s="9">
        <f>IF($Q19&lt;&gt;"", 'Daily Camera Trends'!$N$4, "")</f>
        <v>9.9175409927360722E-2</v>
      </c>
    </row>
    <row r="20" spans="1:95" ht="40.049999999999997" customHeight="1" x14ac:dyDescent="0.3">
      <c r="A20" s="126" t="str">
        <f t="shared" si="0"/>
        <v>Daily</v>
      </c>
      <c r="B20" s="259" t="s">
        <v>301</v>
      </c>
      <c r="C20" s="227">
        <v>46251</v>
      </c>
      <c r="D20" s="42">
        <v>25</v>
      </c>
      <c r="E20" s="43">
        <v>0.72569444444444442</v>
      </c>
      <c r="F20" s="91" t="s">
        <v>298</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3"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3"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0.41469928087167107</v>
      </c>
      <c r="U20" s="9">
        <f>IF(Q20&lt;&gt;"", 'Daily Camera Trends'!$N$4, "")</f>
        <v>9.9175409927360722E-2</v>
      </c>
      <c r="V20" s="166" t="s">
        <v>303</v>
      </c>
      <c r="W20" s="272"/>
      <c r="Y20" s="51"/>
      <c r="CP20" s="9">
        <f>IF($N20&lt;&gt;"", 'Daily Camera Trends'!$M$4, "")</f>
        <v>0.41469928087167107</v>
      </c>
      <c r="CQ20" s="9">
        <f>IF($Q20&lt;&gt;"", 'Daily Camera Trends'!$N$4, "")</f>
        <v>9.9175409927360722E-2</v>
      </c>
    </row>
    <row r="21" spans="1:95" ht="40.049999999999997" customHeight="1" x14ac:dyDescent="0.3">
      <c r="A21" s="126" t="str">
        <f t="shared" si="0"/>
        <v>Daily</v>
      </c>
      <c r="B21" s="259" t="s">
        <v>101</v>
      </c>
      <c r="C21" s="227">
        <v>46251</v>
      </c>
      <c r="D21" s="42">
        <v>25</v>
      </c>
      <c r="E21" s="43">
        <v>0.7319444444444444</v>
      </c>
      <c r="F21" s="91" t="s">
        <v>298</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3"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3"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0.41469928087167107</v>
      </c>
      <c r="U21" s="9">
        <f>IF(Q21&lt;&gt;"", 'Daily Camera Trends'!$N$4, "")</f>
        <v>9.9175409927360722E-2</v>
      </c>
      <c r="V21" s="166" t="s">
        <v>304</v>
      </c>
      <c r="W21" s="272"/>
      <c r="Y21" s="51"/>
      <c r="CP21" s="9">
        <f>IF($N21&lt;&gt;"", 'Daily Camera Trends'!$M$4, "")</f>
        <v>0.41469928087167107</v>
      </c>
      <c r="CQ21" s="9">
        <f>IF($Q21&lt;&gt;"", 'Daily Camera Trends'!$N$4, "")</f>
        <v>9.9175409927360722E-2</v>
      </c>
    </row>
    <row r="22" spans="1:95" ht="40.049999999999997" customHeight="1" x14ac:dyDescent="0.3">
      <c r="A22" s="126" t="str">
        <f t="shared" si="0"/>
        <v>Daily</v>
      </c>
      <c r="B22" s="259" t="s">
        <v>101</v>
      </c>
      <c r="C22" s="227">
        <v>46252</v>
      </c>
      <c r="D22" s="42">
        <v>25</v>
      </c>
      <c r="E22" s="43">
        <v>0.75416666666666665</v>
      </c>
      <c r="F22" s="91" t="s">
        <v>298</v>
      </c>
      <c r="G22" s="47">
        <v>1000</v>
      </c>
      <c r="H22" s="13">
        <f>IF(COUNTBLANK($A22:$E22)&gt;0, "", IFERROR(AVERAGEIFS(Log!$E:$E, Log!$A:$A, $A22, Log!$B:$B, $B22, Log!$C:$C, $C22),""))</f>
        <v>1852</v>
      </c>
      <c r="I22" s="48">
        <f t="shared" si="1"/>
        <v>1.8520000000000001</v>
      </c>
      <c r="J22" s="47">
        <f>IF(COUNTBLANK($A22:$E22)&gt;0, "", IFERROR(_xlfn.MAXIFS(Log!$E:$E, Log!$A:$A, $A22, Log!$B:$B, $B22, Log!$C:$C, $C22),""))</f>
        <v>2710</v>
      </c>
      <c r="K22" s="47">
        <f>IF(COUNTBLANK($A22:$E22)&gt;0, "", IFERROR(_xlfn.MINIFS(Log!$E:$E, Log!$A:$A, $A22, Log!$B:$B, $B22, Log!$C:$C, $C22),""))</f>
        <v>1004</v>
      </c>
      <c r="L22" s="203"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3"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f>IF(COUNTBLANK($A22:$E22)&gt;0, "", IFERROR(AVERAGEIFS(Log!$H:$H, Log!$A:$A, $A22, Log!$B:$B, $B22, Log!$C:$C, $C22),""))</f>
        <v>0.44992333333333334</v>
      </c>
      <c r="O22" s="9">
        <f>IF(COUNTBLANK($A22:$E22)&gt;0, "", IFERROR(_xlfn.MINIFS(Log!$F:$F, Log!$A:$A, $A22, Log!$B:$B, $B22, Log!$C:$C, $C22),""))</f>
        <v>0.232436</v>
      </c>
      <c r="P22" s="9">
        <f>IF(COUNTBLANK($A22:$E22)&gt;0, "", IFERROR(_xlfn.MAXIFS(Log!$F:$F, Log!$A:$A, $A22, Log!$B:$B, $B22, Log!$C:$C, $C22),""))</f>
        <v>0.69097900000000001</v>
      </c>
      <c r="Q22" s="9">
        <f>IF(COUNTBLANK($A22:$E22)&gt;0, "", IFERROR(AVERAGEIFS(Log!$I:$I, Log!$A:$A, $A22, Log!$B:$B, $B22, Log!$C:$C, $C22),""))</f>
        <v>0.10735644999999999</v>
      </c>
      <c r="R22" s="9">
        <f>IF(COUNTBLANK($A22:$E22)&gt;0, "", IFERROR(_xlfn.MINIFS(Log!$G:$G, Log!$A:$A, $A22, Log!$B:$B, $B22, Log!$C:$C, $C22),""))</f>
        <v>7.0449899999999996E-2</v>
      </c>
      <c r="S22" s="9">
        <f>IF(COUNTBLANK($A22:$E22)&gt;0, "", IFERROR(_xlfn.MAXIFS(Log!$G:$G, Log!$A:$A, $A22, Log!$B:$B, $B22, Log!$C:$C, $C22),""))</f>
        <v>0.13900999999999999</v>
      </c>
      <c r="T22" s="9">
        <f>IF($N22&lt;&gt;"", 'Daily Camera Trends'!$M$4, "")</f>
        <v>0.41469928087167107</v>
      </c>
      <c r="U22" s="9">
        <f>IF(Q22&lt;&gt;"", 'Daily Camera Trends'!$N$4, "")</f>
        <v>9.9175409927360722E-2</v>
      </c>
      <c r="V22" s="166" t="s">
        <v>307</v>
      </c>
      <c r="Y22" s="51"/>
      <c r="CP22" s="9">
        <f>IF($N22&lt;&gt;"", 'Daily Camera Trends'!$M$4, "")</f>
        <v>0.41469928087167107</v>
      </c>
      <c r="CQ22" s="9">
        <f>IF($Q22&lt;&gt;"", 'Daily Camera Trends'!$N$4, "")</f>
        <v>9.9175409927360722E-2</v>
      </c>
    </row>
    <row r="23" spans="1:95" ht="40.049999999999997" customHeight="1" x14ac:dyDescent="0.3">
      <c r="A23" s="126" t="str">
        <f t="shared" si="0"/>
        <v>Daily</v>
      </c>
      <c r="B23" s="259" t="s">
        <v>101</v>
      </c>
      <c r="C23" s="227">
        <v>46253</v>
      </c>
      <c r="D23" s="42">
        <v>24.5</v>
      </c>
      <c r="E23" s="43">
        <v>0.85138888888888886</v>
      </c>
      <c r="F23" s="91" t="s">
        <v>182</v>
      </c>
      <c r="G23" s="47">
        <v>1000</v>
      </c>
      <c r="H23" s="13">
        <f>IF(COUNTBLANK($A23:$E23)&gt;0, "", IFERROR(AVERAGEIFS(Log!$E:$E, Log!$A:$A, $A23, Log!$B:$B, $B23, Log!$C:$C, $C23),""))</f>
        <v>1711.3888888888889</v>
      </c>
      <c r="I23" s="48">
        <f t="shared" si="1"/>
        <v>1.7113888888888888</v>
      </c>
      <c r="J23" s="47">
        <f>IF(COUNTBLANK($A23:$E23)&gt;0, "", IFERROR(_xlfn.MAXIFS(Log!$E:$E, Log!$A:$A, $A23, Log!$B:$B, $B23, Log!$C:$C, $C23),""))</f>
        <v>2728</v>
      </c>
      <c r="K23" s="47">
        <f>IF(COUNTBLANK($A23:$E23)&gt;0, "", IFERROR(_xlfn.MINIFS(Log!$E:$E, Log!$A:$A, $A23, Log!$B:$B, $B23, Log!$C:$C, $C23),""))</f>
        <v>1001</v>
      </c>
      <c r="L23" s="203"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3"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f>IF(COUNTBLANK($A23:$E23)&gt;0, "", IFERROR(AVERAGEIFS(Log!$H:$H, Log!$A:$A, $A23, Log!$B:$B, $B23, Log!$C:$C, $C23),""))</f>
        <v>0.54501322222222215</v>
      </c>
      <c r="O23" s="9">
        <f>IF(COUNTBLANK($A23:$E23)&gt;0, "", IFERROR(_xlfn.MINIFS(Log!$F:$F, Log!$A:$A, $A23, Log!$B:$B, $B23, Log!$C:$C, $C23),""))</f>
        <v>0.25521100000000002</v>
      </c>
      <c r="P23" s="9">
        <f>IF(COUNTBLANK($A23:$E23)&gt;0, "", IFERROR(_xlfn.MAXIFS(Log!$F:$F, Log!$A:$A, $A23, Log!$B:$B, $B23, Log!$C:$C, $C23),""))</f>
        <v>0.97526599999999997</v>
      </c>
      <c r="Q23" s="9">
        <f>IF(COUNTBLANK($A23:$E23)&gt;0, "", IFERROR(AVERAGEIFS(Log!$I:$I, Log!$A:$A, $A23, Log!$B:$B, $B23, Log!$C:$C, $C23),""))</f>
        <v>0.1279518555555556</v>
      </c>
      <c r="R23" s="9">
        <f>IF(COUNTBLANK($A23:$E23)&gt;0, "", IFERROR(_xlfn.MINIFS(Log!$G:$G, Log!$A:$A, $A23, Log!$B:$B, $B23, Log!$C:$C, $C23),""))</f>
        <v>8.3699099999999999E-2</v>
      </c>
      <c r="S23" s="9">
        <f>IF(COUNTBLANK($A23:$E23)&gt;0, "", IFERROR(_xlfn.MAXIFS(Log!$G:$G, Log!$A:$A, $A23, Log!$B:$B, $B23, Log!$C:$C, $C23),""))</f>
        <v>0.21911</v>
      </c>
      <c r="T23" s="9">
        <f>IF($N23&lt;&gt;"", 'Daily Camera Trends'!$M$4, "")</f>
        <v>0.41469928087167107</v>
      </c>
      <c r="U23" s="9">
        <f>IF(Q23&lt;&gt;"", 'Daily Camera Trends'!$N$4, "")</f>
        <v>9.9175409927360722E-2</v>
      </c>
      <c r="V23" s="166" t="s">
        <v>313</v>
      </c>
      <c r="Y23" s="51"/>
      <c r="CP23" s="9">
        <f>IF($N23&lt;&gt;"", 'Daily Camera Trends'!$M$4, "")</f>
        <v>0.41469928087167107</v>
      </c>
      <c r="CQ23" s="9">
        <f>IF($Q23&lt;&gt;"", 'Daily Camera Trends'!$N$4, "")</f>
        <v>9.9175409927360722E-2</v>
      </c>
    </row>
    <row r="24" spans="1:95" ht="40.049999999999997" customHeight="1" x14ac:dyDescent="0.3">
      <c r="A24" s="126" t="str">
        <f t="shared" si="0"/>
        <v>Daily</v>
      </c>
      <c r="B24" s="259" t="s">
        <v>101</v>
      </c>
      <c r="C24" s="227">
        <v>46254</v>
      </c>
      <c r="D24" s="42">
        <v>24.5</v>
      </c>
      <c r="E24" s="43">
        <v>0.78680555555555554</v>
      </c>
      <c r="F24" s="91" t="s">
        <v>270</v>
      </c>
      <c r="G24" s="47">
        <v>1000</v>
      </c>
      <c r="H24" s="13">
        <f>IF(COUNTBLANK($A24:$E24)&gt;0, "", IFERROR(AVERAGEIFS(Log!$E:$E, Log!$A:$A, $A24, Log!$B:$B, $B24, Log!$C:$C, $C24),""))</f>
        <v>1787</v>
      </c>
      <c r="I24" s="48">
        <f t="shared" si="1"/>
        <v>1.7869999999999999</v>
      </c>
      <c r="J24" s="47">
        <f>IF(COUNTBLANK($A24:$E24)&gt;0, "", IFERROR(_xlfn.MAXIFS(Log!$E:$E, Log!$A:$A, $A24, Log!$B:$B, $B24, Log!$C:$C, $C24),""))</f>
        <v>3016</v>
      </c>
      <c r="K24" s="47">
        <f>IF(COUNTBLANK($A24:$E24)&gt;0, "", IFERROR(_xlfn.MINIFS(Log!$E:$E, Log!$A:$A, $A24, Log!$B:$B, $B24, Log!$C:$C, $C24),""))</f>
        <v>1005</v>
      </c>
      <c r="L24" s="203"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3"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f>IF(COUNTBLANK($A24:$E24)&gt;0, "", IFERROR(AVERAGEIFS(Log!$H:$H, Log!$A:$A, $A24, Log!$B:$B, $B24, Log!$C:$C, $C24),""))</f>
        <v>0.44261372222222223</v>
      </c>
      <c r="O24" s="9">
        <f>IF(COUNTBLANK($A24:$E24)&gt;0, "", IFERROR(_xlfn.MINIFS(Log!$F:$F, Log!$A:$A, $A24, Log!$B:$B, $B24, Log!$C:$C, $C24),""))</f>
        <v>0.26846599999999998</v>
      </c>
      <c r="P24" s="9">
        <f>IF(COUNTBLANK($A24:$E24)&gt;0, "", IFERROR(_xlfn.MAXIFS(Log!$F:$F, Log!$A:$A, $A24, Log!$B:$B, $B24, Log!$C:$C, $C24),""))</f>
        <v>0.60257000000000005</v>
      </c>
      <c r="Q24" s="9">
        <f>IF(COUNTBLANK($A24:$E24)&gt;0, "", IFERROR(AVERAGEIFS(Log!$I:$I, Log!$A:$A, $A24, Log!$B:$B, $B24, Log!$C:$C, $C24),""))</f>
        <v>0.10628490555555553</v>
      </c>
      <c r="R24" s="9">
        <f>IF(COUNTBLANK($A24:$E24)&gt;0, "", IFERROR(_xlfn.MINIFS(Log!$G:$G, Log!$A:$A, $A24, Log!$B:$B, $B24, Log!$C:$C, $C24),""))</f>
        <v>7.6168700000000006E-2</v>
      </c>
      <c r="S24" s="9">
        <f>IF(COUNTBLANK($A24:$E24)&gt;0, "", IFERROR(_xlfn.MAXIFS(Log!$G:$G, Log!$A:$A, $A24, Log!$B:$B, $B24, Log!$C:$C, $C24),""))</f>
        <v>0.13422300000000001</v>
      </c>
      <c r="T24" s="9">
        <f>IF($N24&lt;&gt;"", 'Daily Camera Trends'!$M$4, "")</f>
        <v>0.41469928087167107</v>
      </c>
      <c r="U24" s="9">
        <f>IF(Q24&lt;&gt;"", 'Daily Camera Trends'!$N$4, "")</f>
        <v>9.9175409927360722E-2</v>
      </c>
      <c r="V24" s="166" t="s">
        <v>314</v>
      </c>
      <c r="CP24" s="9">
        <f>IF($N24&lt;&gt;"", 'Daily Camera Trends'!$M$4, "")</f>
        <v>0.41469928087167107</v>
      </c>
      <c r="CQ24" s="9">
        <f>IF($Q24&lt;&gt;"", 'Daily Camera Trends'!$N$4, "")</f>
        <v>9.9175409927360722E-2</v>
      </c>
    </row>
    <row r="25" spans="1:95" ht="40.049999999999997" customHeight="1" x14ac:dyDescent="0.3">
      <c r="A25" s="126" t="str">
        <f t="shared" si="0"/>
        <v/>
      </c>
      <c r="B25" s="259" t="s">
        <v>101</v>
      </c>
      <c r="C25" s="227"/>
      <c r="D25" s="42"/>
      <c r="E25" s="43">
        <v>0.82986111111111116</v>
      </c>
      <c r="F25" s="91" t="s">
        <v>270</v>
      </c>
      <c r="G25" s="47">
        <v>1000</v>
      </c>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3"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3"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CP25" s="9" t="str">
        <f>IF($N25&lt;&gt;"", 'Daily Camera Trends'!$M$4, "")</f>
        <v/>
      </c>
      <c r="CQ25" s="9" t="str">
        <f>IF($Q25&lt;&gt;"", 'Daily Camera Trends'!$N$4, "")</f>
        <v/>
      </c>
    </row>
    <row r="26" spans="1:95" ht="40.049999999999997" customHeight="1" x14ac:dyDescent="0.3">
      <c r="A26" s="126" t="str">
        <f t="shared" si="0"/>
        <v/>
      </c>
      <c r="B26" s="259" t="s">
        <v>101</v>
      </c>
      <c r="C26" s="227"/>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3"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3"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259" t="s">
        <v>101</v>
      </c>
      <c r="C27" s="227"/>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3"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3"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259" t="s">
        <v>101</v>
      </c>
      <c r="C28" s="227"/>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3"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3"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259" t="s">
        <v>101</v>
      </c>
      <c r="C29" s="227"/>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3"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3"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259" t="s">
        <v>101</v>
      </c>
      <c r="C30" s="227"/>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3"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3"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259" t="s">
        <v>101</v>
      </c>
      <c r="C31" s="227"/>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3"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3"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259" t="s">
        <v>101</v>
      </c>
      <c r="C32" s="227"/>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3"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3"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259" t="s">
        <v>101</v>
      </c>
      <c r="C33" s="227"/>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3"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3"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259" t="s">
        <v>101</v>
      </c>
      <c r="C34" s="227"/>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3"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3"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259" t="s">
        <v>101</v>
      </c>
      <c r="C35" s="227"/>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3"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3"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259" t="s">
        <v>101</v>
      </c>
      <c r="C36" s="227"/>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3"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3"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259" t="s">
        <v>101</v>
      </c>
      <c r="C37" s="227"/>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3"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3"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259" t="s">
        <v>101</v>
      </c>
      <c r="C38" s="227"/>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3"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3"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259" t="s">
        <v>101</v>
      </c>
      <c r="C39" s="227"/>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3"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3"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259" t="s">
        <v>101</v>
      </c>
      <c r="C40" s="227"/>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3"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3"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259" t="s">
        <v>101</v>
      </c>
      <c r="C41" s="227"/>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3"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3"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259" t="s">
        <v>101</v>
      </c>
      <c r="C42" s="227"/>
      <c r="D42" s="42"/>
      <c r="E42" s="43"/>
      <c r="G42" s="47"/>
      <c r="H42" s="13" t="str">
        <f>IF(COUNTBLANK($A42:$E42)&gt;0, "", IFERROR(AVERAGEIFS(Log!$E:$E, Log!$A:$A, $A42, Log!$B:$B, $B42, Log!$C:$C, $C42),""))</f>
        <v/>
      </c>
      <c r="I42" s="48" t="str">
        <f t="shared" si="1"/>
        <v/>
      </c>
      <c r="J42" s="47"/>
      <c r="K42" s="47"/>
      <c r="L42" s="203"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3"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259" t="s">
        <v>101</v>
      </c>
      <c r="C43" s="227"/>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3" t="str" cm="1">
        <f t="array" ref="L43">_xlfn.UNIQUE(_xlfn._xlws.FILTER($K14:$K41, ($I14:$I41=$I43) * ($F14:$F41=$F43)))</f>
        <v/>
      </c>
      <c r="M43" s="203"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259" t="s">
        <v>101</v>
      </c>
      <c r="C44" s="227"/>
      <c r="D44" s="42"/>
      <c r="E44" s="43"/>
      <c r="G44" s="47"/>
      <c r="H44" s="13" t="str">
        <f>IF(COUNTBLANK($A44:$E44)&gt;0, "", IFERROR(AVERAGEIFS(Log!$E:$E, Log!$A:$A, $A44, Log!$B:$B, $B44, Log!$C:$C, $C44),""))</f>
        <v/>
      </c>
      <c r="I44" s="48" t="str">
        <f t="shared" si="1"/>
        <v/>
      </c>
      <c r="J44" s="47">
        <f t="shared" si="3"/>
        <v>0</v>
      </c>
      <c r="K44" s="47">
        <f t="shared" si="4"/>
        <v>0</v>
      </c>
      <c r="L44" s="203" t="e" cm="1" vm="2">
        <f t="array" aca="1" ref="L44" ca="1">_xlfn.UNIQUE(_xlfn._xlws.FILTER($K15:$K42, ($I15:$I42=$I44) * ($F15:$F42=$F44)))</f>
        <v>#VALUE!</v>
      </c>
      <c r="M44" s="203"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259" t="s">
        <v>101</v>
      </c>
      <c r="C45" s="227"/>
      <c r="D45" s="42"/>
      <c r="E45" s="43"/>
      <c r="G45" s="47"/>
      <c r="H45" s="13" t="str">
        <f>IF(COUNTBLANK($A45:$E45)&gt;0, "", IFERROR(AVERAGEIFS(Log!$E:$E, Log!$A:$A, $A45, Log!$B:$B, $B45, Log!$C:$C, $C45),""))</f>
        <v/>
      </c>
      <c r="I45" s="48" t="str">
        <f t="shared" si="1"/>
        <v/>
      </c>
      <c r="J45" s="47">
        <f t="shared" si="3"/>
        <v>0</v>
      </c>
      <c r="K45" s="47">
        <f t="shared" si="4"/>
        <v>0</v>
      </c>
      <c r="L45" s="203" t="e" cm="1" vm="3">
        <f t="array" aca="1" ref="L45" ca="1">_xlfn.UNIQUE(_xlfn._xlws.FILTER($K16:$K43, ($I16:$I43=$I45) * ($F16:$F43=$F45)))</f>
        <v>#VALUE!</v>
      </c>
      <c r="M45" s="203"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259" t="s">
        <v>101</v>
      </c>
      <c r="C46" s="227"/>
      <c r="D46" s="42"/>
      <c r="E46" s="43"/>
      <c r="G46" s="47"/>
      <c r="H46" s="13" t="str">
        <f>IF(COUNTBLANK($A46:$E46)&gt;0, "", IFERROR(AVERAGEIFS(Log!$E:$E, Log!$A:$A, $A46, Log!$B:$B, $B46, Log!$C:$C, $C46),""))</f>
        <v/>
      </c>
      <c r="I46" s="48" t="str">
        <f t="shared" si="1"/>
        <v/>
      </c>
      <c r="J46" s="47">
        <f t="shared" si="3"/>
        <v>0</v>
      </c>
      <c r="K46" s="47">
        <f t="shared" si="4"/>
        <v>0</v>
      </c>
      <c r="L46" s="203" t="e" cm="1" vm="3">
        <f t="array" aca="1" ref="L46" ca="1">_xlfn.UNIQUE(_xlfn._xlws.FILTER($K17:$K44, ($I17:$I44=$I46) * ($F17:$F44=$F46)))</f>
        <v>#VALUE!</v>
      </c>
      <c r="M46" s="203"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259" t="s">
        <v>101</v>
      </c>
      <c r="C47" s="227"/>
      <c r="D47" s="42"/>
      <c r="E47" s="43"/>
      <c r="G47" s="47"/>
      <c r="H47" s="13" t="str">
        <f>IF(COUNTBLANK($A47:$E47)&gt;0, "", IFERROR(AVERAGEIFS(Log!$E:$E, Log!$A:$A, $A47, Log!$B:$B, $B47, Log!$C:$C, $C47),""))</f>
        <v/>
      </c>
      <c r="I47" s="48" t="str">
        <f t="shared" si="1"/>
        <v/>
      </c>
      <c r="J47" s="47">
        <f t="shared" si="3"/>
        <v>0</v>
      </c>
      <c r="K47" s="47">
        <f t="shared" si="4"/>
        <v>0</v>
      </c>
      <c r="L47" s="203" t="e" cm="1" vm="3">
        <f t="array" aca="1" ref="L47" ca="1">_xlfn.UNIQUE(_xlfn._xlws.FILTER($K18:$K45, ($I18:$I45=$I47) * ($F18:$F45=$F47)))</f>
        <v>#VALUE!</v>
      </c>
      <c r="M47" s="203"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259" t="s">
        <v>101</v>
      </c>
      <c r="C48" s="227"/>
      <c r="D48" s="42"/>
      <c r="E48" s="43"/>
      <c r="G48" s="47"/>
      <c r="H48" s="13" t="str">
        <f>IF(COUNTBLANK($A48:$E48)&gt;0, "", IFERROR(AVERAGEIFS(Log!$E:$E, Log!$A:$A, $A48, Log!$B:$B, $B48, Log!$C:$C, $C48),""))</f>
        <v/>
      </c>
      <c r="I48" s="48" t="str">
        <f t="shared" si="1"/>
        <v/>
      </c>
      <c r="J48" s="47">
        <f t="shared" si="3"/>
        <v>0</v>
      </c>
      <c r="K48" s="47">
        <f t="shared" si="4"/>
        <v>0</v>
      </c>
      <c r="L48" s="203" t="e" cm="1" vm="3">
        <f t="array" aca="1" ref="L48" ca="1">_xlfn.UNIQUE(_xlfn._xlws.FILTER($K19:$K46, ($I19:$I46=$I48) * ($F19:$F46=$F48)))</f>
        <v>#VALUE!</v>
      </c>
      <c r="M48" s="203"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259" t="s">
        <v>101</v>
      </c>
      <c r="C49" s="227"/>
      <c r="D49" s="42"/>
      <c r="E49" s="43"/>
      <c r="G49" s="47"/>
      <c r="H49" s="13" t="str">
        <f>IF(COUNTBLANK($A49:$E49)&gt;0, "", IFERROR(AVERAGEIFS(Log!$E:$E, Log!$A:$A, $A49, Log!$B:$B, $B49, Log!$C:$C, $C49),""))</f>
        <v/>
      </c>
      <c r="I49" s="48" t="str">
        <f t="shared" si="1"/>
        <v/>
      </c>
      <c r="J49" s="47">
        <f t="shared" si="3"/>
        <v>0</v>
      </c>
      <c r="K49" s="47">
        <f t="shared" si="4"/>
        <v>0</v>
      </c>
      <c r="L49" s="203" t="str" cm="1">
        <f t="array" ref="L49:L51">_xlfn.UNIQUE(_xlfn._xlws.FILTER($K20:$K47, ($I20:$I47=$I49) * ($F20:$F47=$F49)))</f>
        <v/>
      </c>
      <c r="M49" s="203"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259" t="s">
        <v>101</v>
      </c>
      <c r="C50" s="227"/>
      <c r="D50" s="42"/>
      <c r="E50" s="43"/>
      <c r="G50" s="47"/>
      <c r="H50" s="13" t="str">
        <f>IF(COUNTBLANK($A50:$E50)&gt;0, "", IFERROR(AVERAGEIFS(Log!$E:$E, Log!$A:$A, $A50, Log!$B:$B, $B50, Log!$C:$C, $C50),""))</f>
        <v/>
      </c>
      <c r="I50" s="48" t="str">
        <f t="shared" si="1"/>
        <v/>
      </c>
      <c r="J50" s="47"/>
      <c r="K50" s="47"/>
      <c r="L50" s="203">
        <v>0</v>
      </c>
      <c r="M50" s="203"/>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259" t="s">
        <v>101</v>
      </c>
      <c r="C51" s="227"/>
      <c r="D51" s="42"/>
      <c r="E51" s="43"/>
      <c r="G51" s="47"/>
      <c r="H51" s="13" t="str">
        <f>IF(COUNTBLANK($A51:$E51)&gt;0, "", IFERROR(AVERAGEIFS(Log!$E:$E, Log!$A:$A, $A51, Log!$B:$B, $B51, Log!$C:$C, $C51),""))</f>
        <v/>
      </c>
      <c r="I51" s="48" t="str">
        <f t="shared" si="1"/>
        <v/>
      </c>
      <c r="J51" s="47"/>
      <c r="K51" s="47"/>
      <c r="L51" s="203">
        <v>0</v>
      </c>
      <c r="M51" s="203"/>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259" t="s">
        <v>101</v>
      </c>
      <c r="C52" s="227"/>
      <c r="D52" s="42"/>
      <c r="E52" s="43"/>
      <c r="G52" s="47"/>
      <c r="H52" s="13" t="str">
        <f>IF(COUNTBLANK($A52:$E52)&gt;0, "", IFERROR(AVERAGEIFS(Log!$E:$E, Log!$A:$A, $A52, Log!$B:$B, $B52, Log!$C:$C, $C52),""))</f>
        <v/>
      </c>
      <c r="I52" s="48" t="str">
        <f t="shared" si="1"/>
        <v/>
      </c>
      <c r="J52" s="47"/>
      <c r="K52" s="47"/>
      <c r="L52" s="203"/>
      <c r="M52" s="203"/>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259" t="s">
        <v>101</v>
      </c>
      <c r="C53" s="227"/>
      <c r="D53" s="42"/>
      <c r="E53" s="43"/>
      <c r="G53" s="47"/>
      <c r="H53" s="13" t="str">
        <f>IF(COUNTBLANK($A53:$E53)&gt;0, "", IFERROR(AVERAGEIFS(Log!$E:$E, Log!$A:$A, $A53, Log!$B:$B, $B53, Log!$C:$C, $C53),""))</f>
        <v/>
      </c>
      <c r="I53" s="48" t="str">
        <f t="shared" si="1"/>
        <v/>
      </c>
      <c r="J53" s="47"/>
      <c r="K53" s="47"/>
      <c r="L53" s="203"/>
      <c r="M53" s="203"/>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259" t="s">
        <v>101</v>
      </c>
      <c r="C54" s="227"/>
      <c r="D54" s="42"/>
      <c r="E54" s="43"/>
      <c r="G54" s="47"/>
      <c r="H54" s="13" t="str">
        <f>IF(COUNTBLANK($A54:$E54)&gt;0, "", IFERROR(AVERAGEIFS(Log!$E:$E, Log!$A:$A, $A54, Log!$B:$B, $B54, Log!$C:$C, $C54),""))</f>
        <v/>
      </c>
      <c r="I54" s="48" t="str">
        <f t="shared" si="1"/>
        <v/>
      </c>
      <c r="J54" s="47"/>
      <c r="K54" s="47"/>
      <c r="L54" s="203"/>
      <c r="M54" s="203"/>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259" t="s">
        <v>101</v>
      </c>
      <c r="C55" s="227"/>
      <c r="D55" s="42"/>
      <c r="E55" s="43"/>
      <c r="G55" s="47"/>
      <c r="H55" s="13" t="str">
        <f>IF(COUNTBLANK($A55:$E55)&gt;0, "", IFERROR(AVERAGEIFS(Log!$E:$E, Log!$A:$A, $A55, Log!$B:$B, $B55, Log!$C:$C, $C55),""))</f>
        <v/>
      </c>
      <c r="I55" s="48" t="str">
        <f t="shared" si="1"/>
        <v/>
      </c>
      <c r="J55" s="47"/>
      <c r="K55" s="47"/>
      <c r="L55" s="203"/>
      <c r="M55" s="203"/>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259" t="s">
        <v>101</v>
      </c>
      <c r="H56" s="13" t="str">
        <f>IF(COUNTBLANK($A56:$E56)&gt;0, "", IFERROR(AVERAGEIFS(Log!$E:$E, Log!$A:$A, $A56, Log!$B:$B, $B56, Log!$C:$C, $C56),""))</f>
        <v/>
      </c>
      <c r="I56" s="48" t="str">
        <f t="shared" si="1"/>
        <v/>
      </c>
      <c r="J56" s="47"/>
      <c r="K56" s="47"/>
      <c r="L56" s="203"/>
      <c r="M56" s="203"/>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259" t="s">
        <v>101</v>
      </c>
      <c r="H57" s="13" t="str">
        <f>IF(COUNTBLANK($A57:$E57)&gt;0, "", IFERROR(AVERAGEIFS(Log!$E:$E, Log!$A:$A, $A57, Log!$B:$B, $B57, Log!$C:$C, $C57),""))</f>
        <v/>
      </c>
      <c r="I57" s="48" t="str">
        <f t="shared" si="1"/>
        <v/>
      </c>
      <c r="J57" s="47"/>
      <c r="K57" s="47"/>
      <c r="L57" s="203"/>
      <c r="M57" s="203"/>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259" t="s">
        <v>101</v>
      </c>
      <c r="H58" s="13" t="str">
        <f>IF(COUNTBLANK($A58:$E58)&gt;0, "", IFERROR(AVERAGEIFS(Log!$E:$E, Log!$A:$A, $A58, Log!$B:$B, $B58, Log!$C:$C, $C58),""))</f>
        <v/>
      </c>
      <c r="I58" s="48" t="str">
        <f t="shared" si="1"/>
        <v/>
      </c>
      <c r="J58" s="47"/>
      <c r="K58" s="47"/>
      <c r="L58" s="203"/>
      <c r="M58" s="203"/>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259" t="s">
        <v>101</v>
      </c>
      <c r="H59" s="13" t="str">
        <f>IF(COUNTBLANK($A59:$E59)&gt;0, "", IFERROR(AVERAGEIFS(Log!$E:$E, Log!$A:$A, $A59, Log!$B:$B, $B59, Log!$C:$C, $C59),""))</f>
        <v/>
      </c>
      <c r="I59" s="48" t="str">
        <f t="shared" si="1"/>
        <v/>
      </c>
      <c r="J59" s="47"/>
      <c r="K59" s="47"/>
      <c r="L59" s="203"/>
      <c r="M59" s="203"/>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259" t="s">
        <v>101</v>
      </c>
      <c r="H60" s="13" t="str">
        <f>IF(COUNTBLANK($A60:$E60)&gt;0, "", IFERROR(AVERAGEIFS(Log!$E:$E, Log!$A:$A, $A60, Log!$B:$B, $B60, Log!$C:$C, $C60),""))</f>
        <v/>
      </c>
      <c r="I60" s="48" t="str">
        <f t="shared" si="1"/>
        <v/>
      </c>
      <c r="J60" s="47"/>
      <c r="K60" s="47"/>
      <c r="L60" s="203"/>
      <c r="M60" s="203"/>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259" t="s">
        <v>101</v>
      </c>
      <c r="H61" s="13" t="str">
        <f>IF(COUNTBLANK($A61:$E61)&gt;0, "", IFERROR(AVERAGEIFS(Log!$E:$E, Log!$A:$A, $A61, Log!$B:$B, $B61, Log!$C:$C, $C61),""))</f>
        <v/>
      </c>
      <c r="I61" s="48" t="str">
        <f t="shared" si="1"/>
        <v/>
      </c>
      <c r="J61" s="47"/>
      <c r="K61" s="47"/>
      <c r="L61" s="203"/>
      <c r="M61" s="203"/>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259" t="s">
        <v>101</v>
      </c>
      <c r="H62" s="13" t="str">
        <f>IF(COUNTBLANK($A62:$E62)&gt;0, "", IFERROR(AVERAGEIFS(Log!$E:$E, Log!$A:$A, $A62, Log!$B:$B, $B62, Log!$C:$C, $C62),""))</f>
        <v/>
      </c>
      <c r="I62" s="48" t="str">
        <f t="shared" si="1"/>
        <v/>
      </c>
      <c r="J62" s="47"/>
      <c r="K62" s="47"/>
      <c r="L62" s="203"/>
      <c r="M62" s="203"/>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259" t="s">
        <v>101</v>
      </c>
      <c r="H63" s="13" t="str">
        <f>IF(COUNTBLANK($A63:$E63)&gt;0, "", IFERROR(AVERAGEIFS(Log!$E:$E, Log!$A:$A, $A63, Log!$B:$B, $B63, Log!$C:$C, $C63),""))</f>
        <v/>
      </c>
      <c r="I63" s="48" t="str">
        <f t="shared" si="1"/>
        <v/>
      </c>
      <c r="J63" s="47"/>
      <c r="K63" s="47"/>
      <c r="L63" s="203"/>
      <c r="M63" s="203"/>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259" t="s">
        <v>101</v>
      </c>
      <c r="H64" s="13" t="str">
        <f>IF(COUNTBLANK($A64:$E64)&gt;0, "", IFERROR(AVERAGEIFS(Log!$E:$E, Log!$A:$A, $A64, Log!$B:$B, $B64, Log!$C:$C, $C64),""))</f>
        <v/>
      </c>
      <c r="I64" s="48" t="str">
        <f t="shared" si="1"/>
        <v/>
      </c>
      <c r="J64" s="47"/>
      <c r="K64" s="47"/>
      <c r="L64" s="203"/>
      <c r="M64" s="203"/>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259" t="s">
        <v>101</v>
      </c>
      <c r="H65" s="13" t="str">
        <f>IF(COUNTBLANK($A65:$E65)&gt;0, "", IFERROR(AVERAGEIFS(Log!$E:$E, Log!$A:$A, $A65, Log!$B:$B, $B65, Log!$C:$C, $C65),""))</f>
        <v/>
      </c>
      <c r="I65" s="48" t="str">
        <f t="shared" si="1"/>
        <v/>
      </c>
      <c r="J65" s="47"/>
      <c r="K65" s="47"/>
      <c r="L65" s="203"/>
      <c r="M65" s="203"/>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259" t="s">
        <v>101</v>
      </c>
      <c r="H66" s="13" t="str">
        <f>IF(COUNTBLANK($A66:$E66)&gt;0, "", IFERROR(AVERAGEIFS(Log!$E:$E, Log!$A:$A, $A66, Log!$B:$B, $B66, Log!$C:$C, $C66),""))</f>
        <v/>
      </c>
      <c r="I66" s="48" t="str">
        <f t="shared" ref="I66:I129" si="5">IF(AND($H66&lt;&gt;"", $G66&lt;&gt;""), $H66/$G66, "")</f>
        <v/>
      </c>
      <c r="J66" s="47"/>
      <c r="K66" s="47"/>
      <c r="L66" s="203"/>
      <c r="M66" s="203"/>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259" t="s">
        <v>101</v>
      </c>
      <c r="H67" s="13" t="str">
        <f>IF(COUNTBLANK($A67:$E67)&gt;0, "", IFERROR(AVERAGEIFS(Log!$E:$E, Log!$A:$A, $A67, Log!$B:$B, $B67, Log!$C:$C, $C67),""))</f>
        <v/>
      </c>
      <c r="I67" s="48" t="str">
        <f t="shared" si="5"/>
        <v/>
      </c>
      <c r="J67" s="47"/>
      <c r="K67" s="47"/>
      <c r="L67" s="203"/>
      <c r="M67" s="203"/>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259" t="s">
        <v>101</v>
      </c>
      <c r="H68" s="13" t="str">
        <f>IF(COUNTBLANK($A68:$E68)&gt;0, "", IFERROR(AVERAGEIFS(Log!$E:$E, Log!$A:$A, $A68, Log!$B:$B, $B68, Log!$C:$C, $C68),""))</f>
        <v/>
      </c>
      <c r="I68" s="48" t="str">
        <f t="shared" si="5"/>
        <v/>
      </c>
      <c r="J68" s="47"/>
      <c r="K68" s="47"/>
      <c r="L68" s="203"/>
      <c r="M68" s="203"/>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259" t="s">
        <v>101</v>
      </c>
      <c r="H69" s="13" t="str">
        <f>IF(COUNTBLANK($A69:$E69)&gt;0, "", IFERROR(AVERAGEIFS(Log!$E:$E, Log!$A:$A, $A69, Log!$B:$B, $B69, Log!$C:$C, $C69),""))</f>
        <v/>
      </c>
      <c r="I69" s="48" t="str">
        <f t="shared" si="5"/>
        <v/>
      </c>
      <c r="J69" s="47"/>
      <c r="K69" s="47"/>
      <c r="L69" s="203"/>
      <c r="M69" s="203"/>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259" t="s">
        <v>101</v>
      </c>
      <c r="H70" s="13" t="str">
        <f>IF(COUNTBLANK($A70:$E70)&gt;0, "", IFERROR(AVERAGEIFS(Log!$E:$E, Log!$A:$A, $A70, Log!$B:$B, $B70, Log!$C:$C, $C70),""))</f>
        <v/>
      </c>
      <c r="I70" s="48" t="str">
        <f t="shared" si="5"/>
        <v/>
      </c>
      <c r="J70" s="47"/>
      <c r="K70" s="47"/>
      <c r="L70" s="203"/>
      <c r="M70" s="203"/>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259" t="s">
        <v>101</v>
      </c>
      <c r="H71" s="13" t="str">
        <f>IF(COUNTBLANK($A71:$E71)&gt;0, "", IFERROR(AVERAGEIFS(Log!$E:$E, Log!$A:$A, $A71, Log!$B:$B, $B71, Log!$C:$C, $C71),""))</f>
        <v/>
      </c>
      <c r="I71" s="48" t="str">
        <f t="shared" si="5"/>
        <v/>
      </c>
      <c r="J71" s="47"/>
      <c r="K71" s="47"/>
      <c r="L71" s="203"/>
      <c r="M71" s="203"/>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259" t="s">
        <v>101</v>
      </c>
      <c r="H72" s="13" t="str">
        <f>IF(COUNTBLANK($A72:$E72)&gt;0, "", IFERROR(AVERAGEIFS(Log!$E:$E, Log!$A:$A, $A72, Log!$B:$B, $B72, Log!$C:$C, $C72),""))</f>
        <v/>
      </c>
      <c r="I72" s="48" t="str">
        <f t="shared" si="5"/>
        <v/>
      </c>
      <c r="J72" s="47"/>
      <c r="K72" s="47"/>
      <c r="L72" s="203"/>
      <c r="M72" s="203"/>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259" t="s">
        <v>101</v>
      </c>
      <c r="H73" s="13" t="str">
        <f>IF(COUNTBLANK($A73:$E73)&gt;0, "", IFERROR(AVERAGEIFS(Log!$E:$E, Log!$A:$A, $A73, Log!$B:$B, $B73, Log!$C:$C, $C73),""))</f>
        <v/>
      </c>
      <c r="I73" s="48" t="str">
        <f t="shared" si="5"/>
        <v/>
      </c>
      <c r="J73" s="47"/>
      <c r="K73" s="47"/>
      <c r="L73" s="203"/>
      <c r="M73" s="203"/>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259" t="s">
        <v>101</v>
      </c>
      <c r="H74" s="13" t="str">
        <f>IF(COUNTBLANK($A74:$E74)&gt;0, "", IFERROR(AVERAGEIFS(Log!$E:$E, Log!$A:$A, $A74, Log!$B:$B, $B74, Log!$C:$C, $C74),""))</f>
        <v/>
      </c>
      <c r="I74" s="48" t="str">
        <f t="shared" si="5"/>
        <v/>
      </c>
      <c r="J74" s="47"/>
      <c r="K74" s="47"/>
      <c r="L74" s="203"/>
      <c r="M74" s="203"/>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259" t="s">
        <v>101</v>
      </c>
      <c r="H75" s="13" t="str">
        <f>IF(COUNTBLANK($A75:$E75)&gt;0, "", IFERROR(AVERAGEIFS(Log!$E:$E, Log!$A:$A, $A75, Log!$B:$B, $B75, Log!$C:$C, $C75),""))</f>
        <v/>
      </c>
      <c r="I75" s="48" t="str">
        <f t="shared" si="5"/>
        <v/>
      </c>
      <c r="J75" s="47"/>
      <c r="K75" s="47"/>
      <c r="L75" s="203"/>
      <c r="M75" s="203"/>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259" t="s">
        <v>101</v>
      </c>
      <c r="H76" s="13" t="str">
        <f>IF(COUNTBLANK($A76:$E76)&gt;0, "", IFERROR(AVERAGEIFS(Log!$E:$E, Log!$A:$A, $A76, Log!$B:$B, $B76, Log!$C:$C, $C76),""))</f>
        <v/>
      </c>
      <c r="I76" s="48" t="str">
        <f t="shared" si="5"/>
        <v/>
      </c>
      <c r="J76" s="47"/>
      <c r="K76" s="47"/>
      <c r="L76" s="203"/>
      <c r="M76" s="203"/>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259" t="s">
        <v>101</v>
      </c>
      <c r="H77" s="13" t="str">
        <f>IF(COUNTBLANK($A77:$E77)&gt;0, "", IFERROR(AVERAGEIFS(Log!$E:$E, Log!$A:$A, $A77, Log!$B:$B, $B77, Log!$C:$C, $C77),""))</f>
        <v/>
      </c>
      <c r="I77" s="48" t="str">
        <f t="shared" si="5"/>
        <v/>
      </c>
      <c r="J77" s="47"/>
      <c r="K77" s="47"/>
      <c r="L77" s="203"/>
      <c r="M77" s="203"/>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259" t="s">
        <v>101</v>
      </c>
      <c r="H78" s="13" t="str">
        <f>IF(COUNTBLANK($A78:$E78)&gt;0, "", IFERROR(AVERAGEIFS(Log!$E:$E, Log!$A:$A, $A78, Log!$B:$B, $B78, Log!$C:$C, $C78),""))</f>
        <v/>
      </c>
      <c r="I78" s="48" t="str">
        <f t="shared" si="5"/>
        <v/>
      </c>
      <c r="J78" s="47"/>
      <c r="K78" s="47"/>
      <c r="L78" s="203"/>
      <c r="M78" s="203"/>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259" t="s">
        <v>101</v>
      </c>
      <c r="H79" s="13" t="str">
        <f>IF(COUNTBLANK($A79:$E79)&gt;0, "", IFERROR(AVERAGEIFS(Log!$E:$E, Log!$A:$A, $A79, Log!$B:$B, $B79, Log!$C:$C, $C79),""))</f>
        <v/>
      </c>
      <c r="I79" s="48" t="str">
        <f t="shared" si="5"/>
        <v/>
      </c>
      <c r="J79" s="47"/>
      <c r="K79" s="47"/>
      <c r="L79" s="203"/>
      <c r="M79" s="203"/>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259" t="s">
        <v>101</v>
      </c>
      <c r="H80" s="13" t="str">
        <f>IF(COUNTBLANK($A80:$E80)&gt;0, "", IFERROR(AVERAGEIFS(Log!$E:$E, Log!$A:$A, $A80, Log!$B:$B, $B80, Log!$C:$C, $C80),""))</f>
        <v/>
      </c>
      <c r="I80" s="48" t="str">
        <f t="shared" si="5"/>
        <v/>
      </c>
      <c r="J80" s="47"/>
      <c r="K80" s="47"/>
      <c r="L80" s="203"/>
      <c r="M80" s="203"/>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259" t="s">
        <v>101</v>
      </c>
      <c r="H81" s="13" t="str">
        <f>IF(COUNTBLANK($A81:$E81)&gt;0, "", IFERROR(AVERAGEIFS(Log!$E:$E, Log!$A:$A, $A81, Log!$B:$B, $B81, Log!$C:$C, $C81),""))</f>
        <v/>
      </c>
      <c r="I81" s="48" t="str">
        <f t="shared" si="5"/>
        <v/>
      </c>
      <c r="J81" s="47"/>
      <c r="K81" s="47"/>
      <c r="L81" s="203"/>
      <c r="M81" s="203"/>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259" t="s">
        <v>101</v>
      </c>
      <c r="H82" s="13" t="str">
        <f>IF(COUNTBLANK($A82:$E82)&gt;0, "", IFERROR(AVERAGEIFS(Log!$E:$E, Log!$A:$A, $A82, Log!$B:$B, $B82, Log!$C:$C, $C82),""))</f>
        <v/>
      </c>
      <c r="I82" s="48" t="str">
        <f t="shared" si="5"/>
        <v/>
      </c>
      <c r="J82" s="47"/>
      <c r="K82" s="47"/>
      <c r="L82" s="203"/>
      <c r="M82" s="203"/>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259" t="s">
        <v>101</v>
      </c>
      <c r="H83" s="13" t="str">
        <f>IF(COUNTBLANK($A83:$E83)&gt;0, "", IFERROR(AVERAGEIFS(Log!$E:$E, Log!$A:$A, $A83, Log!$B:$B, $B83, Log!$C:$C, $C83),""))</f>
        <v/>
      </c>
      <c r="I83" s="48" t="str">
        <f t="shared" si="5"/>
        <v/>
      </c>
      <c r="J83" s="47"/>
      <c r="K83" s="47"/>
      <c r="L83" s="203"/>
      <c r="M83" s="203"/>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259" t="s">
        <v>101</v>
      </c>
      <c r="H84" s="13" t="str">
        <f>IF(COUNTBLANK($A84:$E84)&gt;0, "", IFERROR(AVERAGEIFS(Log!$E:$E, Log!$A:$A, $A84, Log!$B:$B, $B84, Log!$C:$C, $C84),""))</f>
        <v/>
      </c>
      <c r="I84" s="48" t="str">
        <f t="shared" si="5"/>
        <v/>
      </c>
      <c r="J84" s="47"/>
      <c r="K84" s="47"/>
      <c r="L84" s="203"/>
      <c r="M84" s="203"/>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259" t="s">
        <v>101</v>
      </c>
      <c r="H85" s="13" t="str">
        <f>IF(COUNTBLANK($A85:$E85)&gt;0, "", IFERROR(AVERAGEIFS(Log!$E:$E, Log!$A:$A, $A85, Log!$B:$B, $B85, Log!$C:$C, $C85),""))</f>
        <v/>
      </c>
      <c r="I85" s="48" t="str">
        <f t="shared" si="5"/>
        <v/>
      </c>
      <c r="J85" s="47"/>
      <c r="K85" s="47"/>
      <c r="L85" s="203"/>
      <c r="M85" s="203"/>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259" t="s">
        <v>101</v>
      </c>
      <c r="H86" s="13" t="str">
        <f>IF(COUNTBLANK($A86:$E86)&gt;0, "", IFERROR(AVERAGEIFS(Log!$E:$E, Log!$A:$A, $A86, Log!$B:$B, $B86, Log!$C:$C, $C86),""))</f>
        <v/>
      </c>
      <c r="I86" s="48" t="str">
        <f t="shared" si="5"/>
        <v/>
      </c>
      <c r="J86" s="47"/>
      <c r="K86" s="47"/>
      <c r="L86" s="203"/>
      <c r="M86" s="203"/>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259" t="s">
        <v>101</v>
      </c>
      <c r="H87" s="13" t="str">
        <f>IF(COUNTBLANK($A87:$E87)&gt;0, "", IFERROR(AVERAGEIFS(Log!$E:$E, Log!$A:$A, $A87, Log!$B:$B, $B87, Log!$C:$C, $C87),""))</f>
        <v/>
      </c>
      <c r="I87" s="48" t="str">
        <f t="shared" si="5"/>
        <v/>
      </c>
      <c r="J87" s="47"/>
      <c r="K87" s="47"/>
      <c r="L87" s="203"/>
      <c r="M87" s="203"/>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259" t="s">
        <v>101</v>
      </c>
      <c r="H88" s="13" t="str">
        <f>IF(COUNTBLANK($A88:$E88)&gt;0, "", IFERROR(AVERAGEIFS(Log!$E:$E, Log!$A:$A, $A88, Log!$B:$B, $B88, Log!$C:$C, $C88),""))</f>
        <v/>
      </c>
      <c r="I88" s="48" t="str">
        <f t="shared" si="5"/>
        <v/>
      </c>
      <c r="J88" s="47"/>
      <c r="K88" s="47"/>
      <c r="L88" s="203"/>
      <c r="M88" s="203"/>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259" t="s">
        <v>101</v>
      </c>
      <c r="H89" s="13" t="str">
        <f>IF(COUNTBLANK($A89:$E89)&gt;0, "", IFERROR(AVERAGEIFS(Log!$E:$E, Log!$A:$A, $A89, Log!$B:$B, $B89, Log!$C:$C, $C89),""))</f>
        <v/>
      </c>
      <c r="I89" s="48" t="str">
        <f t="shared" si="5"/>
        <v/>
      </c>
      <c r="J89" s="47"/>
      <c r="K89" s="47"/>
      <c r="L89" s="203"/>
      <c r="M89" s="203"/>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259" t="s">
        <v>101</v>
      </c>
      <c r="H90" s="13" t="str">
        <f>IF(COUNTBLANK($A90:$E90)&gt;0, "", IFERROR(AVERAGEIFS(Log!$E:$E, Log!$A:$A, $A90, Log!$B:$B, $B90, Log!$C:$C, $C90),""))</f>
        <v/>
      </c>
      <c r="I90" s="48" t="str">
        <f t="shared" si="5"/>
        <v/>
      </c>
      <c r="J90" s="47"/>
      <c r="K90" s="47"/>
      <c r="L90" s="203"/>
      <c r="M90" s="203"/>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259" t="s">
        <v>101</v>
      </c>
      <c r="H91" s="13" t="str">
        <f>IF(COUNTBLANK($A91:$E91)&gt;0, "", IFERROR(AVERAGEIFS(Log!$E:$E, Log!$A:$A, $A91, Log!$B:$B, $B91, Log!$C:$C, $C91),""))</f>
        <v/>
      </c>
      <c r="I91" s="48" t="str">
        <f t="shared" si="5"/>
        <v/>
      </c>
      <c r="J91" s="47"/>
      <c r="K91" s="47"/>
      <c r="L91" s="203"/>
      <c r="M91" s="203"/>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259" t="s">
        <v>101</v>
      </c>
      <c r="H92" s="13" t="str">
        <f>IF(COUNTBLANK($A92:$E92)&gt;0, "", IFERROR(AVERAGEIFS(Log!$E:$E, Log!$A:$A, $A92, Log!$B:$B, $B92, Log!$C:$C, $C92),""))</f>
        <v/>
      </c>
      <c r="I92" s="48" t="str">
        <f t="shared" si="5"/>
        <v/>
      </c>
      <c r="J92" s="47"/>
      <c r="K92" s="47"/>
      <c r="L92" s="203"/>
      <c r="M92" s="203"/>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259" t="s">
        <v>101</v>
      </c>
      <c r="H93" s="13" t="str">
        <f>IF(COUNTBLANK($A93:$E93)&gt;0, "", IFERROR(AVERAGEIFS(Log!$E:$E, Log!$A:$A, $A93, Log!$B:$B, $B93, Log!$C:$C, $C93),""))</f>
        <v/>
      </c>
      <c r="I93" s="48" t="str">
        <f t="shared" si="5"/>
        <v/>
      </c>
      <c r="J93" s="47"/>
      <c r="K93" s="47"/>
      <c r="L93" s="203"/>
      <c r="M93" s="203"/>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259" t="s">
        <v>101</v>
      </c>
      <c r="H94" s="13" t="str">
        <f>IF(COUNTBLANK($A94:$E94)&gt;0, "", IFERROR(AVERAGEIFS(Log!$E:$E, Log!$A:$A, $A94, Log!$B:$B, $B94, Log!$C:$C, $C94),""))</f>
        <v/>
      </c>
      <c r="I94" s="48" t="str">
        <f t="shared" si="5"/>
        <v/>
      </c>
      <c r="J94" s="47"/>
      <c r="K94" s="47"/>
      <c r="L94" s="203"/>
      <c r="M94" s="203"/>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259" t="s">
        <v>101</v>
      </c>
      <c r="H95" s="13" t="str">
        <f>IF(COUNTBLANK($A95:$E95)&gt;0, "", IFERROR(AVERAGEIFS(Log!$E:$E, Log!$A:$A, $A95, Log!$B:$B, $B95, Log!$C:$C, $C95),""))</f>
        <v/>
      </c>
      <c r="I95" s="48" t="str">
        <f t="shared" si="5"/>
        <v/>
      </c>
      <c r="J95" s="47"/>
      <c r="K95" s="47"/>
      <c r="L95" s="203"/>
      <c r="M95" s="203"/>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259" t="s">
        <v>101</v>
      </c>
      <c r="H96" s="13" t="str">
        <f>IF(COUNTBLANK($A96:$E96)&gt;0, "", IFERROR(AVERAGEIFS(Log!$E:$E, Log!$A:$A, $A96, Log!$B:$B, $B96, Log!$C:$C, $C96),""))</f>
        <v/>
      </c>
      <c r="I96" s="48" t="str">
        <f t="shared" si="5"/>
        <v/>
      </c>
      <c r="J96" s="47"/>
      <c r="K96" s="47"/>
      <c r="L96" s="203"/>
      <c r="M96" s="203"/>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259" t="s">
        <v>101</v>
      </c>
      <c r="H97" s="13" t="str">
        <f>IF(COUNTBLANK($A97:$E97)&gt;0, "", IFERROR(AVERAGEIFS(Log!$E:$E, Log!$A:$A, $A97, Log!$B:$B, $B97, Log!$C:$C, $C97),""))</f>
        <v/>
      </c>
      <c r="I97" s="48" t="str">
        <f t="shared" si="5"/>
        <v/>
      </c>
      <c r="J97" s="47"/>
      <c r="K97" s="47"/>
      <c r="L97" s="203"/>
      <c r="M97" s="203"/>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259" t="s">
        <v>101</v>
      </c>
      <c r="H98" s="13" t="str">
        <f>IF(COUNTBLANK($A98:$E98)&gt;0, "", IFERROR(AVERAGEIFS(Log!$E:$E, Log!$A:$A, $A98, Log!$B:$B, $B98, Log!$C:$C, $C98),""))</f>
        <v/>
      </c>
      <c r="I98" s="48" t="str">
        <f t="shared" si="5"/>
        <v/>
      </c>
      <c r="J98" s="47"/>
      <c r="K98" s="47"/>
      <c r="L98" s="203"/>
      <c r="M98" s="203"/>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259" t="s">
        <v>101</v>
      </c>
      <c r="H99" s="13" t="str">
        <f>IF(COUNTBLANK($A99:$E99)&gt;0, "", IFERROR(AVERAGEIFS(Log!$E:$E, Log!$A:$A, $A99, Log!$B:$B, $B99, Log!$C:$C, $C99),""))</f>
        <v/>
      </c>
      <c r="I99" s="48" t="str">
        <f t="shared" si="5"/>
        <v/>
      </c>
      <c r="J99" s="47"/>
      <c r="K99" s="47"/>
      <c r="L99" s="203"/>
      <c r="M99" s="203"/>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259" t="s">
        <v>101</v>
      </c>
      <c r="H100" s="13" t="str">
        <f>IF(COUNTBLANK($A100:$E100)&gt;0, "", IFERROR(AVERAGEIFS(Log!$E:$E, Log!$A:$A, $A100, Log!$B:$B, $B100, Log!$C:$C, $C100),""))</f>
        <v/>
      </c>
      <c r="I100" s="48" t="str">
        <f t="shared" si="5"/>
        <v/>
      </c>
      <c r="J100" s="47"/>
      <c r="K100" s="47"/>
      <c r="L100" s="203"/>
      <c r="M100" s="203"/>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259" t="s">
        <v>101</v>
      </c>
      <c r="H101" s="13" t="str">
        <f>IF(COUNTBLANK($A101:$E101)&gt;0, "", IFERROR(AVERAGEIFS(Log!$E:$E, Log!$A:$A, $A101, Log!$B:$B, $B101, Log!$C:$C, $C101),""))</f>
        <v/>
      </c>
      <c r="I101" s="48" t="str">
        <f t="shared" si="5"/>
        <v/>
      </c>
      <c r="J101" s="47"/>
      <c r="K101" s="47"/>
      <c r="L101" s="203"/>
      <c r="M101" s="203"/>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259" t="s">
        <v>101</v>
      </c>
      <c r="H102" s="13" t="str">
        <f>IF(COUNTBLANK($A102:$E102)&gt;0, "", IFERROR(AVERAGEIFS(Log!$E:$E, Log!$A:$A, $A102, Log!$B:$B, $B102, Log!$C:$C, $C102),""))</f>
        <v/>
      </c>
      <c r="I102" s="48" t="str">
        <f t="shared" si="5"/>
        <v/>
      </c>
      <c r="J102" s="47"/>
      <c r="K102" s="47"/>
      <c r="L102" s="203"/>
      <c r="M102" s="203"/>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259" t="s">
        <v>101</v>
      </c>
      <c r="H103" s="13" t="str">
        <f>IF(COUNTBLANK($A103:$E103)&gt;0, "", IFERROR(AVERAGEIFS(Log!$E:$E, Log!$A:$A, $A103, Log!$B:$B, $B103, Log!$C:$C, $C103),""))</f>
        <v/>
      </c>
      <c r="I103" s="48" t="str">
        <f t="shared" si="5"/>
        <v/>
      </c>
      <c r="J103" s="47"/>
      <c r="K103" s="47"/>
      <c r="L103" s="203"/>
      <c r="M103" s="203"/>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259" t="s">
        <v>101</v>
      </c>
      <c r="H104" s="13" t="str">
        <f>IF(COUNTBLANK($A104:$E104)&gt;0, "", IFERROR(AVERAGEIFS(Log!$E:$E, Log!$A:$A, $A104, Log!$B:$B, $B104, Log!$C:$C, $C104),""))</f>
        <v/>
      </c>
      <c r="I104" s="48" t="str">
        <f t="shared" si="5"/>
        <v/>
      </c>
      <c r="J104" s="47"/>
      <c r="K104" s="47"/>
      <c r="L104" s="203"/>
      <c r="M104" s="203"/>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259" t="s">
        <v>101</v>
      </c>
      <c r="H105" s="13" t="str">
        <f>IF(COUNTBLANK($A105:$E105)&gt;0, "", IFERROR(AVERAGEIFS(Log!$E:$E, Log!$A:$A, $A105, Log!$B:$B, $B105, Log!$C:$C, $C105),""))</f>
        <v/>
      </c>
      <c r="I105" s="48" t="str">
        <f t="shared" si="5"/>
        <v/>
      </c>
      <c r="J105" s="47"/>
      <c r="K105" s="47"/>
      <c r="L105" s="203"/>
      <c r="M105" s="203"/>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259" t="s">
        <v>101</v>
      </c>
      <c r="H106" s="13" t="str">
        <f>IF(COUNTBLANK($A106:$E106)&gt;0, "", IFERROR(AVERAGEIFS(Log!$E:$E, Log!$A:$A, $A106, Log!$B:$B, $B106, Log!$C:$C, $C106),""))</f>
        <v/>
      </c>
      <c r="I106" s="48" t="str">
        <f t="shared" si="5"/>
        <v/>
      </c>
      <c r="J106" s="47"/>
      <c r="K106" s="47"/>
      <c r="L106" s="203"/>
      <c r="M106" s="203"/>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259" t="s">
        <v>101</v>
      </c>
      <c r="H107" s="13" t="str">
        <f>IF(COUNTBLANK($A107:$E107)&gt;0, "", IFERROR(AVERAGEIFS(Log!$E:$E, Log!$A:$A, $A107, Log!$B:$B, $B107, Log!$C:$C, $C107),""))</f>
        <v/>
      </c>
      <c r="I107" s="48" t="str">
        <f t="shared" si="5"/>
        <v/>
      </c>
      <c r="J107" s="47"/>
      <c r="K107" s="47"/>
      <c r="L107" s="203"/>
      <c r="M107" s="203"/>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259" t="s">
        <v>101</v>
      </c>
      <c r="H108" s="13" t="str">
        <f>IF(COUNTBLANK($A108:$E108)&gt;0, "", IFERROR(AVERAGEIFS(Log!$E:$E, Log!$A:$A, $A108, Log!$B:$B, $B108, Log!$C:$C, $C108),""))</f>
        <v/>
      </c>
      <c r="I108" s="48" t="str">
        <f t="shared" si="5"/>
        <v/>
      </c>
      <c r="J108" s="47"/>
      <c r="K108" s="47"/>
      <c r="L108" s="203"/>
      <c r="M108" s="203"/>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259" t="s">
        <v>101</v>
      </c>
      <c r="H109" s="13" t="str">
        <f>IF(COUNTBLANK($A109:$E109)&gt;0, "", IFERROR(AVERAGEIFS(Log!$E:$E, Log!$A:$A, $A109, Log!$B:$B, $B109, Log!$C:$C, $C109),""))</f>
        <v/>
      </c>
      <c r="I109" s="48" t="str">
        <f t="shared" si="5"/>
        <v/>
      </c>
      <c r="J109" s="47"/>
      <c r="K109" s="47"/>
      <c r="L109" s="203"/>
      <c r="M109" s="203"/>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259" t="s">
        <v>101</v>
      </c>
      <c r="H110" s="13" t="str">
        <f>IF(COUNTBLANK($A110:$E110)&gt;0, "", IFERROR(AVERAGEIFS(Log!$E:$E, Log!$A:$A, $A110, Log!$B:$B, $B110, Log!$C:$C, $C110),""))</f>
        <v/>
      </c>
      <c r="I110" s="48" t="str">
        <f t="shared" si="5"/>
        <v/>
      </c>
      <c r="J110" s="47"/>
      <c r="K110" s="47"/>
      <c r="L110" s="203"/>
      <c r="M110" s="203"/>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259" t="s">
        <v>101</v>
      </c>
      <c r="H111" s="13" t="str">
        <f>IF(COUNTBLANK($A111:$E111)&gt;0, "", IFERROR(AVERAGEIFS(Log!$E:$E, Log!$A:$A, $A111, Log!$B:$B, $B111, Log!$C:$C, $C111),""))</f>
        <v/>
      </c>
      <c r="I111" s="48" t="str">
        <f t="shared" si="5"/>
        <v/>
      </c>
      <c r="J111" s="47"/>
      <c r="K111" s="47"/>
      <c r="L111" s="203"/>
      <c r="M111" s="203"/>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259" t="s">
        <v>101</v>
      </c>
      <c r="H112" s="13" t="str">
        <f>IF(COUNTBLANK($A112:$E112)&gt;0, "", IFERROR(AVERAGEIFS(Log!$E:$E, Log!$A:$A, $A112, Log!$B:$B, $B112, Log!$C:$C, $C112),""))</f>
        <v/>
      </c>
      <c r="I112" s="48" t="str">
        <f t="shared" si="5"/>
        <v/>
      </c>
      <c r="J112" s="47"/>
      <c r="K112" s="47"/>
      <c r="L112" s="203"/>
      <c r="M112" s="203"/>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259" t="s">
        <v>101</v>
      </c>
      <c r="H113" s="13" t="str">
        <f>IF(COUNTBLANK($A113:$E113)&gt;0, "", IFERROR(AVERAGEIFS(Log!$E:$E, Log!$A:$A, $A113, Log!$B:$B, $B113, Log!$C:$C, $C113),""))</f>
        <v/>
      </c>
      <c r="I113" s="48" t="str">
        <f t="shared" si="5"/>
        <v/>
      </c>
      <c r="J113" s="47"/>
      <c r="K113" s="47"/>
      <c r="L113" s="203"/>
      <c r="M113" s="203"/>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259" t="s">
        <v>101</v>
      </c>
      <c r="H114" s="13" t="str">
        <f>IF(COUNTBLANK($A114:$E114)&gt;0, "", IFERROR(AVERAGEIFS(Log!$E:$E, Log!$A:$A, $A114, Log!$B:$B, $B114, Log!$C:$C, $C114),""))</f>
        <v/>
      </c>
      <c r="I114" s="48" t="str">
        <f t="shared" si="5"/>
        <v/>
      </c>
      <c r="J114" s="47"/>
      <c r="K114" s="47"/>
      <c r="L114" s="203"/>
      <c r="M114" s="203"/>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259" t="s">
        <v>101</v>
      </c>
      <c r="H115" s="13" t="str">
        <f>IF(COUNTBLANK($A115:$E115)&gt;0, "", IFERROR(AVERAGEIFS(Log!$E:$E, Log!$A:$A, $A115, Log!$B:$B, $B115, Log!$C:$C, $C115),""))</f>
        <v/>
      </c>
      <c r="I115" s="48" t="str">
        <f t="shared" si="5"/>
        <v/>
      </c>
      <c r="J115" s="47"/>
      <c r="K115" s="47"/>
      <c r="L115" s="203"/>
      <c r="M115" s="203"/>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259" t="s">
        <v>101</v>
      </c>
      <c r="H116" s="13" t="str">
        <f>IF(COUNTBLANK($A116:$E116)&gt;0, "", IFERROR(AVERAGEIFS(Log!$E:$E, Log!$A:$A, $A116, Log!$B:$B, $B116, Log!$C:$C, $C116),""))</f>
        <v/>
      </c>
      <c r="I116" s="48" t="str">
        <f t="shared" si="5"/>
        <v/>
      </c>
      <c r="J116" s="47"/>
      <c r="K116" s="47"/>
      <c r="L116" s="203"/>
      <c r="M116" s="203"/>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259" t="s">
        <v>101</v>
      </c>
      <c r="H117" s="13" t="str">
        <f>IF(COUNTBLANK($A117:$E117)&gt;0, "", IFERROR(AVERAGEIFS(Log!$E:$E, Log!$A:$A, $A117, Log!$B:$B, $B117, Log!$C:$C, $C117),""))</f>
        <v/>
      </c>
      <c r="I117" s="48" t="str">
        <f t="shared" si="5"/>
        <v/>
      </c>
      <c r="J117" s="47"/>
      <c r="K117" s="47"/>
      <c r="L117" s="203"/>
      <c r="M117" s="203"/>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259" t="s">
        <v>101</v>
      </c>
      <c r="H118" s="13" t="str">
        <f>IF(COUNTBLANK($A118:$E118)&gt;0, "", IFERROR(AVERAGEIFS(Log!$E:$E, Log!$A:$A, $A118, Log!$B:$B, $B118, Log!$C:$C, $C118),""))</f>
        <v/>
      </c>
      <c r="I118" s="48" t="str">
        <f t="shared" si="5"/>
        <v/>
      </c>
      <c r="J118" s="47"/>
      <c r="K118" s="47"/>
      <c r="L118" s="203"/>
      <c r="M118" s="203"/>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259" t="s">
        <v>101</v>
      </c>
      <c r="H119" s="13" t="str">
        <f>IF(COUNTBLANK($A119:$E119)&gt;0, "", IFERROR(AVERAGEIFS(Log!$E:$E, Log!$A:$A, $A119, Log!$B:$B, $B119, Log!$C:$C, $C119),""))</f>
        <v/>
      </c>
      <c r="I119" s="48" t="str">
        <f t="shared" si="5"/>
        <v/>
      </c>
      <c r="J119" s="47"/>
      <c r="K119" s="47"/>
      <c r="L119" s="203"/>
      <c r="M119" s="203"/>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259" t="s">
        <v>101</v>
      </c>
      <c r="H120" s="13" t="str">
        <f>IF(COUNTBLANK($A120:$E120)&gt;0, "", IFERROR(AVERAGEIFS(Log!$E:$E, Log!$A:$A, $A120, Log!$B:$B, $B120, Log!$C:$C, $C120),""))</f>
        <v/>
      </c>
      <c r="I120" s="48" t="str">
        <f t="shared" si="5"/>
        <v/>
      </c>
      <c r="J120" s="47"/>
      <c r="K120" s="47"/>
      <c r="L120" s="203"/>
      <c r="M120" s="203"/>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259" t="s">
        <v>101</v>
      </c>
      <c r="H121" s="13" t="str">
        <f>IF(COUNTBLANK($A121:$E121)&gt;0, "", IFERROR(AVERAGEIFS(Log!$E:$E, Log!$A:$A, $A121, Log!$B:$B, $B121, Log!$C:$C, $C121),""))</f>
        <v/>
      </c>
      <c r="I121" s="48" t="str">
        <f t="shared" si="5"/>
        <v/>
      </c>
      <c r="J121" s="47"/>
      <c r="K121" s="47"/>
      <c r="L121" s="203"/>
      <c r="M121" s="203"/>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259" t="s">
        <v>101</v>
      </c>
      <c r="H122" s="13" t="str">
        <f>IF(COUNTBLANK($A122:$E122)&gt;0, "", IFERROR(AVERAGEIFS(Log!$E:$E, Log!$A:$A, $A122, Log!$B:$B, $B122, Log!$C:$C, $C122),""))</f>
        <v/>
      </c>
      <c r="I122" s="48" t="str">
        <f t="shared" si="5"/>
        <v/>
      </c>
      <c r="J122" s="47"/>
      <c r="K122" s="47"/>
      <c r="L122" s="203"/>
      <c r="M122" s="203"/>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259" t="s">
        <v>101</v>
      </c>
      <c r="H123" s="13" t="str">
        <f>IF(COUNTBLANK($A123:$E123)&gt;0, "", IFERROR(AVERAGEIFS(Log!$E:$E, Log!$A:$A, $A123, Log!$B:$B, $B123, Log!$C:$C, $C123),""))</f>
        <v/>
      </c>
      <c r="I123" s="48" t="str">
        <f t="shared" si="5"/>
        <v/>
      </c>
      <c r="J123" s="47"/>
      <c r="K123" s="47"/>
      <c r="L123" s="203"/>
      <c r="M123" s="203"/>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259" t="s">
        <v>101</v>
      </c>
      <c r="H124" s="13" t="str">
        <f>IF(COUNTBLANK($A124:$E124)&gt;0, "", IFERROR(AVERAGEIFS(Log!$E:$E, Log!$A:$A, $A124, Log!$B:$B, $B124, Log!$C:$C, $C124),""))</f>
        <v/>
      </c>
      <c r="I124" s="48" t="str">
        <f t="shared" si="5"/>
        <v/>
      </c>
      <c r="J124" s="47"/>
      <c r="K124" s="47"/>
      <c r="L124" s="203"/>
      <c r="M124" s="203"/>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259" t="s">
        <v>101</v>
      </c>
      <c r="H125" s="13" t="str">
        <f>IF(COUNTBLANK($A125:$E125)&gt;0, "", IFERROR(AVERAGEIFS(Log!$E:$E, Log!$A:$A, $A125, Log!$B:$B, $B125, Log!$C:$C, $C125),""))</f>
        <v/>
      </c>
      <c r="I125" s="48" t="str">
        <f t="shared" si="5"/>
        <v/>
      </c>
      <c r="J125" s="47"/>
      <c r="K125" s="47"/>
      <c r="L125" s="203"/>
      <c r="M125" s="203"/>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259" t="s">
        <v>101</v>
      </c>
      <c r="H126" s="13" t="str">
        <f>IF(COUNTBLANK($A126:$E126)&gt;0, "", IFERROR(AVERAGEIFS(Log!$E:$E, Log!$A:$A, $A126, Log!$B:$B, $B126, Log!$C:$C, $C126),""))</f>
        <v/>
      </c>
      <c r="I126" s="48" t="str">
        <f t="shared" si="5"/>
        <v/>
      </c>
      <c r="J126" s="47"/>
      <c r="K126" s="47"/>
      <c r="L126" s="203"/>
      <c r="M126" s="203"/>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259" t="s">
        <v>101</v>
      </c>
      <c r="H127" s="13" t="str">
        <f>IF(COUNTBLANK($A127:$E127)&gt;0, "", IFERROR(AVERAGEIFS(Log!$E:$E, Log!$A:$A, $A127, Log!$B:$B, $B127, Log!$C:$C, $C127),""))</f>
        <v/>
      </c>
      <c r="I127" s="48" t="str">
        <f t="shared" si="5"/>
        <v/>
      </c>
      <c r="J127" s="47"/>
      <c r="K127" s="47"/>
      <c r="L127" s="203"/>
      <c r="M127" s="203"/>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259" t="s">
        <v>101</v>
      </c>
      <c r="H128" s="13" t="str">
        <f>IF(COUNTBLANK($A128:$E128)&gt;0, "", IFERROR(AVERAGEIFS(Log!$E:$E, Log!$A:$A, $A128, Log!$B:$B, $B128, Log!$C:$C, $C128),""))</f>
        <v/>
      </c>
      <c r="I128" s="48" t="str">
        <f t="shared" si="5"/>
        <v/>
      </c>
      <c r="J128" s="47"/>
      <c r="K128" s="47"/>
      <c r="L128" s="203"/>
      <c r="M128" s="203"/>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259" t="s">
        <v>101</v>
      </c>
      <c r="H129" s="13" t="str">
        <f>IF(COUNTBLANK($A129:$E129)&gt;0, "", IFERROR(AVERAGEIFS(Log!$E:$E, Log!$A:$A, $A129, Log!$B:$B, $B129, Log!$C:$C, $C129),""))</f>
        <v/>
      </c>
      <c r="I129" s="48" t="str">
        <f t="shared" si="5"/>
        <v/>
      </c>
      <c r="J129" s="47"/>
      <c r="K129" s="47"/>
      <c r="L129" s="203"/>
      <c r="M129" s="203"/>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259" t="s">
        <v>101</v>
      </c>
      <c r="H130" s="13" t="str">
        <f>IF(COUNTBLANK($A130:$E130)&gt;0, "", IFERROR(AVERAGEIFS(Log!$E:$E, Log!$A:$A, $A130, Log!$B:$B, $B130, Log!$C:$C, $C130),""))</f>
        <v/>
      </c>
      <c r="I130" s="48" t="str">
        <f t="shared" ref="I130:I193" si="7">IF(AND($H130&lt;&gt;"", $G130&lt;&gt;""), $H130/$G130, "")</f>
        <v/>
      </c>
      <c r="J130" s="47"/>
      <c r="K130" s="47"/>
      <c r="L130" s="203"/>
      <c r="M130" s="203"/>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259" t="s">
        <v>101</v>
      </c>
      <c r="H131" s="13" t="str">
        <f>IF(COUNTBLANK($A131:$E131)&gt;0, "", IFERROR(AVERAGEIFS(Log!$E:$E, Log!$A:$A, $A131, Log!$B:$B, $B131, Log!$C:$C, $C131),""))</f>
        <v/>
      </c>
      <c r="I131" s="48" t="str">
        <f t="shared" si="7"/>
        <v/>
      </c>
      <c r="J131" s="47"/>
      <c r="K131" s="47"/>
      <c r="L131" s="203"/>
      <c r="M131" s="203"/>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259" t="s">
        <v>101</v>
      </c>
      <c r="H132" s="13" t="str">
        <f>IF(COUNTBLANK($A132:$E132)&gt;0, "", IFERROR(AVERAGEIFS(Log!$E:$E, Log!$A:$A, $A132, Log!$B:$B, $B132, Log!$C:$C, $C132),""))</f>
        <v/>
      </c>
      <c r="I132" s="48" t="str">
        <f t="shared" si="7"/>
        <v/>
      </c>
      <c r="J132" s="47"/>
      <c r="K132" s="47"/>
      <c r="L132" s="203"/>
      <c r="M132" s="203"/>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259" t="s">
        <v>101</v>
      </c>
      <c r="H133" s="13" t="str">
        <f>IF(COUNTBLANK($A133:$E133)&gt;0, "", IFERROR(AVERAGEIFS(Log!$E:$E, Log!$A:$A, $A133, Log!$B:$B, $B133, Log!$C:$C, $C133),""))</f>
        <v/>
      </c>
      <c r="I133" s="48" t="str">
        <f t="shared" si="7"/>
        <v/>
      </c>
      <c r="J133" s="47"/>
      <c r="K133" s="47"/>
      <c r="L133" s="203"/>
      <c r="M133" s="203"/>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259" t="s">
        <v>101</v>
      </c>
      <c r="H134" s="13" t="str">
        <f>IF(COUNTBLANK($A134:$E134)&gt;0, "", IFERROR(AVERAGEIFS(Log!$E:$E, Log!$A:$A, $A134, Log!$B:$B, $B134, Log!$C:$C, $C134),""))</f>
        <v/>
      </c>
      <c r="I134" s="48" t="str">
        <f t="shared" si="7"/>
        <v/>
      </c>
      <c r="J134" s="47"/>
      <c r="K134" s="47"/>
      <c r="L134" s="203"/>
      <c r="M134" s="203"/>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259" t="s">
        <v>101</v>
      </c>
      <c r="H135" s="13" t="str">
        <f>IF(COUNTBLANK($A135:$E135)&gt;0, "", IFERROR(AVERAGEIFS(Log!$E:$E, Log!$A:$A, $A135, Log!$B:$B, $B135, Log!$C:$C, $C135),""))</f>
        <v/>
      </c>
      <c r="I135" s="48" t="str">
        <f t="shared" si="7"/>
        <v/>
      </c>
      <c r="J135" s="47"/>
      <c r="K135" s="47"/>
      <c r="L135" s="203"/>
      <c r="M135" s="203"/>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259" t="s">
        <v>101</v>
      </c>
      <c r="H136" s="13" t="str">
        <f>IF(COUNTBLANK($A136:$E136)&gt;0, "", IFERROR(AVERAGEIFS(Log!$E:$E, Log!$A:$A, $A136, Log!$B:$B, $B136, Log!$C:$C, $C136),""))</f>
        <v/>
      </c>
      <c r="I136" s="48" t="str">
        <f t="shared" si="7"/>
        <v/>
      </c>
      <c r="J136" s="47"/>
      <c r="K136" s="47"/>
      <c r="L136" s="203"/>
      <c r="M136" s="203"/>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259" t="s">
        <v>101</v>
      </c>
      <c r="H137" s="13" t="str">
        <f>IF(COUNTBLANK($A137:$E137)&gt;0, "", IFERROR(AVERAGEIFS(Log!$E:$E, Log!$A:$A, $A137, Log!$B:$B, $B137, Log!$C:$C, $C137),""))</f>
        <v/>
      </c>
      <c r="I137" s="48" t="str">
        <f t="shared" si="7"/>
        <v/>
      </c>
      <c r="J137" s="47"/>
      <c r="K137" s="47"/>
      <c r="L137" s="203"/>
      <c r="M137" s="203"/>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259" t="s">
        <v>101</v>
      </c>
      <c r="H138" s="13" t="str">
        <f>IF(COUNTBLANK($A138:$E138)&gt;0, "", IFERROR(AVERAGEIFS(Log!$E:$E, Log!$A:$A, $A138, Log!$B:$B, $B138, Log!$C:$C, $C138),""))</f>
        <v/>
      </c>
      <c r="I138" s="48" t="str">
        <f t="shared" si="7"/>
        <v/>
      </c>
      <c r="J138" s="47"/>
      <c r="K138" s="47"/>
      <c r="L138" s="203"/>
      <c r="M138" s="203"/>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259" t="s">
        <v>101</v>
      </c>
      <c r="H139" s="13" t="str">
        <f>IF(COUNTBLANK($A139:$E139)&gt;0, "", IFERROR(AVERAGEIFS(Log!$E:$E, Log!$A:$A, $A139, Log!$B:$B, $B139, Log!$C:$C, $C139),""))</f>
        <v/>
      </c>
      <c r="I139" s="48" t="str">
        <f t="shared" si="7"/>
        <v/>
      </c>
      <c r="J139" s="47"/>
      <c r="K139" s="47"/>
      <c r="L139" s="203"/>
      <c r="M139" s="203"/>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259" t="s">
        <v>101</v>
      </c>
      <c r="H140" s="13" t="str">
        <f>IF(COUNTBLANK($A140:$E140)&gt;0, "", IFERROR(AVERAGEIFS(Log!$E:$E, Log!$A:$A, $A140, Log!$B:$B, $B140, Log!$C:$C, $C140),""))</f>
        <v/>
      </c>
      <c r="I140" s="48" t="str">
        <f t="shared" si="7"/>
        <v/>
      </c>
      <c r="J140" s="47"/>
      <c r="K140" s="47"/>
      <c r="L140" s="203"/>
      <c r="M140" s="203"/>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259" t="s">
        <v>101</v>
      </c>
      <c r="H141" s="13" t="str">
        <f>IF(COUNTBLANK($A141:$E141)&gt;0, "", IFERROR(AVERAGEIFS(Log!$E:$E, Log!$A:$A, $A141, Log!$B:$B, $B141, Log!$C:$C, $C141),""))</f>
        <v/>
      </c>
      <c r="I141" s="48" t="str">
        <f t="shared" si="7"/>
        <v/>
      </c>
      <c r="J141" s="47"/>
      <c r="K141" s="47"/>
      <c r="L141" s="203"/>
      <c r="M141" s="203"/>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259" t="s">
        <v>101</v>
      </c>
      <c r="H142" s="13" t="str">
        <f>IF(COUNTBLANK($A142:$E142)&gt;0, "", IFERROR(AVERAGEIFS(Log!$E:$E, Log!$A:$A, $A142, Log!$B:$B, $B142, Log!$C:$C, $C142),""))</f>
        <v/>
      </c>
      <c r="I142" s="48" t="str">
        <f t="shared" si="7"/>
        <v/>
      </c>
      <c r="J142" s="47"/>
      <c r="K142" s="47"/>
      <c r="L142" s="203"/>
      <c r="M142" s="203"/>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259" t="s">
        <v>101</v>
      </c>
      <c r="H143" s="13" t="str">
        <f>IF(COUNTBLANK($A143:$E143)&gt;0, "", IFERROR(AVERAGEIFS(Log!$E:$E, Log!$A:$A, $A143, Log!$B:$B, $B143, Log!$C:$C, $C143),""))</f>
        <v/>
      </c>
      <c r="I143" s="48" t="str">
        <f t="shared" si="7"/>
        <v/>
      </c>
      <c r="J143" s="47"/>
      <c r="K143" s="47"/>
      <c r="L143" s="203"/>
      <c r="M143" s="203"/>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259" t="s">
        <v>101</v>
      </c>
      <c r="H144" s="13" t="str">
        <f>IF(COUNTBLANK($A144:$E144)&gt;0, "", IFERROR(AVERAGEIFS(Log!$E:$E, Log!$A:$A, $A144, Log!$B:$B, $B144, Log!$C:$C, $C144),""))</f>
        <v/>
      </c>
      <c r="I144" s="48" t="str">
        <f t="shared" si="7"/>
        <v/>
      </c>
      <c r="J144" s="47"/>
      <c r="K144" s="47"/>
      <c r="L144" s="203"/>
      <c r="M144" s="203"/>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259" t="s">
        <v>101</v>
      </c>
      <c r="H145" s="13" t="str">
        <f>IF(COUNTBLANK($A145:$E145)&gt;0, "", IFERROR(AVERAGEIFS(Log!$E:$E, Log!$A:$A, $A145, Log!$B:$B, $B145, Log!$C:$C, $C145),""))</f>
        <v/>
      </c>
      <c r="I145" s="48" t="str">
        <f t="shared" si="7"/>
        <v/>
      </c>
      <c r="J145" s="47"/>
      <c r="K145" s="47"/>
      <c r="L145" s="203"/>
      <c r="M145" s="203"/>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259" t="s">
        <v>101</v>
      </c>
      <c r="H146" s="13" t="str">
        <f>IF(COUNTBLANK($A146:$E146)&gt;0, "", IFERROR(AVERAGEIFS(Log!$E:$E, Log!$A:$A, $A146, Log!$B:$B, $B146, Log!$C:$C, $C146),""))</f>
        <v/>
      </c>
      <c r="I146" s="48" t="str">
        <f t="shared" si="7"/>
        <v/>
      </c>
      <c r="J146" s="47"/>
      <c r="K146" s="47"/>
      <c r="L146" s="203"/>
      <c r="M146" s="203"/>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259" t="s">
        <v>101</v>
      </c>
      <c r="H147" s="13" t="str">
        <f>IF(COUNTBLANK($A147:$E147)&gt;0, "", IFERROR(AVERAGEIFS(Log!$E:$E, Log!$A:$A, $A147, Log!$B:$B, $B147, Log!$C:$C, $C147),""))</f>
        <v/>
      </c>
      <c r="I147" s="48" t="str">
        <f t="shared" si="7"/>
        <v/>
      </c>
      <c r="J147" s="47"/>
      <c r="K147" s="47"/>
      <c r="L147" s="203"/>
      <c r="M147" s="203"/>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259" t="s">
        <v>101</v>
      </c>
      <c r="H148" s="13" t="str">
        <f>IF(COUNTBLANK($A148:$E148)&gt;0, "", IFERROR(AVERAGEIFS(Log!$E:$E, Log!$A:$A, $A148, Log!$B:$B, $B148, Log!$C:$C, $C148),""))</f>
        <v/>
      </c>
      <c r="I148" s="48" t="str">
        <f t="shared" si="7"/>
        <v/>
      </c>
      <c r="J148" s="47"/>
      <c r="K148" s="47"/>
      <c r="L148" s="203"/>
      <c r="M148" s="203"/>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259" t="s">
        <v>101</v>
      </c>
      <c r="H149" s="13" t="str">
        <f>IF(COUNTBLANK($A149:$E149)&gt;0, "", IFERROR(AVERAGEIFS(Log!$E:$E, Log!$A:$A, $A149, Log!$B:$B, $B149, Log!$C:$C, $C149),""))</f>
        <v/>
      </c>
      <c r="I149" s="48" t="str">
        <f t="shared" si="7"/>
        <v/>
      </c>
      <c r="J149" s="47"/>
      <c r="K149" s="47"/>
      <c r="L149" s="203"/>
      <c r="M149" s="203"/>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259" t="s">
        <v>101</v>
      </c>
      <c r="H150" s="13" t="str">
        <f>IF(COUNTBLANK($A150:$E150)&gt;0, "", IFERROR(AVERAGEIFS(Log!$E:$E, Log!$A:$A, $A150, Log!$B:$B, $B150, Log!$C:$C, $C150),""))</f>
        <v/>
      </c>
      <c r="I150" s="48" t="str">
        <f t="shared" si="7"/>
        <v/>
      </c>
      <c r="J150" s="47"/>
      <c r="K150" s="47"/>
      <c r="L150" s="203"/>
      <c r="M150" s="203"/>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259" t="s">
        <v>101</v>
      </c>
      <c r="H151" s="13" t="str">
        <f>IF(COUNTBLANK($A151:$E151)&gt;0, "", IFERROR(AVERAGEIFS(Log!$E:$E, Log!$A:$A, $A151, Log!$B:$B, $B151, Log!$C:$C, $C151),""))</f>
        <v/>
      </c>
      <c r="I151" s="48" t="str">
        <f t="shared" si="7"/>
        <v/>
      </c>
      <c r="J151" s="47"/>
      <c r="K151" s="47"/>
      <c r="L151" s="203"/>
      <c r="M151" s="203"/>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259" t="s">
        <v>101</v>
      </c>
      <c r="H152" s="13" t="str">
        <f>IF(COUNTBLANK($A152:$E152)&gt;0, "", IFERROR(AVERAGEIFS(Log!$E:$E, Log!$A:$A, $A152, Log!$B:$B, $B152, Log!$C:$C, $C152),""))</f>
        <v/>
      </c>
      <c r="I152" s="48" t="str">
        <f t="shared" si="7"/>
        <v/>
      </c>
      <c r="J152" s="47"/>
      <c r="K152" s="47"/>
      <c r="L152" s="203"/>
      <c r="M152" s="203"/>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259" t="s">
        <v>101</v>
      </c>
      <c r="H153" s="13" t="str">
        <f>IF(COUNTBLANK($A153:$E153)&gt;0, "", IFERROR(AVERAGEIFS(Log!$E:$E, Log!$A:$A, $A153, Log!$B:$B, $B153, Log!$C:$C, $C153),""))</f>
        <v/>
      </c>
      <c r="I153" s="48" t="str">
        <f t="shared" si="7"/>
        <v/>
      </c>
      <c r="J153" s="47"/>
      <c r="K153" s="47"/>
      <c r="L153" s="203"/>
      <c r="M153" s="203"/>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259" t="s">
        <v>101</v>
      </c>
      <c r="H154" s="13" t="str">
        <f>IF(COUNTBLANK($A154:$E154)&gt;0, "", IFERROR(AVERAGEIFS(Log!$E:$E, Log!$A:$A, $A154, Log!$B:$B, $B154, Log!$C:$C, $C154),""))</f>
        <v/>
      </c>
      <c r="I154" s="48" t="str">
        <f t="shared" si="7"/>
        <v/>
      </c>
      <c r="J154" s="47"/>
      <c r="K154" s="47"/>
      <c r="L154" s="203"/>
      <c r="M154" s="203"/>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259" t="s">
        <v>101</v>
      </c>
      <c r="H155" s="13" t="str">
        <f>IF(COUNTBLANK($A155:$E155)&gt;0, "", IFERROR(AVERAGEIFS(Log!$E:$E, Log!$A:$A, $A155, Log!$B:$B, $B155, Log!$C:$C, $C155),""))</f>
        <v/>
      </c>
      <c r="I155" s="48" t="str">
        <f t="shared" si="7"/>
        <v/>
      </c>
      <c r="J155" s="47"/>
      <c r="K155" s="47"/>
      <c r="L155" s="203"/>
      <c r="M155" s="203"/>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259" t="s">
        <v>101</v>
      </c>
      <c r="H156" s="13" t="str">
        <f>IF(COUNTBLANK($A156:$E156)&gt;0, "", IFERROR(AVERAGEIFS(Log!$E:$E, Log!$A:$A, $A156, Log!$B:$B, $B156, Log!$C:$C, $C156),""))</f>
        <v/>
      </c>
      <c r="I156" s="48" t="str">
        <f t="shared" si="7"/>
        <v/>
      </c>
      <c r="J156" s="47"/>
      <c r="K156" s="47"/>
      <c r="L156" s="203"/>
      <c r="M156" s="203"/>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259" t="s">
        <v>101</v>
      </c>
      <c r="H157" s="13" t="str">
        <f>IF(COUNTBLANK($A157:$E157)&gt;0, "", IFERROR(AVERAGEIFS(Log!$E:$E, Log!$A:$A, $A157, Log!$B:$B, $B157, Log!$C:$C, $C157),""))</f>
        <v/>
      </c>
      <c r="I157" s="48" t="str">
        <f t="shared" si="7"/>
        <v/>
      </c>
      <c r="J157" s="47"/>
      <c r="K157" s="47"/>
      <c r="L157" s="203"/>
      <c r="M157" s="203"/>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259" t="s">
        <v>101</v>
      </c>
      <c r="H158" s="13" t="str">
        <f>IF(COUNTBLANK($A158:$E158)&gt;0, "", IFERROR(AVERAGEIFS(Log!$E:$E, Log!$A:$A, $A158, Log!$B:$B, $B158, Log!$C:$C, $C158),""))</f>
        <v/>
      </c>
      <c r="I158" s="48" t="str">
        <f t="shared" si="7"/>
        <v/>
      </c>
      <c r="J158" s="47"/>
      <c r="K158" s="47"/>
      <c r="L158" s="203"/>
      <c r="M158" s="203"/>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259" t="s">
        <v>101</v>
      </c>
      <c r="H159" s="13" t="str">
        <f>IF(COUNTBLANK($A159:$E159)&gt;0, "", IFERROR(AVERAGEIFS(Log!$E:$E, Log!$A:$A, $A159, Log!$B:$B, $B159, Log!$C:$C, $C159),""))</f>
        <v/>
      </c>
      <c r="I159" s="48" t="str">
        <f t="shared" si="7"/>
        <v/>
      </c>
      <c r="J159" s="47"/>
      <c r="K159" s="47"/>
      <c r="L159" s="203"/>
      <c r="M159" s="203"/>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259" t="s">
        <v>101</v>
      </c>
      <c r="H160" s="13" t="str">
        <f>IF(COUNTBLANK($A160:$E160)&gt;0, "", IFERROR(AVERAGEIFS(Log!$E:$E, Log!$A:$A, $A160, Log!$B:$B, $B160, Log!$C:$C, $C160),""))</f>
        <v/>
      </c>
      <c r="I160" s="48" t="str">
        <f t="shared" si="7"/>
        <v/>
      </c>
      <c r="J160" s="47"/>
      <c r="K160" s="47"/>
      <c r="L160" s="203"/>
      <c r="M160" s="203"/>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259" t="s">
        <v>101</v>
      </c>
      <c r="H161" s="13" t="str">
        <f>IF(COUNTBLANK($A161:$E161)&gt;0, "", IFERROR(AVERAGEIFS(Log!$E:$E, Log!$A:$A, $A161, Log!$B:$B, $B161, Log!$C:$C, $C161),""))</f>
        <v/>
      </c>
      <c r="I161" s="48" t="str">
        <f t="shared" si="7"/>
        <v/>
      </c>
      <c r="J161" s="47"/>
      <c r="K161" s="47"/>
      <c r="L161" s="203"/>
      <c r="M161" s="203"/>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259" t="s">
        <v>101</v>
      </c>
      <c r="H162" s="13" t="str">
        <f>IF(COUNTBLANK($A162:$E162)&gt;0, "", IFERROR(AVERAGEIFS(Log!$E:$E, Log!$A:$A, $A162, Log!$B:$B, $B162, Log!$C:$C, $C162),""))</f>
        <v/>
      </c>
      <c r="I162" s="48" t="str">
        <f t="shared" si="7"/>
        <v/>
      </c>
      <c r="J162" s="47"/>
      <c r="K162" s="47"/>
      <c r="L162" s="203"/>
      <c r="M162" s="203"/>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259" t="s">
        <v>101</v>
      </c>
      <c r="H163" s="13" t="str">
        <f>IF(COUNTBLANK($A163:$E163)&gt;0, "", IFERROR(AVERAGEIFS(Log!$E:$E, Log!$A:$A, $A163, Log!$B:$B, $B163, Log!$C:$C, $C163),""))</f>
        <v/>
      </c>
      <c r="I163" s="48" t="str">
        <f t="shared" si="7"/>
        <v/>
      </c>
      <c r="J163" s="47"/>
      <c r="K163" s="47"/>
      <c r="L163" s="203"/>
      <c r="M163" s="203"/>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259" t="s">
        <v>101</v>
      </c>
      <c r="H164" s="13" t="str">
        <f>IF(COUNTBLANK($A164:$E164)&gt;0, "", IFERROR(AVERAGEIFS(Log!$E:$E, Log!$A:$A, $A164, Log!$B:$B, $B164, Log!$C:$C, $C164),""))</f>
        <v/>
      </c>
      <c r="I164" s="48" t="str">
        <f t="shared" si="7"/>
        <v/>
      </c>
      <c r="J164" s="47"/>
      <c r="K164" s="47"/>
      <c r="L164" s="203"/>
      <c r="M164" s="203"/>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259" t="s">
        <v>101</v>
      </c>
      <c r="H165" s="13" t="str">
        <f>IF(COUNTBLANK($A165:$E165)&gt;0, "", IFERROR(AVERAGEIFS(Log!$E:$E, Log!$A:$A, $A165, Log!$B:$B, $B165, Log!$C:$C, $C165),""))</f>
        <v/>
      </c>
      <c r="I165" s="48" t="str">
        <f t="shared" si="7"/>
        <v/>
      </c>
      <c r="J165" s="47"/>
      <c r="K165" s="47"/>
      <c r="L165" s="203"/>
      <c r="M165" s="203"/>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259" t="s">
        <v>101</v>
      </c>
      <c r="H166" s="13" t="str">
        <f>IF(COUNTBLANK($A166:$E166)&gt;0, "", IFERROR(AVERAGEIFS(Log!$E:$E, Log!$A:$A, $A166, Log!$B:$B, $B166, Log!$C:$C, $C166),""))</f>
        <v/>
      </c>
      <c r="I166" s="48" t="str">
        <f t="shared" si="7"/>
        <v/>
      </c>
      <c r="J166" s="47"/>
      <c r="K166" s="47"/>
      <c r="L166" s="203"/>
      <c r="M166" s="203"/>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259" t="s">
        <v>101</v>
      </c>
      <c r="H167" s="13" t="str">
        <f>IF(COUNTBLANK($A167:$E167)&gt;0, "", IFERROR(AVERAGEIFS(Log!$E:$E, Log!$A:$A, $A167, Log!$B:$B, $B167, Log!$C:$C, $C167),""))</f>
        <v/>
      </c>
      <c r="I167" s="48" t="str">
        <f t="shared" si="7"/>
        <v/>
      </c>
      <c r="J167" s="47"/>
      <c r="K167" s="47"/>
      <c r="L167" s="203"/>
      <c r="M167" s="203"/>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259" t="s">
        <v>101</v>
      </c>
      <c r="H168" s="13" t="str">
        <f>IF(COUNTBLANK($A168:$E168)&gt;0, "", IFERROR(AVERAGEIFS(Log!$E:$E, Log!$A:$A, $A168, Log!$B:$B, $B168, Log!$C:$C, $C168),""))</f>
        <v/>
      </c>
      <c r="I168" s="48" t="str">
        <f t="shared" si="7"/>
        <v/>
      </c>
      <c r="J168" s="47"/>
      <c r="K168" s="47"/>
      <c r="L168" s="203"/>
      <c r="M168" s="203"/>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259" t="s">
        <v>101</v>
      </c>
      <c r="H169" s="13" t="str">
        <f>IF(COUNTBLANK($A169:$E169)&gt;0, "", IFERROR(AVERAGEIFS(Log!$E:$E, Log!$A:$A, $A169, Log!$B:$B, $B169, Log!$C:$C, $C169),""))</f>
        <v/>
      </c>
      <c r="I169" s="48" t="str">
        <f t="shared" si="7"/>
        <v/>
      </c>
      <c r="J169" s="47"/>
      <c r="K169" s="47"/>
      <c r="L169" s="203"/>
      <c r="M169" s="203"/>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259" t="s">
        <v>101</v>
      </c>
      <c r="H170" s="13" t="str">
        <f>IF(COUNTBLANK($A170:$E170)&gt;0, "", IFERROR(AVERAGEIFS(Log!$E:$E, Log!$A:$A, $A170, Log!$B:$B, $B170, Log!$C:$C, $C170),""))</f>
        <v/>
      </c>
      <c r="I170" s="48" t="str">
        <f t="shared" si="7"/>
        <v/>
      </c>
      <c r="J170" s="47"/>
      <c r="K170" s="47"/>
      <c r="L170" s="203"/>
      <c r="M170" s="203"/>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259" t="s">
        <v>101</v>
      </c>
      <c r="H171" s="13" t="str">
        <f>IF(COUNTBLANK($A171:$E171)&gt;0, "", IFERROR(AVERAGEIFS(Log!$E:$E, Log!$A:$A, $A171, Log!$B:$B, $B171, Log!$C:$C, $C171),""))</f>
        <v/>
      </c>
      <c r="I171" s="48" t="str">
        <f t="shared" si="7"/>
        <v/>
      </c>
      <c r="J171" s="47"/>
      <c r="K171" s="47"/>
      <c r="L171" s="203"/>
      <c r="M171" s="203"/>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259" t="s">
        <v>101</v>
      </c>
      <c r="H172" s="13" t="str">
        <f>IF(COUNTBLANK($A172:$E172)&gt;0, "", IFERROR(AVERAGEIFS(Log!$E:$E, Log!$A:$A, $A172, Log!$B:$B, $B172, Log!$C:$C, $C172),""))</f>
        <v/>
      </c>
      <c r="I172" s="48" t="str">
        <f t="shared" si="7"/>
        <v/>
      </c>
      <c r="J172" s="47"/>
      <c r="K172" s="47"/>
      <c r="L172" s="203"/>
      <c r="M172" s="203"/>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259" t="s">
        <v>101</v>
      </c>
      <c r="H173" s="13" t="str">
        <f>IF(COUNTBLANK($A173:$E173)&gt;0, "", IFERROR(AVERAGEIFS(Log!$E:$E, Log!$A:$A, $A173, Log!$B:$B, $B173, Log!$C:$C, $C173),""))</f>
        <v/>
      </c>
      <c r="I173" s="48" t="str">
        <f t="shared" si="7"/>
        <v/>
      </c>
      <c r="J173" s="47"/>
      <c r="K173" s="47"/>
      <c r="L173" s="203"/>
      <c r="M173" s="203"/>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259" t="s">
        <v>101</v>
      </c>
      <c r="H174" s="13" t="str">
        <f>IF(COUNTBLANK($A174:$E174)&gt;0, "", IFERROR(AVERAGEIFS(Log!$E:$E, Log!$A:$A, $A174, Log!$B:$B, $B174, Log!$C:$C, $C174),""))</f>
        <v/>
      </c>
      <c r="I174" s="48" t="str">
        <f t="shared" si="7"/>
        <v/>
      </c>
      <c r="J174" s="47"/>
      <c r="K174" s="47"/>
      <c r="L174" s="203"/>
      <c r="M174" s="203"/>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259" t="s">
        <v>101</v>
      </c>
      <c r="H175" s="13" t="str">
        <f>IF(COUNTBLANK($A175:$E175)&gt;0, "", IFERROR(AVERAGEIFS(Log!$E:$E, Log!$A:$A, $A175, Log!$B:$B, $B175, Log!$C:$C, $C175),""))</f>
        <v/>
      </c>
      <c r="I175" s="48" t="str">
        <f t="shared" si="7"/>
        <v/>
      </c>
      <c r="J175" s="47"/>
      <c r="K175" s="47"/>
      <c r="L175" s="203"/>
      <c r="M175" s="203"/>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259" t="s">
        <v>101</v>
      </c>
      <c r="H176" s="13" t="str">
        <f>IF(COUNTBLANK($A176:$E176)&gt;0, "", IFERROR(AVERAGEIFS(Log!$E:$E, Log!$A:$A, $A176, Log!$B:$B, $B176, Log!$C:$C, $C176),""))</f>
        <v/>
      </c>
      <c r="I176" s="48" t="str">
        <f t="shared" si="7"/>
        <v/>
      </c>
      <c r="J176" s="47"/>
      <c r="K176" s="47"/>
      <c r="L176" s="203"/>
      <c r="M176" s="203"/>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259" t="s">
        <v>101</v>
      </c>
      <c r="H177" s="13" t="str">
        <f>IF(COUNTBLANK($A177:$E177)&gt;0, "", IFERROR(AVERAGEIFS(Log!$E:$E, Log!$A:$A, $A177, Log!$B:$B, $B177, Log!$C:$C, $C177),""))</f>
        <v/>
      </c>
      <c r="I177" s="48" t="str">
        <f t="shared" si="7"/>
        <v/>
      </c>
      <c r="J177" s="47"/>
      <c r="K177" s="47"/>
      <c r="L177" s="203"/>
      <c r="M177" s="203"/>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259" t="s">
        <v>101</v>
      </c>
      <c r="H178" s="13" t="str">
        <f>IF(COUNTBLANK($A178:$E178)&gt;0, "", IFERROR(AVERAGEIFS(Log!$E:$E, Log!$A:$A, $A178, Log!$B:$B, $B178, Log!$C:$C, $C178),""))</f>
        <v/>
      </c>
      <c r="I178" s="48" t="str">
        <f t="shared" si="7"/>
        <v/>
      </c>
      <c r="J178" s="47"/>
      <c r="K178" s="47"/>
      <c r="L178" s="203"/>
      <c r="M178" s="203"/>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259" t="s">
        <v>101</v>
      </c>
      <c r="H179" s="13" t="str">
        <f>IF(COUNTBLANK($A179:$E179)&gt;0, "", IFERROR(AVERAGEIFS(Log!$E:$E, Log!$A:$A, $A179, Log!$B:$B, $B179, Log!$C:$C, $C179),""))</f>
        <v/>
      </c>
      <c r="I179" s="48" t="str">
        <f t="shared" si="7"/>
        <v/>
      </c>
      <c r="J179" s="47"/>
      <c r="K179" s="47"/>
      <c r="L179" s="203"/>
      <c r="M179" s="203"/>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259" t="s">
        <v>101</v>
      </c>
      <c r="H180" s="13" t="str">
        <f>IF(COUNTBLANK($A180:$E180)&gt;0, "", IFERROR(AVERAGEIFS(Log!$E:$E, Log!$A:$A, $A180, Log!$B:$B, $B180, Log!$C:$C, $C180),""))</f>
        <v/>
      </c>
      <c r="I180" s="48" t="str">
        <f t="shared" si="7"/>
        <v/>
      </c>
      <c r="J180" s="47"/>
      <c r="K180" s="47"/>
      <c r="L180" s="203"/>
      <c r="M180" s="203"/>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259" t="s">
        <v>101</v>
      </c>
      <c r="H181" s="13" t="str">
        <f>IF(COUNTBLANK($A181:$E181)&gt;0, "", IFERROR(AVERAGEIFS(Log!$E:$E, Log!$A:$A, $A181, Log!$B:$B, $B181, Log!$C:$C, $C181),""))</f>
        <v/>
      </c>
      <c r="I181" s="48" t="str">
        <f t="shared" si="7"/>
        <v/>
      </c>
      <c r="J181" s="47"/>
      <c r="K181" s="47"/>
      <c r="L181" s="203"/>
      <c r="M181" s="203"/>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259" t="s">
        <v>101</v>
      </c>
      <c r="H182" s="13" t="str">
        <f>IF(COUNTBLANK($A182:$E182)&gt;0, "", IFERROR(AVERAGEIFS(Log!$E:$E, Log!$A:$A, $A182, Log!$B:$B, $B182, Log!$C:$C, $C182),""))</f>
        <v/>
      </c>
      <c r="I182" s="48" t="str">
        <f t="shared" si="7"/>
        <v/>
      </c>
      <c r="J182" s="47"/>
      <c r="K182" s="47"/>
      <c r="L182" s="203"/>
      <c r="M182" s="203"/>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259" t="s">
        <v>101</v>
      </c>
      <c r="H183" s="13" t="str">
        <f>IF(COUNTBLANK($A183:$E183)&gt;0, "", IFERROR(AVERAGEIFS(Log!$E:$E, Log!$A:$A, $A183, Log!$B:$B, $B183, Log!$C:$C, $C183),""))</f>
        <v/>
      </c>
      <c r="I183" s="48" t="str">
        <f t="shared" si="7"/>
        <v/>
      </c>
      <c r="J183" s="47"/>
      <c r="K183" s="47"/>
      <c r="L183" s="203"/>
      <c r="M183" s="203"/>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259" t="s">
        <v>101</v>
      </c>
      <c r="H184" s="13" t="str">
        <f>IF(COUNTBLANK($A184:$E184)&gt;0, "", IFERROR(AVERAGEIFS(Log!$E:$E, Log!$A:$A, $A184, Log!$B:$B, $B184, Log!$C:$C, $C184),""))</f>
        <v/>
      </c>
      <c r="I184" s="48" t="str">
        <f t="shared" si="7"/>
        <v/>
      </c>
      <c r="J184" s="47"/>
      <c r="K184" s="47"/>
      <c r="L184" s="203"/>
      <c r="M184" s="203"/>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259" t="s">
        <v>101</v>
      </c>
      <c r="H185" s="13" t="str">
        <f>IF(COUNTBLANK($A185:$E185)&gt;0, "", IFERROR(AVERAGEIFS(Log!$E:$E, Log!$A:$A, $A185, Log!$B:$B, $B185, Log!$C:$C, $C185),""))</f>
        <v/>
      </c>
      <c r="I185" s="48" t="str">
        <f t="shared" si="7"/>
        <v/>
      </c>
      <c r="J185" s="47"/>
      <c r="K185" s="47"/>
      <c r="L185" s="203"/>
      <c r="M185" s="203"/>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259" t="s">
        <v>101</v>
      </c>
      <c r="H186" s="13" t="str">
        <f>IF(COUNTBLANK($A186:$E186)&gt;0, "", IFERROR(AVERAGEIFS(Log!$E:$E, Log!$A:$A, $A186, Log!$B:$B, $B186, Log!$C:$C, $C186),""))</f>
        <v/>
      </c>
      <c r="I186" s="48" t="str">
        <f t="shared" si="7"/>
        <v/>
      </c>
      <c r="J186" s="47"/>
      <c r="K186" s="47"/>
      <c r="L186" s="203"/>
      <c r="M186" s="203"/>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259" t="s">
        <v>101</v>
      </c>
      <c r="H187" s="13" t="str">
        <f>IF(COUNTBLANK($A187:$E187)&gt;0, "", IFERROR(AVERAGEIFS(Log!$E:$E, Log!$A:$A, $A187, Log!$B:$B, $B187, Log!$C:$C, $C187),""))</f>
        <v/>
      </c>
      <c r="I187" s="48" t="str">
        <f t="shared" si="7"/>
        <v/>
      </c>
      <c r="J187" s="47"/>
      <c r="K187" s="47"/>
      <c r="L187" s="203"/>
      <c r="M187" s="203"/>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259" t="s">
        <v>101</v>
      </c>
      <c r="H188" s="13" t="str">
        <f>IF(COUNTBLANK($A188:$E188)&gt;0, "", IFERROR(AVERAGEIFS(Log!$E:$E, Log!$A:$A, $A188, Log!$B:$B, $B188, Log!$C:$C, $C188),""))</f>
        <v/>
      </c>
      <c r="I188" s="48" t="str">
        <f t="shared" si="7"/>
        <v/>
      </c>
      <c r="J188" s="47"/>
      <c r="K188" s="47"/>
      <c r="L188" s="203"/>
      <c r="M188" s="203"/>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259" t="s">
        <v>101</v>
      </c>
      <c r="H189" s="13" t="str">
        <f>IF(COUNTBLANK($A189:$E189)&gt;0, "", IFERROR(AVERAGEIFS(Log!$E:$E, Log!$A:$A, $A189, Log!$B:$B, $B189, Log!$C:$C, $C189),""))</f>
        <v/>
      </c>
      <c r="I189" s="48" t="str">
        <f t="shared" si="7"/>
        <v/>
      </c>
      <c r="J189" s="47"/>
      <c r="K189" s="47"/>
      <c r="L189" s="203"/>
      <c r="M189" s="203"/>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259" t="s">
        <v>101</v>
      </c>
      <c r="H190" s="13" t="str">
        <f>IF(COUNTBLANK($A190:$E190)&gt;0, "", IFERROR(AVERAGEIFS(Log!$E:$E, Log!$A:$A, $A190, Log!$B:$B, $B190, Log!$C:$C, $C190),""))</f>
        <v/>
      </c>
      <c r="I190" s="48" t="str">
        <f t="shared" si="7"/>
        <v/>
      </c>
      <c r="J190" s="47"/>
      <c r="K190" s="47"/>
      <c r="L190" s="203"/>
      <c r="M190" s="203"/>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259"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259"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259"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259"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259"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259"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259"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259"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259"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259"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259"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259"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259"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259"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259"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259"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259"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259"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259"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259"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259"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259"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259"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259"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259"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259"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259"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259"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259"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259"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259"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259"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259"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259"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259"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259"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259"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259"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259"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259"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259"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259"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259"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259"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259"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259"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259"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259"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259"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259"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259"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259"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259"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259"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259"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259"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259"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259"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259"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259"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259"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259"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259"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259"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259"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259"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259"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259"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259"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259"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259"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259"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259"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259"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259"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259"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259"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259"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259"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259"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259"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259"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259"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259"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259"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259"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259"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259"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259"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259"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259"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259"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259"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259"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259"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259"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259"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259"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259"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259"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259"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259"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259"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259"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259"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259"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259"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259"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259"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259"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259"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259"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259"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259"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259"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259"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259"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259"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259"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259"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259"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259"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259"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259"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259"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259"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259"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259"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259"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259"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259"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259"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259"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259"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259"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259"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259"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259"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259"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259"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259"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259"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259"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259"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259"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259"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259"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259"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259"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259"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259"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259"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259"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259"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259"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259"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259"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259"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259"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259"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259"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259"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259"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259"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259"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259"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259"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259"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259"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259"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259"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259"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259"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259"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259"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259"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259"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259"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259"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259"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259"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259"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259"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259"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259"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259"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259"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259"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259"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259"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259"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259"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259"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259"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259"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259"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259"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259"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259"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259"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259"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259"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259"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259"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259"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259"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259"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259"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259"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259"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259"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259"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259"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259"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259" t="s">
        <v>101</v>
      </c>
    </row>
    <row r="406" spans="2:95" ht="40.049999999999997" customHeight="1" x14ac:dyDescent="0.3">
      <c r="B406" s="259" t="s">
        <v>101</v>
      </c>
    </row>
    <row r="407" spans="2:95" ht="40.049999999999997" customHeight="1" x14ac:dyDescent="0.3">
      <c r="B407" s="259" t="s">
        <v>101</v>
      </c>
    </row>
    <row r="408" spans="2:95" ht="40.049999999999997" customHeight="1" x14ac:dyDescent="0.3">
      <c r="B408" s="259" t="s">
        <v>101</v>
      </c>
    </row>
    <row r="409" spans="2:95" ht="40.049999999999997" customHeight="1" x14ac:dyDescent="0.3">
      <c r="B409" s="259" t="s">
        <v>101</v>
      </c>
    </row>
    <row r="410" spans="2:95" ht="40.049999999999997" customHeight="1" x14ac:dyDescent="0.3">
      <c r="B410" s="259" t="s">
        <v>101</v>
      </c>
    </row>
    <row r="411" spans="2:95" ht="40.049999999999997" customHeight="1" x14ac:dyDescent="0.3">
      <c r="B411" s="259" t="s">
        <v>101</v>
      </c>
    </row>
    <row r="412" spans="2:95" ht="40.049999999999997" customHeight="1" x14ac:dyDescent="0.3">
      <c r="B412" s="259" t="s">
        <v>101</v>
      </c>
    </row>
    <row r="413" spans="2:95" ht="40.049999999999997" customHeight="1" x14ac:dyDescent="0.3">
      <c r="B413" s="259" t="s">
        <v>101</v>
      </c>
    </row>
    <row r="414" spans="2:95" ht="40.049999999999997" customHeight="1" x14ac:dyDescent="0.3">
      <c r="B414" s="259" t="s">
        <v>101</v>
      </c>
    </row>
    <row r="415" spans="2:95" ht="40.049999999999997" customHeight="1" x14ac:dyDescent="0.3">
      <c r="B415" s="259" t="s">
        <v>101</v>
      </c>
    </row>
    <row r="416" spans="2:95" ht="40.049999999999997" customHeight="1" x14ac:dyDescent="0.3">
      <c r="B416" s="259" t="s">
        <v>101</v>
      </c>
    </row>
    <row r="417" spans="2:2" ht="40.049999999999997" customHeight="1" x14ac:dyDescent="0.3">
      <c r="B417" s="259" t="s">
        <v>101</v>
      </c>
    </row>
    <row r="418" spans="2:2" ht="40.049999999999997" customHeight="1" x14ac:dyDescent="0.3">
      <c r="B418" s="259" t="s">
        <v>101</v>
      </c>
    </row>
    <row r="419" spans="2:2" ht="40.049999999999997" customHeight="1" x14ac:dyDescent="0.3">
      <c r="B419" s="259" t="s">
        <v>101</v>
      </c>
    </row>
    <row r="420" spans="2:2" ht="40.049999999999997" customHeight="1" x14ac:dyDescent="0.3">
      <c r="B420" s="259" t="s">
        <v>101</v>
      </c>
    </row>
    <row r="421" spans="2:2" ht="40.049999999999997" customHeight="1" x14ac:dyDescent="0.3">
      <c r="B421" s="259" t="s">
        <v>101</v>
      </c>
    </row>
    <row r="422" spans="2:2" ht="40.049999999999997" customHeight="1" x14ac:dyDescent="0.3">
      <c r="B422" s="259" t="s">
        <v>101</v>
      </c>
    </row>
    <row r="423" spans="2:2" ht="40.049999999999997" customHeight="1" x14ac:dyDescent="0.3">
      <c r="B423" s="259" t="s">
        <v>101</v>
      </c>
    </row>
    <row r="424" spans="2:2" ht="40.049999999999997" customHeight="1" x14ac:dyDescent="0.3">
      <c r="B424" s="259" t="s">
        <v>101</v>
      </c>
    </row>
    <row r="425" spans="2:2" ht="40.049999999999997" customHeight="1" x14ac:dyDescent="0.3">
      <c r="B425" s="259" t="s">
        <v>101</v>
      </c>
    </row>
    <row r="426" spans="2:2" ht="40.049999999999997" customHeight="1" x14ac:dyDescent="0.3">
      <c r="B426" s="259" t="s">
        <v>101</v>
      </c>
    </row>
    <row r="427" spans="2:2" ht="40.049999999999997" customHeight="1" x14ac:dyDescent="0.3">
      <c r="B427" s="259" t="s">
        <v>101</v>
      </c>
    </row>
    <row r="428" spans="2:2" ht="40.049999999999997" customHeight="1" x14ac:dyDescent="0.3">
      <c r="B428" s="259" t="s">
        <v>101</v>
      </c>
    </row>
    <row r="429" spans="2:2" ht="40.049999999999997" customHeight="1" x14ac:dyDescent="0.3">
      <c r="B429" s="259" t="s">
        <v>101</v>
      </c>
    </row>
    <row r="430" spans="2:2" ht="40.049999999999997" customHeight="1" x14ac:dyDescent="0.3">
      <c r="B430" s="259" t="s">
        <v>101</v>
      </c>
    </row>
    <row r="431" spans="2:2" ht="40.049999999999997" customHeight="1" x14ac:dyDescent="0.3">
      <c r="B431" s="259" t="s">
        <v>101</v>
      </c>
    </row>
    <row r="432" spans="2:2" ht="40.049999999999997" customHeight="1" x14ac:dyDescent="0.3">
      <c r="B432" s="259" t="s">
        <v>101</v>
      </c>
    </row>
    <row r="433" spans="2:2" ht="40.049999999999997" customHeight="1" x14ac:dyDescent="0.3">
      <c r="B433" s="259" t="s">
        <v>101</v>
      </c>
    </row>
    <row r="434" spans="2:2" ht="40.049999999999997" customHeight="1" x14ac:dyDescent="0.3">
      <c r="B434" s="259" t="s">
        <v>101</v>
      </c>
    </row>
    <row r="435" spans="2:2" ht="40.049999999999997" customHeight="1" x14ac:dyDescent="0.3">
      <c r="B435" s="259" t="s">
        <v>101</v>
      </c>
    </row>
    <row r="436" spans="2:2" ht="40.049999999999997" customHeight="1" x14ac:dyDescent="0.3">
      <c r="B436" s="259" t="s">
        <v>101</v>
      </c>
    </row>
    <row r="437" spans="2:2" ht="40.049999999999997" customHeight="1" x14ac:dyDescent="0.3">
      <c r="B437" s="259" t="s">
        <v>101</v>
      </c>
    </row>
    <row r="438" spans="2:2" ht="40.049999999999997" customHeight="1" x14ac:dyDescent="0.3">
      <c r="B438" s="259" t="s">
        <v>101</v>
      </c>
    </row>
    <row r="439" spans="2:2" ht="40.049999999999997" customHeight="1" x14ac:dyDescent="0.3">
      <c r="B439" s="259" t="s">
        <v>101</v>
      </c>
    </row>
    <row r="440" spans="2:2" ht="40.049999999999997" customHeight="1" x14ac:dyDescent="0.3">
      <c r="B440" s="259" t="s">
        <v>101</v>
      </c>
    </row>
    <row r="441" spans="2:2" ht="40.049999999999997" customHeight="1" x14ac:dyDescent="0.3">
      <c r="B441" s="259" t="s">
        <v>101</v>
      </c>
    </row>
    <row r="442" spans="2:2" ht="40.049999999999997" customHeight="1" x14ac:dyDescent="0.3">
      <c r="B442" s="259" t="s">
        <v>101</v>
      </c>
    </row>
    <row r="443" spans="2:2" ht="40.049999999999997" customHeight="1" x14ac:dyDescent="0.3">
      <c r="B443" s="259" t="s">
        <v>101</v>
      </c>
    </row>
    <row r="444" spans="2:2" ht="40.049999999999997" customHeight="1" x14ac:dyDescent="0.3">
      <c r="B444" s="259" t="s">
        <v>101</v>
      </c>
    </row>
    <row r="445" spans="2:2" ht="40.049999999999997" customHeight="1" x14ac:dyDescent="0.3">
      <c r="B445" s="259" t="s">
        <v>101</v>
      </c>
    </row>
    <row r="446" spans="2:2" ht="40.049999999999997" customHeight="1" x14ac:dyDescent="0.3">
      <c r="B446" s="259" t="s">
        <v>101</v>
      </c>
    </row>
    <row r="447" spans="2:2" ht="40.049999999999997" customHeight="1" x14ac:dyDescent="0.3">
      <c r="B447" s="259" t="s">
        <v>101</v>
      </c>
    </row>
    <row r="448" spans="2:2" ht="40.049999999999997" customHeight="1" x14ac:dyDescent="0.3">
      <c r="B448" s="259" t="s">
        <v>101</v>
      </c>
    </row>
    <row r="449" spans="2:2" ht="40.049999999999997" customHeight="1" x14ac:dyDescent="0.3">
      <c r="B449" s="259" t="s">
        <v>101</v>
      </c>
    </row>
    <row r="450" spans="2:2" ht="40.049999999999997" customHeight="1" x14ac:dyDescent="0.3">
      <c r="B450" s="259" t="s">
        <v>101</v>
      </c>
    </row>
    <row r="451" spans="2:2" ht="40.049999999999997" customHeight="1" x14ac:dyDescent="0.3">
      <c r="B451" s="259" t="s">
        <v>101</v>
      </c>
    </row>
    <row r="452" spans="2:2" ht="40.049999999999997" customHeight="1" x14ac:dyDescent="0.3">
      <c r="B452" s="259" t="s">
        <v>101</v>
      </c>
    </row>
    <row r="453" spans="2:2" ht="40.049999999999997" customHeight="1" x14ac:dyDescent="0.3">
      <c r="B453" s="259" t="s">
        <v>101</v>
      </c>
    </row>
    <row r="454" spans="2:2" ht="40.049999999999997" customHeight="1" x14ac:dyDescent="0.3">
      <c r="B454" s="259" t="s">
        <v>101</v>
      </c>
    </row>
    <row r="455" spans="2:2" ht="40.049999999999997" customHeight="1" x14ac:dyDescent="0.3">
      <c r="B455" s="259" t="s">
        <v>101</v>
      </c>
    </row>
    <row r="456" spans="2:2" ht="40.049999999999997" customHeight="1" x14ac:dyDescent="0.3">
      <c r="B456" s="259" t="s">
        <v>101</v>
      </c>
    </row>
    <row r="457" spans="2:2" ht="40.049999999999997" customHeight="1" x14ac:dyDescent="0.3">
      <c r="B457" s="259" t="s">
        <v>101</v>
      </c>
    </row>
    <row r="458" spans="2:2" ht="40.049999999999997" customHeight="1" x14ac:dyDescent="0.3">
      <c r="B458" s="259" t="s">
        <v>101</v>
      </c>
    </row>
    <row r="459" spans="2:2" ht="40.049999999999997" customHeight="1" x14ac:dyDescent="0.3">
      <c r="B459" s="259" t="s">
        <v>101</v>
      </c>
    </row>
    <row r="460" spans="2:2" ht="40.049999999999997" customHeight="1" x14ac:dyDescent="0.3">
      <c r="B460" s="259" t="s">
        <v>101</v>
      </c>
    </row>
    <row r="461" spans="2:2" ht="40.049999999999997" customHeight="1" x14ac:dyDescent="0.3">
      <c r="B461" s="259" t="s">
        <v>101</v>
      </c>
    </row>
    <row r="462" spans="2:2" ht="40.049999999999997" customHeight="1" x14ac:dyDescent="0.3">
      <c r="B462" s="259" t="s">
        <v>101</v>
      </c>
    </row>
    <row r="463" spans="2:2" ht="40.049999999999997" customHeight="1" x14ac:dyDescent="0.3">
      <c r="B463" s="259" t="s">
        <v>101</v>
      </c>
    </row>
    <row r="464" spans="2:2" ht="40.049999999999997" customHeight="1" x14ac:dyDescent="0.3">
      <c r="B464" s="259" t="s">
        <v>101</v>
      </c>
    </row>
    <row r="465" spans="2:2" ht="40.049999999999997" customHeight="1" x14ac:dyDescent="0.3">
      <c r="B465" s="259" t="s">
        <v>101</v>
      </c>
    </row>
    <row r="466" spans="2:2" ht="40.049999999999997" customHeight="1" x14ac:dyDescent="0.3">
      <c r="B466" s="259" t="s">
        <v>101</v>
      </c>
    </row>
    <row r="467" spans="2:2" ht="40.049999999999997" customHeight="1" x14ac:dyDescent="0.3">
      <c r="B467" s="259" t="s">
        <v>101</v>
      </c>
    </row>
    <row r="468" spans="2:2" ht="40.049999999999997" customHeight="1" x14ac:dyDescent="0.3">
      <c r="B468" s="259" t="s">
        <v>101</v>
      </c>
    </row>
    <row r="469" spans="2:2" ht="40.049999999999997" customHeight="1" x14ac:dyDescent="0.3">
      <c r="B469" s="259" t="s">
        <v>101</v>
      </c>
    </row>
    <row r="470" spans="2:2" ht="40.049999999999997" customHeight="1" x14ac:dyDescent="0.3">
      <c r="B470" s="259" t="s">
        <v>101</v>
      </c>
    </row>
    <row r="471" spans="2:2" ht="40.049999999999997" customHeight="1" x14ac:dyDescent="0.3">
      <c r="B471" s="259" t="s">
        <v>101</v>
      </c>
    </row>
    <row r="472" spans="2:2" ht="40.049999999999997" customHeight="1" x14ac:dyDescent="0.3">
      <c r="B472" s="259" t="s">
        <v>101</v>
      </c>
    </row>
    <row r="473" spans="2:2" ht="40.049999999999997" customHeight="1" x14ac:dyDescent="0.3">
      <c r="B473" s="259" t="s">
        <v>101</v>
      </c>
    </row>
    <row r="474" spans="2:2" ht="40.049999999999997" customHeight="1" x14ac:dyDescent="0.3">
      <c r="B474" s="259" t="s">
        <v>101</v>
      </c>
    </row>
    <row r="475" spans="2:2" ht="40.049999999999997" customHeight="1" x14ac:dyDescent="0.3">
      <c r="B475" s="259" t="s">
        <v>101</v>
      </c>
    </row>
    <row r="476" spans="2:2" ht="40.049999999999997" customHeight="1" x14ac:dyDescent="0.3">
      <c r="B476" s="259" t="s">
        <v>101</v>
      </c>
    </row>
    <row r="477" spans="2:2" ht="40.049999999999997" customHeight="1" x14ac:dyDescent="0.3">
      <c r="B477" s="259" t="s">
        <v>101</v>
      </c>
    </row>
    <row r="478" spans="2:2" ht="40.049999999999997" customHeight="1" x14ac:dyDescent="0.3">
      <c r="B478" s="259" t="s">
        <v>101</v>
      </c>
    </row>
    <row r="479" spans="2:2" ht="40.049999999999997" customHeight="1" x14ac:dyDescent="0.3">
      <c r="B479" s="259" t="s">
        <v>101</v>
      </c>
    </row>
    <row r="480" spans="2:2" ht="40.049999999999997" customHeight="1" x14ac:dyDescent="0.3">
      <c r="B480" s="259" t="s">
        <v>101</v>
      </c>
    </row>
    <row r="481" spans="2:2" ht="40.049999999999997" customHeight="1" x14ac:dyDescent="0.3">
      <c r="B481" s="259" t="s">
        <v>101</v>
      </c>
    </row>
    <row r="482" spans="2:2" ht="40.049999999999997" customHeight="1" x14ac:dyDescent="0.3">
      <c r="B482" s="259" t="s">
        <v>101</v>
      </c>
    </row>
    <row r="483" spans="2:2" ht="40.049999999999997" customHeight="1" x14ac:dyDescent="0.3">
      <c r="B483" s="259" t="s">
        <v>101</v>
      </c>
    </row>
    <row r="484" spans="2:2" ht="40.049999999999997" customHeight="1" x14ac:dyDescent="0.3">
      <c r="B484" s="259" t="s">
        <v>101</v>
      </c>
    </row>
    <row r="485" spans="2:2" ht="40.049999999999997" customHeight="1" x14ac:dyDescent="0.3">
      <c r="B485" s="259" t="s">
        <v>101</v>
      </c>
    </row>
    <row r="486" spans="2:2" ht="40.049999999999997" customHeight="1" x14ac:dyDescent="0.3">
      <c r="B486" s="259" t="s">
        <v>101</v>
      </c>
    </row>
    <row r="487" spans="2:2" ht="40.049999999999997" customHeight="1" x14ac:dyDescent="0.3">
      <c r="B487" s="259" t="s">
        <v>101</v>
      </c>
    </row>
    <row r="488" spans="2:2" ht="40.049999999999997" customHeight="1" x14ac:dyDescent="0.3">
      <c r="B488" s="259" t="s">
        <v>101</v>
      </c>
    </row>
    <row r="489" spans="2:2" ht="40.049999999999997" customHeight="1" x14ac:dyDescent="0.3">
      <c r="B489" s="259" t="s">
        <v>101</v>
      </c>
    </row>
    <row r="490" spans="2:2" ht="40.049999999999997" customHeight="1" x14ac:dyDescent="0.3">
      <c r="B490" s="259" t="s">
        <v>101</v>
      </c>
    </row>
    <row r="491" spans="2:2" ht="40.049999999999997" customHeight="1" x14ac:dyDescent="0.3">
      <c r="B491" s="259" t="s">
        <v>101</v>
      </c>
    </row>
    <row r="492" spans="2:2" ht="40.049999999999997" customHeight="1" x14ac:dyDescent="0.3">
      <c r="B492" s="259" t="s">
        <v>101</v>
      </c>
    </row>
    <row r="493" spans="2:2" ht="40.049999999999997" customHeight="1" x14ac:dyDescent="0.3">
      <c r="B493" s="259" t="s">
        <v>101</v>
      </c>
    </row>
    <row r="494" spans="2:2" ht="40.049999999999997" customHeight="1" x14ac:dyDescent="0.3">
      <c r="B494" s="259" t="s">
        <v>101</v>
      </c>
    </row>
    <row r="495" spans="2:2" ht="40.049999999999997" customHeight="1" x14ac:dyDescent="0.3">
      <c r="B495" s="259" t="s">
        <v>101</v>
      </c>
    </row>
    <row r="496" spans="2:2" ht="40.049999999999997" customHeight="1" x14ac:dyDescent="0.3">
      <c r="B496" s="259" t="s">
        <v>101</v>
      </c>
    </row>
    <row r="497" spans="2:2" ht="40.049999999999997" customHeight="1" x14ac:dyDescent="0.3">
      <c r="B497" s="259" t="s">
        <v>101</v>
      </c>
    </row>
    <row r="498" spans="2:2" ht="40.049999999999997" customHeight="1" x14ac:dyDescent="0.3">
      <c r="B498" s="259" t="s">
        <v>101</v>
      </c>
    </row>
    <row r="499" spans="2:2" ht="40.049999999999997" customHeight="1" x14ac:dyDescent="0.3">
      <c r="B499" s="259" t="s">
        <v>101</v>
      </c>
    </row>
    <row r="500" spans="2:2" ht="40.049999999999997" customHeight="1" x14ac:dyDescent="0.3">
      <c r="B500" s="259" t="s">
        <v>101</v>
      </c>
    </row>
    <row r="501" spans="2:2" ht="40.049999999999997" customHeight="1" x14ac:dyDescent="0.3">
      <c r="B501" s="259" t="s">
        <v>101</v>
      </c>
    </row>
    <row r="502" spans="2:2" ht="40.049999999999997" customHeight="1" x14ac:dyDescent="0.3">
      <c r="B502" s="259" t="s">
        <v>101</v>
      </c>
    </row>
    <row r="503" spans="2:2" ht="40.049999999999997" customHeight="1" x14ac:dyDescent="0.3">
      <c r="B503" s="259" t="s">
        <v>101</v>
      </c>
    </row>
    <row r="504" spans="2:2" ht="40.049999999999997" customHeight="1" x14ac:dyDescent="0.3">
      <c r="B504" s="259" t="s">
        <v>101</v>
      </c>
    </row>
    <row r="505" spans="2:2" ht="40.049999999999997" customHeight="1" x14ac:dyDescent="0.3">
      <c r="B505" s="259" t="s">
        <v>101</v>
      </c>
    </row>
    <row r="506" spans="2:2" ht="40.049999999999997" customHeight="1" x14ac:dyDescent="0.3">
      <c r="B506" s="259" t="s">
        <v>101</v>
      </c>
    </row>
    <row r="507" spans="2:2" ht="40.049999999999997" customHeight="1" x14ac:dyDescent="0.3">
      <c r="B507" s="259" t="s">
        <v>101</v>
      </c>
    </row>
    <row r="508" spans="2:2" ht="40.049999999999997" customHeight="1" x14ac:dyDescent="0.3">
      <c r="B508" s="259" t="s">
        <v>101</v>
      </c>
    </row>
    <row r="509" spans="2:2" ht="40.049999999999997" customHeight="1" x14ac:dyDescent="0.3">
      <c r="B509" s="259" t="s">
        <v>101</v>
      </c>
    </row>
    <row r="510" spans="2:2" ht="40.049999999999997" customHeight="1" x14ac:dyDescent="0.3">
      <c r="B510" s="259" t="s">
        <v>101</v>
      </c>
    </row>
    <row r="511" spans="2:2" ht="40.049999999999997" customHeight="1" x14ac:dyDescent="0.3">
      <c r="B511" s="259" t="s">
        <v>101</v>
      </c>
    </row>
    <row r="512" spans="2:2" ht="40.049999999999997" customHeight="1" x14ac:dyDescent="0.3">
      <c r="B512" s="259" t="s">
        <v>101</v>
      </c>
    </row>
    <row r="513" spans="2:2" ht="40.049999999999997" customHeight="1" x14ac:dyDescent="0.3">
      <c r="B513" s="259" t="s">
        <v>101</v>
      </c>
    </row>
    <row r="514" spans="2:2" ht="40.049999999999997" customHeight="1" x14ac:dyDescent="0.3">
      <c r="B514" s="259" t="s">
        <v>101</v>
      </c>
    </row>
    <row r="515" spans="2:2" ht="40.049999999999997" customHeight="1" x14ac:dyDescent="0.3">
      <c r="B515" s="259" t="s">
        <v>101</v>
      </c>
    </row>
    <row r="516" spans="2:2" ht="40.049999999999997" customHeight="1" x14ac:dyDescent="0.3">
      <c r="B516" s="259" t="s">
        <v>101</v>
      </c>
    </row>
    <row r="517" spans="2:2" ht="40.049999999999997" customHeight="1" x14ac:dyDescent="0.3">
      <c r="B517" s="259" t="s">
        <v>101</v>
      </c>
    </row>
    <row r="518" spans="2:2" ht="40.049999999999997" customHeight="1" x14ac:dyDescent="0.3">
      <c r="B518" s="259" t="s">
        <v>101</v>
      </c>
    </row>
    <row r="519" spans="2:2" ht="40.049999999999997" customHeight="1" x14ac:dyDescent="0.3">
      <c r="B519" s="259" t="s">
        <v>101</v>
      </c>
    </row>
    <row r="520" spans="2:2" ht="40.049999999999997" customHeight="1" x14ac:dyDescent="0.3">
      <c r="B520" s="259" t="s">
        <v>101</v>
      </c>
    </row>
    <row r="521" spans="2:2" ht="40.049999999999997" customHeight="1" x14ac:dyDescent="0.3">
      <c r="B521" s="259" t="s">
        <v>101</v>
      </c>
    </row>
    <row r="522" spans="2:2" ht="40.049999999999997" customHeight="1" x14ac:dyDescent="0.3">
      <c r="B522" s="259" t="s">
        <v>101</v>
      </c>
    </row>
    <row r="523" spans="2:2" ht="40.049999999999997" customHeight="1" x14ac:dyDescent="0.3">
      <c r="B523" s="259" t="s">
        <v>101</v>
      </c>
    </row>
    <row r="524" spans="2:2" ht="40.049999999999997" customHeight="1" x14ac:dyDescent="0.3">
      <c r="B524" s="259" t="s">
        <v>101</v>
      </c>
    </row>
    <row r="525" spans="2:2" ht="40.049999999999997" customHeight="1" x14ac:dyDescent="0.3">
      <c r="B525" s="259" t="s">
        <v>101</v>
      </c>
    </row>
    <row r="526" spans="2:2" ht="40.049999999999997" customHeight="1" x14ac:dyDescent="0.3">
      <c r="B526" s="259" t="s">
        <v>101</v>
      </c>
    </row>
    <row r="527" spans="2:2" ht="40.049999999999997" customHeight="1" x14ac:dyDescent="0.3">
      <c r="B527" s="259" t="s">
        <v>101</v>
      </c>
    </row>
    <row r="528" spans="2:2" ht="40.049999999999997" customHeight="1" x14ac:dyDescent="0.3">
      <c r="B528" s="259" t="s">
        <v>101</v>
      </c>
    </row>
    <row r="529" spans="2:2" ht="40.049999999999997" customHeight="1" x14ac:dyDescent="0.3">
      <c r="B529" s="259" t="s">
        <v>101</v>
      </c>
    </row>
    <row r="530" spans="2:2" ht="40.049999999999997" customHeight="1" x14ac:dyDescent="0.3">
      <c r="B530" s="259" t="s">
        <v>101</v>
      </c>
    </row>
    <row r="531" spans="2:2" ht="40.049999999999997" customHeight="1" x14ac:dyDescent="0.3">
      <c r="B531" s="259" t="s">
        <v>101</v>
      </c>
    </row>
    <row r="532" spans="2:2" ht="40.049999999999997" customHeight="1" x14ac:dyDescent="0.3">
      <c r="B532" s="259" t="s">
        <v>101</v>
      </c>
    </row>
    <row r="533" spans="2:2" ht="40.049999999999997" customHeight="1" x14ac:dyDescent="0.3">
      <c r="B533" s="259" t="s">
        <v>101</v>
      </c>
    </row>
    <row r="534" spans="2:2" ht="40.049999999999997" customHeight="1" x14ac:dyDescent="0.3">
      <c r="B534" s="259" t="s">
        <v>101</v>
      </c>
    </row>
    <row r="535" spans="2:2" ht="40.049999999999997" customHeight="1" x14ac:dyDescent="0.3">
      <c r="B535" s="259" t="s">
        <v>101</v>
      </c>
    </row>
    <row r="536" spans="2:2" ht="40.049999999999997" customHeight="1" x14ac:dyDescent="0.3">
      <c r="B536" s="259" t="s">
        <v>101</v>
      </c>
    </row>
    <row r="537" spans="2:2" ht="40.049999999999997" customHeight="1" x14ac:dyDescent="0.3">
      <c r="B537" s="259" t="s">
        <v>101</v>
      </c>
    </row>
    <row r="538" spans="2:2" ht="40.049999999999997" customHeight="1" x14ac:dyDescent="0.3">
      <c r="B538" s="259" t="s">
        <v>101</v>
      </c>
    </row>
    <row r="539" spans="2:2" ht="40.049999999999997" customHeight="1" x14ac:dyDescent="0.3">
      <c r="B539" s="259" t="s">
        <v>101</v>
      </c>
    </row>
    <row r="540" spans="2:2" ht="40.049999999999997" customHeight="1" x14ac:dyDescent="0.3">
      <c r="B540" s="259" t="s">
        <v>101</v>
      </c>
    </row>
    <row r="541" spans="2:2" ht="40.049999999999997" customHeight="1" x14ac:dyDescent="0.3">
      <c r="B541" s="259" t="s">
        <v>101</v>
      </c>
    </row>
    <row r="542" spans="2:2" ht="40.049999999999997" customHeight="1" x14ac:dyDescent="0.3">
      <c r="B542" s="259" t="s">
        <v>101</v>
      </c>
    </row>
    <row r="543" spans="2:2" ht="40.049999999999997" customHeight="1" x14ac:dyDescent="0.3">
      <c r="B543" s="259" t="s">
        <v>101</v>
      </c>
    </row>
    <row r="544" spans="2:2" ht="40.049999999999997" customHeight="1" x14ac:dyDescent="0.3">
      <c r="B544" s="259" t="s">
        <v>101</v>
      </c>
    </row>
    <row r="545" spans="2:2" ht="40.049999999999997" customHeight="1" x14ac:dyDescent="0.3">
      <c r="B545" s="259" t="s">
        <v>101</v>
      </c>
    </row>
    <row r="546" spans="2:2" ht="40.049999999999997" customHeight="1" x14ac:dyDescent="0.3">
      <c r="B546" s="259" t="s">
        <v>101</v>
      </c>
    </row>
    <row r="547" spans="2:2" ht="40.049999999999997" customHeight="1" x14ac:dyDescent="0.3">
      <c r="B547" s="259" t="s">
        <v>101</v>
      </c>
    </row>
    <row r="548" spans="2:2" ht="40.049999999999997" customHeight="1" x14ac:dyDescent="0.3">
      <c r="B548" s="259" t="s">
        <v>101</v>
      </c>
    </row>
    <row r="549" spans="2:2" ht="40.049999999999997" customHeight="1" x14ac:dyDescent="0.3">
      <c r="B549" s="259" t="s">
        <v>101</v>
      </c>
    </row>
    <row r="550" spans="2:2" ht="40.049999999999997" customHeight="1" x14ac:dyDescent="0.3">
      <c r="B550" s="259" t="s">
        <v>101</v>
      </c>
    </row>
    <row r="551" spans="2:2" ht="40.049999999999997" customHeight="1" x14ac:dyDescent="0.3">
      <c r="B551" s="259" t="s">
        <v>101</v>
      </c>
    </row>
    <row r="552" spans="2:2" ht="40.049999999999997" customHeight="1" x14ac:dyDescent="0.3">
      <c r="B552" s="259" t="s">
        <v>101</v>
      </c>
    </row>
    <row r="553" spans="2:2" ht="40.049999999999997" customHeight="1" x14ac:dyDescent="0.3">
      <c r="B553" s="259" t="s">
        <v>101</v>
      </c>
    </row>
    <row r="554" spans="2:2" ht="40.049999999999997" customHeight="1" x14ac:dyDescent="0.3">
      <c r="B554" s="259" t="s">
        <v>101</v>
      </c>
    </row>
    <row r="555" spans="2:2" ht="40.049999999999997" customHeight="1" x14ac:dyDescent="0.3">
      <c r="B555" s="259" t="s">
        <v>101</v>
      </c>
    </row>
    <row r="556" spans="2:2" ht="40.049999999999997" customHeight="1" x14ac:dyDescent="0.3">
      <c r="B556" s="259" t="s">
        <v>101</v>
      </c>
    </row>
    <row r="557" spans="2:2" ht="40.049999999999997" customHeight="1" x14ac:dyDescent="0.3">
      <c r="B557" s="259" t="s">
        <v>101</v>
      </c>
    </row>
    <row r="558" spans="2:2" ht="40.049999999999997" customHeight="1" x14ac:dyDescent="0.3">
      <c r="B558" s="259" t="s">
        <v>101</v>
      </c>
    </row>
    <row r="559" spans="2:2" ht="40.049999999999997" customHeight="1" x14ac:dyDescent="0.3">
      <c r="B559" s="259" t="s">
        <v>101</v>
      </c>
    </row>
    <row r="560" spans="2:2" ht="40.049999999999997" customHeight="1" x14ac:dyDescent="0.3">
      <c r="B560" s="259" t="s">
        <v>101</v>
      </c>
    </row>
    <row r="561" spans="2:2" ht="40.049999999999997" customHeight="1" x14ac:dyDescent="0.3">
      <c r="B561" s="259" t="s">
        <v>101</v>
      </c>
    </row>
    <row r="562" spans="2:2" ht="40.049999999999997" customHeight="1" x14ac:dyDescent="0.3">
      <c r="B562" s="259" t="s">
        <v>101</v>
      </c>
    </row>
    <row r="563" spans="2:2" ht="40.049999999999997" customHeight="1" x14ac:dyDescent="0.3">
      <c r="B563" s="259" t="s">
        <v>101</v>
      </c>
    </row>
    <row r="564" spans="2:2" ht="40.049999999999997" customHeight="1" x14ac:dyDescent="0.3">
      <c r="B564" s="259" t="s">
        <v>101</v>
      </c>
    </row>
    <row r="565" spans="2:2" ht="40.049999999999997" customHeight="1" x14ac:dyDescent="0.3">
      <c r="B565" s="259" t="s">
        <v>101</v>
      </c>
    </row>
    <row r="566" spans="2:2" ht="40.049999999999997" customHeight="1" x14ac:dyDescent="0.3">
      <c r="B566" s="259" t="s">
        <v>101</v>
      </c>
    </row>
    <row r="567" spans="2:2" ht="40.049999999999997" customHeight="1" x14ac:dyDescent="0.3">
      <c r="B567" s="259" t="s">
        <v>101</v>
      </c>
    </row>
    <row r="568" spans="2:2" ht="40.049999999999997" customHeight="1" x14ac:dyDescent="0.3">
      <c r="B568" s="259" t="s">
        <v>101</v>
      </c>
    </row>
    <row r="569" spans="2:2" ht="40.049999999999997" customHeight="1" x14ac:dyDescent="0.3">
      <c r="B569" s="259" t="s">
        <v>101</v>
      </c>
    </row>
    <row r="570" spans="2:2" ht="40.049999999999997" customHeight="1" x14ac:dyDescent="0.3">
      <c r="B570" s="259" t="s">
        <v>101</v>
      </c>
    </row>
    <row r="571" spans="2:2" ht="40.049999999999997" customHeight="1" x14ac:dyDescent="0.3">
      <c r="B571" s="259" t="s">
        <v>101</v>
      </c>
    </row>
    <row r="572" spans="2:2" ht="40.049999999999997" customHeight="1" x14ac:dyDescent="0.3">
      <c r="B572" s="259" t="s">
        <v>101</v>
      </c>
    </row>
    <row r="573" spans="2:2" ht="40.049999999999997" customHeight="1" x14ac:dyDescent="0.3">
      <c r="B573" s="259" t="s">
        <v>101</v>
      </c>
    </row>
    <row r="574" spans="2:2" ht="40.049999999999997" customHeight="1" x14ac:dyDescent="0.3">
      <c r="B574" s="259" t="s">
        <v>101</v>
      </c>
    </row>
    <row r="575" spans="2:2" ht="40.049999999999997" customHeight="1" x14ac:dyDescent="0.3">
      <c r="B575" s="259" t="s">
        <v>101</v>
      </c>
    </row>
    <row r="576" spans="2:2" ht="40.049999999999997" customHeight="1" x14ac:dyDescent="0.3">
      <c r="B576" s="259" t="s">
        <v>101</v>
      </c>
    </row>
    <row r="577" spans="2:2" ht="40.049999999999997" customHeight="1" x14ac:dyDescent="0.3">
      <c r="B577" s="259" t="s">
        <v>101</v>
      </c>
    </row>
    <row r="578" spans="2:2" ht="40.049999999999997" customHeight="1" x14ac:dyDescent="0.3">
      <c r="B578" s="259" t="s">
        <v>101</v>
      </c>
    </row>
    <row r="579" spans="2:2" ht="40.049999999999997" customHeight="1" x14ac:dyDescent="0.3">
      <c r="B579" s="259" t="s">
        <v>101</v>
      </c>
    </row>
    <row r="580" spans="2:2" ht="40.049999999999997" customHeight="1" x14ac:dyDescent="0.3">
      <c r="B580" s="259" t="s">
        <v>101</v>
      </c>
    </row>
    <row r="581" spans="2:2" ht="40.049999999999997" customHeight="1" x14ac:dyDescent="0.3">
      <c r="B581" s="259" t="s">
        <v>101</v>
      </c>
    </row>
    <row r="582" spans="2:2" ht="40.049999999999997" customHeight="1" x14ac:dyDescent="0.3">
      <c r="B582" s="259" t="s">
        <v>101</v>
      </c>
    </row>
    <row r="583" spans="2:2" ht="40.049999999999997" customHeight="1" x14ac:dyDescent="0.3">
      <c r="B583" s="259" t="s">
        <v>101</v>
      </c>
    </row>
    <row r="584" spans="2:2" ht="40.049999999999997" customHeight="1" x14ac:dyDescent="0.3">
      <c r="B584" s="259" t="s">
        <v>101</v>
      </c>
    </row>
    <row r="585" spans="2:2" ht="40.049999999999997" customHeight="1" x14ac:dyDescent="0.3">
      <c r="B585" s="259" t="s">
        <v>101</v>
      </c>
    </row>
    <row r="586" spans="2:2" ht="40.049999999999997" customHeight="1" x14ac:dyDescent="0.3">
      <c r="B586" s="259" t="s">
        <v>101</v>
      </c>
    </row>
    <row r="587" spans="2:2" ht="40.049999999999997" customHeight="1" x14ac:dyDescent="0.3">
      <c r="B587" s="259" t="s">
        <v>101</v>
      </c>
    </row>
    <row r="588" spans="2:2" ht="40.049999999999997" customHeight="1" x14ac:dyDescent="0.3">
      <c r="B588" s="259" t="s">
        <v>101</v>
      </c>
    </row>
    <row r="589" spans="2:2" ht="40.049999999999997" customHeight="1" x14ac:dyDescent="0.3">
      <c r="B589" s="259" t="s">
        <v>101</v>
      </c>
    </row>
    <row r="590" spans="2:2" ht="40.049999999999997" customHeight="1" x14ac:dyDescent="0.3">
      <c r="B590" s="259" t="s">
        <v>101</v>
      </c>
    </row>
    <row r="591" spans="2:2" ht="40.049999999999997" customHeight="1" x14ac:dyDescent="0.3">
      <c r="B591" s="259" t="s">
        <v>101</v>
      </c>
    </row>
    <row r="592" spans="2:2" ht="40.049999999999997" customHeight="1" x14ac:dyDescent="0.3">
      <c r="B592" s="259" t="s">
        <v>101</v>
      </c>
    </row>
    <row r="593" spans="2:2" ht="40.049999999999997" customHeight="1" x14ac:dyDescent="0.3">
      <c r="B593" s="259" t="s">
        <v>101</v>
      </c>
    </row>
    <row r="594" spans="2:2" ht="40.049999999999997" customHeight="1" x14ac:dyDescent="0.3">
      <c r="B594" s="259" t="s">
        <v>101</v>
      </c>
    </row>
    <row r="595" spans="2:2" ht="40.049999999999997" customHeight="1" x14ac:dyDescent="0.3">
      <c r="B595" s="259" t="s">
        <v>101</v>
      </c>
    </row>
    <row r="596" spans="2:2" ht="40.049999999999997" customHeight="1" x14ac:dyDescent="0.3">
      <c r="B596" s="259" t="s">
        <v>101</v>
      </c>
    </row>
    <row r="597" spans="2:2" ht="40.049999999999997" customHeight="1" x14ac:dyDescent="0.3">
      <c r="B597" s="259" t="s">
        <v>101</v>
      </c>
    </row>
    <row r="598" spans="2:2" ht="40.049999999999997" customHeight="1" x14ac:dyDescent="0.3">
      <c r="B598" s="259" t="s">
        <v>101</v>
      </c>
    </row>
    <row r="599" spans="2:2" ht="40.049999999999997" customHeight="1" x14ac:dyDescent="0.3">
      <c r="B599" s="259" t="s">
        <v>101</v>
      </c>
    </row>
    <row r="600" spans="2:2" ht="40.049999999999997" customHeight="1" x14ac:dyDescent="0.3">
      <c r="B600" s="259" t="s">
        <v>101</v>
      </c>
    </row>
    <row r="601" spans="2:2" ht="40.049999999999997" customHeight="1" x14ac:dyDescent="0.3">
      <c r="B601" s="259" t="s">
        <v>101</v>
      </c>
    </row>
    <row r="602" spans="2:2" ht="40.049999999999997" customHeight="1" x14ac:dyDescent="0.3">
      <c r="B602" s="259" t="s">
        <v>101</v>
      </c>
    </row>
    <row r="603" spans="2:2" ht="40.049999999999997" customHeight="1" x14ac:dyDescent="0.3">
      <c r="B603" s="259" t="s">
        <v>101</v>
      </c>
    </row>
    <row r="604" spans="2:2" ht="40.049999999999997" customHeight="1" x14ac:dyDescent="0.3">
      <c r="B604" s="259" t="s">
        <v>101</v>
      </c>
    </row>
    <row r="605" spans="2:2" ht="40.049999999999997" customHeight="1" x14ac:dyDescent="0.3">
      <c r="B605" s="259" t="s">
        <v>101</v>
      </c>
    </row>
    <row r="606" spans="2:2" ht="40.049999999999997" customHeight="1" x14ac:dyDescent="0.3">
      <c r="B606" s="259" t="s">
        <v>101</v>
      </c>
    </row>
    <row r="607" spans="2:2" ht="40.049999999999997" customHeight="1" x14ac:dyDescent="0.3">
      <c r="B607" s="259" t="s">
        <v>101</v>
      </c>
    </row>
    <row r="608" spans="2:2" ht="40.049999999999997" customHeight="1" x14ac:dyDescent="0.3">
      <c r="B608" s="259" t="s">
        <v>101</v>
      </c>
    </row>
    <row r="609" spans="2:2" ht="40.049999999999997" customHeight="1" x14ac:dyDescent="0.3">
      <c r="B609" s="259" t="s">
        <v>101</v>
      </c>
    </row>
    <row r="610" spans="2:2" ht="40.049999999999997" customHeight="1" x14ac:dyDescent="0.3">
      <c r="B610" s="259" t="s">
        <v>101</v>
      </c>
    </row>
    <row r="611" spans="2:2" ht="40.049999999999997" customHeight="1" x14ac:dyDescent="0.3">
      <c r="B611" s="259" t="s">
        <v>101</v>
      </c>
    </row>
    <row r="612" spans="2:2" ht="40.049999999999997" customHeight="1" x14ac:dyDescent="0.3">
      <c r="B612" s="259" t="s">
        <v>101</v>
      </c>
    </row>
    <row r="613" spans="2:2" ht="40.049999999999997" customHeight="1" x14ac:dyDescent="0.3">
      <c r="B613" s="259" t="s">
        <v>101</v>
      </c>
    </row>
    <row r="614" spans="2:2" ht="40.049999999999997" customHeight="1" x14ac:dyDescent="0.3">
      <c r="B614" s="259" t="s">
        <v>101</v>
      </c>
    </row>
    <row r="615" spans="2:2" ht="40.049999999999997" customHeight="1" x14ac:dyDescent="0.3">
      <c r="B615" s="259" t="s">
        <v>101</v>
      </c>
    </row>
    <row r="616" spans="2:2" ht="40.049999999999997" customHeight="1" x14ac:dyDescent="0.3">
      <c r="B616" s="259" t="s">
        <v>101</v>
      </c>
    </row>
    <row r="617" spans="2:2" ht="40.049999999999997" customHeight="1" x14ac:dyDescent="0.3">
      <c r="B617" s="259" t="s">
        <v>101</v>
      </c>
    </row>
    <row r="618" spans="2:2" ht="40.049999999999997" customHeight="1" x14ac:dyDescent="0.3">
      <c r="B618" s="259" t="s">
        <v>101</v>
      </c>
    </row>
    <row r="619" spans="2:2" ht="40.049999999999997" customHeight="1" x14ac:dyDescent="0.3">
      <c r="B619" s="259" t="s">
        <v>101</v>
      </c>
    </row>
    <row r="620" spans="2:2" ht="40.049999999999997" customHeight="1" x14ac:dyDescent="0.3">
      <c r="B620" s="259" t="s">
        <v>101</v>
      </c>
    </row>
    <row r="621" spans="2:2" ht="40.049999999999997" customHeight="1" x14ac:dyDescent="0.3">
      <c r="B621" s="259" t="s">
        <v>101</v>
      </c>
    </row>
    <row r="622" spans="2:2" ht="40.049999999999997" customHeight="1" x14ac:dyDescent="0.3">
      <c r="B622" s="259" t="s">
        <v>101</v>
      </c>
    </row>
    <row r="623" spans="2:2" ht="40.049999999999997" customHeight="1" x14ac:dyDescent="0.3">
      <c r="B623" s="259" t="s">
        <v>101</v>
      </c>
    </row>
    <row r="624" spans="2:2" ht="40.049999999999997" customHeight="1" x14ac:dyDescent="0.3">
      <c r="B624" s="259" t="s">
        <v>101</v>
      </c>
    </row>
    <row r="625" spans="2:2" ht="40.049999999999997" customHeight="1" x14ac:dyDescent="0.3">
      <c r="B625" s="259" t="s">
        <v>101</v>
      </c>
    </row>
    <row r="626" spans="2:2" ht="40.049999999999997" customHeight="1" x14ac:dyDescent="0.3">
      <c r="B626" s="259" t="s">
        <v>101</v>
      </c>
    </row>
    <row r="627" spans="2:2" ht="40.049999999999997" customHeight="1" x14ac:dyDescent="0.3">
      <c r="B627" s="259" t="s">
        <v>101</v>
      </c>
    </row>
    <row r="628" spans="2:2" ht="40.049999999999997" customHeight="1" x14ac:dyDescent="0.3">
      <c r="B628" s="259" t="s">
        <v>101</v>
      </c>
    </row>
    <row r="629" spans="2:2" ht="40.049999999999997" customHeight="1" x14ac:dyDescent="0.3">
      <c r="B629" s="259" t="s">
        <v>101</v>
      </c>
    </row>
    <row r="630" spans="2:2" ht="40.049999999999997" customHeight="1" x14ac:dyDescent="0.3">
      <c r="B630" s="259" t="s">
        <v>101</v>
      </c>
    </row>
    <row r="631" spans="2:2" ht="40.049999999999997" customHeight="1" x14ac:dyDescent="0.3">
      <c r="B631" s="259" t="s">
        <v>101</v>
      </c>
    </row>
    <row r="632" spans="2:2" ht="40.049999999999997" customHeight="1" x14ac:dyDescent="0.3">
      <c r="B632" s="259" t="s">
        <v>101</v>
      </c>
    </row>
    <row r="633" spans="2:2" ht="40.049999999999997" customHeight="1" x14ac:dyDescent="0.3">
      <c r="B633" s="259" t="s">
        <v>101</v>
      </c>
    </row>
    <row r="634" spans="2:2" ht="40.049999999999997" customHeight="1" x14ac:dyDescent="0.3">
      <c r="B634" s="259" t="s">
        <v>101</v>
      </c>
    </row>
    <row r="635" spans="2:2" ht="40.049999999999997" customHeight="1" x14ac:dyDescent="0.3">
      <c r="B635" s="259" t="s">
        <v>101</v>
      </c>
    </row>
    <row r="636" spans="2:2" ht="40.049999999999997" customHeight="1" x14ac:dyDescent="0.3">
      <c r="B636" s="259" t="s">
        <v>101</v>
      </c>
    </row>
    <row r="637" spans="2:2" ht="40.049999999999997" customHeight="1" x14ac:dyDescent="0.3">
      <c r="B637" s="259" t="s">
        <v>101</v>
      </c>
    </row>
    <row r="638" spans="2:2" ht="40.049999999999997" customHeight="1" x14ac:dyDescent="0.3">
      <c r="B638" s="259" t="s">
        <v>101</v>
      </c>
    </row>
    <row r="639" spans="2:2" ht="40.049999999999997" customHeight="1" x14ac:dyDescent="0.3">
      <c r="B639" s="259" t="s">
        <v>101</v>
      </c>
    </row>
    <row r="640" spans="2:2" ht="40.049999999999997" customHeight="1" x14ac:dyDescent="0.3">
      <c r="B640" s="259" t="s">
        <v>101</v>
      </c>
    </row>
    <row r="641" spans="2:2" ht="40.049999999999997" customHeight="1" x14ac:dyDescent="0.3">
      <c r="B641" s="259" t="s">
        <v>101</v>
      </c>
    </row>
    <row r="642" spans="2:2" ht="40.049999999999997" customHeight="1" x14ac:dyDescent="0.3">
      <c r="B642" s="259" t="s">
        <v>101</v>
      </c>
    </row>
    <row r="643" spans="2:2" ht="40.049999999999997" customHeight="1" x14ac:dyDescent="0.3">
      <c r="B643" s="259" t="s">
        <v>101</v>
      </c>
    </row>
    <row r="644" spans="2:2" ht="40.049999999999997" customHeight="1" x14ac:dyDescent="0.3">
      <c r="B644" s="259" t="s">
        <v>101</v>
      </c>
    </row>
    <row r="645" spans="2:2" ht="40.049999999999997" customHeight="1" x14ac:dyDescent="0.3">
      <c r="B645" s="259" t="s">
        <v>101</v>
      </c>
    </row>
    <row r="646" spans="2:2" ht="40.049999999999997" customHeight="1" x14ac:dyDescent="0.3">
      <c r="B646" s="259" t="s">
        <v>101</v>
      </c>
    </row>
    <row r="647" spans="2:2" ht="40.049999999999997" customHeight="1" x14ac:dyDescent="0.3">
      <c r="B647" s="259" t="s">
        <v>101</v>
      </c>
    </row>
    <row r="648" spans="2:2" ht="40.049999999999997" customHeight="1" x14ac:dyDescent="0.3">
      <c r="B648" s="259" t="s">
        <v>101</v>
      </c>
    </row>
    <row r="649" spans="2:2" ht="40.049999999999997" customHeight="1" x14ac:dyDescent="0.3">
      <c r="B649" s="259" t="s">
        <v>101</v>
      </c>
    </row>
    <row r="650" spans="2:2" ht="40.049999999999997" customHeight="1" x14ac:dyDescent="0.3">
      <c r="B650" s="259" t="s">
        <v>101</v>
      </c>
    </row>
  </sheetData>
  <autoFilter ref="H1:S652" xr:uid="{00000000-0001-0000-0300-000000000000}"/>
  <mergeCells count="5">
    <mergeCell ref="X1:AL1"/>
    <mergeCell ref="CP1:CQ1"/>
    <mergeCell ref="T1:U1"/>
    <mergeCell ref="W19:W21"/>
    <mergeCell ref="V1:W1"/>
  </mergeCells>
  <conditionalFormatting sqref="A2:C9996">
    <cfRule type="expression" dxfId="44" priority="19">
      <formula>EXACT($A2, "Daily")</formula>
    </cfRule>
    <cfRule type="expression" dxfId="43" priority="20">
      <formula>EXACT($A2, "Error")</formula>
    </cfRule>
    <cfRule type="expression" dxfId="42"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tabSelected="1" zoomScale="60" zoomScaleNormal="60" workbookViewId="0">
      <pane ySplit="1" topLeftCell="A2" activePane="bottomLeft" state="frozen"/>
      <selection activeCell="R17" sqref="R17"/>
      <selection pane="bottomLeft" activeCell="I9" sqref="I9"/>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335" t="s">
        <v>196</v>
      </c>
      <c r="T1" s="336"/>
      <c r="U1" s="336"/>
      <c r="V1" s="336"/>
      <c r="W1" s="336"/>
      <c r="X1" s="336"/>
      <c r="Y1" s="336"/>
      <c r="Z1" s="336"/>
      <c r="AA1" s="336"/>
      <c r="AB1" s="336"/>
      <c r="AC1" s="336"/>
      <c r="AD1" s="336"/>
      <c r="AE1" s="336"/>
      <c r="AF1" s="336"/>
      <c r="AG1" s="336"/>
      <c r="AH1" s="336"/>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83" t="s">
        <v>114</v>
      </c>
      <c r="T3" s="283"/>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345"/>
      <c r="T4" s="345"/>
      <c r="U4" s="346" t="s">
        <v>152</v>
      </c>
      <c r="V4" s="346"/>
      <c r="W4" s="346"/>
      <c r="X4" s="346"/>
      <c r="Y4" s="346"/>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347"/>
      <c r="T5" s="347"/>
      <c r="U5" s="346" t="s">
        <v>151</v>
      </c>
      <c r="V5" s="346"/>
      <c r="W5" s="346"/>
      <c r="X5" s="346"/>
      <c r="Y5" s="346"/>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337"/>
      <c r="T6" s="338"/>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267" t="s">
        <v>273</v>
      </c>
      <c r="Q7" s="169" t="s">
        <v>271</v>
      </c>
      <c r="R7" s="9">
        <f>IF(COUNTBLANK($A7:$E7)&gt;0, "", IFERROR(_xlfn.MINIFS(Log!$G:$G, Log!$A:$A, $A7, Log!$B:$B, $B7, Log!$C:$C, $C7),""))</f>
        <v>6.0905500000000001E-2</v>
      </c>
      <c r="S7" s="9"/>
      <c r="T7" s="9">
        <f>IF($N7&lt;&gt;"", 'Daily Camera Trends'!$M$4, "")</f>
        <v>0.41469928087167107</v>
      </c>
      <c r="U7" s="9" t="e">
        <f>IF(#REF!&lt;&gt;"", 'Daily Camera Trends'!$N$4, "")</f>
        <v>#REF!</v>
      </c>
    </row>
    <row r="8" spans="1:34" ht="49.95" customHeight="1" x14ac:dyDescent="0.3">
      <c r="A8" s="126" t="str">
        <f t="shared" si="0"/>
        <v>Error</v>
      </c>
      <c r="B8" s="128" t="s">
        <v>311</v>
      </c>
      <c r="C8" s="8">
        <v>46254</v>
      </c>
      <c r="D8" s="42">
        <v>24.5</v>
      </c>
      <c r="E8" s="43">
        <v>0.77361111111111114</v>
      </c>
      <c r="F8" s="91" t="s">
        <v>183</v>
      </c>
      <c r="G8" s="47">
        <v>1000</v>
      </c>
      <c r="H8" s="13">
        <f>IF(COUNTBLANK($A8:$E8)&gt;0, "", IFERROR(AVERAGEIFS(Log!$E:$E, Log!$A:$A, $A8, Log!$B:$B, $B8, Log!$C:$C, $C8),""))</f>
        <v>1330.1666666666667</v>
      </c>
      <c r="I8" s="48">
        <f t="shared" si="1"/>
        <v>1.3301666666666667</v>
      </c>
      <c r="J8" s="9">
        <f>IF(COUNTBLANK($A8:$E8)&gt;0, "", IFERROR(AVERAGEIFS(Log!$H:$H, Log!$A:$A, $A8, Log!$B:$B, $B8, Log!$C:$C, $C8),""))</f>
        <v>0.53175849999999991</v>
      </c>
      <c r="K8" s="9">
        <f>IF(COUNTBLANK($A8:$E8)&gt;0, "", IFERROR(_xlfn.MINIFS(Log!$F:$F, Log!$A:$A, $A8, Log!$B:$B, $B8, Log!$C:$C, $C8),""))</f>
        <v>0.17479500000000001</v>
      </c>
      <c r="L8" s="9">
        <f>IF(COUNTBLANK($A8:$E8)&gt;0, "", IFERROR(_xlfn.MAXIFS(Log!$F:$F, Log!$A:$A, $A8, Log!$B:$B, $B8, Log!$C:$C, $C8),""))</f>
        <v>1.07755</v>
      </c>
      <c r="M8" s="9">
        <f>IF(COUNTBLANK($A8:$E8)&gt;0, "", IFERROR(AVERAGEIFS(Log!$I:$I, Log!$A:$A, $A8, Log!$B:$B, $B8, Log!$C:$C, $C8),""))</f>
        <v>0.13634817857142861</v>
      </c>
      <c r="N8" s="9">
        <f>IF(COUNTBLANK($A8:$E8)&gt;0, "", IFERROR(_xlfn.MINIFS(Log!$G:$G, Log!$A:$A, $A8, Log!$B:$B, $B8, Log!$C:$C, $C8),""))</f>
        <v>5.0874000000000003E-2</v>
      </c>
      <c r="O8" s="9">
        <f>IF(COUNTBLANK($A8:$E8)&gt;0, "", IFERROR(_xlfn.MAXIFS(Log!$G:$G, Log!$A:$A, $A8, Log!$B:$B, $B8, Log!$C:$C, $C8),""))</f>
        <v>0.225942</v>
      </c>
      <c r="P8" s="166" t="s">
        <v>315</v>
      </c>
      <c r="Q8" s="166" t="s">
        <v>310</v>
      </c>
      <c r="S8" s="342" t="s">
        <v>81</v>
      </c>
      <c r="T8" s="343"/>
      <c r="U8" s="343"/>
      <c r="V8" s="343"/>
      <c r="W8" s="343"/>
      <c r="X8" s="343"/>
      <c r="Y8" s="344"/>
      <c r="Z8" s="139"/>
    </row>
    <row r="9" spans="1:34" ht="49.95" customHeight="1" x14ac:dyDescent="0.3">
      <c r="A9" s="126" t="str">
        <f t="shared" si="0"/>
        <v/>
      </c>
      <c r="B9" s="128"/>
      <c r="C9" s="8"/>
      <c r="D9" s="42"/>
      <c r="E9" s="43">
        <v>0.82291666666666663</v>
      </c>
      <c r="F9" s="91" t="s">
        <v>270</v>
      </c>
      <c r="G9" s="47">
        <v>1000</v>
      </c>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P9" s="166" t="s">
        <v>317</v>
      </c>
      <c r="Q9" s="166" t="s">
        <v>316</v>
      </c>
      <c r="S9" s="339" t="s">
        <v>136</v>
      </c>
      <c r="T9" s="340"/>
      <c r="U9" s="340"/>
      <c r="V9" s="340"/>
      <c r="W9" s="340"/>
      <c r="X9" s="340"/>
      <c r="Y9" s="340"/>
      <c r="Z9" s="341"/>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41" priority="13">
      <formula>EXACT($A2, "Daily")</formula>
    </cfRule>
    <cfRule type="expression" dxfId="40" priority="14">
      <formula>EXACT($A2, "Error")</formula>
    </cfRule>
    <cfRule type="expression" dxfId="39"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zoomScale="70" zoomScaleNormal="70" workbookViewId="0">
      <pane ySplit="1" topLeftCell="A2" activePane="bottomLeft" state="frozen"/>
      <selection activeCell="R17" sqref="R17"/>
      <selection pane="bottomLeft" activeCell="C3" sqref="C3"/>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4" t="s">
        <v>265</v>
      </c>
      <c r="I1" s="204" t="s">
        <v>267</v>
      </c>
      <c r="J1" s="204"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335" t="s">
        <v>238</v>
      </c>
      <c r="AG1" s="336"/>
      <c r="AH1" s="336"/>
      <c r="AI1" s="336"/>
      <c r="AJ1" s="336"/>
      <c r="AK1" s="336"/>
      <c r="AL1" s="336"/>
      <c r="AM1" s="336"/>
      <c r="AN1" s="336"/>
      <c r="AO1" s="336"/>
      <c r="AP1" s="336"/>
      <c r="AQ1" s="336"/>
      <c r="AR1" s="336"/>
      <c r="AS1" s="336"/>
      <c r="AT1" s="336"/>
      <c r="AU1" s="336"/>
      <c r="AV1" s="336"/>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3"/>
      <c r="M2" s="203"/>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3"/>
      <c r="S2" s="203"/>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3"/>
      <c r="Y2" s="203"/>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3"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3"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3"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3"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3"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3"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350"/>
      <c r="AA3" s="351"/>
      <c r="AB3" s="348" t="s">
        <v>153</v>
      </c>
      <c r="AC3" s="348" t="s">
        <v>157</v>
      </c>
      <c r="AD3" s="348"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3"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3"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3"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3"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3"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3"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350"/>
      <c r="AA4" s="351"/>
      <c r="AB4" s="348"/>
      <c r="AC4" s="348"/>
      <c r="AD4" s="348"/>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3"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3"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3"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3"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3"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3"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3"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3"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3"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3"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3"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3"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350"/>
      <c r="AA6" s="351"/>
      <c r="AB6" s="348" t="s">
        <v>158</v>
      </c>
      <c r="AC6" s="348" t="s">
        <v>167</v>
      </c>
      <c r="AD6" s="348" t="s">
        <v>166</v>
      </c>
      <c r="AF6" s="283" t="s">
        <v>114</v>
      </c>
      <c r="AG6" s="283"/>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3"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3"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3"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3"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3"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3"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350"/>
      <c r="AA7" s="351"/>
      <c r="AB7" s="348"/>
      <c r="AC7" s="348"/>
      <c r="AD7" s="348"/>
      <c r="AF7" s="345"/>
      <c r="AG7" s="345"/>
      <c r="AH7" s="346" t="s">
        <v>152</v>
      </c>
      <c r="AI7" s="346"/>
      <c r="AJ7" s="346"/>
      <c r="AK7" s="346"/>
      <c r="AL7" s="346"/>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3"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3"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3"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3"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3"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3"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350"/>
      <c r="AA8" s="351"/>
      <c r="AB8" s="348"/>
      <c r="AC8" s="348"/>
      <c r="AD8" s="348"/>
      <c r="AF8" s="347"/>
      <c r="AG8" s="347"/>
      <c r="AH8" s="346" t="s">
        <v>151</v>
      </c>
      <c r="AI8" s="346"/>
      <c r="AJ8" s="346"/>
      <c r="AK8" s="346"/>
      <c r="AL8" s="346"/>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3"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3"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3"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3"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3"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3"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350"/>
      <c r="AA9" s="351"/>
      <c r="AB9" s="348"/>
      <c r="AC9" s="348"/>
      <c r="AD9" s="348"/>
      <c r="AF9" s="337"/>
      <c r="AG9" s="338"/>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3"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3"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3"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3"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3"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3"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350"/>
      <c r="AA10" s="351"/>
      <c r="AB10" s="348"/>
      <c r="AC10" s="348"/>
      <c r="AD10" s="348"/>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3"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3"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3"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3"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3"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3"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350"/>
      <c r="AA11" s="351"/>
      <c r="AB11" s="348"/>
      <c r="AC11" s="348"/>
      <c r="AD11" s="348"/>
      <c r="AF11" s="342" t="s">
        <v>81</v>
      </c>
      <c r="AG11" s="343"/>
      <c r="AH11" s="343"/>
      <c r="AI11" s="343"/>
      <c r="AJ11" s="343"/>
      <c r="AK11" s="343"/>
      <c r="AL11" s="344"/>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3"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3"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3"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3"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3"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3"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350"/>
      <c r="AA12" s="351"/>
      <c r="AB12" s="348"/>
      <c r="AC12" s="348"/>
      <c r="AD12" s="348"/>
      <c r="AF12" s="339" t="s">
        <v>136</v>
      </c>
      <c r="AG12" s="340"/>
      <c r="AH12" s="340"/>
      <c r="AI12" s="340"/>
      <c r="AJ12" s="340"/>
      <c r="AK12" s="340"/>
      <c r="AL12" s="340"/>
      <c r="AM12" s="341"/>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3"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3"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3"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3"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3"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3"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3"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3"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3"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3"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3"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3"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348" t="s">
        <v>217</v>
      </c>
      <c r="AC14" s="348" t="s">
        <v>254</v>
      </c>
      <c r="AD14" s="349"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3"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3"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3"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3"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3"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3"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348"/>
      <c r="AC15" s="348"/>
      <c r="AD15" s="349"/>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3"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3"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3"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3"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3"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3"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348"/>
      <c r="AC16" s="348"/>
      <c r="AD16" s="349"/>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3"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3"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3"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3"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3"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3"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348"/>
      <c r="AC17" s="348"/>
      <c r="AD17" s="349"/>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3"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3"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3"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3"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3"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3"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348"/>
      <c r="AC18" s="348"/>
      <c r="AD18" s="349"/>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3"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3"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3"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3"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3"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3"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348"/>
      <c r="AC19" s="348"/>
      <c r="AD19" s="349"/>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3"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3"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3"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3"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3"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3"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348"/>
      <c r="AC20" s="348"/>
      <c r="AD20" s="349"/>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3"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3"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3"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3"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3"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3"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348"/>
      <c r="AC21" s="348"/>
      <c r="AD21" s="349"/>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3"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3"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3"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3"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3"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3"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348"/>
      <c r="AC22" s="348"/>
      <c r="AD22" s="349"/>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3"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3"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3"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3"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3"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3"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348"/>
      <c r="AC23" s="348"/>
      <c r="AD23" s="349"/>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3"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3"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3"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3"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3"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3"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348"/>
      <c r="AC24" s="348"/>
      <c r="AD24" s="349"/>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3"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3"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3"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3"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3"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3"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348"/>
      <c r="AC25" s="348"/>
      <c r="AD25" s="349"/>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3"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3"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3"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3"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3"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3"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348"/>
      <c r="AC26" s="348"/>
      <c r="AD26" s="349"/>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3"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3"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3"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3"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3"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3"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348"/>
      <c r="AC27" s="348"/>
      <c r="AD27" s="349"/>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3"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3"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3"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3"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3"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3"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348"/>
      <c r="AC28" s="348"/>
      <c r="AD28" s="349"/>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3"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3"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3"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3"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3"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3"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348"/>
      <c r="AC29" s="348"/>
      <c r="AD29" s="349"/>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3"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3"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3"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3"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3"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3"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348"/>
      <c r="AC30" s="348"/>
      <c r="AD30" s="349"/>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3"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3"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3"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3"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3"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3"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348"/>
      <c r="AC31" s="348"/>
      <c r="AD31" s="349"/>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3"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3"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3"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3"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3"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3"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348"/>
      <c r="AC32" s="348"/>
      <c r="AD32" s="349"/>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3"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3"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3"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3"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3"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3"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348"/>
      <c r="AC33" s="348"/>
      <c r="AD33" s="349"/>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3"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3"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3"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3"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3"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3"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348"/>
      <c r="AC34" s="348"/>
      <c r="AD34" s="349"/>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3"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3"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3"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3"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3"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3"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348"/>
      <c r="AC35" s="348"/>
      <c r="AD35" s="349"/>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3"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3"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3"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3"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3"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3"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348"/>
      <c r="AC36" s="348"/>
      <c r="AD36" s="349"/>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3"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3"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3"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3"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3"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3"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348"/>
      <c r="AC37" s="348"/>
      <c r="AD37" s="349"/>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3"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3"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3"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3"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3"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3"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348"/>
      <c r="AC38" s="348"/>
      <c r="AD38" s="349"/>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3"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3"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3"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3"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3"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3"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348"/>
      <c r="AC39" s="348"/>
      <c r="AD39" s="349"/>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3"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3"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3"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3"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3"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3"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348"/>
      <c r="AC40" s="348"/>
      <c r="AD40" s="349"/>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3"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3"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3"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3"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3"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3"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3"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3"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3"/>
      <c r="S42" s="203"/>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3"/>
      <c r="Y42" s="203"/>
      <c r="AG42" s="51"/>
    </row>
    <row r="43" spans="1:33" ht="40.049999999999997" customHeight="1" x14ac:dyDescent="0.3">
      <c r="A43" s="126" t="s">
        <v>99</v>
      </c>
      <c r="B43" s="194" t="s">
        <v>241</v>
      </c>
      <c r="C43" s="352" t="str">
        <f>"(Meta trial entry) " &amp; CHAR(10) &amp; "Stat means for all 'Wand-Wave-" &amp; $F43 &amp; "' trials!"</f>
        <v>(Meta trial entry) 
Stat means for all 'Wand-Wave-A' trials!</v>
      </c>
      <c r="D43" s="353"/>
      <c r="E43" s="353"/>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3" t="str" cm="1">
        <f t="array" ref="L43">_xlfn.UNIQUE(_xlfn._xlws.FILTER($L14:$L41, ($I14:$I41=$I43) * ($F14:$F41=$F43)))</f>
        <v xml:space="preserve">#9 </v>
      </c>
      <c r="M43" s="203"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3" t="str" cm="1">
        <f t="array" ref="R43">_xlfn.UNIQUE(_xlfn._xlws.FILTER($R14:$R41, ($P14:$P41=$P43) * ($F14:$F41=$F43)))</f>
        <v>#13</v>
      </c>
      <c r="S43" s="203"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3" t="str" cm="1">
        <f t="array" ref="X43">_xlfn.UNIQUE(_xlfn._xlws.FILTER($R14:$R41, ($P14:$P41=$P43) * ($F14:$F41=$F43)))</f>
        <v>#13</v>
      </c>
      <c r="Y43" s="203" t="str" cm="1">
        <f t="array" ref="Y43">_xlfn.UNIQUE(_xlfn._xlws.FILTER($S14:$S41,($Q14:$Q41=$Q43)*($F14:$F41=$F43)))</f>
        <v xml:space="preserve">#1 </v>
      </c>
      <c r="Z43" s="188" t="s">
        <v>239</v>
      </c>
      <c r="AA43" s="193">
        <v>5.8333333333333334E-2</v>
      </c>
      <c r="AB43" s="348"/>
      <c r="AC43" s="348"/>
      <c r="AD43" s="195" t="str">
        <f>Legend!$H10</f>
        <v>Waving in figure 8, slowly - as though you're pushing water - whilst walking around the room in a square</v>
      </c>
    </row>
    <row r="44" spans="1:33" ht="40.049999999999997" customHeight="1" x14ac:dyDescent="0.3">
      <c r="A44" s="126" t="s">
        <v>99</v>
      </c>
      <c r="B44" s="194" t="s">
        <v>242</v>
      </c>
      <c r="C44" s="352" t="str">
        <f t="shared" ref="C44:C49" si="2">"(Meta trial entry) " &amp; CHAR(10) &amp; "Stat means for all 'Wand-Wave-" &amp; $F44 &amp; "' trials!"</f>
        <v>(Meta trial entry) 
Stat means for all 'Wand-Wave-B' trials!</v>
      </c>
      <c r="D44" s="353"/>
      <c r="E44" s="353"/>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3" t="str" cm="1">
        <f t="array" ref="L44">_xlfn.UNIQUE(_xlfn._xlws.FILTER($L15:$L42, ($I15:$I42=$I44) * ($F15:$F42=$F44)))</f>
        <v xml:space="preserve">#9 </v>
      </c>
      <c r="M44" s="203"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3" t="str" cm="1">
        <f t="array" ref="R44">_xlfn.UNIQUE(_xlfn._xlws.FILTER($R15:$R42, ($P15:$P42=$P44) * ($F15:$F42=$F44)))</f>
        <v>#13</v>
      </c>
      <c r="S44" s="203"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3" t="str" cm="1">
        <f t="array" ref="X44">_xlfn.UNIQUE(_xlfn._xlws.FILTER($R15:$R42, ($P15:$P42=$P44) * ($F15:$F42=$F44)))</f>
        <v>#13</v>
      </c>
      <c r="Y44" s="203" t="str" cm="1">
        <f t="array" ref="Y44">_xlfn.UNIQUE(_xlfn._xlws.FILTER($S15:$S42,($Q15:$Q42=$Q44)*($F15:$F42=$F44)))</f>
        <v xml:space="preserve">#1 </v>
      </c>
      <c r="Z44" s="190" t="s">
        <v>240</v>
      </c>
      <c r="AA44" s="193">
        <v>6.5972222222222224E-2</v>
      </c>
      <c r="AB44" s="348"/>
      <c r="AC44" s="348"/>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352" t="str">
        <f t="shared" si="2"/>
        <v>(Meta trial entry) 
Stat means for all 'Wand-Wave-C' trials!</v>
      </c>
      <c r="D45" s="353"/>
      <c r="E45" s="353"/>
      <c r="F45" s="91" t="s">
        <v>85</v>
      </c>
      <c r="G45" s="47">
        <v>1000</v>
      </c>
      <c r="H45" s="47">
        <f t="shared" si="3"/>
        <v>1595.6004901960785</v>
      </c>
      <c r="I45" s="47">
        <f t="shared" si="4"/>
        <v>2922</v>
      </c>
      <c r="J45" s="47">
        <f t="shared" si="5"/>
        <v>1003</v>
      </c>
      <c r="K45" s="48">
        <f t="shared" si="1"/>
        <v>1.5956004901960785</v>
      </c>
      <c r="L45" s="203" t="str" cm="1">
        <f t="array" ref="L45">_xlfn.UNIQUE(_xlfn._xlws.FILTER($L16:$L43, ($I16:$I43=$I45) * ($F16:$F43=$F45)))</f>
        <v xml:space="preserve">#9 </v>
      </c>
      <c r="M45" s="203" t="str" cm="1">
        <f t="array" ref="M45">_xlfn.UNIQUE(_xlfn._xlws.FILTER($M16:$M43, ($J16:$J43=$J45) * ($F16:$F43=$F45)))</f>
        <v>#11</v>
      </c>
      <c r="N45" s="9">
        <f t="shared" si="6"/>
        <v>0.30178345343137253</v>
      </c>
      <c r="O45" s="48">
        <f t="shared" si="7"/>
        <v>0.55555555555555558</v>
      </c>
      <c r="P45" s="9">
        <f t="shared" si="8"/>
        <v>0.138596</v>
      </c>
      <c r="Q45" s="9">
        <f t="shared" si="9"/>
        <v>0.58531599999999995</v>
      </c>
      <c r="R45" s="203" t="str" cm="1">
        <f t="array" ref="R45">_xlfn.UNIQUE(_xlfn._xlws.FILTER($R16:$R43, ($P16:$P43=$P45) * ($F16:$F43=$F45)))</f>
        <v>#14</v>
      </c>
      <c r="S45" s="203"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3" t="str" cm="1">
        <f t="array" ref="X45">_xlfn.UNIQUE(_xlfn._xlws.FILTER($R16:$R43, ($P16:$P43=$P45) * ($F16:$F43=$F45)))</f>
        <v>#14</v>
      </c>
      <c r="Y45" s="203" t="str" cm="1">
        <f t="array" ref="Y45">_xlfn.UNIQUE(_xlfn._xlws.FILTER($S16:$S43,($Q16:$Q43=$Q45)*($F16:$F43=$F45)))</f>
        <v xml:space="preserve">#4 </v>
      </c>
      <c r="Z45" s="188" t="s">
        <v>239</v>
      </c>
      <c r="AA45" s="193">
        <v>6.25E-2</v>
      </c>
      <c r="AB45" s="348"/>
      <c r="AC45" s="348"/>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352" t="str">
        <f t="shared" si="2"/>
        <v>(Meta trial entry) 
Stat means for all 'Wand-Wave-D' trials!</v>
      </c>
      <c r="D46" s="353"/>
      <c r="E46" s="353"/>
      <c r="F46" s="91" t="s">
        <v>182</v>
      </c>
      <c r="G46" s="47">
        <v>1000</v>
      </c>
      <c r="H46" s="47">
        <f t="shared" si="3"/>
        <v>1475.6609477124184</v>
      </c>
      <c r="I46" s="47">
        <f t="shared" si="4"/>
        <v>2539</v>
      </c>
      <c r="J46" s="47">
        <f t="shared" si="5"/>
        <v>1001</v>
      </c>
      <c r="K46" s="48">
        <f t="shared" si="1"/>
        <v>1.4756609477124183</v>
      </c>
      <c r="L46" s="203" t="str" cm="1">
        <f t="array" ref="L46">_xlfn.UNIQUE(_xlfn._xlws.FILTER($L17:$L44, ($I17:$I44=$I46) * ($F17:$F44=$F46)))</f>
        <v>#12</v>
      </c>
      <c r="M46" s="203"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3" t="str" cm="1">
        <f t="array" ref="R46">_xlfn.UNIQUE(_xlfn._xlws.FILTER($R17:$R44, ($P17:$P44=$P46) * ($F17:$F44=$F46)))</f>
        <v xml:space="preserve">#8 </v>
      </c>
      <c r="S46" s="203" t="str" cm="1">
        <f t="array" ref="S46">_xlfn.UNIQUE(_xlfn._xlws.FILTER($S17:$S44,($Q17:$Q44=$Q46)*($F17:$F44=$F46)))</f>
        <v>#15</v>
      </c>
      <c r="T46" s="9">
        <f t="shared" si="10"/>
        <v>0.10088763325163397</v>
      </c>
      <c r="U46" s="48">
        <f t="shared" si="11"/>
        <v>0.45833333333333331</v>
      </c>
      <c r="V46" s="9">
        <f t="shared" si="12"/>
        <v>5.7532100000000003E-2</v>
      </c>
      <c r="W46" s="9">
        <f t="shared" si="13"/>
        <v>0.147393</v>
      </c>
      <c r="X46" s="203" t="str" cm="1">
        <f t="array" ref="X46">_xlfn.UNIQUE(_xlfn._xlws.FILTER($R17:$R44, ($P17:$P44=$P46) * ($F17:$F44=$F46)))</f>
        <v xml:space="preserve">#8 </v>
      </c>
      <c r="Y46" s="203" t="str" cm="1">
        <f t="array" ref="Y46">_xlfn.UNIQUE(_xlfn._xlws.FILTER($S17:$S44,($Q17:$Q44=$Q46)*($F17:$F44=$F46)))</f>
        <v>#15</v>
      </c>
      <c r="Z46" s="188" t="s">
        <v>239</v>
      </c>
      <c r="AA46" s="193">
        <v>3.4722222222222224E-2</v>
      </c>
      <c r="AB46" s="348"/>
      <c r="AC46" s="348"/>
      <c r="AD46" s="195" t="str">
        <f>Legend!$H13</f>
        <v>Figure 8 with the wand facing up - reccommended by the Vicon trainer during system installation</v>
      </c>
    </row>
    <row r="47" spans="1:33" ht="40.049999999999997" hidden="1" customHeight="1" x14ac:dyDescent="0.3">
      <c r="A47" s="126" t="s">
        <v>99</v>
      </c>
      <c r="B47" s="194" t="s">
        <v>245</v>
      </c>
      <c r="C47" s="352" t="str">
        <f t="shared" si="2"/>
        <v>(Meta trial entry) 
Stat means for all 'Wand-Wave-E' trials!</v>
      </c>
      <c r="D47" s="353"/>
      <c r="E47" s="353"/>
      <c r="F47" s="91" t="s">
        <v>183</v>
      </c>
      <c r="G47" s="47">
        <v>1000</v>
      </c>
      <c r="H47" s="47">
        <f t="shared" si="3"/>
        <v>1475.8888888888889</v>
      </c>
      <c r="I47" s="47">
        <f t="shared" si="4"/>
        <v>3124</v>
      </c>
      <c r="J47" s="47">
        <f t="shared" si="5"/>
        <v>1002</v>
      </c>
      <c r="K47" s="48">
        <f t="shared" si="1"/>
        <v>1.475888888888889</v>
      </c>
      <c r="L47" s="203" t="str" cm="1">
        <f t="array" ref="L47">_xlfn.UNIQUE(_xlfn._xlws.FILTER($L18:$L45, ($I18:$I45=$I47) * ($F18:$F45=$F47)))</f>
        <v xml:space="preserve">#9 </v>
      </c>
      <c r="M47" s="203" t="str" cm="1">
        <f t="array" ref="M47">_xlfn.UNIQUE(_xlfn._xlws.FILTER($M18:$M45, ($J18:$J45=$J47) * ($F18:$F45=$F47)))</f>
        <v>#11</v>
      </c>
      <c r="N47" s="9">
        <f t="shared" si="6"/>
        <v>0.36323726879084967</v>
      </c>
      <c r="O47" s="48">
        <f t="shared" si="7"/>
        <v>0.3888888888888889</v>
      </c>
      <c r="P47" s="9">
        <f t="shared" si="8"/>
        <v>0.15012700000000001</v>
      </c>
      <c r="Q47" s="9">
        <f t="shared" si="9"/>
        <v>1.42056</v>
      </c>
      <c r="R47" s="203" t="str" cm="1">
        <f t="array" ref="R47">_xlfn.UNIQUE(_xlfn._xlws.FILTER($R18:$R45, ($P18:$P45=$P47) * ($F18:$F45=$F47)))</f>
        <v>#14</v>
      </c>
      <c r="S47" s="203" t="str" cm="1">
        <f t="array" ref="S47">_xlfn.UNIQUE(_xlfn._xlws.FILTER($S18:$S45,($Q18:$Q45=$Q47)*($F18:$F45=$F47)))</f>
        <v>#18</v>
      </c>
      <c r="T47" s="9">
        <f t="shared" si="10"/>
        <v>8.6665811437908483E-2</v>
      </c>
      <c r="U47" s="48">
        <f t="shared" si="11"/>
        <v>0.375</v>
      </c>
      <c r="V47" s="9">
        <f t="shared" si="12"/>
        <v>4.6718000000000003E-2</v>
      </c>
      <c r="W47" s="9">
        <f t="shared" si="13"/>
        <v>0.28700599999999998</v>
      </c>
      <c r="X47" s="203" t="str" cm="1">
        <f t="array" ref="X47">_xlfn.UNIQUE(_xlfn._xlws.FILTER($R18:$R45, ($P18:$P45=$P47) * ($F18:$F45=$F47)))</f>
        <v>#14</v>
      </c>
      <c r="Y47" s="203" t="str" cm="1">
        <f t="array" ref="Y47">_xlfn.UNIQUE(_xlfn._xlws.FILTER($S18:$S45,($Q18:$Q45=$Q47)*($F18:$F45=$F47)))</f>
        <v>#18</v>
      </c>
      <c r="Z47" s="190" t="s">
        <v>240</v>
      </c>
      <c r="AA47" s="193">
        <v>4.6527777777777779E-2</v>
      </c>
      <c r="AB47" s="348"/>
      <c r="AC47" s="348"/>
      <c r="AD47" s="195" t="str">
        <f>Legend!$H14</f>
        <v>Spinning the wand extended from body (rotating around center 360deg holding wand in middle but spinning it)</v>
      </c>
    </row>
    <row r="48" spans="1:33" ht="40.049999999999997" hidden="1" customHeight="1" x14ac:dyDescent="0.3">
      <c r="A48" s="126" t="s">
        <v>99</v>
      </c>
      <c r="B48" s="194" t="s">
        <v>246</v>
      </c>
      <c r="C48" s="352" t="str">
        <f t="shared" si="2"/>
        <v>(Meta trial entry) 
Stat means for all 'Wand-Wave-F' trials!</v>
      </c>
      <c r="D48" s="353"/>
      <c r="E48" s="353"/>
      <c r="F48" s="91" t="s">
        <v>185</v>
      </c>
      <c r="G48" s="47">
        <v>1000</v>
      </c>
      <c r="H48" s="47">
        <f t="shared" si="3"/>
        <v>1531.4722222222222</v>
      </c>
      <c r="I48" s="47">
        <f t="shared" si="4"/>
        <v>2683</v>
      </c>
      <c r="J48" s="47">
        <f t="shared" si="5"/>
        <v>1002</v>
      </c>
      <c r="K48" s="48">
        <f t="shared" si="1"/>
        <v>1.5314722222222223</v>
      </c>
      <c r="L48" s="203" t="str" cm="1">
        <f t="array" ref="L48">_xlfn.UNIQUE(_xlfn._xlws.FILTER($L19:$L46, ($I19:$I46=$I48) * ($F19:$F46=$F48)))</f>
        <v xml:space="preserve">#1 </v>
      </c>
      <c r="M48" s="203"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3" t="str" cm="1">
        <f t="array" ref="R48">_xlfn.UNIQUE(_xlfn._xlws.FILTER($R19:$R46, ($P19:$P46=$P48) * ($F19:$F46=$F48)))</f>
        <v>#12</v>
      </c>
      <c r="S48" s="203"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3" t="str" cm="1">
        <f t="array" ref="X48">_xlfn.UNIQUE(_xlfn._xlws.FILTER($R19:$R46, ($P19:$P46=$P48) * ($F19:$F46=$F48)))</f>
        <v>#12</v>
      </c>
      <c r="Y48" s="203" t="str" cm="1">
        <f t="array" ref="Y48">_xlfn.UNIQUE(_xlfn._xlws.FILTER($S19:$S46,($Q19:$Q46=$Q48)*($F19:$F46=$F48)))</f>
        <v xml:space="preserve">#2 </v>
      </c>
      <c r="Z48" s="190" t="s">
        <v>240</v>
      </c>
      <c r="AA48" s="193">
        <v>5.347222222222222E-2</v>
      </c>
      <c r="AB48" s="348"/>
      <c r="AC48" s="348"/>
      <c r="AD48" s="195" t="str">
        <f>Legend!$H15</f>
        <v>Wave wand up and down (chopping axe motion, AWIR2 docs)</v>
      </c>
    </row>
    <row r="49" spans="1:30" ht="40.049999999999997" customHeight="1" x14ac:dyDescent="0.3">
      <c r="A49" s="126" t="s">
        <v>99</v>
      </c>
      <c r="B49" s="194" t="s">
        <v>247</v>
      </c>
      <c r="C49" s="352" t="str">
        <f t="shared" si="2"/>
        <v>(Meta trial entry) 
Stat means for all 'Wand-Wave-G' trials!</v>
      </c>
      <c r="D49" s="353"/>
      <c r="E49" s="353"/>
      <c r="F49" s="91" t="s">
        <v>186</v>
      </c>
      <c r="G49" s="47">
        <v>1000</v>
      </c>
      <c r="H49" s="47">
        <f t="shared" si="3"/>
        <v>1634.0416666666667</v>
      </c>
      <c r="I49" s="47">
        <f t="shared" si="4"/>
        <v>2758</v>
      </c>
      <c r="J49" s="47">
        <f t="shared" si="5"/>
        <v>1002</v>
      </c>
      <c r="K49" s="48">
        <f t="shared" si="1"/>
        <v>1.6340416666666666</v>
      </c>
      <c r="L49" s="203" t="str" cm="1">
        <f t="array" ref="L49">_xlfn.UNIQUE(_xlfn._xlws.FILTER($L20:$L47, ($I20:$I47=$I49) * ($F20:$F47=$F49)))</f>
        <v xml:space="preserve">#9 </v>
      </c>
      <c r="M49" s="203" t="str" cm="1">
        <f t="array" ref="M49">_xlfn.UNIQUE(_xlfn._xlws.FILTER($M20:$M47, ($J20:$J47=$J49) * ($F20:$F47=$F49)))</f>
        <v>#13</v>
      </c>
      <c r="N49" s="9">
        <f t="shared" si="6"/>
        <v>0.32717873611111103</v>
      </c>
      <c r="O49" s="48">
        <f t="shared" si="7"/>
        <v>0.5</v>
      </c>
      <c r="P49" s="9">
        <f t="shared" si="8"/>
        <v>0.13330800000000001</v>
      </c>
      <c r="Q49" s="9">
        <f t="shared" si="9"/>
        <v>0.55817000000000005</v>
      </c>
      <c r="R49" s="203" t="str" cm="1">
        <f t="array" ref="R49">_xlfn.UNIQUE(_xlfn._xlws.FILTER($R20:$R47, ($P20:$P47=$P49) * ($F20:$F47=$F49)))</f>
        <v>#12</v>
      </c>
      <c r="S49" s="203"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3" t="str" cm="1">
        <f t="array" ref="X49">_xlfn.UNIQUE(_xlfn._xlws.FILTER($R20:$R47, ($P20:$P47=$P49) * ($F20:$F47=$F49)))</f>
        <v>#12</v>
      </c>
      <c r="Y49" s="203" t="str" cm="1">
        <f t="array" ref="Y49">_xlfn.UNIQUE(_xlfn._xlws.FILTER($S20:$S47,($Q20:$Q47=$Q49)*($F20:$F47=$F49)))</f>
        <v>#11</v>
      </c>
      <c r="Z49" s="188" t="s">
        <v>239</v>
      </c>
      <c r="AA49" s="193">
        <v>5.347222222222222E-2</v>
      </c>
      <c r="AB49" s="348"/>
      <c r="AC49" s="348"/>
      <c r="AD49" s="195" t="str">
        <f>Legend!$H16</f>
        <v>Circling the wand extended from body (hold forward &amp; draw circle, rotating around center 360deg holding handle - full circle vs C semi-circle)</v>
      </c>
    </row>
    <row r="50" spans="1:30" ht="40.049999999999997" customHeight="1" x14ac:dyDescent="0.3">
      <c r="A50" s="130"/>
      <c r="B50" s="128"/>
      <c r="C50" s="8"/>
      <c r="D50" s="42"/>
      <c r="E50" s="43"/>
      <c r="G50" s="47"/>
      <c r="H50" s="47" t="str">
        <f>IF(COUNTBLANK($A50:$E50)&gt;0, "", IFERROR(AVERAGEIFS(Log!$E:$E, Log!$A:$A, $A50, Log!$B:$B, $B50, Log!$C:$C, $C50),""))</f>
        <v/>
      </c>
      <c r="I50" s="47"/>
      <c r="J50" s="47"/>
      <c r="K50" s="48" t="str">
        <f t="shared" ref="K50:K64" si="14">IF(AND($H50&lt;&gt;"", $G50&lt;&gt;""), $H50/$G50, "")</f>
        <v/>
      </c>
      <c r="L50" s="203"/>
      <c r="M50" s="203"/>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3"/>
      <c r="S50" s="203"/>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3"/>
      <c r="Y50" s="203"/>
    </row>
    <row r="51" spans="1:30" ht="40.049999999999997" customHeight="1" x14ac:dyDescent="0.3">
      <c r="A51" s="130"/>
      <c r="B51" s="128"/>
      <c r="C51" s="8"/>
      <c r="D51" s="42"/>
      <c r="E51" s="43"/>
      <c r="G51" s="47"/>
      <c r="H51" s="47" t="str">
        <f>IF(COUNTBLANK($A51:$E51)&gt;0, "", IFERROR(AVERAGEIFS(Log!$E:$E, Log!$A:$A, $A51, Log!$B:$B, $B51, Log!$C:$C, $C51),""))</f>
        <v/>
      </c>
      <c r="I51" s="47"/>
      <c r="J51" s="47"/>
      <c r="K51" s="48" t="str">
        <f t="shared" si="14"/>
        <v/>
      </c>
      <c r="L51" s="203"/>
      <c r="M51" s="203"/>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03"/>
      <c r="S51" s="203"/>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03"/>
      <c r="Y51" s="203"/>
    </row>
    <row r="52" spans="1:30" ht="40.049999999999997" customHeight="1" x14ac:dyDescent="0.3">
      <c r="A52" s="130"/>
      <c r="B52" s="128"/>
      <c r="C52" s="8"/>
      <c r="D52" s="42"/>
      <c r="E52" s="43"/>
      <c r="G52" s="47"/>
      <c r="H52" s="47" t="str">
        <f>IF(COUNTBLANK($A52:$E52)&gt;0, "", IFERROR(AVERAGEIFS(Log!$E:$E, Log!$A:$A, $A52, Log!$B:$B, $B52, Log!$C:$C, $C52),""))</f>
        <v/>
      </c>
      <c r="I52" s="47"/>
      <c r="J52" s="47"/>
      <c r="K52" s="48" t="str">
        <f t="shared" si="14"/>
        <v/>
      </c>
      <c r="L52" s="203"/>
      <c r="M52" s="203"/>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03"/>
      <c r="S52" s="203"/>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03"/>
      <c r="Y52" s="203"/>
    </row>
    <row r="53" spans="1:30" ht="40.049999999999997" customHeight="1" x14ac:dyDescent="0.3">
      <c r="A53" s="130"/>
      <c r="B53" s="128"/>
      <c r="C53" s="8"/>
      <c r="D53" s="42"/>
      <c r="E53" s="43"/>
      <c r="G53" s="47"/>
      <c r="H53" s="47" t="str">
        <f>IF(COUNTBLANK($A53:$E53)&gt;0, "", IFERROR(AVERAGEIFS(Log!$E:$E, Log!$A:$A, $A53, Log!$B:$B, $B53, Log!$C:$C, $C53),""))</f>
        <v/>
      </c>
      <c r="I53" s="47"/>
      <c r="J53" s="47"/>
      <c r="K53" s="48" t="str">
        <f t="shared" si="14"/>
        <v/>
      </c>
      <c r="L53" s="203"/>
      <c r="M53" s="203"/>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03"/>
      <c r="S53" s="203"/>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03"/>
      <c r="Y53" s="203"/>
    </row>
    <row r="54" spans="1:30" ht="40.049999999999997" customHeight="1" x14ac:dyDescent="0.3">
      <c r="A54" s="130"/>
      <c r="B54" s="128"/>
      <c r="C54" s="8"/>
      <c r="D54" s="42"/>
      <c r="E54" s="43"/>
      <c r="G54" s="47"/>
      <c r="H54" s="47" t="str">
        <f>IF(COUNTBLANK($A54:$E54)&gt;0, "", IFERROR(AVERAGEIFS(Log!$E:$E, Log!$A:$A, $A54, Log!$B:$B, $B54, Log!$C:$C, $C54),""))</f>
        <v/>
      </c>
      <c r="I54" s="47"/>
      <c r="J54" s="47"/>
      <c r="K54" s="48" t="str">
        <f t="shared" si="14"/>
        <v/>
      </c>
      <c r="L54" s="203"/>
      <c r="M54" s="203"/>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03"/>
      <c r="S54" s="203"/>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03"/>
      <c r="Y54" s="203"/>
    </row>
    <row r="55" spans="1:30" ht="40.049999999999997" customHeight="1" x14ac:dyDescent="0.3">
      <c r="A55" s="130"/>
      <c r="B55" s="128"/>
      <c r="C55" s="8"/>
      <c r="D55" s="42"/>
      <c r="E55" s="43"/>
      <c r="G55" s="47"/>
      <c r="H55" s="47" t="str">
        <f>IF(COUNTBLANK($A55:$E55)&gt;0, "", IFERROR(AVERAGEIFS(Log!$E:$E, Log!$A:$A, $A55, Log!$B:$B, $B55, Log!$C:$C, $C55),""))</f>
        <v/>
      </c>
      <c r="I55" s="47"/>
      <c r="J55" s="47"/>
      <c r="K55" s="48" t="str">
        <f t="shared" si="14"/>
        <v/>
      </c>
      <c r="L55" s="203"/>
      <c r="M55" s="203"/>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03"/>
      <c r="S55" s="203"/>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03"/>
      <c r="Y55" s="203"/>
    </row>
    <row r="56" spans="1:30" ht="40.049999999999997" customHeight="1" x14ac:dyDescent="0.3">
      <c r="A56" s="130"/>
      <c r="B56" s="128"/>
      <c r="C56" s="8"/>
      <c r="D56" s="42"/>
      <c r="E56" s="43"/>
      <c r="G56" s="47"/>
      <c r="H56" s="47" t="str">
        <f>IF(COUNTBLANK($A56:$E56)&gt;0, "", IFERROR(AVERAGEIFS(Log!$E:$E, Log!$A:$A, $A56, Log!$B:$B, $B56, Log!$C:$C, $C56),""))</f>
        <v/>
      </c>
      <c r="I56" s="47"/>
      <c r="J56" s="47"/>
      <c r="K56" s="48" t="str">
        <f t="shared" si="14"/>
        <v/>
      </c>
      <c r="L56" s="203"/>
      <c r="M56" s="203"/>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03"/>
      <c r="S56" s="203"/>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03"/>
      <c r="Y56" s="203"/>
    </row>
    <row r="57" spans="1:30" ht="40.049999999999997" customHeight="1" x14ac:dyDescent="0.3">
      <c r="A57" s="130"/>
      <c r="B57" s="128"/>
      <c r="C57" s="8"/>
      <c r="D57" s="42"/>
      <c r="E57" s="43"/>
      <c r="G57" s="47"/>
      <c r="H57" s="47" t="str">
        <f>IF(COUNTBLANK($A57:$E57)&gt;0, "", IFERROR(AVERAGEIFS(Log!$E:$E, Log!$A:$A, $A57, Log!$B:$B, $B57, Log!$C:$C, $C57),""))</f>
        <v/>
      </c>
      <c r="I57" s="47"/>
      <c r="J57" s="47"/>
      <c r="K57" s="48" t="str">
        <f t="shared" si="14"/>
        <v/>
      </c>
      <c r="L57" s="203"/>
      <c r="M57" s="203"/>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3"/>
      <c r="S57" s="203"/>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3"/>
      <c r="Y57" s="203"/>
    </row>
    <row r="58" spans="1:30" ht="40.049999999999997" customHeight="1" x14ac:dyDescent="0.3">
      <c r="A58" s="130"/>
      <c r="B58" s="128"/>
      <c r="C58" s="8"/>
      <c r="D58" s="42"/>
      <c r="E58" s="43"/>
      <c r="G58" s="47"/>
      <c r="H58" s="47" t="str">
        <f>IF(COUNTBLANK($A58:$E58)&gt;0, "", IFERROR(AVERAGEIFS(Log!$E:$E, Log!$A:$A, $A58, Log!$B:$B, $B58, Log!$C:$C, $C58),""))</f>
        <v/>
      </c>
      <c r="I58" s="47"/>
      <c r="J58" s="47"/>
      <c r="K58" s="48" t="str">
        <f t="shared" si="14"/>
        <v/>
      </c>
      <c r="L58" s="203"/>
      <c r="M58" s="203"/>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03"/>
      <c r="S58" s="203"/>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03"/>
      <c r="Y58" s="203"/>
    </row>
    <row r="59" spans="1:30" ht="40.049999999999997" customHeight="1" x14ac:dyDescent="0.3">
      <c r="A59" s="130"/>
      <c r="B59" s="128"/>
      <c r="C59" s="8"/>
      <c r="D59" s="42"/>
      <c r="E59" s="43"/>
      <c r="G59" s="47"/>
      <c r="H59" s="47" t="str">
        <f>IF(COUNTBLANK($A59:$E59)&gt;0, "", IFERROR(AVERAGEIFS(Log!$E:$E, Log!$A:$A, $A59, Log!$B:$B, $B59, Log!$C:$C, $C59),""))</f>
        <v/>
      </c>
      <c r="I59" s="47"/>
      <c r="J59" s="47"/>
      <c r="K59" s="48" t="str">
        <f t="shared" si="14"/>
        <v/>
      </c>
      <c r="L59" s="203"/>
      <c r="M59" s="203"/>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03"/>
      <c r="S59" s="203"/>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03"/>
      <c r="Y59" s="203"/>
    </row>
    <row r="60" spans="1:30" ht="40.049999999999997" customHeight="1" x14ac:dyDescent="0.3">
      <c r="A60" s="130"/>
      <c r="B60" s="128"/>
      <c r="C60" s="8"/>
      <c r="D60" s="42"/>
      <c r="E60" s="43"/>
      <c r="G60" s="47"/>
      <c r="H60" s="47" t="str">
        <f>IF(COUNTBLANK($A60:$E60)&gt;0, "", IFERROR(AVERAGEIFS(Log!$E:$E, Log!$A:$A, $A60, Log!$B:$B, $B60, Log!$C:$C, $C60),""))</f>
        <v/>
      </c>
      <c r="I60" s="47"/>
      <c r="J60" s="47"/>
      <c r="K60" s="48" t="str">
        <f t="shared" si="14"/>
        <v/>
      </c>
      <c r="L60" s="203"/>
      <c r="M60" s="203"/>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3"/>
      <c r="S60" s="203"/>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3"/>
      <c r="Y60" s="203"/>
    </row>
    <row r="61" spans="1:30" ht="40.049999999999997" customHeight="1" x14ac:dyDescent="0.3">
      <c r="A61" s="130"/>
      <c r="B61" s="128"/>
      <c r="C61" s="8"/>
      <c r="D61" s="42"/>
      <c r="E61" s="43"/>
      <c r="G61" s="47"/>
      <c r="H61" s="47" t="str">
        <f>IF(COUNTBLANK($A61:$E61)&gt;0, "", IFERROR(AVERAGEIFS(Log!$E:$E, Log!$A:$A, $A61, Log!$B:$B, $B61, Log!$C:$C, $C61),""))</f>
        <v/>
      </c>
      <c r="I61" s="47"/>
      <c r="J61" s="47"/>
      <c r="K61" s="48" t="str">
        <f t="shared" si="14"/>
        <v/>
      </c>
      <c r="L61" s="203"/>
      <c r="M61" s="203"/>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3"/>
      <c r="S61" s="203"/>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3"/>
      <c r="Y61" s="203"/>
    </row>
    <row r="62" spans="1:30" ht="40.049999999999997" customHeight="1" x14ac:dyDescent="0.3">
      <c r="A62" s="130"/>
      <c r="B62" s="128"/>
      <c r="C62" s="8"/>
      <c r="D62" s="42"/>
      <c r="E62" s="43"/>
      <c r="G62" s="47"/>
      <c r="H62" s="47" t="str">
        <f>IF(COUNTBLANK($A62:$E62)&gt;0, "", IFERROR(AVERAGEIFS(Log!$E:$E, Log!$A:$A, $A62, Log!$B:$B, $B62, Log!$C:$C, $C62),""))</f>
        <v/>
      </c>
      <c r="I62" s="47"/>
      <c r="J62" s="47"/>
      <c r="K62" s="48" t="str">
        <f t="shared" si="14"/>
        <v/>
      </c>
      <c r="L62" s="203"/>
      <c r="M62" s="203"/>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03"/>
      <c r="S62" s="203"/>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03"/>
      <c r="Y62" s="203"/>
    </row>
    <row r="63" spans="1:30" ht="40.049999999999997" customHeight="1" x14ac:dyDescent="0.3">
      <c r="A63" s="130"/>
      <c r="B63" s="128"/>
      <c r="C63" s="8"/>
      <c r="D63" s="42"/>
      <c r="E63" s="43"/>
      <c r="G63" s="47"/>
      <c r="H63" s="47" t="str">
        <f>IF(COUNTBLANK($A63:$E63)&gt;0, "", IFERROR(AVERAGEIFS(Log!$E:$E, Log!$A:$A, $A63, Log!$B:$B, $B63, Log!$C:$C, $C63),""))</f>
        <v/>
      </c>
      <c r="I63" s="47"/>
      <c r="J63" s="47"/>
      <c r="K63" s="48" t="str">
        <f t="shared" si="14"/>
        <v/>
      </c>
      <c r="L63" s="203"/>
      <c r="M63" s="203"/>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03"/>
      <c r="S63" s="203"/>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03"/>
      <c r="Y63" s="203"/>
    </row>
    <row r="64" spans="1:30" ht="40.049999999999997" customHeight="1" x14ac:dyDescent="0.3">
      <c r="A64" s="130"/>
      <c r="B64" s="128"/>
      <c r="H64" s="47" t="str">
        <f>IF(COUNTBLANK($A64:$E64)&gt;0, "", IFERROR(AVERAGEIFS(Log!$E:$E, Log!$A:$A, $A64, Log!$B:$B, $B64, Log!$C:$C, $C64),""))</f>
        <v/>
      </c>
      <c r="I64" s="47"/>
      <c r="J64" s="47"/>
      <c r="K64" s="48" t="str">
        <f t="shared" si="14"/>
        <v/>
      </c>
      <c r="L64" s="203"/>
      <c r="M64" s="203"/>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03"/>
      <c r="S64" s="203"/>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03"/>
      <c r="Y64" s="203"/>
    </row>
    <row r="65" spans="1:25" ht="40.049999999999997" customHeight="1" x14ac:dyDescent="0.3">
      <c r="A65" s="130"/>
      <c r="B65" s="128"/>
      <c r="H65" s="47"/>
      <c r="I65" s="47"/>
      <c r="J65" s="47"/>
      <c r="K65" s="48"/>
      <c r="L65" s="203"/>
      <c r="M65" s="203"/>
      <c r="N65" s="9"/>
      <c r="O65" s="48"/>
      <c r="P65" s="9"/>
      <c r="Q65" s="9"/>
      <c r="R65" s="203"/>
      <c r="S65" s="203"/>
      <c r="T65" s="9"/>
      <c r="U65" s="48"/>
      <c r="V65" s="9"/>
      <c r="W65" s="9"/>
      <c r="X65" s="203"/>
      <c r="Y65" s="203"/>
    </row>
    <row r="66" spans="1:25" ht="40.049999999999997" customHeight="1" x14ac:dyDescent="0.3">
      <c r="A66" s="130"/>
      <c r="B66" s="128"/>
      <c r="H66" s="47"/>
      <c r="I66" s="47"/>
      <c r="J66" s="47"/>
      <c r="K66" s="48"/>
      <c r="L66" s="203"/>
      <c r="M66" s="203"/>
      <c r="N66" s="9"/>
      <c r="O66" s="48"/>
      <c r="P66" s="9"/>
      <c r="Q66" s="9"/>
      <c r="R66" s="203"/>
      <c r="S66" s="203"/>
      <c r="T66" s="9"/>
      <c r="U66" s="48"/>
      <c r="V66" s="9"/>
      <c r="W66" s="9"/>
      <c r="X66" s="203"/>
      <c r="Y66" s="203"/>
    </row>
    <row r="67" spans="1:25" ht="40.049999999999997" customHeight="1" x14ac:dyDescent="0.3">
      <c r="A67" s="130"/>
      <c r="B67" s="128"/>
      <c r="H67" s="47"/>
      <c r="I67" s="47"/>
      <c r="J67" s="47"/>
      <c r="K67" s="48"/>
      <c r="L67" s="203"/>
      <c r="M67" s="203"/>
      <c r="N67" s="9"/>
      <c r="O67" s="48"/>
      <c r="P67" s="9"/>
      <c r="Q67" s="9"/>
      <c r="R67" s="203"/>
      <c r="S67" s="203"/>
      <c r="T67" s="9"/>
      <c r="U67" s="48"/>
      <c r="V67" s="9"/>
      <c r="W67" s="9"/>
      <c r="X67" s="203"/>
      <c r="Y67" s="203"/>
    </row>
    <row r="68" spans="1:25" ht="40.049999999999997" customHeight="1" x14ac:dyDescent="0.3">
      <c r="A68" s="130"/>
      <c r="B68" s="128"/>
      <c r="H68" s="47"/>
      <c r="I68" s="47"/>
      <c r="J68" s="47"/>
      <c r="K68" s="48"/>
      <c r="L68" s="203"/>
      <c r="M68" s="203"/>
      <c r="N68" s="9"/>
      <c r="O68" s="48"/>
      <c r="P68" s="9"/>
      <c r="Q68" s="9"/>
      <c r="R68" s="203"/>
      <c r="S68" s="203"/>
      <c r="T68" s="9"/>
      <c r="U68" s="48"/>
      <c r="V68" s="9"/>
      <c r="W68" s="9"/>
      <c r="X68" s="203"/>
      <c r="Y68" s="203"/>
    </row>
    <row r="69" spans="1:25" ht="40.049999999999997" customHeight="1" x14ac:dyDescent="0.3">
      <c r="A69" s="130"/>
      <c r="B69" s="128"/>
      <c r="H69" s="47"/>
      <c r="I69" s="47"/>
      <c r="J69" s="47"/>
      <c r="K69" s="48"/>
      <c r="L69" s="203"/>
      <c r="M69" s="203"/>
      <c r="N69" s="9"/>
      <c r="O69" s="48"/>
      <c r="P69" s="9"/>
      <c r="Q69" s="9"/>
      <c r="R69" s="203"/>
      <c r="S69" s="203"/>
      <c r="T69" s="9"/>
      <c r="U69" s="48"/>
      <c r="V69" s="9"/>
      <c r="W69" s="9"/>
      <c r="X69" s="203"/>
      <c r="Y69" s="203"/>
    </row>
    <row r="70" spans="1:25" ht="40.049999999999997" customHeight="1" x14ac:dyDescent="0.3">
      <c r="A70" s="130"/>
      <c r="B70" s="128"/>
      <c r="H70" s="47"/>
      <c r="I70" s="47"/>
      <c r="J70" s="47"/>
      <c r="K70" s="48"/>
      <c r="L70" s="203"/>
      <c r="M70" s="203"/>
      <c r="N70" s="9"/>
      <c r="O70" s="48"/>
      <c r="P70" s="9"/>
      <c r="Q70" s="9"/>
      <c r="R70" s="203"/>
      <c r="S70" s="203"/>
      <c r="T70" s="9"/>
      <c r="U70" s="48"/>
      <c r="V70" s="9"/>
      <c r="W70" s="9"/>
      <c r="X70" s="203"/>
      <c r="Y70" s="203"/>
    </row>
    <row r="71" spans="1:25" ht="40.049999999999997" customHeight="1" x14ac:dyDescent="0.3">
      <c r="A71" s="130"/>
      <c r="B71" s="128"/>
      <c r="H71" s="47"/>
      <c r="I71" s="47"/>
      <c r="J71" s="47"/>
      <c r="K71" s="48"/>
      <c r="L71" s="203"/>
      <c r="M71" s="203"/>
      <c r="N71" s="9"/>
      <c r="O71" s="48"/>
      <c r="P71" s="9"/>
      <c r="Q71" s="9"/>
      <c r="R71" s="203"/>
      <c r="S71" s="203"/>
      <c r="T71" s="9"/>
      <c r="U71" s="48"/>
      <c r="V71" s="9"/>
      <c r="W71" s="9"/>
      <c r="X71" s="203"/>
      <c r="Y71" s="203"/>
    </row>
    <row r="72" spans="1:25" ht="40.049999999999997" customHeight="1" x14ac:dyDescent="0.3">
      <c r="A72" s="130"/>
      <c r="B72" s="128"/>
      <c r="H72" s="47"/>
      <c r="I72" s="47"/>
      <c r="J72" s="47"/>
      <c r="K72" s="48"/>
      <c r="L72" s="203"/>
      <c r="M72" s="203"/>
      <c r="N72" s="9"/>
      <c r="O72" s="48"/>
      <c r="P72" s="9"/>
      <c r="Q72" s="9"/>
      <c r="R72" s="203"/>
      <c r="S72" s="203"/>
      <c r="T72" s="9"/>
      <c r="U72" s="48"/>
      <c r="V72" s="9"/>
      <c r="W72" s="9"/>
      <c r="X72" s="203"/>
      <c r="Y72" s="203"/>
    </row>
    <row r="73" spans="1:25" ht="40.049999999999997" customHeight="1" x14ac:dyDescent="0.3">
      <c r="A73" s="130"/>
      <c r="B73" s="128"/>
      <c r="H73" s="47"/>
      <c r="I73" s="47"/>
      <c r="J73" s="47"/>
      <c r="K73" s="48"/>
      <c r="L73" s="203"/>
      <c r="M73" s="203"/>
      <c r="N73" s="9"/>
      <c r="O73" s="48"/>
      <c r="P73" s="9"/>
      <c r="Q73" s="9"/>
      <c r="R73" s="203"/>
      <c r="S73" s="203"/>
      <c r="T73" s="9"/>
      <c r="U73" s="48"/>
      <c r="V73" s="9"/>
      <c r="W73" s="9"/>
      <c r="X73" s="203"/>
      <c r="Y73" s="203"/>
    </row>
    <row r="74" spans="1:25" ht="40.049999999999997" customHeight="1" x14ac:dyDescent="0.3">
      <c r="A74" s="130"/>
      <c r="B74" s="128"/>
      <c r="H74" s="47"/>
      <c r="I74" s="47"/>
      <c r="J74" s="47"/>
      <c r="K74" s="48"/>
      <c r="L74" s="203"/>
      <c r="M74" s="203"/>
      <c r="N74" s="9"/>
      <c r="O74" s="48"/>
      <c r="P74" s="9"/>
      <c r="Q74" s="9"/>
      <c r="R74" s="203"/>
      <c r="S74" s="203"/>
      <c r="T74" s="9"/>
      <c r="U74" s="48"/>
      <c r="V74" s="9"/>
      <c r="W74" s="9"/>
      <c r="X74" s="203"/>
      <c r="Y74" s="203"/>
    </row>
    <row r="75" spans="1:25" ht="40.049999999999997" customHeight="1" x14ac:dyDescent="0.3">
      <c r="A75" s="130"/>
      <c r="B75" s="128"/>
      <c r="H75" s="47"/>
      <c r="I75" s="47"/>
      <c r="J75" s="47"/>
      <c r="K75" s="48"/>
      <c r="L75" s="203"/>
      <c r="M75" s="203"/>
      <c r="N75" s="9"/>
      <c r="O75" s="48"/>
      <c r="P75" s="9"/>
      <c r="Q75" s="9"/>
      <c r="R75" s="203"/>
      <c r="S75" s="203"/>
      <c r="T75" s="9"/>
      <c r="U75" s="48"/>
      <c r="V75" s="9"/>
      <c r="W75" s="9"/>
      <c r="X75" s="203"/>
      <c r="Y75" s="203"/>
    </row>
    <row r="76" spans="1:25" ht="40.049999999999997" customHeight="1" x14ac:dyDescent="0.3">
      <c r="A76" s="130"/>
      <c r="B76" s="128"/>
      <c r="H76" s="47"/>
      <c r="I76" s="47"/>
      <c r="J76" s="47"/>
      <c r="K76" s="48"/>
      <c r="L76" s="203"/>
      <c r="M76" s="203"/>
      <c r="N76" s="9"/>
      <c r="O76" s="48"/>
      <c r="P76" s="9"/>
      <c r="Q76" s="9"/>
      <c r="R76" s="203"/>
      <c r="S76" s="203"/>
      <c r="T76" s="9"/>
      <c r="U76" s="48"/>
      <c r="V76" s="9"/>
      <c r="W76" s="9"/>
      <c r="X76" s="203"/>
      <c r="Y76" s="203"/>
    </row>
    <row r="77" spans="1:25" ht="40.049999999999997" customHeight="1" x14ac:dyDescent="0.3">
      <c r="A77" s="130"/>
      <c r="B77" s="128"/>
      <c r="H77" s="47"/>
      <c r="I77" s="47"/>
      <c r="J77" s="47"/>
      <c r="K77" s="48"/>
      <c r="L77" s="203"/>
      <c r="M77" s="203"/>
      <c r="N77" s="9"/>
      <c r="O77" s="48"/>
      <c r="P77" s="9"/>
      <c r="Q77" s="9"/>
      <c r="R77" s="203"/>
      <c r="S77" s="203"/>
      <c r="T77" s="9"/>
      <c r="U77" s="48"/>
      <c r="V77" s="9"/>
      <c r="W77" s="9"/>
      <c r="X77" s="203"/>
      <c r="Y77" s="203"/>
    </row>
    <row r="78" spans="1:25" ht="40.049999999999997" customHeight="1" x14ac:dyDescent="0.3">
      <c r="A78" s="130"/>
      <c r="B78" s="128"/>
      <c r="H78" s="47"/>
      <c r="I78" s="47"/>
      <c r="J78" s="47"/>
      <c r="K78" s="48"/>
      <c r="L78" s="203"/>
      <c r="M78" s="203"/>
      <c r="N78" s="9"/>
      <c r="O78" s="48"/>
      <c r="P78" s="9"/>
      <c r="Q78" s="9"/>
      <c r="R78" s="203"/>
      <c r="S78" s="203"/>
      <c r="T78" s="9"/>
      <c r="U78" s="48"/>
      <c r="V78" s="9"/>
      <c r="W78" s="9"/>
      <c r="X78" s="203"/>
      <c r="Y78" s="203"/>
    </row>
    <row r="79" spans="1:25" ht="40.049999999999997" customHeight="1" x14ac:dyDescent="0.3">
      <c r="A79" s="130"/>
      <c r="B79" s="128"/>
      <c r="H79" s="47"/>
      <c r="I79" s="47"/>
      <c r="J79" s="47"/>
      <c r="K79" s="48"/>
      <c r="L79" s="203"/>
      <c r="M79" s="203"/>
      <c r="N79" s="9"/>
      <c r="O79" s="48"/>
      <c r="P79" s="9"/>
      <c r="Q79" s="9"/>
      <c r="R79" s="203"/>
      <c r="S79" s="203"/>
      <c r="T79" s="9"/>
      <c r="U79" s="48"/>
      <c r="V79" s="9"/>
      <c r="W79" s="9"/>
      <c r="X79" s="203"/>
      <c r="Y79" s="203"/>
    </row>
    <row r="80" spans="1:25" ht="40.049999999999997" customHeight="1" x14ac:dyDescent="0.3">
      <c r="A80" s="130"/>
      <c r="B80" s="128"/>
      <c r="H80" s="47"/>
      <c r="I80" s="47"/>
      <c r="J80" s="47"/>
      <c r="K80" s="48"/>
      <c r="L80" s="203"/>
      <c r="M80" s="203"/>
      <c r="N80" s="9"/>
      <c r="O80" s="48"/>
      <c r="P80" s="9"/>
      <c r="Q80" s="9"/>
      <c r="R80" s="203"/>
      <c r="S80" s="203"/>
      <c r="T80" s="9"/>
      <c r="U80" s="48"/>
      <c r="V80" s="9"/>
      <c r="W80" s="9"/>
      <c r="X80" s="203"/>
      <c r="Y80" s="203"/>
    </row>
    <row r="81" spans="1:25" ht="40.049999999999997" customHeight="1" x14ac:dyDescent="0.3">
      <c r="A81" s="130"/>
      <c r="B81" s="128"/>
      <c r="H81" s="47"/>
      <c r="I81" s="47"/>
      <c r="J81" s="47"/>
      <c r="K81" s="48"/>
      <c r="L81" s="203"/>
      <c r="M81" s="203"/>
      <c r="N81" s="9"/>
      <c r="O81" s="48"/>
      <c r="P81" s="9"/>
      <c r="Q81" s="9"/>
      <c r="R81" s="203"/>
      <c r="S81" s="203"/>
      <c r="T81" s="9"/>
      <c r="U81" s="48"/>
      <c r="V81" s="9"/>
      <c r="W81" s="9"/>
      <c r="X81" s="203"/>
      <c r="Y81" s="203"/>
    </row>
    <row r="82" spans="1:25" ht="40.049999999999997" customHeight="1" x14ac:dyDescent="0.3">
      <c r="A82" s="130"/>
      <c r="B82" s="128"/>
      <c r="H82" s="47"/>
      <c r="I82" s="47"/>
      <c r="J82" s="47"/>
      <c r="K82" s="48"/>
      <c r="L82" s="203"/>
      <c r="M82" s="203"/>
      <c r="N82" s="9"/>
      <c r="O82" s="48"/>
      <c r="P82" s="9"/>
      <c r="Q82" s="9"/>
      <c r="R82" s="203"/>
      <c r="S82" s="203"/>
      <c r="T82" s="9"/>
      <c r="U82" s="48"/>
      <c r="V82" s="9"/>
      <c r="W82" s="9"/>
      <c r="X82" s="203"/>
      <c r="Y82" s="203"/>
    </row>
    <row r="83" spans="1:25" ht="40.049999999999997" customHeight="1" x14ac:dyDescent="0.3">
      <c r="A83" s="130"/>
      <c r="B83" s="128"/>
      <c r="H83" s="47"/>
      <c r="I83" s="47"/>
      <c r="J83" s="47"/>
      <c r="K83" s="48"/>
      <c r="L83" s="203"/>
      <c r="M83" s="203"/>
      <c r="N83" s="9"/>
      <c r="O83" s="48"/>
      <c r="P83" s="9"/>
      <c r="Q83" s="9"/>
      <c r="R83" s="203"/>
      <c r="S83" s="203"/>
      <c r="T83" s="9"/>
      <c r="U83" s="48"/>
      <c r="V83" s="9"/>
      <c r="W83" s="9"/>
      <c r="X83" s="203"/>
      <c r="Y83" s="203"/>
    </row>
    <row r="84" spans="1:25" ht="40.049999999999997" customHeight="1" x14ac:dyDescent="0.3">
      <c r="A84" s="130"/>
      <c r="B84" s="128"/>
      <c r="H84" s="47"/>
      <c r="I84" s="47"/>
      <c r="J84" s="47"/>
      <c r="K84" s="48"/>
      <c r="L84" s="203"/>
      <c r="M84" s="203"/>
      <c r="N84" s="9"/>
      <c r="O84" s="48"/>
      <c r="P84" s="9"/>
      <c r="Q84" s="9"/>
      <c r="R84" s="203"/>
      <c r="S84" s="203"/>
      <c r="T84" s="9"/>
      <c r="U84" s="48"/>
      <c r="V84" s="9"/>
      <c r="W84" s="9"/>
      <c r="X84" s="203"/>
      <c r="Y84" s="203"/>
    </row>
    <row r="85" spans="1:25" ht="40.049999999999997" customHeight="1" x14ac:dyDescent="0.3">
      <c r="A85" s="130"/>
      <c r="B85" s="128"/>
      <c r="H85" s="47"/>
      <c r="I85" s="47"/>
      <c r="J85" s="47"/>
      <c r="K85" s="48"/>
      <c r="L85" s="203"/>
      <c r="M85" s="203"/>
      <c r="N85" s="9"/>
      <c r="O85" s="48"/>
      <c r="P85" s="9"/>
      <c r="Q85" s="9"/>
      <c r="R85" s="203"/>
      <c r="S85" s="203"/>
      <c r="T85" s="9"/>
      <c r="U85" s="48"/>
      <c r="V85" s="9"/>
      <c r="W85" s="9"/>
      <c r="X85" s="203"/>
      <c r="Y85" s="203"/>
    </row>
    <row r="86" spans="1:25" ht="40.049999999999997" customHeight="1" x14ac:dyDescent="0.3">
      <c r="A86" s="130"/>
      <c r="B86" s="128"/>
      <c r="H86" s="47"/>
      <c r="I86" s="47"/>
      <c r="J86" s="47"/>
      <c r="K86" s="48"/>
      <c r="L86" s="203"/>
      <c r="M86" s="203"/>
      <c r="N86" s="9"/>
      <c r="O86" s="48"/>
      <c r="P86" s="9"/>
      <c r="Q86" s="9"/>
      <c r="R86" s="203"/>
      <c r="S86" s="203"/>
      <c r="T86" s="9"/>
      <c r="U86" s="48"/>
      <c r="V86" s="9"/>
      <c r="W86" s="9"/>
      <c r="X86" s="203"/>
      <c r="Y86" s="203"/>
    </row>
    <row r="87" spans="1:25" ht="40.049999999999997" customHeight="1" x14ac:dyDescent="0.3">
      <c r="A87" s="130"/>
      <c r="B87" s="128"/>
      <c r="H87" s="47"/>
      <c r="I87" s="47"/>
      <c r="J87" s="47"/>
      <c r="K87" s="48"/>
      <c r="L87" s="203"/>
      <c r="M87" s="203"/>
      <c r="N87" s="9"/>
      <c r="O87" s="48"/>
      <c r="P87" s="9"/>
      <c r="Q87" s="9"/>
      <c r="R87" s="203"/>
      <c r="S87" s="203"/>
      <c r="T87" s="9"/>
      <c r="U87" s="48"/>
      <c r="V87" s="9"/>
      <c r="W87" s="9"/>
      <c r="X87" s="203"/>
      <c r="Y87" s="203"/>
    </row>
    <row r="88" spans="1:25" ht="40.049999999999997" customHeight="1" x14ac:dyDescent="0.3">
      <c r="A88" s="130"/>
      <c r="B88" s="128"/>
      <c r="H88" s="47"/>
      <c r="I88" s="47"/>
      <c r="J88" s="47"/>
      <c r="K88" s="48"/>
      <c r="L88" s="203"/>
      <c r="M88" s="203"/>
      <c r="N88" s="9"/>
      <c r="O88" s="48"/>
      <c r="P88" s="9"/>
      <c r="Q88" s="9"/>
      <c r="R88" s="203"/>
      <c r="S88" s="203"/>
      <c r="T88" s="9"/>
      <c r="U88" s="48"/>
      <c r="V88" s="9"/>
      <c r="W88" s="9"/>
      <c r="X88" s="203"/>
      <c r="Y88" s="203"/>
    </row>
    <row r="89" spans="1:25" ht="40.049999999999997" customHeight="1" x14ac:dyDescent="0.3">
      <c r="A89" s="130"/>
      <c r="B89" s="128"/>
      <c r="H89" s="47"/>
      <c r="I89" s="47"/>
      <c r="J89" s="47"/>
      <c r="K89" s="48"/>
      <c r="L89" s="203"/>
      <c r="M89" s="203"/>
      <c r="N89" s="9"/>
      <c r="O89" s="48"/>
      <c r="P89" s="9"/>
      <c r="Q89" s="9"/>
      <c r="R89" s="203"/>
      <c r="S89" s="203"/>
      <c r="T89" s="9"/>
      <c r="U89" s="48"/>
      <c r="V89" s="9"/>
      <c r="W89" s="9"/>
      <c r="X89" s="203"/>
      <c r="Y89" s="203"/>
    </row>
    <row r="90" spans="1:25" ht="40.049999999999997" customHeight="1" x14ac:dyDescent="0.3">
      <c r="A90" s="130"/>
      <c r="B90" s="128"/>
      <c r="H90" s="47"/>
      <c r="I90" s="47"/>
      <c r="J90" s="47"/>
      <c r="K90" s="48"/>
      <c r="L90" s="203"/>
      <c r="M90" s="203"/>
      <c r="N90" s="9"/>
      <c r="O90" s="48"/>
      <c r="P90" s="9"/>
      <c r="Q90" s="9"/>
      <c r="R90" s="203"/>
      <c r="S90" s="203"/>
      <c r="T90" s="9"/>
      <c r="U90" s="48"/>
      <c r="V90" s="9"/>
      <c r="W90" s="9"/>
      <c r="X90" s="203"/>
      <c r="Y90" s="203"/>
    </row>
    <row r="91" spans="1:25" ht="40.049999999999997" customHeight="1" x14ac:dyDescent="0.3">
      <c r="A91" s="130"/>
      <c r="B91" s="128"/>
      <c r="H91" s="47"/>
      <c r="I91" s="47"/>
      <c r="J91" s="47"/>
      <c r="K91" s="48"/>
      <c r="L91" s="203"/>
      <c r="M91" s="203"/>
      <c r="N91" s="9"/>
      <c r="O91" s="48"/>
      <c r="P91" s="9"/>
      <c r="Q91" s="9"/>
      <c r="R91" s="203"/>
      <c r="S91" s="203"/>
      <c r="T91" s="9"/>
      <c r="U91" s="48"/>
      <c r="V91" s="9"/>
      <c r="W91" s="9"/>
      <c r="X91" s="203"/>
      <c r="Y91" s="203"/>
    </row>
    <row r="92" spans="1:25" ht="40.049999999999997" customHeight="1" x14ac:dyDescent="0.3">
      <c r="A92" s="130"/>
      <c r="B92" s="128"/>
      <c r="H92" s="47"/>
      <c r="I92" s="47"/>
      <c r="J92" s="47"/>
      <c r="K92" s="48"/>
      <c r="L92" s="203"/>
      <c r="M92" s="203"/>
      <c r="N92" s="9"/>
      <c r="O92" s="48"/>
      <c r="P92" s="9"/>
      <c r="Q92" s="9"/>
      <c r="R92" s="203"/>
      <c r="S92" s="203"/>
      <c r="T92" s="9"/>
      <c r="U92" s="48"/>
      <c r="V92" s="9"/>
      <c r="W92" s="9"/>
      <c r="X92" s="203"/>
      <c r="Y92" s="203"/>
    </row>
    <row r="93" spans="1:25" ht="40.049999999999997" customHeight="1" x14ac:dyDescent="0.3">
      <c r="A93" s="130"/>
      <c r="B93" s="128"/>
      <c r="H93" s="47"/>
      <c r="I93" s="47"/>
      <c r="J93" s="47"/>
      <c r="K93" s="48"/>
      <c r="L93" s="203"/>
      <c r="M93" s="203"/>
      <c r="N93" s="9"/>
      <c r="O93" s="48"/>
      <c r="P93" s="9"/>
      <c r="Q93" s="9"/>
      <c r="R93" s="203"/>
      <c r="S93" s="203"/>
      <c r="T93" s="9"/>
      <c r="U93" s="48"/>
      <c r="V93" s="9"/>
      <c r="W93" s="9"/>
      <c r="X93" s="203"/>
      <c r="Y93" s="203"/>
    </row>
    <row r="94" spans="1:25" ht="40.049999999999997" customHeight="1" x14ac:dyDescent="0.3">
      <c r="A94" s="130"/>
      <c r="B94" s="128"/>
      <c r="H94" s="47"/>
      <c r="I94" s="47"/>
      <c r="J94" s="47"/>
      <c r="K94" s="48"/>
      <c r="L94" s="203"/>
      <c r="M94" s="203"/>
      <c r="N94" s="9"/>
      <c r="O94" s="48"/>
      <c r="P94" s="9"/>
      <c r="Q94" s="9"/>
      <c r="R94" s="203"/>
      <c r="S94" s="203"/>
      <c r="T94" s="9"/>
      <c r="U94" s="48"/>
      <c r="V94" s="9"/>
      <c r="W94" s="9"/>
      <c r="X94" s="203"/>
      <c r="Y94" s="203"/>
    </row>
    <row r="95" spans="1:25" ht="40.049999999999997" customHeight="1" x14ac:dyDescent="0.3">
      <c r="A95" s="130"/>
      <c r="B95" s="128"/>
      <c r="H95" s="47"/>
      <c r="I95" s="47"/>
      <c r="J95" s="47"/>
      <c r="K95" s="48"/>
      <c r="L95" s="203"/>
      <c r="M95" s="203"/>
      <c r="N95" s="9"/>
      <c r="O95" s="48"/>
      <c r="P95" s="9"/>
      <c r="Q95" s="9"/>
      <c r="R95" s="203"/>
      <c r="S95" s="203"/>
      <c r="T95" s="9"/>
      <c r="U95" s="48"/>
      <c r="V95" s="9"/>
      <c r="W95" s="9"/>
      <c r="X95" s="203"/>
      <c r="Y95" s="203"/>
    </row>
    <row r="96" spans="1:25" ht="40.049999999999997" customHeight="1" x14ac:dyDescent="0.3">
      <c r="A96" s="130"/>
      <c r="B96" s="128"/>
      <c r="H96" s="47"/>
      <c r="I96" s="47"/>
      <c r="J96" s="47"/>
      <c r="K96" s="48"/>
      <c r="L96" s="203"/>
      <c r="M96" s="203"/>
      <c r="N96" s="9"/>
      <c r="O96" s="48"/>
      <c r="P96" s="9"/>
      <c r="Q96" s="9"/>
      <c r="R96" s="203"/>
      <c r="S96" s="203"/>
      <c r="T96" s="9"/>
      <c r="U96" s="48"/>
      <c r="V96" s="9"/>
      <c r="W96" s="9"/>
      <c r="X96" s="203"/>
      <c r="Y96" s="203"/>
    </row>
    <row r="97" spans="1:25" ht="40.049999999999997" customHeight="1" x14ac:dyDescent="0.3">
      <c r="A97" s="130"/>
      <c r="B97" s="128"/>
      <c r="H97" s="47"/>
      <c r="I97" s="47"/>
      <c r="J97" s="47"/>
      <c r="K97" s="48"/>
      <c r="L97" s="203"/>
      <c r="M97" s="203"/>
      <c r="N97" s="9"/>
      <c r="O97" s="48"/>
      <c r="P97" s="9"/>
      <c r="Q97" s="9"/>
      <c r="R97" s="203"/>
      <c r="S97" s="203"/>
      <c r="T97" s="9"/>
      <c r="U97" s="48"/>
      <c r="V97" s="9"/>
      <c r="W97" s="9"/>
      <c r="X97" s="203"/>
      <c r="Y97" s="203"/>
    </row>
    <row r="98" spans="1:25" ht="40.049999999999997" customHeight="1" x14ac:dyDescent="0.3">
      <c r="A98" s="130"/>
      <c r="B98" s="128"/>
      <c r="H98" s="47"/>
      <c r="I98" s="47"/>
      <c r="J98" s="47"/>
      <c r="K98" s="48"/>
      <c r="L98" s="203"/>
      <c r="M98" s="203"/>
      <c r="N98" s="9"/>
      <c r="O98" s="48"/>
      <c r="P98" s="9"/>
      <c r="Q98" s="9"/>
      <c r="R98" s="203"/>
      <c r="S98" s="203"/>
      <c r="T98" s="9"/>
      <c r="U98" s="48"/>
      <c r="V98" s="9"/>
      <c r="W98" s="9"/>
      <c r="X98" s="203"/>
      <c r="Y98" s="203"/>
    </row>
    <row r="99" spans="1:25" ht="40.049999999999997" customHeight="1" x14ac:dyDescent="0.3">
      <c r="A99" s="130"/>
      <c r="B99" s="128"/>
      <c r="H99" s="47"/>
      <c r="I99" s="47"/>
      <c r="J99" s="47"/>
      <c r="K99" s="48"/>
      <c r="L99" s="203"/>
      <c r="M99" s="203"/>
      <c r="N99" s="9"/>
      <c r="O99" s="48"/>
      <c r="P99" s="9"/>
      <c r="Q99" s="9"/>
      <c r="R99" s="203"/>
      <c r="S99" s="203"/>
      <c r="T99" s="9"/>
      <c r="U99" s="48"/>
      <c r="V99" s="9"/>
      <c r="W99" s="9"/>
      <c r="X99" s="203"/>
      <c r="Y99" s="203"/>
    </row>
    <row r="100" spans="1:25" ht="40.049999999999997" customHeight="1" x14ac:dyDescent="0.3">
      <c r="A100" s="130"/>
      <c r="B100" s="128"/>
      <c r="H100" s="47"/>
      <c r="I100" s="47"/>
      <c r="J100" s="47"/>
      <c r="K100" s="48"/>
      <c r="L100" s="203"/>
      <c r="M100" s="203"/>
      <c r="N100" s="9"/>
      <c r="O100" s="48"/>
      <c r="P100" s="9"/>
      <c r="Q100" s="9"/>
      <c r="R100" s="203"/>
      <c r="S100" s="203"/>
      <c r="T100" s="9"/>
      <c r="U100" s="48"/>
      <c r="V100" s="9"/>
      <c r="W100" s="9"/>
      <c r="X100" s="203"/>
      <c r="Y100" s="203"/>
    </row>
    <row r="101" spans="1:25" ht="40.049999999999997" customHeight="1" x14ac:dyDescent="0.3">
      <c r="A101" s="130"/>
      <c r="B101" s="128"/>
      <c r="H101" s="47"/>
      <c r="I101" s="47"/>
      <c r="J101" s="47"/>
      <c r="K101" s="48"/>
      <c r="L101" s="203"/>
      <c r="M101" s="203"/>
      <c r="N101" s="9"/>
      <c r="O101" s="48"/>
      <c r="P101" s="9"/>
      <c r="Q101" s="9"/>
      <c r="R101" s="203"/>
      <c r="S101" s="203"/>
      <c r="T101" s="9"/>
      <c r="U101" s="48"/>
      <c r="V101" s="9"/>
      <c r="W101" s="9"/>
      <c r="X101" s="203"/>
      <c r="Y101" s="203"/>
    </row>
    <row r="102" spans="1:25" ht="40.049999999999997" customHeight="1" x14ac:dyDescent="0.3">
      <c r="A102" s="130"/>
      <c r="B102" s="128"/>
      <c r="H102" s="47"/>
      <c r="I102" s="47"/>
      <c r="J102" s="47"/>
      <c r="K102" s="48"/>
      <c r="L102" s="203"/>
      <c r="M102" s="203"/>
      <c r="N102" s="9"/>
      <c r="O102" s="48"/>
      <c r="P102" s="9"/>
      <c r="Q102" s="9"/>
      <c r="R102" s="203"/>
      <c r="S102" s="203"/>
      <c r="T102" s="9"/>
      <c r="U102" s="48"/>
      <c r="V102" s="9"/>
      <c r="W102" s="9"/>
      <c r="X102" s="203"/>
      <c r="Y102" s="203"/>
    </row>
    <row r="103" spans="1:25" ht="40.049999999999997" customHeight="1" x14ac:dyDescent="0.3">
      <c r="A103" s="130"/>
      <c r="B103" s="128"/>
      <c r="H103" s="47"/>
      <c r="I103" s="47"/>
      <c r="J103" s="47"/>
      <c r="K103" s="48"/>
      <c r="L103" s="203"/>
      <c r="M103" s="203"/>
      <c r="N103" s="9"/>
      <c r="O103" s="48"/>
      <c r="P103" s="9"/>
      <c r="Q103" s="9"/>
      <c r="R103" s="203"/>
      <c r="S103" s="203"/>
      <c r="T103" s="9"/>
      <c r="U103" s="48"/>
      <c r="V103" s="9"/>
      <c r="W103" s="9"/>
      <c r="X103" s="203"/>
      <c r="Y103" s="203"/>
    </row>
    <row r="104" spans="1:25" ht="40.049999999999997" customHeight="1" x14ac:dyDescent="0.3">
      <c r="A104" s="130"/>
      <c r="B104" s="128"/>
      <c r="H104" s="47"/>
      <c r="I104" s="47"/>
      <c r="J104" s="47"/>
      <c r="K104" s="48"/>
      <c r="L104" s="203"/>
      <c r="M104" s="203"/>
      <c r="N104" s="9"/>
      <c r="O104" s="48"/>
      <c r="P104" s="9"/>
      <c r="Q104" s="9"/>
      <c r="R104" s="203"/>
      <c r="S104" s="203"/>
      <c r="T104" s="9"/>
      <c r="U104" s="48"/>
      <c r="V104" s="9"/>
      <c r="W104" s="9"/>
      <c r="X104" s="203"/>
      <c r="Y104" s="203"/>
    </row>
    <row r="105" spans="1:25" ht="40.049999999999997" customHeight="1" x14ac:dyDescent="0.3">
      <c r="A105" s="130"/>
      <c r="B105" s="128"/>
      <c r="H105" s="47"/>
      <c r="I105" s="47"/>
      <c r="J105" s="47"/>
      <c r="K105" s="48"/>
      <c r="L105" s="203"/>
      <c r="M105" s="203"/>
      <c r="N105" s="9"/>
      <c r="O105" s="48"/>
      <c r="P105" s="9"/>
      <c r="Q105" s="9"/>
      <c r="R105" s="203"/>
      <c r="S105" s="203"/>
      <c r="T105" s="9"/>
      <c r="U105" s="48"/>
      <c r="V105" s="9"/>
      <c r="W105" s="9"/>
      <c r="X105" s="203"/>
      <c r="Y105" s="203"/>
    </row>
    <row r="106" spans="1:25" ht="40.049999999999997" customHeight="1" x14ac:dyDescent="0.3">
      <c r="A106" s="130"/>
      <c r="B106" s="128"/>
      <c r="H106" s="47"/>
      <c r="I106" s="47"/>
      <c r="J106" s="47"/>
      <c r="K106" s="48"/>
      <c r="L106" s="203"/>
      <c r="M106" s="203"/>
      <c r="N106" s="9"/>
      <c r="O106" s="48"/>
      <c r="P106" s="9"/>
      <c r="Q106" s="9"/>
      <c r="R106" s="203"/>
      <c r="S106" s="203"/>
      <c r="T106" s="9"/>
      <c r="U106" s="48"/>
      <c r="V106" s="9"/>
      <c r="W106" s="9"/>
      <c r="X106" s="203"/>
      <c r="Y106" s="203"/>
    </row>
    <row r="107" spans="1:25" ht="40.049999999999997" customHeight="1" x14ac:dyDescent="0.3">
      <c r="A107" s="130"/>
      <c r="B107" s="128"/>
      <c r="H107" s="47"/>
      <c r="I107" s="47"/>
      <c r="J107" s="47"/>
      <c r="K107" s="48"/>
      <c r="L107" s="203"/>
      <c r="M107" s="203"/>
      <c r="N107" s="9"/>
      <c r="O107" s="48"/>
      <c r="P107" s="9"/>
      <c r="Q107" s="9"/>
      <c r="R107" s="203"/>
      <c r="S107" s="203"/>
      <c r="T107" s="9"/>
      <c r="U107" s="48"/>
      <c r="V107" s="9"/>
      <c r="W107" s="9"/>
      <c r="X107" s="203"/>
      <c r="Y107" s="203"/>
    </row>
    <row r="108" spans="1:25" ht="40.049999999999997" customHeight="1" x14ac:dyDescent="0.3">
      <c r="A108" s="130"/>
      <c r="B108" s="128"/>
      <c r="H108" s="47"/>
      <c r="I108" s="47"/>
      <c r="J108" s="47"/>
      <c r="K108" s="48"/>
      <c r="L108" s="203"/>
      <c r="M108" s="203"/>
      <c r="N108" s="9"/>
      <c r="O108" s="48"/>
      <c r="P108" s="9"/>
      <c r="Q108" s="9"/>
      <c r="R108" s="203"/>
      <c r="S108" s="203"/>
      <c r="T108" s="9"/>
      <c r="U108" s="48"/>
      <c r="V108" s="9"/>
      <c r="W108" s="9"/>
      <c r="X108" s="203"/>
      <c r="Y108" s="203"/>
    </row>
    <row r="109" spans="1:25" ht="40.049999999999997" customHeight="1" x14ac:dyDescent="0.3">
      <c r="A109" s="130"/>
      <c r="B109" s="128"/>
      <c r="H109" s="47"/>
      <c r="I109" s="47"/>
      <c r="J109" s="47"/>
      <c r="K109" s="48"/>
      <c r="L109" s="203"/>
      <c r="M109" s="203"/>
      <c r="N109" s="9"/>
      <c r="O109" s="48"/>
      <c r="P109" s="9"/>
      <c r="Q109" s="9"/>
      <c r="R109" s="203"/>
      <c r="S109" s="203"/>
      <c r="T109" s="9"/>
      <c r="U109" s="48"/>
      <c r="V109" s="9"/>
      <c r="W109" s="9"/>
      <c r="X109" s="203"/>
      <c r="Y109" s="203"/>
    </row>
    <row r="110" spans="1:25" ht="40.049999999999997" customHeight="1" x14ac:dyDescent="0.3">
      <c r="A110" s="130"/>
      <c r="B110" s="128"/>
      <c r="H110" s="47"/>
      <c r="I110" s="47"/>
      <c r="J110" s="47"/>
      <c r="K110" s="48"/>
      <c r="L110" s="203"/>
      <c r="M110" s="203"/>
      <c r="N110" s="9"/>
      <c r="O110" s="48"/>
      <c r="P110" s="9"/>
      <c r="Q110" s="9"/>
      <c r="R110" s="203"/>
      <c r="S110" s="203"/>
      <c r="T110" s="9"/>
      <c r="U110" s="48"/>
      <c r="V110" s="9"/>
      <c r="W110" s="9"/>
      <c r="X110" s="203"/>
      <c r="Y110" s="203"/>
    </row>
    <row r="111" spans="1:25" ht="40.049999999999997" customHeight="1" x14ac:dyDescent="0.3">
      <c r="A111" s="130"/>
      <c r="B111" s="128"/>
      <c r="H111" s="47"/>
      <c r="I111" s="47"/>
      <c r="J111" s="47"/>
      <c r="K111" s="48"/>
      <c r="L111" s="203"/>
      <c r="M111" s="203"/>
      <c r="N111" s="9"/>
      <c r="O111" s="48"/>
      <c r="P111" s="9"/>
      <c r="Q111" s="9"/>
      <c r="R111" s="203"/>
      <c r="S111" s="203"/>
      <c r="T111" s="9"/>
      <c r="U111" s="48"/>
      <c r="V111" s="9"/>
      <c r="W111" s="9"/>
      <c r="X111" s="203"/>
      <c r="Y111" s="203"/>
    </row>
    <row r="112" spans="1:25" ht="40.049999999999997" customHeight="1" x14ac:dyDescent="0.3">
      <c r="A112" s="130"/>
      <c r="B112" s="128"/>
      <c r="H112" s="47"/>
      <c r="I112" s="47"/>
      <c r="J112" s="47"/>
      <c r="K112" s="48"/>
      <c r="L112" s="203"/>
      <c r="M112" s="203"/>
      <c r="N112" s="9"/>
      <c r="O112" s="48"/>
      <c r="P112" s="9"/>
      <c r="Q112" s="9"/>
      <c r="R112" s="203"/>
      <c r="S112" s="203"/>
      <c r="T112" s="9"/>
      <c r="U112" s="48"/>
      <c r="V112" s="9"/>
      <c r="W112" s="9"/>
      <c r="X112" s="203"/>
      <c r="Y112" s="203"/>
    </row>
    <row r="113" spans="1:25" ht="40.049999999999997" customHeight="1" x14ac:dyDescent="0.3">
      <c r="A113" s="130"/>
      <c r="B113" s="128"/>
      <c r="H113" s="47"/>
      <c r="I113" s="47"/>
      <c r="J113" s="47"/>
      <c r="K113" s="48"/>
      <c r="L113" s="203"/>
      <c r="M113" s="203"/>
      <c r="N113" s="9"/>
      <c r="O113" s="48"/>
      <c r="P113" s="9"/>
      <c r="Q113" s="9"/>
      <c r="R113" s="203"/>
      <c r="S113" s="203"/>
      <c r="T113" s="9"/>
      <c r="U113" s="48"/>
      <c r="V113" s="9"/>
      <c r="W113" s="9"/>
      <c r="X113" s="203"/>
      <c r="Y113" s="203"/>
    </row>
    <row r="114" spans="1:25" ht="40.049999999999997" customHeight="1" x14ac:dyDescent="0.3">
      <c r="A114" s="130"/>
      <c r="B114" s="128"/>
      <c r="H114" s="47"/>
      <c r="I114" s="47"/>
      <c r="J114" s="47"/>
      <c r="K114" s="48"/>
      <c r="L114" s="203"/>
      <c r="M114" s="203"/>
      <c r="N114" s="9"/>
      <c r="O114" s="48"/>
      <c r="P114" s="9"/>
      <c r="Q114" s="9"/>
      <c r="R114" s="203"/>
      <c r="S114" s="203"/>
      <c r="T114" s="9"/>
      <c r="U114" s="48"/>
      <c r="V114" s="9"/>
      <c r="W114" s="9"/>
      <c r="X114" s="203"/>
      <c r="Y114" s="203"/>
    </row>
    <row r="115" spans="1:25" ht="40.049999999999997" customHeight="1" x14ac:dyDescent="0.3">
      <c r="A115" s="130"/>
      <c r="B115" s="128"/>
      <c r="H115" s="47"/>
      <c r="I115" s="47"/>
      <c r="J115" s="47"/>
      <c r="K115" s="48"/>
      <c r="L115" s="203"/>
      <c r="M115" s="203"/>
      <c r="N115" s="9"/>
      <c r="O115" s="48"/>
      <c r="P115" s="9"/>
      <c r="Q115" s="9"/>
      <c r="R115" s="203"/>
      <c r="S115" s="203"/>
      <c r="T115" s="9"/>
      <c r="U115" s="48"/>
      <c r="V115" s="9"/>
      <c r="W115" s="9"/>
      <c r="X115" s="203"/>
      <c r="Y115" s="203"/>
    </row>
    <row r="116" spans="1:25" ht="40.049999999999997" customHeight="1" x14ac:dyDescent="0.3">
      <c r="A116" s="130"/>
      <c r="B116" s="128"/>
      <c r="H116" s="47"/>
      <c r="I116" s="47"/>
      <c r="J116" s="47"/>
      <c r="K116" s="48"/>
      <c r="L116" s="203"/>
      <c r="M116" s="203"/>
      <c r="N116" s="9"/>
      <c r="O116" s="48"/>
      <c r="P116" s="9"/>
      <c r="Q116" s="9"/>
      <c r="R116" s="203"/>
      <c r="S116" s="203"/>
      <c r="T116" s="9"/>
      <c r="U116" s="48"/>
      <c r="V116" s="9"/>
      <c r="W116" s="9"/>
      <c r="X116" s="203"/>
      <c r="Y116" s="203"/>
    </row>
    <row r="117" spans="1:25" ht="40.049999999999997" customHeight="1" x14ac:dyDescent="0.3">
      <c r="A117" s="130"/>
      <c r="B117" s="128"/>
      <c r="H117" s="47"/>
      <c r="I117" s="47"/>
      <c r="J117" s="47"/>
      <c r="K117" s="48"/>
      <c r="L117" s="203"/>
      <c r="M117" s="203"/>
      <c r="N117" s="9"/>
      <c r="O117" s="48"/>
      <c r="P117" s="9"/>
      <c r="Q117" s="9"/>
      <c r="R117" s="203"/>
      <c r="S117" s="203"/>
      <c r="T117" s="9"/>
      <c r="U117" s="48"/>
      <c r="V117" s="9"/>
      <c r="W117" s="9"/>
      <c r="X117" s="203"/>
      <c r="Y117" s="203"/>
    </row>
    <row r="118" spans="1:25" ht="40.049999999999997" customHeight="1" x14ac:dyDescent="0.3">
      <c r="A118" s="130"/>
      <c r="B118" s="128"/>
      <c r="H118" s="47"/>
      <c r="I118" s="47"/>
      <c r="J118" s="47"/>
      <c r="K118" s="48"/>
      <c r="L118" s="203"/>
      <c r="M118" s="203"/>
      <c r="N118" s="9"/>
      <c r="O118" s="48"/>
      <c r="P118" s="9"/>
      <c r="Q118" s="9"/>
      <c r="R118" s="203"/>
      <c r="S118" s="203"/>
      <c r="T118" s="9"/>
      <c r="U118" s="48"/>
      <c r="V118" s="9"/>
      <c r="W118" s="9"/>
      <c r="X118" s="203"/>
      <c r="Y118" s="203"/>
    </row>
    <row r="119" spans="1:25" ht="40.049999999999997" customHeight="1" x14ac:dyDescent="0.3">
      <c r="A119" s="130"/>
      <c r="B119" s="128"/>
      <c r="H119" s="47"/>
      <c r="I119" s="47"/>
      <c r="J119" s="47"/>
      <c r="K119" s="48"/>
      <c r="L119" s="203"/>
      <c r="M119" s="203"/>
      <c r="N119" s="9"/>
      <c r="O119" s="48"/>
      <c r="P119" s="9"/>
      <c r="Q119" s="9"/>
      <c r="R119" s="203"/>
      <c r="S119" s="203"/>
      <c r="T119" s="9"/>
      <c r="U119" s="48"/>
      <c r="V119" s="9"/>
      <c r="W119" s="9"/>
      <c r="X119" s="203"/>
      <c r="Y119" s="203"/>
    </row>
    <row r="120" spans="1:25" ht="40.049999999999997" customHeight="1" x14ac:dyDescent="0.3">
      <c r="A120" s="130"/>
      <c r="B120" s="128"/>
      <c r="H120" s="47"/>
      <c r="I120" s="47"/>
      <c r="J120" s="47"/>
      <c r="K120" s="48"/>
      <c r="L120" s="203"/>
      <c r="M120" s="203"/>
      <c r="N120" s="9"/>
      <c r="O120" s="48"/>
      <c r="P120" s="9"/>
      <c r="Q120" s="9"/>
      <c r="R120" s="203"/>
      <c r="S120" s="203"/>
      <c r="T120" s="9"/>
      <c r="U120" s="48"/>
      <c r="V120" s="9"/>
      <c r="W120" s="9"/>
      <c r="X120" s="203"/>
      <c r="Y120" s="203"/>
    </row>
    <row r="121" spans="1:25" ht="40.049999999999997" customHeight="1" x14ac:dyDescent="0.3">
      <c r="A121" s="130"/>
      <c r="B121" s="128"/>
      <c r="H121" s="47"/>
      <c r="I121" s="47"/>
      <c r="J121" s="47"/>
      <c r="K121" s="48"/>
      <c r="L121" s="203"/>
      <c r="M121" s="203"/>
      <c r="N121" s="9"/>
      <c r="O121" s="48"/>
      <c r="P121" s="9"/>
      <c r="Q121" s="9"/>
      <c r="R121" s="203"/>
      <c r="S121" s="203"/>
      <c r="T121" s="9"/>
      <c r="U121" s="48"/>
      <c r="V121" s="9"/>
      <c r="W121" s="9"/>
      <c r="X121" s="203"/>
      <c r="Y121" s="203"/>
    </row>
    <row r="122" spans="1:25" ht="40.049999999999997" customHeight="1" x14ac:dyDescent="0.3">
      <c r="A122" s="130"/>
      <c r="B122" s="128"/>
      <c r="H122" s="47"/>
      <c r="I122" s="47"/>
      <c r="J122" s="47"/>
      <c r="K122" s="48"/>
      <c r="L122" s="203"/>
      <c r="M122" s="203"/>
      <c r="N122" s="9"/>
      <c r="O122" s="48"/>
      <c r="P122" s="9"/>
      <c r="Q122" s="9"/>
      <c r="R122" s="203"/>
      <c r="S122" s="203"/>
      <c r="T122" s="9"/>
      <c r="U122" s="48"/>
      <c r="V122" s="9"/>
      <c r="W122" s="9"/>
      <c r="X122" s="203"/>
      <c r="Y122" s="203"/>
    </row>
    <row r="123" spans="1:25" ht="40.049999999999997" customHeight="1" x14ac:dyDescent="0.3">
      <c r="A123" s="130"/>
      <c r="B123" s="128"/>
      <c r="H123" s="47"/>
      <c r="I123" s="47"/>
      <c r="J123" s="47"/>
      <c r="K123" s="48"/>
      <c r="L123" s="203"/>
      <c r="M123" s="203"/>
      <c r="N123" s="9"/>
      <c r="O123" s="48"/>
      <c r="P123" s="9"/>
      <c r="Q123" s="9"/>
      <c r="R123" s="203"/>
      <c r="S123" s="203"/>
      <c r="T123" s="9"/>
      <c r="U123" s="48"/>
      <c r="V123" s="9"/>
      <c r="W123" s="9"/>
      <c r="X123" s="203"/>
      <c r="Y123" s="203"/>
    </row>
    <row r="124" spans="1:25" ht="40.049999999999997" customHeight="1" x14ac:dyDescent="0.3">
      <c r="A124" s="130"/>
      <c r="B124" s="128"/>
      <c r="H124" s="47"/>
      <c r="I124" s="47"/>
      <c r="J124" s="47"/>
      <c r="K124" s="48"/>
      <c r="L124" s="203"/>
      <c r="M124" s="203"/>
      <c r="N124" s="9"/>
      <c r="O124" s="48"/>
      <c r="P124" s="9"/>
      <c r="Q124" s="9"/>
      <c r="R124" s="203"/>
      <c r="S124" s="203"/>
      <c r="T124" s="9"/>
      <c r="U124" s="48"/>
      <c r="V124" s="9"/>
      <c r="W124" s="9"/>
      <c r="X124" s="203"/>
      <c r="Y124" s="203"/>
    </row>
    <row r="125" spans="1:25" ht="40.049999999999997" customHeight="1" x14ac:dyDescent="0.3">
      <c r="A125" s="130"/>
      <c r="B125" s="128"/>
      <c r="H125" s="47"/>
      <c r="I125" s="47"/>
      <c r="J125" s="47"/>
      <c r="K125" s="48"/>
      <c r="L125" s="203"/>
      <c r="M125" s="203"/>
      <c r="N125" s="9"/>
      <c r="O125" s="48"/>
      <c r="P125" s="9"/>
      <c r="Q125" s="9"/>
      <c r="R125" s="203"/>
      <c r="S125" s="203"/>
      <c r="T125" s="9"/>
      <c r="U125" s="48"/>
      <c r="V125" s="9"/>
      <c r="W125" s="9"/>
      <c r="X125" s="203"/>
      <c r="Y125" s="203"/>
    </row>
    <row r="126" spans="1:25" ht="40.049999999999997" customHeight="1" x14ac:dyDescent="0.3">
      <c r="A126" s="130"/>
      <c r="B126" s="128"/>
      <c r="H126" s="47"/>
      <c r="I126" s="47"/>
      <c r="J126" s="47"/>
      <c r="K126" s="48"/>
      <c r="L126" s="203"/>
      <c r="M126" s="203"/>
      <c r="N126" s="9"/>
      <c r="O126" s="48"/>
      <c r="P126" s="9"/>
      <c r="Q126" s="9"/>
      <c r="R126" s="203"/>
      <c r="S126" s="203"/>
      <c r="T126" s="9"/>
      <c r="U126" s="48"/>
      <c r="V126" s="9"/>
      <c r="W126" s="9"/>
      <c r="X126" s="203"/>
      <c r="Y126" s="203"/>
    </row>
    <row r="127" spans="1:25" ht="40.049999999999997" customHeight="1" x14ac:dyDescent="0.3">
      <c r="A127" s="130"/>
      <c r="B127" s="128"/>
      <c r="H127" s="47"/>
      <c r="I127" s="47"/>
      <c r="J127" s="47"/>
      <c r="K127" s="48"/>
      <c r="L127" s="203"/>
      <c r="M127" s="203"/>
      <c r="N127" s="9"/>
      <c r="O127" s="48"/>
      <c r="P127" s="9"/>
      <c r="Q127" s="9"/>
      <c r="R127" s="203"/>
      <c r="S127" s="203"/>
      <c r="T127" s="9"/>
      <c r="U127" s="48"/>
      <c r="V127" s="9"/>
      <c r="W127" s="9"/>
      <c r="X127" s="203"/>
      <c r="Y127" s="203"/>
    </row>
    <row r="128" spans="1:25" ht="40.049999999999997" customHeight="1" x14ac:dyDescent="0.3">
      <c r="A128" s="130"/>
      <c r="B128" s="128"/>
      <c r="H128" s="47"/>
      <c r="I128" s="47"/>
      <c r="J128" s="47"/>
      <c r="K128" s="48"/>
      <c r="L128" s="203"/>
      <c r="M128" s="203"/>
      <c r="N128" s="9"/>
      <c r="O128" s="48"/>
      <c r="P128" s="9"/>
      <c r="Q128" s="9"/>
      <c r="R128" s="203"/>
      <c r="S128" s="203"/>
      <c r="T128" s="9"/>
      <c r="U128" s="48"/>
      <c r="V128" s="9"/>
      <c r="W128" s="9"/>
      <c r="X128" s="203"/>
      <c r="Y128" s="203"/>
    </row>
    <row r="129" spans="1:25" ht="40.049999999999997" customHeight="1" x14ac:dyDescent="0.3">
      <c r="A129" s="130"/>
      <c r="B129" s="128"/>
      <c r="H129" s="47"/>
      <c r="I129" s="47"/>
      <c r="J129" s="47"/>
      <c r="K129" s="48"/>
      <c r="L129" s="203"/>
      <c r="M129" s="203"/>
      <c r="N129" s="9"/>
      <c r="O129" s="48"/>
      <c r="P129" s="9"/>
      <c r="Q129" s="9"/>
      <c r="R129" s="203"/>
      <c r="S129" s="203"/>
      <c r="T129" s="9"/>
      <c r="U129" s="48"/>
      <c r="V129" s="9"/>
      <c r="W129" s="9"/>
      <c r="X129" s="203"/>
      <c r="Y129" s="203"/>
    </row>
    <row r="130" spans="1:25" ht="40.049999999999997" customHeight="1" x14ac:dyDescent="0.3">
      <c r="A130" s="130"/>
      <c r="B130" s="128"/>
      <c r="H130" s="47"/>
      <c r="I130" s="47"/>
      <c r="J130" s="47"/>
      <c r="K130" s="48"/>
      <c r="L130" s="203"/>
      <c r="M130" s="203"/>
      <c r="N130" s="9"/>
      <c r="O130" s="48"/>
      <c r="P130" s="9"/>
      <c r="Q130" s="9"/>
      <c r="R130" s="203"/>
      <c r="S130" s="203"/>
      <c r="T130" s="9"/>
      <c r="U130" s="48"/>
      <c r="V130" s="9"/>
      <c r="W130" s="9"/>
      <c r="X130" s="203"/>
      <c r="Y130" s="203"/>
    </row>
    <row r="131" spans="1:25" ht="40.049999999999997" customHeight="1" x14ac:dyDescent="0.3">
      <c r="A131" s="130"/>
      <c r="B131" s="128"/>
      <c r="H131" s="47"/>
      <c r="I131" s="47"/>
      <c r="J131" s="47"/>
      <c r="K131" s="48"/>
      <c r="L131" s="203"/>
      <c r="M131" s="203"/>
      <c r="N131" s="9"/>
      <c r="O131" s="48"/>
      <c r="P131" s="9"/>
      <c r="Q131" s="9"/>
      <c r="R131" s="203"/>
      <c r="S131" s="203"/>
      <c r="T131" s="9"/>
      <c r="U131" s="48"/>
      <c r="V131" s="9"/>
      <c r="W131" s="9"/>
      <c r="X131" s="203"/>
      <c r="Y131" s="203"/>
    </row>
    <row r="132" spans="1:25" ht="40.049999999999997" customHeight="1" x14ac:dyDescent="0.3">
      <c r="A132" s="130"/>
      <c r="B132" s="128"/>
      <c r="H132" s="47"/>
      <c r="I132" s="47"/>
      <c r="J132" s="47"/>
      <c r="K132" s="48"/>
      <c r="L132" s="203"/>
      <c r="M132" s="203"/>
      <c r="N132" s="9"/>
      <c r="O132" s="48"/>
      <c r="P132" s="9"/>
      <c r="Q132" s="9"/>
      <c r="R132" s="203"/>
      <c r="S132" s="203"/>
      <c r="T132" s="9"/>
      <c r="U132" s="48"/>
      <c r="V132" s="9"/>
      <c r="W132" s="9"/>
      <c r="X132" s="203"/>
      <c r="Y132" s="203"/>
    </row>
    <row r="133" spans="1:25" ht="40.049999999999997" customHeight="1" x14ac:dyDescent="0.3">
      <c r="A133" s="130"/>
      <c r="B133" s="128"/>
      <c r="H133" s="47"/>
      <c r="I133" s="47"/>
      <c r="J133" s="47"/>
      <c r="K133" s="48"/>
      <c r="L133" s="203"/>
      <c r="M133" s="203"/>
      <c r="N133" s="9"/>
      <c r="O133" s="48"/>
      <c r="P133" s="9"/>
      <c r="Q133" s="9"/>
      <c r="R133" s="203"/>
      <c r="S133" s="203"/>
      <c r="T133" s="9"/>
      <c r="U133" s="48"/>
      <c r="V133" s="9"/>
      <c r="W133" s="9"/>
      <c r="X133" s="203"/>
      <c r="Y133" s="203"/>
    </row>
    <row r="134" spans="1:25" ht="40.049999999999997" customHeight="1" x14ac:dyDescent="0.3">
      <c r="A134" s="130"/>
      <c r="B134" s="128"/>
      <c r="H134" s="47"/>
      <c r="I134" s="47"/>
      <c r="J134" s="47"/>
      <c r="K134" s="48"/>
      <c r="L134" s="203"/>
      <c r="M134" s="203"/>
      <c r="N134" s="9"/>
      <c r="O134" s="48"/>
      <c r="P134" s="9"/>
      <c r="Q134" s="9"/>
      <c r="R134" s="203"/>
      <c r="S134" s="203"/>
      <c r="T134" s="9"/>
      <c r="U134" s="48"/>
      <c r="V134" s="9"/>
      <c r="W134" s="9"/>
      <c r="X134" s="203"/>
      <c r="Y134" s="203"/>
    </row>
    <row r="135" spans="1:25" ht="40.049999999999997" customHeight="1" x14ac:dyDescent="0.3">
      <c r="A135" s="130"/>
      <c r="B135" s="128"/>
      <c r="H135" s="47"/>
      <c r="I135" s="47"/>
      <c r="J135" s="47"/>
      <c r="K135" s="48"/>
      <c r="L135" s="203"/>
      <c r="M135" s="203"/>
      <c r="N135" s="9"/>
      <c r="O135" s="48"/>
      <c r="P135" s="9"/>
      <c r="Q135" s="9"/>
      <c r="R135" s="203"/>
      <c r="S135" s="203"/>
      <c r="T135" s="9"/>
      <c r="U135" s="48"/>
      <c r="V135" s="9"/>
      <c r="W135" s="9"/>
      <c r="X135" s="203"/>
      <c r="Y135" s="203"/>
    </row>
    <row r="136" spans="1:25" ht="40.049999999999997" customHeight="1" x14ac:dyDescent="0.3">
      <c r="A136" s="130"/>
      <c r="B136" s="128"/>
      <c r="H136" s="47"/>
      <c r="I136" s="47"/>
      <c r="J136" s="47"/>
      <c r="K136" s="48"/>
      <c r="L136" s="203"/>
      <c r="M136" s="203"/>
      <c r="N136" s="9"/>
      <c r="O136" s="48"/>
      <c r="P136" s="9"/>
      <c r="Q136" s="9"/>
      <c r="R136" s="203"/>
      <c r="S136" s="203"/>
      <c r="T136" s="9"/>
      <c r="U136" s="48"/>
      <c r="V136" s="9"/>
      <c r="W136" s="9"/>
      <c r="X136" s="203"/>
      <c r="Y136" s="203"/>
    </row>
    <row r="137" spans="1:25" ht="40.049999999999997" customHeight="1" x14ac:dyDescent="0.3">
      <c r="A137" s="130"/>
      <c r="B137" s="128"/>
      <c r="H137" s="47"/>
      <c r="I137" s="47"/>
      <c r="J137" s="47"/>
      <c r="K137" s="48"/>
      <c r="L137" s="203"/>
      <c r="M137" s="203"/>
      <c r="N137" s="9"/>
      <c r="O137" s="48"/>
      <c r="P137" s="9"/>
      <c r="Q137" s="9"/>
      <c r="R137" s="203"/>
      <c r="S137" s="203"/>
      <c r="T137" s="9"/>
      <c r="U137" s="48"/>
      <c r="V137" s="9"/>
      <c r="W137" s="9"/>
      <c r="X137" s="203"/>
      <c r="Y137" s="203"/>
    </row>
    <row r="138" spans="1:25" ht="40.049999999999997" customHeight="1" x14ac:dyDescent="0.3">
      <c r="A138" s="130"/>
      <c r="B138" s="128"/>
      <c r="H138" s="47"/>
      <c r="I138" s="47"/>
      <c r="J138" s="47"/>
      <c r="K138" s="48"/>
      <c r="L138" s="203"/>
      <c r="M138" s="203"/>
      <c r="N138" s="9"/>
      <c r="O138" s="48"/>
      <c r="P138" s="9"/>
      <c r="Q138" s="9"/>
      <c r="R138" s="203"/>
      <c r="S138" s="203"/>
      <c r="T138" s="9"/>
      <c r="U138" s="48"/>
      <c r="V138" s="9"/>
      <c r="W138" s="9"/>
      <c r="X138" s="203"/>
      <c r="Y138" s="203"/>
    </row>
    <row r="139" spans="1:25" ht="40.049999999999997" customHeight="1" x14ac:dyDescent="0.3">
      <c r="A139" s="130"/>
      <c r="B139" s="128"/>
      <c r="H139" s="47"/>
      <c r="I139" s="47"/>
      <c r="J139" s="47"/>
      <c r="K139" s="48"/>
      <c r="L139" s="203"/>
      <c r="M139" s="203"/>
      <c r="N139" s="9"/>
      <c r="O139" s="48"/>
      <c r="P139" s="9"/>
      <c r="Q139" s="9"/>
      <c r="R139" s="203"/>
      <c r="S139" s="203"/>
      <c r="T139" s="9"/>
      <c r="U139" s="48"/>
      <c r="V139" s="9"/>
      <c r="W139" s="9"/>
      <c r="X139" s="203"/>
      <c r="Y139" s="203"/>
    </row>
    <row r="140" spans="1:25" ht="40.049999999999997" customHeight="1" x14ac:dyDescent="0.3">
      <c r="A140" s="130"/>
      <c r="B140" s="128"/>
      <c r="H140" s="47"/>
      <c r="I140" s="47"/>
      <c r="J140" s="47"/>
      <c r="K140" s="48"/>
      <c r="L140" s="203"/>
      <c r="M140" s="203"/>
      <c r="N140" s="9"/>
      <c r="O140" s="48"/>
      <c r="P140" s="9"/>
      <c r="Q140" s="9"/>
      <c r="R140" s="203"/>
      <c r="S140" s="203"/>
      <c r="T140" s="9"/>
      <c r="U140" s="48"/>
      <c r="V140" s="9"/>
      <c r="W140" s="9"/>
      <c r="X140" s="203"/>
      <c r="Y140" s="203"/>
    </row>
    <row r="141" spans="1:25" ht="40.049999999999997" customHeight="1" x14ac:dyDescent="0.3">
      <c r="A141" s="130"/>
      <c r="B141" s="128"/>
      <c r="H141" s="47"/>
      <c r="I141" s="47"/>
      <c r="J141" s="47"/>
      <c r="K141" s="48"/>
      <c r="L141" s="203"/>
      <c r="M141" s="203"/>
      <c r="N141" s="9"/>
      <c r="O141" s="48"/>
      <c r="P141" s="9"/>
      <c r="Q141" s="9"/>
      <c r="R141" s="203"/>
      <c r="S141" s="203"/>
      <c r="T141" s="9"/>
      <c r="U141" s="48"/>
      <c r="V141" s="9"/>
      <c r="W141" s="9"/>
      <c r="X141" s="203"/>
      <c r="Y141" s="203"/>
    </row>
    <row r="142" spans="1:25" ht="40.049999999999997" customHeight="1" x14ac:dyDescent="0.3">
      <c r="A142" s="130"/>
      <c r="B142" s="128"/>
      <c r="H142" s="47"/>
      <c r="I142" s="47"/>
      <c r="J142" s="47"/>
      <c r="K142" s="48"/>
      <c r="L142" s="203"/>
      <c r="M142" s="203"/>
      <c r="N142" s="9"/>
      <c r="O142" s="48"/>
      <c r="P142" s="9"/>
      <c r="Q142" s="9"/>
      <c r="R142" s="203"/>
      <c r="S142" s="203"/>
      <c r="T142" s="9"/>
      <c r="U142" s="48"/>
      <c r="V142" s="9"/>
      <c r="W142" s="9"/>
      <c r="X142" s="203"/>
      <c r="Y142" s="203"/>
    </row>
    <row r="143" spans="1:25" ht="40.049999999999997" customHeight="1" x14ac:dyDescent="0.3">
      <c r="A143" s="130"/>
      <c r="B143" s="128"/>
      <c r="H143" s="47"/>
      <c r="I143" s="47"/>
      <c r="J143" s="47"/>
      <c r="K143" s="48"/>
      <c r="L143" s="203"/>
      <c r="M143" s="203"/>
      <c r="N143" s="9"/>
      <c r="O143" s="48"/>
      <c r="P143" s="9"/>
      <c r="Q143" s="9"/>
      <c r="R143" s="203"/>
      <c r="S143" s="203"/>
      <c r="T143" s="9"/>
      <c r="U143" s="48"/>
      <c r="V143" s="9"/>
      <c r="W143" s="9"/>
      <c r="X143" s="203"/>
      <c r="Y143" s="203"/>
    </row>
    <row r="144" spans="1:25" ht="40.049999999999997" customHeight="1" x14ac:dyDescent="0.3">
      <c r="A144" s="130"/>
      <c r="B144" s="128"/>
      <c r="H144" s="47"/>
      <c r="I144" s="47"/>
      <c r="J144" s="47"/>
      <c r="K144" s="48"/>
      <c r="L144" s="203"/>
      <c r="M144" s="203"/>
      <c r="N144" s="9"/>
      <c r="O144" s="48"/>
      <c r="P144" s="9"/>
      <c r="Q144" s="9"/>
      <c r="R144" s="203"/>
      <c r="S144" s="203"/>
      <c r="T144" s="9"/>
      <c r="U144" s="48"/>
      <c r="V144" s="9"/>
      <c r="W144" s="9"/>
      <c r="X144" s="203"/>
      <c r="Y144" s="203"/>
    </row>
    <row r="145" spans="1:25" ht="40.049999999999997" customHeight="1" x14ac:dyDescent="0.3">
      <c r="A145" s="130"/>
      <c r="B145" s="128"/>
      <c r="H145" s="47"/>
      <c r="I145" s="47"/>
      <c r="J145" s="47"/>
      <c r="K145" s="48"/>
      <c r="L145" s="203"/>
      <c r="M145" s="203"/>
      <c r="N145" s="9"/>
      <c r="O145" s="48"/>
      <c r="P145" s="9"/>
      <c r="Q145" s="9"/>
      <c r="R145" s="203"/>
      <c r="S145" s="203"/>
      <c r="T145" s="9"/>
      <c r="U145" s="48"/>
      <c r="V145" s="9"/>
      <c r="W145" s="9"/>
      <c r="X145" s="203"/>
      <c r="Y145" s="203"/>
    </row>
    <row r="146" spans="1:25" ht="40.049999999999997" customHeight="1" x14ac:dyDescent="0.3">
      <c r="A146" s="130"/>
      <c r="B146" s="128"/>
      <c r="H146" s="47"/>
      <c r="I146" s="47"/>
      <c r="J146" s="47"/>
      <c r="K146" s="48"/>
      <c r="L146" s="203"/>
      <c r="M146" s="203"/>
      <c r="N146" s="9"/>
      <c r="O146" s="48"/>
      <c r="P146" s="9"/>
      <c r="Q146" s="9"/>
      <c r="R146" s="203"/>
      <c r="S146" s="203"/>
      <c r="T146" s="9"/>
      <c r="U146" s="48"/>
      <c r="V146" s="9"/>
      <c r="W146" s="9"/>
      <c r="X146" s="203"/>
      <c r="Y146" s="203"/>
    </row>
    <row r="147" spans="1:25" ht="40.049999999999997" customHeight="1" x14ac:dyDescent="0.3">
      <c r="A147" s="130"/>
      <c r="B147" s="128"/>
      <c r="H147" s="47"/>
      <c r="I147" s="47"/>
      <c r="J147" s="47"/>
      <c r="K147" s="48"/>
      <c r="L147" s="203"/>
      <c r="M147" s="203"/>
      <c r="N147" s="9"/>
      <c r="O147" s="48"/>
      <c r="P147" s="9"/>
      <c r="Q147" s="9"/>
      <c r="R147" s="203"/>
      <c r="S147" s="203"/>
      <c r="T147" s="9"/>
      <c r="U147" s="48"/>
      <c r="V147" s="9"/>
      <c r="W147" s="9"/>
      <c r="X147" s="203"/>
      <c r="Y147" s="203"/>
    </row>
    <row r="148" spans="1:25" ht="40.049999999999997" customHeight="1" x14ac:dyDescent="0.3">
      <c r="A148" s="130"/>
      <c r="B148" s="128"/>
      <c r="H148" s="47"/>
      <c r="I148" s="47"/>
      <c r="J148" s="47"/>
      <c r="K148" s="48"/>
      <c r="L148" s="203"/>
      <c r="M148" s="203"/>
      <c r="N148" s="9"/>
      <c r="O148" s="48"/>
      <c r="P148" s="9"/>
      <c r="Q148" s="9"/>
      <c r="R148" s="203"/>
      <c r="S148" s="203"/>
      <c r="T148" s="9"/>
      <c r="U148" s="48"/>
      <c r="V148" s="9"/>
      <c r="W148" s="9"/>
      <c r="X148" s="203"/>
      <c r="Y148" s="203"/>
    </row>
    <row r="149" spans="1:25" ht="40.049999999999997" customHeight="1" x14ac:dyDescent="0.3">
      <c r="A149" s="130"/>
      <c r="B149" s="128"/>
      <c r="H149" s="47"/>
      <c r="I149" s="47"/>
      <c r="J149" s="47"/>
      <c r="K149" s="48"/>
      <c r="L149" s="203"/>
      <c r="M149" s="203"/>
      <c r="N149" s="9"/>
      <c r="O149" s="48"/>
      <c r="P149" s="9"/>
      <c r="Q149" s="9"/>
      <c r="R149" s="203"/>
      <c r="S149" s="203"/>
      <c r="T149" s="9"/>
      <c r="U149" s="48"/>
      <c r="V149" s="9"/>
      <c r="W149" s="9"/>
      <c r="X149" s="203"/>
      <c r="Y149" s="203"/>
    </row>
    <row r="150" spans="1:25" ht="40.049999999999997" customHeight="1" x14ac:dyDescent="0.3">
      <c r="A150" s="130"/>
      <c r="B150" s="128"/>
      <c r="H150" s="47"/>
      <c r="I150" s="47"/>
      <c r="J150" s="47"/>
      <c r="K150" s="48"/>
      <c r="L150" s="203"/>
      <c r="M150" s="203"/>
      <c r="N150" s="9"/>
      <c r="O150" s="48"/>
      <c r="P150" s="9"/>
      <c r="Q150" s="9"/>
      <c r="R150" s="203"/>
      <c r="S150" s="203"/>
      <c r="T150" s="9"/>
      <c r="U150" s="48"/>
      <c r="V150" s="9"/>
      <c r="W150" s="9"/>
      <c r="X150" s="203"/>
      <c r="Y150" s="203"/>
    </row>
    <row r="151" spans="1:25" ht="40.049999999999997" customHeight="1" x14ac:dyDescent="0.3">
      <c r="A151" s="130"/>
      <c r="B151" s="128"/>
      <c r="H151" s="47"/>
      <c r="I151" s="47"/>
      <c r="J151" s="47"/>
      <c r="K151" s="48"/>
      <c r="L151" s="203"/>
      <c r="M151" s="203"/>
      <c r="N151" s="9"/>
      <c r="O151" s="48"/>
      <c r="P151" s="9"/>
      <c r="Q151" s="9"/>
      <c r="R151" s="203"/>
      <c r="S151" s="203"/>
      <c r="T151" s="9"/>
      <c r="U151" s="48"/>
      <c r="V151" s="9"/>
      <c r="W151" s="9"/>
      <c r="X151" s="203"/>
      <c r="Y151" s="203"/>
    </row>
    <row r="152" spans="1:25" ht="40.049999999999997" customHeight="1" x14ac:dyDescent="0.3">
      <c r="A152" s="130"/>
      <c r="B152" s="128"/>
      <c r="H152" s="47"/>
      <c r="I152" s="47"/>
      <c r="J152" s="47"/>
      <c r="K152" s="48"/>
      <c r="L152" s="203"/>
      <c r="M152" s="203"/>
      <c r="N152" s="9"/>
      <c r="O152" s="48"/>
      <c r="P152" s="9"/>
      <c r="Q152" s="9"/>
      <c r="R152" s="203"/>
      <c r="S152" s="203"/>
      <c r="T152" s="9"/>
      <c r="U152" s="48"/>
      <c r="V152" s="9"/>
      <c r="W152" s="9"/>
      <c r="X152" s="203"/>
      <c r="Y152" s="203"/>
    </row>
    <row r="153" spans="1:25" ht="40.049999999999997" customHeight="1" x14ac:dyDescent="0.3">
      <c r="A153" s="130"/>
      <c r="B153" s="128"/>
      <c r="H153" s="47"/>
      <c r="I153" s="47"/>
      <c r="J153" s="47"/>
      <c r="K153" s="48"/>
      <c r="L153" s="203"/>
      <c r="M153" s="203"/>
      <c r="N153" s="9"/>
      <c r="O153" s="48"/>
      <c r="P153" s="9"/>
      <c r="Q153" s="9"/>
      <c r="R153" s="203"/>
      <c r="S153" s="203"/>
      <c r="T153" s="9"/>
      <c r="U153" s="48"/>
      <c r="V153" s="9"/>
      <c r="W153" s="9"/>
      <c r="X153" s="203"/>
      <c r="Y153" s="203"/>
    </row>
    <row r="154" spans="1:25" ht="40.049999999999997" customHeight="1" x14ac:dyDescent="0.3">
      <c r="A154" s="130"/>
      <c r="B154" s="128"/>
      <c r="H154" s="47"/>
      <c r="I154" s="47"/>
      <c r="J154" s="47"/>
      <c r="K154" s="48"/>
      <c r="L154" s="203"/>
      <c r="M154" s="203"/>
      <c r="N154" s="9"/>
      <c r="O154" s="48"/>
      <c r="P154" s="9"/>
      <c r="Q154" s="9"/>
      <c r="R154" s="203"/>
      <c r="S154" s="203"/>
      <c r="T154" s="9"/>
      <c r="U154" s="48"/>
      <c r="V154" s="9"/>
      <c r="W154" s="9"/>
      <c r="X154" s="203"/>
      <c r="Y154" s="203"/>
    </row>
    <row r="155" spans="1:25" ht="40.049999999999997" customHeight="1" x14ac:dyDescent="0.3">
      <c r="A155" s="130"/>
      <c r="B155" s="128"/>
      <c r="H155" s="47"/>
      <c r="I155" s="47"/>
      <c r="J155" s="47"/>
      <c r="K155" s="48"/>
      <c r="L155" s="203"/>
      <c r="M155" s="203"/>
      <c r="N155" s="9"/>
      <c r="O155" s="48"/>
      <c r="P155" s="9"/>
      <c r="Q155" s="9"/>
      <c r="R155" s="203"/>
      <c r="S155" s="203"/>
      <c r="T155" s="9"/>
      <c r="U155" s="48"/>
      <c r="V155" s="9"/>
      <c r="W155" s="9"/>
      <c r="X155" s="203"/>
      <c r="Y155" s="203"/>
    </row>
    <row r="156" spans="1:25" ht="40.049999999999997" customHeight="1" x14ac:dyDescent="0.3">
      <c r="A156" s="130"/>
      <c r="B156" s="128"/>
      <c r="H156" s="47"/>
      <c r="I156" s="47"/>
      <c r="J156" s="47"/>
      <c r="K156" s="48"/>
      <c r="L156" s="203"/>
      <c r="M156" s="203"/>
      <c r="N156" s="9"/>
      <c r="O156" s="48"/>
      <c r="P156" s="9"/>
      <c r="Q156" s="9"/>
      <c r="R156" s="203"/>
      <c r="S156" s="203"/>
      <c r="T156" s="9"/>
      <c r="U156" s="48"/>
      <c r="V156" s="9"/>
      <c r="W156" s="9"/>
      <c r="X156" s="203"/>
      <c r="Y156" s="203"/>
    </row>
    <row r="157" spans="1:25" ht="40.049999999999997" customHeight="1" x14ac:dyDescent="0.3">
      <c r="A157" s="130"/>
      <c r="B157" s="128"/>
      <c r="H157" s="47"/>
      <c r="I157" s="47"/>
      <c r="J157" s="47"/>
      <c r="K157" s="48"/>
      <c r="L157" s="203"/>
      <c r="M157" s="203"/>
      <c r="N157" s="9"/>
      <c r="O157" s="48"/>
      <c r="P157" s="9"/>
      <c r="Q157" s="9"/>
      <c r="R157" s="203"/>
      <c r="S157" s="203"/>
      <c r="T157" s="9"/>
      <c r="U157" s="48"/>
      <c r="V157" s="9"/>
      <c r="W157" s="9"/>
      <c r="X157" s="203"/>
      <c r="Y157" s="203"/>
    </row>
    <row r="158" spans="1:25" ht="40.049999999999997" customHeight="1" x14ac:dyDescent="0.3">
      <c r="A158" s="130"/>
      <c r="B158" s="128"/>
      <c r="H158" s="47"/>
      <c r="I158" s="47"/>
      <c r="J158" s="47"/>
      <c r="K158" s="48"/>
      <c r="L158" s="203"/>
      <c r="M158" s="203"/>
      <c r="N158" s="9"/>
      <c r="O158" s="48"/>
      <c r="P158" s="9"/>
      <c r="Q158" s="9"/>
      <c r="R158" s="203"/>
      <c r="S158" s="203"/>
      <c r="T158" s="9"/>
      <c r="U158" s="48"/>
      <c r="V158" s="9"/>
      <c r="W158" s="9"/>
      <c r="X158" s="203"/>
      <c r="Y158" s="203"/>
    </row>
    <row r="159" spans="1:25" ht="40.049999999999997" customHeight="1" x14ac:dyDescent="0.3">
      <c r="A159" s="130"/>
      <c r="B159" s="128"/>
      <c r="H159" s="47"/>
      <c r="I159" s="47"/>
      <c r="J159" s="47"/>
      <c r="K159" s="48"/>
      <c r="L159" s="203"/>
      <c r="M159" s="203"/>
      <c r="N159" s="9"/>
      <c r="O159" s="48"/>
      <c r="P159" s="9"/>
      <c r="Q159" s="9"/>
      <c r="R159" s="203"/>
      <c r="S159" s="203"/>
      <c r="T159" s="9"/>
      <c r="U159" s="48"/>
      <c r="V159" s="9"/>
      <c r="W159" s="9"/>
      <c r="X159" s="203"/>
      <c r="Y159" s="203"/>
    </row>
    <row r="160" spans="1:25" ht="40.049999999999997" customHeight="1" x14ac:dyDescent="0.3">
      <c r="A160" s="130"/>
      <c r="B160" s="128"/>
      <c r="H160" s="47"/>
      <c r="I160" s="47"/>
      <c r="J160" s="47"/>
      <c r="K160" s="48"/>
      <c r="L160" s="203"/>
      <c r="M160" s="203"/>
      <c r="N160" s="9"/>
      <c r="O160" s="48"/>
      <c r="P160" s="9"/>
      <c r="Q160" s="9"/>
      <c r="R160" s="203"/>
      <c r="S160" s="203"/>
      <c r="T160" s="9"/>
      <c r="U160" s="48"/>
      <c r="V160" s="9"/>
      <c r="W160" s="9"/>
      <c r="X160" s="203"/>
      <c r="Y160" s="203"/>
    </row>
    <row r="161" spans="1:25" ht="40.049999999999997" customHeight="1" x14ac:dyDescent="0.3">
      <c r="A161" s="130"/>
      <c r="B161" s="128"/>
      <c r="H161" s="47"/>
      <c r="I161" s="47"/>
      <c r="J161" s="47"/>
      <c r="K161" s="48"/>
      <c r="L161" s="203"/>
      <c r="M161" s="203"/>
      <c r="N161" s="9"/>
      <c r="O161" s="48"/>
      <c r="P161" s="9"/>
      <c r="Q161" s="9"/>
      <c r="R161" s="203"/>
      <c r="S161" s="203"/>
      <c r="T161" s="9"/>
      <c r="U161" s="48"/>
      <c r="V161" s="9"/>
      <c r="W161" s="9"/>
      <c r="X161" s="203"/>
      <c r="Y161" s="203"/>
    </row>
    <row r="162" spans="1:25" ht="40.049999999999997" customHeight="1" x14ac:dyDescent="0.3">
      <c r="A162" s="130"/>
      <c r="B162" s="128"/>
      <c r="H162" s="47"/>
      <c r="I162" s="47"/>
      <c r="J162" s="47"/>
      <c r="K162" s="48"/>
      <c r="L162" s="203"/>
      <c r="M162" s="203"/>
      <c r="N162" s="9"/>
      <c r="O162" s="48"/>
      <c r="P162" s="9"/>
      <c r="Q162" s="9"/>
      <c r="R162" s="203"/>
      <c r="S162" s="203"/>
      <c r="T162" s="9"/>
      <c r="U162" s="48"/>
      <c r="V162" s="9"/>
      <c r="W162" s="9"/>
      <c r="X162" s="203"/>
      <c r="Y162" s="203"/>
    </row>
    <row r="163" spans="1:25" ht="40.049999999999997" customHeight="1" x14ac:dyDescent="0.3">
      <c r="A163" s="130"/>
      <c r="B163" s="128"/>
      <c r="H163" s="47"/>
      <c r="I163" s="47"/>
      <c r="J163" s="47"/>
      <c r="K163" s="48"/>
      <c r="L163" s="203"/>
      <c r="M163" s="203"/>
      <c r="N163" s="9"/>
      <c r="O163" s="48"/>
      <c r="P163" s="9"/>
      <c r="Q163" s="9"/>
      <c r="R163" s="203"/>
      <c r="S163" s="203"/>
      <c r="T163" s="9"/>
      <c r="U163" s="48"/>
      <c r="V163" s="9"/>
      <c r="W163" s="9"/>
      <c r="X163" s="203"/>
      <c r="Y163" s="203"/>
    </row>
    <row r="164" spans="1:25" ht="40.049999999999997" customHeight="1" x14ac:dyDescent="0.3">
      <c r="A164" s="130"/>
      <c r="B164" s="128"/>
      <c r="H164" s="47"/>
      <c r="I164" s="47"/>
      <c r="J164" s="47"/>
      <c r="K164" s="48"/>
      <c r="L164" s="203"/>
      <c r="M164" s="203"/>
      <c r="N164" s="9"/>
      <c r="O164" s="48"/>
      <c r="P164" s="9"/>
      <c r="Q164" s="9"/>
      <c r="R164" s="203"/>
      <c r="S164" s="203"/>
      <c r="T164" s="9"/>
      <c r="U164" s="48"/>
      <c r="V164" s="9"/>
      <c r="W164" s="9"/>
      <c r="X164" s="203"/>
      <c r="Y164" s="203"/>
    </row>
    <row r="165" spans="1:25" ht="40.049999999999997" customHeight="1" x14ac:dyDescent="0.3">
      <c r="A165" s="130"/>
      <c r="B165" s="128"/>
      <c r="H165" s="47"/>
      <c r="I165" s="47"/>
      <c r="J165" s="47"/>
      <c r="K165" s="48"/>
      <c r="L165" s="203"/>
      <c r="M165" s="203"/>
      <c r="N165" s="9"/>
      <c r="O165" s="48"/>
      <c r="P165" s="9"/>
      <c r="Q165" s="9"/>
      <c r="R165" s="203"/>
      <c r="S165" s="203"/>
      <c r="T165" s="9"/>
      <c r="U165" s="48"/>
      <c r="V165" s="9"/>
      <c r="W165" s="9"/>
      <c r="X165" s="203"/>
      <c r="Y165" s="203"/>
    </row>
    <row r="166" spans="1:25" ht="40.049999999999997" customHeight="1" x14ac:dyDescent="0.3">
      <c r="A166" s="130"/>
      <c r="B166" s="128"/>
      <c r="H166" s="47"/>
      <c r="I166" s="47"/>
      <c r="J166" s="47"/>
      <c r="K166" s="48"/>
      <c r="L166" s="203"/>
      <c r="M166" s="203"/>
      <c r="N166" s="9"/>
      <c r="O166" s="48"/>
      <c r="P166" s="9"/>
      <c r="Q166" s="9"/>
      <c r="R166" s="203"/>
      <c r="S166" s="203"/>
      <c r="T166" s="9"/>
      <c r="U166" s="48"/>
      <c r="V166" s="9"/>
      <c r="W166" s="9"/>
      <c r="X166" s="203"/>
      <c r="Y166" s="203"/>
    </row>
    <row r="167" spans="1:25" ht="40.049999999999997" customHeight="1" x14ac:dyDescent="0.3">
      <c r="A167" s="130"/>
      <c r="B167" s="128"/>
      <c r="H167" s="47"/>
      <c r="I167" s="47"/>
      <c r="J167" s="47"/>
      <c r="K167" s="48"/>
      <c r="L167" s="203"/>
      <c r="M167" s="203"/>
      <c r="N167" s="9"/>
      <c r="O167" s="48"/>
      <c r="P167" s="9"/>
      <c r="Q167" s="9"/>
      <c r="R167" s="203"/>
      <c r="S167" s="203"/>
      <c r="T167" s="9"/>
      <c r="U167" s="48"/>
      <c r="V167" s="9"/>
      <c r="W167" s="9"/>
      <c r="X167" s="203"/>
      <c r="Y167" s="203"/>
    </row>
    <row r="168" spans="1:25" ht="40.049999999999997" customHeight="1" x14ac:dyDescent="0.3">
      <c r="A168" s="130"/>
      <c r="B168" s="128"/>
      <c r="H168" s="47"/>
      <c r="I168" s="47"/>
      <c r="J168" s="47"/>
      <c r="K168" s="48"/>
      <c r="L168" s="203"/>
      <c r="M168" s="203"/>
      <c r="N168" s="9"/>
      <c r="O168" s="48"/>
      <c r="P168" s="9"/>
      <c r="Q168" s="9"/>
      <c r="R168" s="203"/>
      <c r="S168" s="203"/>
      <c r="T168" s="9"/>
      <c r="U168" s="48"/>
      <c r="V168" s="9"/>
      <c r="W168" s="9"/>
      <c r="X168" s="203"/>
      <c r="Y168" s="203"/>
    </row>
    <row r="169" spans="1:25" ht="40.049999999999997" customHeight="1" x14ac:dyDescent="0.3">
      <c r="A169" s="130"/>
      <c r="B169" s="128"/>
      <c r="H169" s="47"/>
      <c r="I169" s="47"/>
      <c r="J169" s="47"/>
      <c r="K169" s="48"/>
      <c r="L169" s="203"/>
      <c r="M169" s="203"/>
      <c r="N169" s="9"/>
      <c r="O169" s="48"/>
      <c r="P169" s="9"/>
      <c r="Q169" s="9"/>
      <c r="R169" s="203"/>
      <c r="S169" s="203"/>
      <c r="T169" s="9"/>
      <c r="U169" s="48"/>
      <c r="V169" s="9"/>
      <c r="W169" s="9"/>
      <c r="X169" s="203"/>
      <c r="Y169" s="203"/>
    </row>
    <row r="170" spans="1:25" ht="40.049999999999997" customHeight="1" x14ac:dyDescent="0.3">
      <c r="A170" s="130"/>
      <c r="B170" s="128"/>
      <c r="H170" s="47"/>
      <c r="I170" s="47"/>
      <c r="J170" s="47"/>
      <c r="K170" s="48"/>
      <c r="L170" s="203"/>
      <c r="M170" s="203"/>
      <c r="N170" s="9"/>
      <c r="O170" s="48"/>
      <c r="P170" s="9"/>
      <c r="Q170" s="9"/>
      <c r="R170" s="203"/>
      <c r="S170" s="203"/>
      <c r="T170" s="9"/>
      <c r="U170" s="48"/>
      <c r="V170" s="9"/>
      <c r="W170" s="9"/>
      <c r="X170" s="203"/>
      <c r="Y170" s="203"/>
    </row>
    <row r="171" spans="1:25" ht="40.049999999999997" customHeight="1" x14ac:dyDescent="0.3">
      <c r="A171" s="130"/>
      <c r="B171" s="128"/>
      <c r="H171" s="47"/>
      <c r="I171" s="47"/>
      <c r="J171" s="47"/>
      <c r="K171" s="48"/>
      <c r="L171" s="203"/>
      <c r="M171" s="203"/>
      <c r="N171" s="9"/>
      <c r="O171" s="48"/>
      <c r="P171" s="9"/>
      <c r="Q171" s="9"/>
      <c r="R171" s="203"/>
      <c r="S171" s="203"/>
      <c r="T171" s="9"/>
      <c r="U171" s="48"/>
      <c r="V171" s="9"/>
      <c r="W171" s="9"/>
      <c r="X171" s="203"/>
      <c r="Y171" s="203"/>
    </row>
    <row r="172" spans="1:25" ht="40.049999999999997" customHeight="1" x14ac:dyDescent="0.3">
      <c r="A172" s="130"/>
      <c r="B172" s="128"/>
      <c r="H172" s="47"/>
      <c r="I172" s="47"/>
      <c r="J172" s="47"/>
      <c r="K172" s="48"/>
      <c r="L172" s="203"/>
      <c r="M172" s="203"/>
      <c r="N172" s="9"/>
      <c r="O172" s="48"/>
      <c r="P172" s="9"/>
      <c r="Q172" s="9"/>
      <c r="R172" s="203"/>
      <c r="S172" s="203"/>
      <c r="T172" s="9"/>
      <c r="U172" s="48"/>
      <c r="V172" s="9"/>
      <c r="W172" s="9"/>
      <c r="X172" s="203"/>
      <c r="Y172" s="203"/>
    </row>
    <row r="173" spans="1:25" ht="40.049999999999997" customHeight="1" x14ac:dyDescent="0.3">
      <c r="A173" s="130"/>
      <c r="B173" s="128"/>
      <c r="H173" s="47"/>
      <c r="I173" s="47"/>
      <c r="J173" s="47"/>
      <c r="K173" s="48"/>
      <c r="L173" s="203"/>
      <c r="M173" s="203"/>
      <c r="N173" s="9"/>
      <c r="O173" s="48"/>
      <c r="P173" s="9"/>
      <c r="Q173" s="9"/>
      <c r="R173" s="203"/>
      <c r="S173" s="203"/>
      <c r="T173" s="9"/>
      <c r="U173" s="48"/>
      <c r="V173" s="9"/>
      <c r="W173" s="9"/>
      <c r="X173" s="203"/>
      <c r="Y173" s="203"/>
    </row>
    <row r="174" spans="1:25" ht="40.049999999999997" customHeight="1" x14ac:dyDescent="0.3">
      <c r="A174" s="130"/>
      <c r="B174" s="128"/>
      <c r="H174" s="47"/>
      <c r="I174" s="47"/>
      <c r="J174" s="47"/>
      <c r="K174" s="48"/>
      <c r="L174" s="203"/>
      <c r="M174" s="203"/>
      <c r="N174" s="9"/>
      <c r="O174" s="48"/>
      <c r="P174" s="9"/>
      <c r="Q174" s="9"/>
      <c r="R174" s="203"/>
      <c r="S174" s="203"/>
      <c r="T174" s="9"/>
      <c r="U174" s="48"/>
      <c r="V174" s="9"/>
      <c r="W174" s="9"/>
      <c r="X174" s="203"/>
      <c r="Y174" s="203"/>
    </row>
    <row r="175" spans="1:25" ht="40.049999999999997" customHeight="1" x14ac:dyDescent="0.3">
      <c r="A175" s="130"/>
      <c r="B175" s="128"/>
      <c r="H175" s="47"/>
      <c r="I175" s="47"/>
      <c r="J175" s="47"/>
      <c r="K175" s="48"/>
      <c r="L175" s="203"/>
      <c r="M175" s="203"/>
      <c r="N175" s="9"/>
      <c r="O175" s="48"/>
      <c r="P175" s="9"/>
      <c r="Q175" s="9"/>
      <c r="R175" s="203"/>
      <c r="S175" s="203"/>
      <c r="T175" s="9"/>
      <c r="U175" s="48"/>
      <c r="V175" s="9"/>
      <c r="W175" s="9"/>
      <c r="X175" s="203"/>
      <c r="Y175" s="203"/>
    </row>
    <row r="176" spans="1:25" ht="40.049999999999997" customHeight="1" x14ac:dyDescent="0.3">
      <c r="A176" s="130"/>
      <c r="B176" s="128"/>
      <c r="H176" s="47"/>
      <c r="I176" s="47"/>
      <c r="J176" s="47"/>
      <c r="K176" s="48"/>
      <c r="L176" s="203"/>
      <c r="M176" s="203"/>
      <c r="N176" s="9"/>
      <c r="O176" s="48"/>
      <c r="P176" s="9"/>
      <c r="Q176" s="9"/>
      <c r="R176" s="203"/>
      <c r="S176" s="203"/>
      <c r="T176" s="9"/>
      <c r="U176" s="48"/>
      <c r="V176" s="9"/>
      <c r="W176" s="9"/>
      <c r="X176" s="203"/>
      <c r="Y176" s="203"/>
    </row>
    <row r="177" spans="1:25" ht="40.049999999999997" customHeight="1" x14ac:dyDescent="0.3">
      <c r="A177" s="130"/>
      <c r="B177" s="128"/>
      <c r="H177" s="47"/>
      <c r="I177" s="47"/>
      <c r="J177" s="47"/>
      <c r="K177" s="48"/>
      <c r="L177" s="203"/>
      <c r="M177" s="203"/>
      <c r="N177" s="9"/>
      <c r="O177" s="48"/>
      <c r="P177" s="9"/>
      <c r="Q177" s="9"/>
      <c r="R177" s="203"/>
      <c r="S177" s="203"/>
      <c r="T177" s="9"/>
      <c r="U177" s="48"/>
      <c r="V177" s="9"/>
      <c r="W177" s="9"/>
      <c r="X177" s="203"/>
      <c r="Y177" s="203"/>
    </row>
    <row r="178" spans="1:25" ht="40.049999999999997" customHeight="1" x14ac:dyDescent="0.3">
      <c r="A178" s="130"/>
      <c r="B178" s="128"/>
      <c r="H178" s="47"/>
      <c r="I178" s="47"/>
      <c r="J178" s="47"/>
      <c r="K178" s="48"/>
      <c r="L178" s="203"/>
      <c r="M178" s="203"/>
      <c r="N178" s="9"/>
      <c r="O178" s="48"/>
      <c r="P178" s="9"/>
      <c r="Q178" s="9"/>
      <c r="R178" s="203"/>
      <c r="S178" s="203"/>
      <c r="T178" s="9"/>
      <c r="U178" s="48"/>
      <c r="V178" s="9"/>
      <c r="W178" s="9"/>
      <c r="X178" s="203"/>
      <c r="Y178" s="203"/>
    </row>
    <row r="179" spans="1:25" ht="40.049999999999997" customHeight="1" x14ac:dyDescent="0.3">
      <c r="A179" s="130"/>
      <c r="B179" s="128"/>
      <c r="H179" s="47"/>
      <c r="I179" s="47"/>
      <c r="J179" s="47"/>
      <c r="K179" s="48"/>
      <c r="L179" s="203"/>
      <c r="M179" s="203"/>
      <c r="N179" s="9"/>
      <c r="O179" s="48"/>
      <c r="P179" s="9"/>
      <c r="Q179" s="9"/>
      <c r="R179" s="203"/>
      <c r="S179" s="203"/>
      <c r="T179" s="9"/>
      <c r="U179" s="48"/>
      <c r="V179" s="9"/>
      <c r="W179" s="9"/>
      <c r="X179" s="203"/>
      <c r="Y179" s="203"/>
    </row>
    <row r="180" spans="1:25" ht="40.049999999999997" customHeight="1" x14ac:dyDescent="0.3">
      <c r="A180" s="130"/>
      <c r="B180" s="128"/>
      <c r="H180" s="47"/>
      <c r="I180" s="47"/>
      <c r="J180" s="47"/>
      <c r="K180" s="48"/>
      <c r="L180" s="203"/>
      <c r="M180" s="203"/>
      <c r="N180" s="9"/>
      <c r="O180" s="48"/>
      <c r="P180" s="9"/>
      <c r="Q180" s="9"/>
      <c r="R180" s="203"/>
      <c r="S180" s="203"/>
      <c r="T180" s="9"/>
      <c r="U180" s="48"/>
      <c r="V180" s="9"/>
      <c r="W180" s="9"/>
      <c r="X180" s="203"/>
      <c r="Y180" s="203"/>
    </row>
    <row r="181" spans="1:25" ht="40.049999999999997" customHeight="1" x14ac:dyDescent="0.3">
      <c r="A181" s="130"/>
      <c r="B181" s="128"/>
      <c r="H181" s="47"/>
      <c r="I181" s="47"/>
      <c r="J181" s="47"/>
      <c r="K181" s="48"/>
      <c r="L181" s="203"/>
      <c r="M181" s="203"/>
      <c r="N181" s="9"/>
      <c r="O181" s="48"/>
      <c r="P181" s="9"/>
      <c r="Q181" s="9"/>
      <c r="R181" s="203"/>
      <c r="S181" s="203"/>
      <c r="T181" s="9"/>
      <c r="U181" s="48"/>
      <c r="V181" s="9"/>
      <c r="W181" s="9"/>
      <c r="X181" s="203"/>
      <c r="Y181" s="203"/>
    </row>
    <row r="182" spans="1:25" ht="40.049999999999997" customHeight="1" x14ac:dyDescent="0.3">
      <c r="A182" s="130"/>
      <c r="B182" s="128"/>
      <c r="H182" s="47"/>
      <c r="I182" s="47"/>
      <c r="J182" s="47"/>
      <c r="K182" s="48"/>
      <c r="L182" s="203"/>
      <c r="M182" s="203"/>
      <c r="N182" s="9"/>
      <c r="O182" s="48"/>
      <c r="P182" s="9"/>
      <c r="Q182" s="9"/>
      <c r="R182" s="203"/>
      <c r="S182" s="203"/>
      <c r="T182" s="9"/>
      <c r="U182" s="48"/>
      <c r="V182" s="9"/>
      <c r="W182" s="9"/>
      <c r="X182" s="203"/>
      <c r="Y182" s="203"/>
    </row>
    <row r="183" spans="1:25" ht="40.049999999999997" customHeight="1" x14ac:dyDescent="0.3">
      <c r="A183" s="130"/>
      <c r="B183" s="128"/>
      <c r="H183" s="47"/>
      <c r="I183" s="47"/>
      <c r="J183" s="47"/>
      <c r="K183" s="48"/>
      <c r="L183" s="203"/>
      <c r="M183" s="203"/>
      <c r="N183" s="9"/>
      <c r="O183" s="48"/>
      <c r="P183" s="9"/>
      <c r="Q183" s="9"/>
      <c r="R183" s="203"/>
      <c r="S183" s="203"/>
      <c r="T183" s="9"/>
      <c r="U183" s="48"/>
      <c r="V183" s="9"/>
      <c r="W183" s="9"/>
      <c r="X183" s="203"/>
      <c r="Y183" s="203"/>
    </row>
    <row r="184" spans="1:25" ht="40.049999999999997" customHeight="1" x14ac:dyDescent="0.3">
      <c r="A184" s="130"/>
      <c r="B184" s="128"/>
      <c r="H184" s="47"/>
      <c r="I184" s="47"/>
      <c r="J184" s="47"/>
      <c r="K184" s="48"/>
      <c r="L184" s="203"/>
      <c r="M184" s="203"/>
      <c r="N184" s="9"/>
      <c r="O184" s="48"/>
      <c r="P184" s="9"/>
      <c r="Q184" s="9"/>
      <c r="R184" s="203"/>
      <c r="S184" s="203"/>
      <c r="T184" s="9"/>
      <c r="U184" s="48"/>
      <c r="V184" s="9"/>
      <c r="W184" s="9"/>
      <c r="X184" s="203"/>
      <c r="Y184" s="203"/>
    </row>
    <row r="185" spans="1:25" ht="40.049999999999997" customHeight="1" x14ac:dyDescent="0.3">
      <c r="A185" s="130"/>
      <c r="B185" s="128"/>
      <c r="H185" s="47"/>
      <c r="I185" s="47"/>
      <c r="J185" s="47"/>
      <c r="K185" s="48"/>
      <c r="L185" s="203"/>
      <c r="M185" s="203"/>
      <c r="N185" s="9"/>
      <c r="O185" s="48"/>
      <c r="P185" s="9"/>
      <c r="Q185" s="9"/>
      <c r="R185" s="203"/>
      <c r="S185" s="203"/>
      <c r="T185" s="9"/>
      <c r="U185" s="48"/>
      <c r="V185" s="9"/>
      <c r="W185" s="9"/>
      <c r="X185" s="203"/>
      <c r="Y185" s="203"/>
    </row>
    <row r="186" spans="1:25" ht="40.049999999999997" customHeight="1" x14ac:dyDescent="0.3">
      <c r="A186" s="130"/>
      <c r="B186" s="128"/>
      <c r="H186" s="47"/>
      <c r="I186" s="47"/>
      <c r="J186" s="47"/>
      <c r="K186" s="48"/>
      <c r="L186" s="203"/>
      <c r="M186" s="203"/>
      <c r="N186" s="9"/>
      <c r="O186" s="48"/>
      <c r="P186" s="9"/>
      <c r="Q186" s="9"/>
      <c r="R186" s="203"/>
      <c r="S186" s="203"/>
      <c r="T186" s="9"/>
      <c r="U186" s="48"/>
      <c r="V186" s="9"/>
      <c r="W186" s="9"/>
      <c r="X186" s="203"/>
      <c r="Y186" s="203"/>
    </row>
    <row r="187" spans="1:25" ht="40.049999999999997" customHeight="1" x14ac:dyDescent="0.3">
      <c r="A187" s="130"/>
      <c r="B187" s="128"/>
      <c r="H187" s="47"/>
      <c r="I187" s="47"/>
      <c r="J187" s="47"/>
      <c r="K187" s="48"/>
      <c r="L187" s="203"/>
      <c r="M187" s="203"/>
      <c r="N187" s="9"/>
      <c r="O187" s="48"/>
      <c r="P187" s="9"/>
      <c r="Q187" s="9"/>
      <c r="R187" s="203"/>
      <c r="S187" s="203"/>
      <c r="T187" s="9"/>
      <c r="U187" s="48"/>
      <c r="V187" s="9"/>
      <c r="W187" s="9"/>
      <c r="X187" s="203"/>
      <c r="Y187" s="203"/>
    </row>
    <row r="188" spans="1:25" ht="40.049999999999997" customHeight="1" x14ac:dyDescent="0.3">
      <c r="A188" s="130"/>
      <c r="B188" s="128"/>
      <c r="H188" s="47"/>
      <c r="I188" s="47"/>
      <c r="J188" s="47"/>
      <c r="K188" s="48"/>
      <c r="L188" s="203"/>
      <c r="M188" s="203"/>
      <c r="N188" s="9"/>
      <c r="O188" s="48"/>
      <c r="P188" s="9"/>
      <c r="Q188" s="9"/>
      <c r="R188" s="203"/>
      <c r="S188" s="203"/>
      <c r="T188" s="9"/>
      <c r="U188" s="48"/>
      <c r="V188" s="9"/>
      <c r="W188" s="9"/>
      <c r="X188" s="203"/>
      <c r="Y188" s="203"/>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3"/>
      <c r="M189" s="203"/>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3"/>
      <c r="S189" s="203"/>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3"/>
      <c r="Y189" s="203"/>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3"/>
      <c r="M190" s="203"/>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3"/>
      <c r="S190" s="203"/>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3"/>
      <c r="Y190" s="203"/>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B43:AC49"/>
    <mergeCell ref="C43:E43"/>
    <mergeCell ref="C44:E44"/>
    <mergeCell ref="C45:E45"/>
    <mergeCell ref="C46:E46"/>
    <mergeCell ref="C47:E47"/>
    <mergeCell ref="C48:E48"/>
    <mergeCell ref="C49:E49"/>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F11:AL11"/>
    <mergeCell ref="AF12:AM12"/>
    <mergeCell ref="AB14:AB40"/>
    <mergeCell ref="AC14:AC40"/>
    <mergeCell ref="AD14:AD40"/>
    <mergeCell ref="AB6:AB12"/>
    <mergeCell ref="AC6:AC12"/>
  </mergeCells>
  <conditionalFormatting sqref="A43:A49">
    <cfRule type="expression" dxfId="38" priority="54">
      <formula>EXACT($A43, "Daily")</formula>
    </cfRule>
    <cfRule type="expression" dxfId="37" priority="55">
      <formula>EXACT($A43, "Error")</formula>
    </cfRule>
    <cfRule type="expression" dxfId="36" priority="56">
      <formula>EXACT($A43, "Trial")</formula>
    </cfRule>
  </conditionalFormatting>
  <conditionalFormatting sqref="A2:C42">
    <cfRule type="expression" dxfId="35" priority="70">
      <formula>EXACT($A2, "Daily")</formula>
    </cfRule>
    <cfRule type="expression" dxfId="34" priority="71">
      <formula>EXACT($A2, "Error")</formula>
    </cfRule>
    <cfRule type="expression" dxfId="33" priority="72">
      <formula>EXACT($A2, "Trial")</formula>
    </cfRule>
  </conditionalFormatting>
  <conditionalFormatting sqref="A50:C10004">
    <cfRule type="expression" dxfId="32" priority="101">
      <formula>EXACT($A50, "Daily")</formula>
    </cfRule>
    <cfRule type="expression" dxfId="31" priority="102">
      <formula>EXACT($A50, "Error")</formula>
    </cfRule>
    <cfRule type="expression" dxfId="30" priority="103">
      <formula>EXACT($A50, "Trial")</formula>
    </cfRule>
  </conditionalFormatting>
  <conditionalFormatting sqref="H3:H4">
    <cfRule type="colorScale" priority="114">
      <colorScale>
        <cfvo type="min"/>
        <cfvo type="percentile" val="50"/>
        <cfvo type="max"/>
        <color rgb="FFF8696B"/>
        <color rgb="FFFFEB84"/>
        <color rgb="FF63BE7B"/>
      </colorScale>
    </cfRule>
  </conditionalFormatting>
  <conditionalFormatting sqref="H6:H12">
    <cfRule type="colorScale" priority="100">
      <colorScale>
        <cfvo type="min"/>
        <cfvo type="percentile" val="50"/>
        <cfvo type="max"/>
        <color rgb="FFF8696B"/>
        <color rgb="FFFFEB84"/>
        <color rgb="FF63BE7B"/>
      </colorScale>
    </cfRule>
  </conditionalFormatting>
  <conditionalFormatting sqref="H14:H41">
    <cfRule type="colorScale" priority="67">
      <colorScale>
        <cfvo type="min"/>
        <cfvo type="percentile" val="50"/>
        <cfvo type="max"/>
        <color rgb="FFF8696B"/>
        <color rgb="FFFFEB84"/>
        <color rgb="FF63BE7B"/>
      </colorScale>
    </cfRule>
  </conditionalFormatting>
  <conditionalFormatting sqref="H43:H49">
    <cfRule type="colorScale" priority="45">
      <colorScale>
        <cfvo type="min"/>
        <cfvo type="percentile" val="50"/>
        <cfvo type="max"/>
        <color rgb="FFF8696B"/>
        <color rgb="FFFFEB84"/>
        <color rgb="FF63BE7B"/>
      </colorScale>
    </cfRule>
  </conditionalFormatting>
  <conditionalFormatting sqref="I3:I41">
    <cfRule type="colorScale" priority="10">
      <colorScale>
        <cfvo type="min"/>
        <cfvo type="percentile" val="50"/>
        <cfvo type="max"/>
        <color rgb="FFF8696B"/>
        <color rgb="FFFFEB84"/>
        <color rgb="FF63BE7B"/>
      </colorScale>
    </cfRule>
  </conditionalFormatting>
  <conditionalFormatting sqref="I43:I49">
    <cfRule type="colorScale" priority="7">
      <colorScale>
        <cfvo type="min"/>
        <cfvo type="percentile" val="50"/>
        <cfvo type="max"/>
        <color rgb="FFF8696B"/>
        <color rgb="FFFFEB84"/>
        <color rgb="FF63BE7B"/>
      </colorScale>
    </cfRule>
  </conditionalFormatting>
  <conditionalFormatting sqref="J3:J41">
    <cfRule type="colorScale" priority="11">
      <colorScale>
        <cfvo type="min"/>
        <cfvo type="percentile" val="50"/>
        <cfvo type="max"/>
        <color rgb="FFF8696B"/>
        <color rgb="FFFFEB84"/>
        <color rgb="FF63BE7B"/>
      </colorScale>
    </cfRule>
  </conditionalFormatting>
  <conditionalFormatting sqref="J43:J49">
    <cfRule type="colorScale" priority="14">
      <colorScale>
        <cfvo type="min"/>
        <cfvo type="percentile" val="50"/>
        <cfvo type="max"/>
        <color rgb="FFF8696B"/>
        <color rgb="FFFFEB84"/>
        <color rgb="FF63BE7B"/>
      </colorScale>
    </cfRule>
  </conditionalFormatting>
  <conditionalFormatting sqref="K3:K4">
    <cfRule type="colorScale" priority="111">
      <colorScale>
        <cfvo type="min"/>
        <cfvo type="max"/>
        <color rgb="FFFF7128"/>
        <color rgb="FFFFEF9C"/>
      </colorScale>
    </cfRule>
  </conditionalFormatting>
  <conditionalFormatting sqref="K6:K12">
    <cfRule type="colorScale" priority="97">
      <colorScale>
        <cfvo type="min"/>
        <cfvo type="max"/>
        <color rgb="FFFF7128"/>
        <color rgb="FFFFEF9C"/>
      </colorScale>
    </cfRule>
  </conditionalFormatting>
  <conditionalFormatting sqref="K14:K41">
    <cfRule type="colorScale" priority="64">
      <colorScale>
        <cfvo type="min"/>
        <cfvo type="max"/>
        <color rgb="FFFF7128"/>
        <color rgb="FFFFEF9C"/>
      </colorScale>
    </cfRule>
  </conditionalFormatting>
  <conditionalFormatting sqref="K43:K49">
    <cfRule type="colorScale" priority="50">
      <colorScale>
        <cfvo type="min"/>
        <cfvo type="max"/>
        <color rgb="FFFF7128"/>
        <color rgb="FFFFEF9C"/>
      </colorScale>
    </cfRule>
  </conditionalFormatting>
  <conditionalFormatting sqref="N3:N4">
    <cfRule type="colorScale" priority="112">
      <colorScale>
        <cfvo type="min"/>
        <cfvo type="percentile" val="50"/>
        <cfvo type="max"/>
        <color rgb="FF63BE7B"/>
        <color rgb="FFFFEB84"/>
        <color rgb="FFF8696B"/>
      </colorScale>
    </cfRule>
  </conditionalFormatting>
  <conditionalFormatting sqref="N6:N12">
    <cfRule type="colorScale" priority="98">
      <colorScale>
        <cfvo type="min"/>
        <cfvo type="percentile" val="50"/>
        <cfvo type="max"/>
        <color rgb="FF63BE7B"/>
        <color rgb="FFFFEB84"/>
        <color rgb="FFF8696B"/>
      </colorScale>
    </cfRule>
  </conditionalFormatting>
  <conditionalFormatting sqref="N14:N41">
    <cfRule type="colorScale" priority="65">
      <colorScale>
        <cfvo type="min"/>
        <cfvo type="percentile" val="50"/>
        <cfvo type="max"/>
        <color rgb="FF63BE7B"/>
        <color rgb="FFFFEB84"/>
        <color rgb="FFF8696B"/>
      </colorScale>
    </cfRule>
  </conditionalFormatting>
  <conditionalFormatting sqref="N43:N49">
    <cfRule type="colorScale" priority="49">
      <colorScale>
        <cfvo type="min"/>
        <cfvo type="percentile" val="50"/>
        <cfvo type="max"/>
        <color rgb="FF63BE7B"/>
        <color rgb="FFFFEB84"/>
        <color rgb="FFF8696B"/>
      </colorScale>
    </cfRule>
  </conditionalFormatting>
  <conditionalFormatting sqref="O3:O4">
    <cfRule type="colorScale" priority="44">
      <colorScale>
        <cfvo type="min"/>
        <cfvo type="percentile" val="50"/>
        <cfvo type="max"/>
        <color rgb="FFF8696B"/>
        <color rgb="FFFFEB84"/>
        <color rgb="FF63BE7B"/>
      </colorScale>
    </cfRule>
  </conditionalFormatting>
  <conditionalFormatting sqref="O6:O12">
    <cfRule type="colorScale" priority="43">
      <colorScale>
        <cfvo type="min"/>
        <cfvo type="percentile" val="50"/>
        <cfvo type="max"/>
        <color rgb="FFF8696B"/>
        <color rgb="FFFFEB84"/>
        <color rgb="FF63BE7B"/>
      </colorScale>
    </cfRule>
  </conditionalFormatting>
  <conditionalFormatting sqref="O14:O41">
    <cfRule type="colorScale" priority="42">
      <colorScale>
        <cfvo type="min"/>
        <cfvo type="percentile" val="50"/>
        <cfvo type="max"/>
        <color rgb="FFF8696B"/>
        <color rgb="FFFFEB84"/>
        <color rgb="FF63BE7B"/>
      </colorScale>
    </cfRule>
  </conditionalFormatting>
  <conditionalFormatting sqref="O43:O49">
    <cfRule type="colorScale" priority="41">
      <colorScale>
        <cfvo type="min"/>
        <cfvo type="percentile" val="50"/>
        <cfvo type="max"/>
        <color rgb="FFF8696B"/>
        <color rgb="FFFFEB84"/>
        <color rgb="FF63BE7B"/>
      </colorScale>
    </cfRule>
  </conditionalFormatting>
  <conditionalFormatting sqref="P3:P4">
    <cfRule type="colorScale" priority="115">
      <colorScale>
        <cfvo type="min"/>
        <cfvo type="max"/>
        <color rgb="FFFFEF9C"/>
        <color rgb="FFFF7128"/>
      </colorScale>
    </cfRule>
  </conditionalFormatting>
  <conditionalFormatting sqref="P6:P12">
    <cfRule type="colorScale" priority="117">
      <colorScale>
        <cfvo type="min"/>
        <cfvo type="max"/>
        <color rgb="FFFFEF9C"/>
        <color rgb="FFFF7128"/>
      </colorScale>
    </cfRule>
  </conditionalFormatting>
  <conditionalFormatting sqref="P14:P41">
    <cfRule type="colorScale" priority="119">
      <colorScale>
        <cfvo type="min"/>
        <cfvo type="max"/>
        <color rgb="FFFFEF9C"/>
        <color rgb="FFFF7128"/>
      </colorScale>
    </cfRule>
  </conditionalFormatting>
  <conditionalFormatting sqref="P43:P49">
    <cfRule type="colorScale" priority="121">
      <colorScale>
        <cfvo type="min"/>
        <cfvo type="max"/>
        <color rgb="FFFFEF9C"/>
        <color rgb="FFFF7128"/>
      </colorScale>
    </cfRule>
  </conditionalFormatting>
  <conditionalFormatting sqref="Q3:Q4">
    <cfRule type="colorScale" priority="109">
      <colorScale>
        <cfvo type="min"/>
        <cfvo type="max"/>
        <color rgb="FFFFEF9C"/>
        <color rgb="FFFF7128"/>
      </colorScale>
    </cfRule>
  </conditionalFormatting>
  <conditionalFormatting sqref="Q6:Q12">
    <cfRule type="colorScale" priority="62">
      <colorScale>
        <cfvo type="min"/>
        <cfvo type="max"/>
        <color rgb="FFFFEF9C"/>
        <color rgb="FFFF7128"/>
      </colorScale>
    </cfRule>
    <cfRule type="colorScale" priority="95">
      <colorScale>
        <cfvo type="min"/>
        <cfvo type="max"/>
        <color rgb="FFFFEF9C"/>
        <color rgb="FFFF7128"/>
      </colorScale>
    </cfRule>
  </conditionalFormatting>
  <conditionalFormatting sqref="Q14:Q41">
    <cfRule type="colorScale" priority="61">
      <colorScale>
        <cfvo type="min"/>
        <cfvo type="max"/>
        <color rgb="FFFFEF9C"/>
        <color rgb="FFFF7128"/>
      </colorScale>
    </cfRule>
  </conditionalFormatting>
  <conditionalFormatting sqref="Q43:Q49 S43:S49">
    <cfRule type="colorScale" priority="52">
      <colorScale>
        <cfvo type="min"/>
        <cfvo type="max"/>
        <color rgb="FFFFEF9C"/>
        <color rgb="FFFF7128"/>
      </colorScale>
    </cfRule>
  </conditionalFormatting>
  <conditionalFormatting sqref="R3:S300 X3:Y300">
    <cfRule type="expression" dxfId="29" priority="1">
      <formula>AND(R3&lt;&gt;"", $L3=R3)</formula>
    </cfRule>
    <cfRule type="expression" dxfId="28" priority="2">
      <formula>AND(R3&lt;&gt;"", $M3=R3)</formula>
    </cfRule>
  </conditionalFormatting>
  <conditionalFormatting sqref="T3:T4">
    <cfRule type="colorScale" priority="113">
      <colorScale>
        <cfvo type="min"/>
        <cfvo type="percentile" val="50"/>
        <cfvo type="max"/>
        <color rgb="FF63BE7B"/>
        <color rgb="FFFFEB84"/>
        <color rgb="FFF8696B"/>
      </colorScale>
    </cfRule>
  </conditionalFormatting>
  <conditionalFormatting sqref="T6:T12">
    <cfRule type="colorScale" priority="99">
      <colorScale>
        <cfvo type="min"/>
        <cfvo type="percentile" val="50"/>
        <cfvo type="max"/>
        <color rgb="FF63BE7B"/>
        <color rgb="FFFFEB84"/>
        <color rgb="FFF8696B"/>
      </colorScale>
    </cfRule>
  </conditionalFormatting>
  <conditionalFormatting sqref="T14:T41">
    <cfRule type="colorScale" priority="66">
      <colorScale>
        <cfvo type="min"/>
        <cfvo type="percentile" val="50"/>
        <cfvo type="max"/>
        <color rgb="FF63BE7B"/>
        <color rgb="FFFFEB84"/>
        <color rgb="FFF8696B"/>
      </colorScale>
    </cfRule>
  </conditionalFormatting>
  <conditionalFormatting sqref="T43:T49">
    <cfRule type="colorScale" priority="48">
      <colorScale>
        <cfvo type="min"/>
        <cfvo type="percentile" val="50"/>
        <cfvo type="max"/>
        <color rgb="FF63BE7B"/>
        <color rgb="FFFFEB84"/>
        <color rgb="FFF8696B"/>
      </colorScale>
    </cfRule>
  </conditionalFormatting>
  <conditionalFormatting sqref="U3:U4">
    <cfRule type="colorScale" priority="36">
      <colorScale>
        <cfvo type="min"/>
        <cfvo type="percentile" val="50"/>
        <cfvo type="max"/>
        <color rgb="FFF8696B"/>
        <color rgb="FFFFEB84"/>
        <color rgb="FF63BE7B"/>
      </colorScale>
    </cfRule>
  </conditionalFormatting>
  <conditionalFormatting sqref="U6:U12">
    <cfRule type="colorScale" priority="35">
      <colorScale>
        <cfvo type="min"/>
        <cfvo type="percentile" val="50"/>
        <cfvo type="max"/>
        <color rgb="FFF8696B"/>
        <color rgb="FFFFEB84"/>
        <color rgb="FF63BE7B"/>
      </colorScale>
    </cfRule>
  </conditionalFormatting>
  <conditionalFormatting sqref="U14:U41">
    <cfRule type="colorScale" priority="34">
      <colorScale>
        <cfvo type="min"/>
        <cfvo type="percentile" val="50"/>
        <cfvo type="max"/>
        <color rgb="FFF8696B"/>
        <color rgb="FFFFEB84"/>
        <color rgb="FF63BE7B"/>
      </colorScale>
    </cfRule>
  </conditionalFormatting>
  <conditionalFormatting sqref="U43:U49">
    <cfRule type="colorScale" priority="33">
      <colorScale>
        <cfvo type="min"/>
        <cfvo type="percentile" val="50"/>
        <cfvo type="max"/>
        <color rgb="FFF8696B"/>
        <color rgb="FFFFEB84"/>
        <color rgb="FF63BE7B"/>
      </colorScale>
    </cfRule>
  </conditionalFormatting>
  <conditionalFormatting sqref="V3:V4">
    <cfRule type="colorScale" priority="108">
      <colorScale>
        <cfvo type="min"/>
        <cfvo type="max"/>
        <color rgb="FFFFEF9C"/>
        <color rgb="FFFF7128"/>
      </colorScale>
    </cfRule>
  </conditionalFormatting>
  <conditionalFormatting sqref="V6:V12">
    <cfRule type="colorScale" priority="94">
      <colorScale>
        <cfvo type="min"/>
        <cfvo type="max"/>
        <color rgb="FFFFEF9C"/>
        <color rgb="FFFF7128"/>
      </colorScale>
    </cfRule>
  </conditionalFormatting>
  <conditionalFormatting sqref="V14:V41">
    <cfRule type="colorScale" priority="60">
      <colorScale>
        <cfvo type="min"/>
        <cfvo type="max"/>
        <color rgb="FFFFEF9C"/>
        <color rgb="FFFF7128"/>
      </colorScale>
    </cfRule>
  </conditionalFormatting>
  <conditionalFormatting sqref="V43:V49">
    <cfRule type="colorScale" priority="47">
      <colorScale>
        <cfvo type="min"/>
        <cfvo type="max"/>
        <color rgb="FFFFEF9C"/>
        <color rgb="FFFF7128"/>
      </colorScale>
    </cfRule>
    <cfRule type="colorScale" priority="53">
      <colorScale>
        <cfvo type="min"/>
        <cfvo type="max"/>
        <color rgb="FFFFEF9C"/>
        <color rgb="FFFF7128"/>
      </colorScale>
    </cfRule>
  </conditionalFormatting>
  <conditionalFormatting sqref="W3:W4">
    <cfRule type="colorScale" priority="107">
      <colorScale>
        <cfvo type="min"/>
        <cfvo type="max"/>
        <color rgb="FFFFEF9C"/>
        <color rgb="FFFF7128"/>
      </colorScale>
    </cfRule>
  </conditionalFormatting>
  <conditionalFormatting sqref="W6:W12">
    <cfRule type="colorScale" priority="93">
      <colorScale>
        <cfvo type="min"/>
        <cfvo type="max"/>
        <color rgb="FFFFEF9C"/>
        <color rgb="FFFF7128"/>
      </colorScale>
    </cfRule>
  </conditionalFormatting>
  <conditionalFormatting sqref="W14:W41">
    <cfRule type="colorScale" priority="69">
      <colorScale>
        <cfvo type="min"/>
        <cfvo type="max"/>
        <color rgb="FFFFEF9C"/>
        <color rgb="FFFF7128"/>
      </colorScale>
    </cfRule>
  </conditionalFormatting>
  <conditionalFormatting sqref="W43:W49">
    <cfRule type="colorScale" priority="46">
      <colorScale>
        <cfvo type="min"/>
        <cfvo type="max"/>
        <color rgb="FFFFEF9C"/>
        <color rgb="FFFF7128"/>
      </colorScale>
    </cfRule>
  </conditionalFormatting>
  <conditionalFormatting sqref="Z1:Z1048576">
    <cfRule type="containsText" dxfId="27" priority="76" operator="containsText" text="Yes">
      <formula>NOT(ISERROR(SEARCH("Yes",Z1)))</formula>
    </cfRule>
    <cfRule type="containsText" dxfId="26" priority="77" operator="containsText" text="No">
      <formula>NOT(ISERROR(SEARCH("No",Z1)))</formula>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234" customWidth="1"/>
    <col min="74" max="78" width="15.77734375" customWidth="1"/>
    <col min="79" max="79" width="15.77734375" style="260" customWidth="1"/>
    <col min="80" max="89" width="15.77734375" customWidth="1"/>
  </cols>
  <sheetData>
    <row r="1" spans="1:91" s="354" customFormat="1" ht="15.6" x14ac:dyDescent="0.3">
      <c r="A1" s="354"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261" t="str" cm="1">
        <f t="array" ref="BS3:CM3">('Daily WE'!A1:U1)</f>
        <v>Key 1
(Category)</v>
      </c>
      <c r="BT3" s="262" t="str">
        <v>Key 2
(Precision)</v>
      </c>
      <c r="BU3" s="265" t="str">
        <v>Date</v>
      </c>
      <c r="BV3" s="262" t="str">
        <v>Starting Temperature</v>
      </c>
      <c r="BW3" s="262" t="str">
        <v>Starting Time</v>
      </c>
      <c r="BX3" s="262" t="str">
        <v>Wand Technique</v>
      </c>
      <c r="BY3" s="262" t="str">
        <v>Auto-Stop Setting</v>
      </c>
      <c r="BZ3" s="262" t="str">
        <v>Mean Frame
Count</v>
      </c>
      <c r="CA3" s="263" t="str">
        <v>Frame Ratio
(% of Auto-Stop)</v>
      </c>
      <c r="CB3" s="262" t="str">
        <v>Highest Frame Count</v>
      </c>
      <c r="CC3" s="262" t="str">
        <v>Lowest Frame Count</v>
      </c>
      <c r="CD3" s="262" t="str">
        <v>Most Frames
(Camera ID)</v>
      </c>
      <c r="CE3" s="262" t="str">
        <v>Least Frames
(Camera ID)</v>
      </c>
      <c r="CF3" s="262" t="str">
        <v>Mean
World Error</v>
      </c>
      <c r="CG3" s="262" t="str">
        <v>Lowest
World Error</v>
      </c>
      <c r="CH3" s="262" t="str">
        <v>Highest
World Error</v>
      </c>
      <c r="CI3" s="262" t="str">
        <v>Mean
Image Error</v>
      </c>
      <c r="CJ3" s="262" t="str">
        <v>Lowest
Image Error</v>
      </c>
      <c r="CK3" s="262"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233" t="str" cm="1">
        <f t="array" ref="BS4:CM24">_xlfn._xlws.FILTER('Daily WE'!A1:U250, ('Daily WE'!A1:A250&lt;&gt;"") * ('Daily WE'!B1:B250="n/a"))</f>
        <v>Daily</v>
      </c>
      <c r="BT4" t="str">
        <v>n/a</v>
      </c>
      <c r="BU4" s="234">
        <v>46228</v>
      </c>
      <c r="BV4">
        <v>23.5</v>
      </c>
      <c r="BW4">
        <v>0.85833333333333328</v>
      </c>
      <c r="BX4" t="str">
        <v>A</v>
      </c>
      <c r="BY4">
        <v>1000</v>
      </c>
      <c r="BZ4">
        <v>2045.4117647058824</v>
      </c>
      <c r="CA4" s="260">
        <v>2.0454117647058823</v>
      </c>
      <c r="CB4">
        <v>0</v>
      </c>
      <c r="CC4">
        <v>0</v>
      </c>
      <c r="CD4">
        <v>0</v>
      </c>
      <c r="CE4">
        <v>0</v>
      </c>
      <c r="CF4">
        <v>0.3911837647058824</v>
      </c>
      <c r="CG4">
        <v>0.13059299999999999</v>
      </c>
      <c r="CH4">
        <v>0.64795899999999995</v>
      </c>
      <c r="CI4">
        <v>9.2278499999999999E-2</v>
      </c>
      <c r="CJ4">
        <v>4.2415799999999997E-2</v>
      </c>
      <c r="CK4">
        <v>0.147318</v>
      </c>
      <c r="CL4">
        <v>0.41469928087167107</v>
      </c>
      <c r="CM4">
        <v>9.9175409927360722E-2</v>
      </c>
    </row>
    <row r="5" spans="1:91" x14ac:dyDescent="0.3">
      <c r="A5" s="8"/>
      <c r="C5" s="9"/>
      <c r="D5" s="9"/>
      <c r="E5" s="136"/>
      <c r="BS5" t="str">
        <v>Daily</v>
      </c>
      <c r="BT5" t="str">
        <v>n/a</v>
      </c>
      <c r="BU5" s="234">
        <v>46230</v>
      </c>
      <c r="BV5">
        <v>23.5</v>
      </c>
      <c r="BW5">
        <v>0.60138888888888886</v>
      </c>
      <c r="BX5" t="str">
        <v>A</v>
      </c>
      <c r="BY5">
        <v>1000</v>
      </c>
      <c r="BZ5">
        <v>1582.8333333333333</v>
      </c>
      <c r="CA5" s="260">
        <v>1.5828333333333333</v>
      </c>
      <c r="CB5">
        <v>2611</v>
      </c>
      <c r="CC5">
        <v>1005</v>
      </c>
      <c r="CD5" t="e" vm="4">
        <v>#VALUE!</v>
      </c>
      <c r="CE5" t="e">
        <v>#REF!</v>
      </c>
      <c r="CF5">
        <v>0.3804177222222222</v>
      </c>
      <c r="CG5">
        <v>0.162101</v>
      </c>
      <c r="CH5">
        <v>0.610344</v>
      </c>
      <c r="CI5">
        <v>9.1966633333333339E-2</v>
      </c>
      <c r="CJ5">
        <v>4.46854E-2</v>
      </c>
      <c r="CK5">
        <v>0.14344199999999999</v>
      </c>
      <c r="CL5">
        <v>0.41469928087167107</v>
      </c>
      <c r="CM5">
        <v>9.9175409927360722E-2</v>
      </c>
    </row>
    <row r="6" spans="1:91" x14ac:dyDescent="0.3">
      <c r="A6" s="8"/>
      <c r="C6" s="9"/>
      <c r="D6" s="9"/>
      <c r="E6" s="136"/>
      <c r="X6" s="142" t="e">
        <f>CONCATENATE('Daily WE'!$N$1, " ", 'Daily WE'!#REF!, " on date")</f>
        <v>#REF!</v>
      </c>
      <c r="BS6" t="str">
        <v>Daily</v>
      </c>
      <c r="BT6" t="str">
        <v>n/a</v>
      </c>
      <c r="BU6" s="234">
        <v>46231</v>
      </c>
      <c r="BV6">
        <v>24.5</v>
      </c>
      <c r="BW6">
        <v>0.50694444444444442</v>
      </c>
      <c r="BX6" t="str">
        <v>B</v>
      </c>
      <c r="BY6">
        <v>1000</v>
      </c>
      <c r="BZ6">
        <v>1833.0555555555557</v>
      </c>
      <c r="CA6" s="260">
        <v>1.8330555555555557</v>
      </c>
      <c r="CB6">
        <v>2717</v>
      </c>
      <c r="CC6">
        <v>1004</v>
      </c>
      <c r="CD6" t="e" vm="4">
        <v>#VALUE!</v>
      </c>
      <c r="CE6" t="e">
        <v>#REF!</v>
      </c>
      <c r="CF6">
        <v>0.3508782777777778</v>
      </c>
      <c r="CG6">
        <v>0.157855</v>
      </c>
      <c r="CH6">
        <v>0.55680700000000005</v>
      </c>
      <c r="CI6">
        <v>8.4730411111111126E-2</v>
      </c>
      <c r="CJ6">
        <v>4.7859600000000002E-2</v>
      </c>
      <c r="CK6">
        <v>0.14671400000000001</v>
      </c>
      <c r="CL6">
        <v>0.41469928087167107</v>
      </c>
      <c r="CM6">
        <v>9.9175409927360722E-2</v>
      </c>
    </row>
    <row r="7" spans="1:91" x14ac:dyDescent="0.3">
      <c r="A7" s="8"/>
      <c r="C7" s="9"/>
      <c r="D7" s="9"/>
      <c r="E7" s="136"/>
      <c r="X7" s="142" t="e">
        <f>CONCATENATE('Daily WE'!$Q$1, " ", 'Daily WE'!#REF!, " on date")</f>
        <v>#REF!</v>
      </c>
      <c r="BS7" t="str">
        <v>Daily</v>
      </c>
      <c r="BT7" t="str">
        <v>n/a</v>
      </c>
      <c r="BU7" s="234">
        <v>46232</v>
      </c>
      <c r="BV7">
        <v>25.5</v>
      </c>
      <c r="BW7">
        <v>0.82291666666666663</v>
      </c>
      <c r="BX7" t="str">
        <v>A</v>
      </c>
      <c r="BY7">
        <v>1000</v>
      </c>
      <c r="BZ7">
        <v>2014.2222222222222</v>
      </c>
      <c r="CA7" s="260">
        <v>2.0142222222222221</v>
      </c>
      <c r="CB7">
        <v>3094</v>
      </c>
      <c r="CC7">
        <v>1004</v>
      </c>
      <c r="CD7" t="e" vm="4">
        <v>#VALUE!</v>
      </c>
      <c r="CE7" t="e">
        <v>#REF!</v>
      </c>
      <c r="CF7">
        <v>0.36980916666666658</v>
      </c>
      <c r="CG7">
        <v>0.18460799999999999</v>
      </c>
      <c r="CH7">
        <v>0.56917399999999996</v>
      </c>
      <c r="CI7">
        <v>8.8881683333333336E-2</v>
      </c>
      <c r="CJ7">
        <v>5.9381200000000002E-2</v>
      </c>
      <c r="CK7">
        <v>0.136459</v>
      </c>
      <c r="CL7">
        <v>0.41469928087167107</v>
      </c>
      <c r="CM7">
        <v>9.9175409927360722E-2</v>
      </c>
    </row>
    <row r="8" spans="1:91" x14ac:dyDescent="0.3">
      <c r="A8" s="8"/>
      <c r="C8" s="9"/>
      <c r="D8" s="9"/>
      <c r="E8" s="136"/>
      <c r="BS8" t="str">
        <v>Daily</v>
      </c>
      <c r="BT8" t="str">
        <v>n/a</v>
      </c>
      <c r="BU8" s="234">
        <v>46233</v>
      </c>
      <c r="BV8">
        <v>24.5</v>
      </c>
      <c r="BW8">
        <v>0.53333333333333333</v>
      </c>
      <c r="BX8" t="str">
        <v>A</v>
      </c>
      <c r="BY8">
        <v>1000</v>
      </c>
      <c r="BZ8">
        <v>1931.5555555555557</v>
      </c>
      <c r="CA8" s="260">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0.41469928087167107</v>
      </c>
      <c r="CM8">
        <v>9.9175409927360722E-2</v>
      </c>
    </row>
    <row r="9" spans="1:91" x14ac:dyDescent="0.3">
      <c r="A9" s="8"/>
      <c r="C9" s="9"/>
      <c r="D9" s="9"/>
      <c r="E9" s="136"/>
      <c r="BS9" t="str">
        <v>Daily</v>
      </c>
      <c r="BT9" t="str">
        <v>n/a</v>
      </c>
      <c r="BU9" s="234">
        <v>46234</v>
      </c>
      <c r="BV9">
        <v>24.5</v>
      </c>
      <c r="BW9">
        <v>0.58333333333333337</v>
      </c>
      <c r="BX9" t="str">
        <v>C</v>
      </c>
      <c r="BY9">
        <v>1500</v>
      </c>
      <c r="BZ9">
        <v>2650.3888888888887</v>
      </c>
      <c r="CA9" s="260">
        <v>1.7669259259259258</v>
      </c>
      <c r="CB9">
        <v>4033</v>
      </c>
      <c r="CC9">
        <v>1502</v>
      </c>
      <c r="CD9" t="e" vm="4">
        <v>#VALUE!</v>
      </c>
      <c r="CE9" t="e">
        <v>#REF!</v>
      </c>
      <c r="CF9">
        <v>0.39170800000000006</v>
      </c>
      <c r="CG9">
        <v>0.163774</v>
      </c>
      <c r="CH9">
        <v>0.61609199999999997</v>
      </c>
      <c r="CI9">
        <v>9.6186149999999998E-2</v>
      </c>
      <c r="CJ9">
        <v>5.20276E-2</v>
      </c>
      <c r="CK9">
        <v>0.202345</v>
      </c>
      <c r="CL9">
        <v>0.41469928087167107</v>
      </c>
      <c r="CM9">
        <v>9.9175409927360722E-2</v>
      </c>
    </row>
    <row r="10" spans="1:91" x14ac:dyDescent="0.3">
      <c r="A10" s="8"/>
      <c r="C10" s="9"/>
      <c r="D10" s="9"/>
      <c r="E10" s="136"/>
      <c r="BS10" t="str">
        <v>Daily</v>
      </c>
      <c r="BT10" t="str">
        <v>n/a</v>
      </c>
      <c r="BU10" s="234">
        <v>46235</v>
      </c>
      <c r="BV10">
        <v>24</v>
      </c>
      <c r="BW10">
        <v>0.74097222222222225</v>
      </c>
      <c r="BX10" t="str">
        <v>C</v>
      </c>
      <c r="BY10">
        <v>1500</v>
      </c>
      <c r="BZ10">
        <v>2360.4444444444443</v>
      </c>
      <c r="CA10" s="260">
        <v>1.5736296296296295</v>
      </c>
      <c r="CB10">
        <v>3742</v>
      </c>
      <c r="CC10">
        <v>1503</v>
      </c>
      <c r="CD10" t="e" vm="4">
        <v>#VALUE!</v>
      </c>
      <c r="CE10" t="e">
        <v>#REF!</v>
      </c>
      <c r="CF10">
        <v>0.5529641111111111</v>
      </c>
      <c r="CG10">
        <v>0.204627</v>
      </c>
      <c r="CH10">
        <v>1.47159</v>
      </c>
      <c r="CI10">
        <v>0.12669717222222221</v>
      </c>
      <c r="CJ10">
        <v>5.4853300000000001E-2</v>
      </c>
      <c r="CK10">
        <v>0.31046400000000002</v>
      </c>
      <c r="CL10">
        <v>0.41469928087167107</v>
      </c>
      <c r="CM10">
        <v>9.9175409927360722E-2</v>
      </c>
    </row>
    <row r="11" spans="1:91" x14ac:dyDescent="0.3">
      <c r="A11" s="8"/>
      <c r="C11" s="9"/>
      <c r="D11" s="9"/>
      <c r="E11" s="136"/>
      <c r="BS11" t="str">
        <v>Daily</v>
      </c>
      <c r="BT11" t="str">
        <v>n/a</v>
      </c>
      <c r="BU11" s="234">
        <v>46237</v>
      </c>
      <c r="BV11">
        <v>24</v>
      </c>
      <c r="BW11">
        <v>0.46597222222222223</v>
      </c>
      <c r="BX11" t="str">
        <v>A</v>
      </c>
      <c r="BY11">
        <v>1000</v>
      </c>
      <c r="BZ11">
        <v>2116.6111111111113</v>
      </c>
      <c r="CA11" s="260">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0.41469928087167107</v>
      </c>
      <c r="CM11">
        <v>9.9175409927360722E-2</v>
      </c>
    </row>
    <row r="12" spans="1:91" x14ac:dyDescent="0.3">
      <c r="A12" s="8"/>
      <c r="C12" s="9"/>
      <c r="D12" s="9"/>
      <c r="E12" s="136"/>
      <c r="BS12" t="str">
        <v>Daily</v>
      </c>
      <c r="BT12" t="str">
        <v>n/a</v>
      </c>
      <c r="BU12" s="234">
        <v>46238</v>
      </c>
      <c r="BV12">
        <v>24.5</v>
      </c>
      <c r="BW12">
        <v>0.52083333333333337</v>
      </c>
      <c r="BX12" t="str">
        <v>A</v>
      </c>
      <c r="BY12">
        <v>1000</v>
      </c>
      <c r="BZ12">
        <v>2144.6111111111113</v>
      </c>
      <c r="CA12" s="260">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0.41469928087167107</v>
      </c>
      <c r="CM12">
        <v>9.9175409927360722E-2</v>
      </c>
    </row>
    <row r="13" spans="1:91" x14ac:dyDescent="0.3">
      <c r="A13" s="8"/>
      <c r="C13" s="9"/>
      <c r="D13" s="9"/>
      <c r="E13" s="136"/>
      <c r="BS13" t="str">
        <v>Daily</v>
      </c>
      <c r="BT13" t="str">
        <v>n/a</v>
      </c>
      <c r="BU13" s="234">
        <v>46239</v>
      </c>
      <c r="BV13">
        <v>25</v>
      </c>
      <c r="BW13">
        <v>0.59305555555555556</v>
      </c>
      <c r="BX13" t="str">
        <v>A</v>
      </c>
      <c r="BY13">
        <v>1000</v>
      </c>
      <c r="BZ13">
        <v>1975.4444444444443</v>
      </c>
      <c r="CA13" s="260">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0.41469928087167107</v>
      </c>
      <c r="CM13">
        <v>9.9175409927360722E-2</v>
      </c>
    </row>
    <row r="14" spans="1:91" x14ac:dyDescent="0.3">
      <c r="A14" s="8"/>
      <c r="C14" s="9"/>
      <c r="D14" s="9"/>
      <c r="E14" s="136"/>
      <c r="BS14" t="str">
        <v>Daily</v>
      </c>
      <c r="BT14" t="str">
        <v>n/a</v>
      </c>
      <c r="BU14" s="234">
        <v>46240</v>
      </c>
      <c r="BV14">
        <v>25</v>
      </c>
      <c r="BW14">
        <v>0.47569444444444442</v>
      </c>
      <c r="BX14" t="str">
        <v>A</v>
      </c>
      <c r="BY14">
        <v>1000</v>
      </c>
      <c r="BZ14">
        <v>2069.9444444444443</v>
      </c>
      <c r="CA14" s="260">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0.41469928087167107</v>
      </c>
      <c r="CM14">
        <v>9.9175409927360722E-2</v>
      </c>
    </row>
    <row r="15" spans="1:91" x14ac:dyDescent="0.3">
      <c r="A15" s="8"/>
      <c r="C15" s="9"/>
      <c r="D15" s="9"/>
      <c r="E15" s="136"/>
      <c r="BS15" t="str">
        <v>Daily</v>
      </c>
      <c r="BT15" t="str">
        <v>n/a</v>
      </c>
      <c r="BU15" s="234">
        <v>46242</v>
      </c>
      <c r="BV15">
        <v>24.5</v>
      </c>
      <c r="BW15">
        <v>0.62361111111111112</v>
      </c>
      <c r="BX15" t="str">
        <v>A</v>
      </c>
      <c r="BY15">
        <v>1000</v>
      </c>
      <c r="BZ15">
        <v>1881.4444444444443</v>
      </c>
      <c r="CA15" s="260">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0.41469928087167107</v>
      </c>
      <c r="CM15">
        <v>9.9175409927360722E-2</v>
      </c>
    </row>
    <row r="16" spans="1:91" x14ac:dyDescent="0.3">
      <c r="A16" s="8"/>
      <c r="C16" s="9"/>
      <c r="D16" s="9"/>
      <c r="E16" s="136"/>
      <c r="BS16" t="str">
        <v>Daily</v>
      </c>
      <c r="BT16" t="str">
        <v>n/a</v>
      </c>
      <c r="BU16" s="234">
        <v>46244</v>
      </c>
      <c r="BV16">
        <v>24</v>
      </c>
      <c r="BW16">
        <v>0.52777777777777779</v>
      </c>
      <c r="BX16" t="str">
        <v>D</v>
      </c>
      <c r="BY16">
        <v>1000</v>
      </c>
      <c r="BZ16">
        <v>1693.3888888888889</v>
      </c>
      <c r="CA16" s="260">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0.41469928087167107</v>
      </c>
      <c r="CM16">
        <v>9.9175409927360722E-2</v>
      </c>
    </row>
    <row r="17" spans="1:91" x14ac:dyDescent="0.3">
      <c r="A17" s="8"/>
      <c r="C17" s="9"/>
      <c r="D17" s="9"/>
      <c r="E17" s="136"/>
      <c r="BS17" t="str">
        <v>Daily</v>
      </c>
      <c r="BT17" t="str">
        <v>n/a</v>
      </c>
      <c r="BU17" s="234">
        <v>46245</v>
      </c>
      <c r="BV17">
        <v>24</v>
      </c>
      <c r="BW17">
        <v>0.42777777777777776</v>
      </c>
      <c r="BX17" t="str">
        <v>E</v>
      </c>
      <c r="BY17">
        <v>1000</v>
      </c>
      <c r="BZ17">
        <v>1382.3888888888889</v>
      </c>
      <c r="CA17" s="260">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0.41469928087167107</v>
      </c>
      <c r="CM17">
        <v>9.9175409927360722E-2</v>
      </c>
    </row>
    <row r="18" spans="1:91" x14ac:dyDescent="0.3">
      <c r="A18" s="8"/>
      <c r="C18" s="9"/>
      <c r="D18" s="9"/>
      <c r="E18" s="136"/>
      <c r="BS18" t="str">
        <v>Daily</v>
      </c>
      <c r="BT18" t="str">
        <v>n/a</v>
      </c>
      <c r="BU18" s="234">
        <v>46246</v>
      </c>
      <c r="BV18">
        <v>25</v>
      </c>
      <c r="BW18">
        <v>0.61597222222222225</v>
      </c>
      <c r="BX18" t="str">
        <v>G</v>
      </c>
      <c r="BY18">
        <v>1000</v>
      </c>
      <c r="BZ18">
        <v>1707.3888888888889</v>
      </c>
      <c r="CA18" s="260">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0.41469928087167107</v>
      </c>
      <c r="CM18">
        <v>9.9175409927360722E-2</v>
      </c>
    </row>
    <row r="19" spans="1:91" x14ac:dyDescent="0.3">
      <c r="A19" s="8"/>
      <c r="C19" s="9"/>
      <c r="D19" s="9"/>
      <c r="E19" s="136"/>
      <c r="BS19" t="str">
        <v>Daily</v>
      </c>
      <c r="BT19" t="str">
        <v>n/a</v>
      </c>
      <c r="BU19" s="234">
        <v>46247</v>
      </c>
      <c r="BV19">
        <v>25.5</v>
      </c>
      <c r="BW19">
        <v>0.48402777777777778</v>
      </c>
      <c r="BX19" t="str">
        <v>F</v>
      </c>
      <c r="BY19">
        <v>1000</v>
      </c>
      <c r="BZ19">
        <v>1514.6666666666667</v>
      </c>
      <c r="CA19" s="260">
        <v>1.5146666666666668</v>
      </c>
      <c r="CB19">
        <v>2428</v>
      </c>
      <c r="CC19">
        <v>1004</v>
      </c>
      <c r="CD19" t="e" vm="4">
        <v>#VALUE!</v>
      </c>
      <c r="CE19" t="e">
        <v>#REF!</v>
      </c>
      <c r="CF19">
        <v>0.3348787222222222</v>
      </c>
      <c r="CG19">
        <v>0.13841200000000001</v>
      </c>
      <c r="CH19">
        <v>0.53639599999999998</v>
      </c>
      <c r="CI19">
        <v>8.0860061111111103E-2</v>
      </c>
      <c r="CJ19">
        <v>4.45136E-2</v>
      </c>
      <c r="CK19">
        <v>0.12531</v>
      </c>
      <c r="CL19">
        <v>0.41469928087167107</v>
      </c>
      <c r="CM19">
        <v>9.9175409927360722E-2</v>
      </c>
    </row>
    <row r="20" spans="1:91" x14ac:dyDescent="0.3">
      <c r="A20" s="8"/>
      <c r="C20" s="9"/>
      <c r="D20" s="9"/>
      <c r="E20" s="136"/>
      <c r="Z20" s="260"/>
      <c r="BS20" t="str">
        <v>Daily</v>
      </c>
      <c r="BT20" t="str">
        <v>n/a</v>
      </c>
      <c r="BU20" s="234">
        <v>46248</v>
      </c>
      <c r="BV20">
        <v>25.5</v>
      </c>
      <c r="BW20">
        <v>0.48055555555555557</v>
      </c>
      <c r="BX20" t="str">
        <v>H</v>
      </c>
      <c r="BY20">
        <v>1000</v>
      </c>
      <c r="BZ20">
        <v>1491.5</v>
      </c>
      <c r="CA20" s="260">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0.41469928087167107</v>
      </c>
      <c r="CM20">
        <v>9.9175409927360722E-2</v>
      </c>
    </row>
    <row r="21" spans="1:91" x14ac:dyDescent="0.3">
      <c r="A21" s="8"/>
      <c r="C21" s="9"/>
      <c r="D21" s="9"/>
      <c r="E21" s="136"/>
      <c r="BS21" t="str">
        <v>Daily</v>
      </c>
      <c r="BT21" t="str">
        <v>n/a</v>
      </c>
      <c r="BU21" s="234">
        <v>46251</v>
      </c>
      <c r="BV21">
        <v>25</v>
      </c>
      <c r="BW21">
        <v>0.7319444444444444</v>
      </c>
      <c r="BX21" t="str">
        <v>I</v>
      </c>
      <c r="BY21">
        <v>1000</v>
      </c>
      <c r="BZ21">
        <v>1684.5</v>
      </c>
      <c r="CA21" s="260">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0.41469928087167107</v>
      </c>
      <c r="CM21">
        <v>9.9175409927360722E-2</v>
      </c>
    </row>
    <row r="22" spans="1:91" x14ac:dyDescent="0.3">
      <c r="A22" s="8"/>
      <c r="C22" s="9"/>
      <c r="D22" s="9"/>
      <c r="E22" s="136"/>
      <c r="BS22" t="str">
        <v>Daily</v>
      </c>
      <c r="BT22" t="str">
        <v>n/a</v>
      </c>
      <c r="BU22" s="234">
        <v>46252</v>
      </c>
      <c r="BV22">
        <v>25</v>
      </c>
      <c r="BW22">
        <v>0.75416666666666665</v>
      </c>
      <c r="BX22" t="str">
        <v>I</v>
      </c>
      <c r="BY22">
        <v>1000</v>
      </c>
      <c r="BZ22">
        <v>1852</v>
      </c>
      <c r="CA22" s="260">
        <v>1.8520000000000001</v>
      </c>
      <c r="CB22">
        <v>2710</v>
      </c>
      <c r="CC22">
        <v>1004</v>
      </c>
      <c r="CD22" t="e" vm="4">
        <v>#VALUE!</v>
      </c>
      <c r="CE22" t="e">
        <v>#REF!</v>
      </c>
      <c r="CF22">
        <v>0.44992333333333334</v>
      </c>
      <c r="CG22">
        <v>0.232436</v>
      </c>
      <c r="CH22">
        <v>0.69097900000000001</v>
      </c>
      <c r="CI22">
        <v>0.10735644999999999</v>
      </c>
      <c r="CJ22">
        <v>7.0449899999999996E-2</v>
      </c>
      <c r="CK22">
        <v>0.13900999999999999</v>
      </c>
      <c r="CL22">
        <v>0.41469928087167107</v>
      </c>
      <c r="CM22">
        <v>9.9175409927360722E-2</v>
      </c>
    </row>
    <row r="23" spans="1:91" x14ac:dyDescent="0.3">
      <c r="A23" s="8"/>
      <c r="C23" s="9"/>
      <c r="D23" s="9"/>
      <c r="E23" s="136"/>
      <c r="BS23" t="str">
        <v>Daily</v>
      </c>
      <c r="BT23" t="str">
        <v>n/a</v>
      </c>
      <c r="BU23" s="234">
        <v>46253</v>
      </c>
      <c r="BV23">
        <v>24.5</v>
      </c>
      <c r="BW23">
        <v>0.85138888888888886</v>
      </c>
      <c r="BX23" t="str">
        <v>D</v>
      </c>
      <c r="BY23">
        <v>1000</v>
      </c>
      <c r="BZ23">
        <v>1711.3888888888889</v>
      </c>
      <c r="CA23" s="260">
        <v>1.7113888888888888</v>
      </c>
      <c r="CB23">
        <v>2728</v>
      </c>
      <c r="CC23">
        <v>1001</v>
      </c>
      <c r="CD23" t="e" vm="4">
        <v>#VALUE!</v>
      </c>
      <c r="CE23" t="e">
        <v>#REF!</v>
      </c>
      <c r="CF23">
        <v>0.54501322222222215</v>
      </c>
      <c r="CG23">
        <v>0.25521100000000002</v>
      </c>
      <c r="CH23">
        <v>0.97526599999999997</v>
      </c>
      <c r="CI23">
        <v>0.1279518555555556</v>
      </c>
      <c r="CJ23">
        <v>8.3699099999999999E-2</v>
      </c>
      <c r="CK23">
        <v>0.21911</v>
      </c>
      <c r="CL23">
        <v>0.41469928087167107</v>
      </c>
      <c r="CM23">
        <v>9.9175409927360722E-2</v>
      </c>
    </row>
    <row r="24" spans="1:91" x14ac:dyDescent="0.3">
      <c r="A24" s="8"/>
      <c r="C24" s="9"/>
      <c r="D24" s="9"/>
      <c r="E24" s="136"/>
      <c r="BS24" t="str">
        <v>Daily</v>
      </c>
      <c r="BT24" t="str">
        <v>n/a</v>
      </c>
      <c r="BU24" s="234">
        <v>46254</v>
      </c>
      <c r="BV24">
        <v>24.5</v>
      </c>
      <c r="BW24">
        <v>0.78680555555555554</v>
      </c>
      <c r="BX24" t="str">
        <v>H</v>
      </c>
      <c r="BY24">
        <v>1000</v>
      </c>
      <c r="BZ24">
        <v>1787</v>
      </c>
      <c r="CA24" s="260">
        <v>1.7869999999999999</v>
      </c>
      <c r="CB24">
        <v>3016</v>
      </c>
      <c r="CC24">
        <v>1005</v>
      </c>
      <c r="CD24" t="e" vm="4">
        <v>#VALUE!</v>
      </c>
      <c r="CE24" t="e">
        <v>#REF!</v>
      </c>
      <c r="CF24">
        <v>0.44261372222222223</v>
      </c>
      <c r="CG24">
        <v>0.26846599999999998</v>
      </c>
      <c r="CH24">
        <v>0.60257000000000005</v>
      </c>
      <c r="CI24">
        <v>0.10628490555555553</v>
      </c>
      <c r="CJ24">
        <v>7.6168700000000006E-2</v>
      </c>
      <c r="CK24">
        <v>0.13422300000000001</v>
      </c>
      <c r="CL24">
        <v>0.41469928087167107</v>
      </c>
      <c r="CM24">
        <v>9.9175409927360722E-2</v>
      </c>
    </row>
    <row r="25" spans="1:91" x14ac:dyDescent="0.3">
      <c r="A25" s="8"/>
      <c r="C25" s="9"/>
      <c r="D25" s="9"/>
      <c r="E25" s="136"/>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236"/>
      <c r="CA305" s="264"/>
    </row>
    <row r="306" spans="1:79" s="131" customFormat="1" x14ac:dyDescent="0.3">
      <c r="A306" s="107"/>
      <c r="B306" s="7"/>
      <c r="C306" s="7"/>
      <c r="D306" s="7"/>
      <c r="E306" s="47"/>
      <c r="J306"/>
      <c r="K306" s="7"/>
      <c r="L306" s="7"/>
      <c r="M306" s="7"/>
      <c r="N306" s="7"/>
      <c r="O306" s="7"/>
      <c r="P306" s="7"/>
      <c r="BU306" s="236"/>
      <c r="CA306" s="264"/>
    </row>
    <row r="307" spans="1:79" s="131" customFormat="1" x14ac:dyDescent="0.3">
      <c r="A307" s="107"/>
      <c r="B307" s="7"/>
      <c r="C307" s="7"/>
      <c r="D307" s="7"/>
      <c r="E307" s="47"/>
      <c r="J307"/>
      <c r="K307" s="7"/>
      <c r="L307" s="7"/>
      <c r="M307" s="7"/>
      <c r="N307" s="7"/>
      <c r="O307" s="7"/>
      <c r="P307" s="7"/>
      <c r="BU307" s="236"/>
      <c r="CA307" s="264"/>
    </row>
    <row r="308" spans="1:79" s="131" customFormat="1" x14ac:dyDescent="0.3">
      <c r="A308" s="107"/>
      <c r="B308" s="7"/>
      <c r="C308" s="7"/>
      <c r="D308" s="7"/>
      <c r="E308" s="47"/>
      <c r="J308"/>
      <c r="K308" s="7"/>
      <c r="L308" s="7"/>
      <c r="M308" s="7"/>
      <c r="N308" s="7"/>
      <c r="O308" s="7"/>
      <c r="P308" s="7"/>
      <c r="BU308" s="236"/>
      <c r="CA308" s="264"/>
    </row>
    <row r="309" spans="1:79" s="131" customFormat="1" x14ac:dyDescent="0.3">
      <c r="A309" s="107"/>
      <c r="B309" s="7"/>
      <c r="C309" s="7"/>
      <c r="D309" s="7"/>
      <c r="E309" s="47"/>
      <c r="J309"/>
      <c r="K309" s="7"/>
      <c r="L309" s="7"/>
      <c r="M309" s="7"/>
      <c r="N309" s="7"/>
      <c r="O309" s="7"/>
      <c r="P309" s="7"/>
      <c r="BU309" s="236"/>
      <c r="CA309" s="264"/>
    </row>
    <row r="310" spans="1:79" s="131" customFormat="1" x14ac:dyDescent="0.3">
      <c r="A310" s="107"/>
      <c r="B310" s="7"/>
      <c r="C310" s="7"/>
      <c r="D310" s="7"/>
      <c r="E310" s="47"/>
      <c r="J310"/>
      <c r="K310" s="7"/>
      <c r="L310" s="7"/>
      <c r="M310" s="7"/>
      <c r="N310" s="7"/>
      <c r="O310" s="7"/>
      <c r="P310" s="7"/>
      <c r="BU310" s="236"/>
      <c r="CA310" s="264"/>
    </row>
    <row r="311" spans="1:79" s="131" customFormat="1" x14ac:dyDescent="0.3">
      <c r="A311" s="107"/>
      <c r="B311" s="7"/>
      <c r="C311" s="7"/>
      <c r="D311" s="7"/>
      <c r="E311" s="47"/>
      <c r="J311"/>
      <c r="K311" s="7"/>
      <c r="L311" s="7"/>
      <c r="M311" s="7"/>
      <c r="N311" s="7"/>
      <c r="O311" s="7"/>
      <c r="P311" s="7"/>
      <c r="BU311" s="236"/>
      <c r="CA311" s="264"/>
    </row>
    <row r="312" spans="1:79" s="131" customFormat="1" x14ac:dyDescent="0.3">
      <c r="A312" s="107"/>
      <c r="B312" s="7"/>
      <c r="C312" s="7"/>
      <c r="D312" s="7"/>
      <c r="E312" s="47"/>
      <c r="J312"/>
      <c r="K312" s="7"/>
      <c r="L312" s="7"/>
      <c r="M312" s="7"/>
      <c r="N312" s="7"/>
      <c r="O312" s="7"/>
      <c r="P312" s="7"/>
      <c r="BU312" s="236"/>
      <c r="CA312" s="264"/>
    </row>
    <row r="313" spans="1:79" s="131" customFormat="1" x14ac:dyDescent="0.3">
      <c r="A313" s="107"/>
      <c r="B313" s="7"/>
      <c r="C313" s="7"/>
      <c r="D313" s="7"/>
      <c r="E313" s="47"/>
      <c r="J313"/>
      <c r="K313" s="7"/>
      <c r="L313" s="7"/>
      <c r="M313" s="7"/>
      <c r="N313" s="7"/>
      <c r="O313" s="7"/>
      <c r="P313" s="7"/>
      <c r="BU313" s="236"/>
      <c r="CA313" s="264"/>
    </row>
    <row r="314" spans="1:79" s="131" customFormat="1" x14ac:dyDescent="0.3">
      <c r="A314" s="107"/>
      <c r="B314" s="7"/>
      <c r="C314" s="7"/>
      <c r="D314" s="7"/>
      <c r="E314" s="47"/>
      <c r="J314"/>
      <c r="K314" s="7"/>
      <c r="L314" s="7"/>
      <c r="M314" s="7"/>
      <c r="N314" s="7"/>
      <c r="O314" s="7"/>
      <c r="P314" s="7"/>
      <c r="BU314" s="236"/>
      <c r="CA314" s="264"/>
    </row>
    <row r="315" spans="1:79" s="131" customFormat="1" x14ac:dyDescent="0.3">
      <c r="A315" s="107"/>
      <c r="B315" s="7"/>
      <c r="C315" s="7"/>
      <c r="D315" s="7"/>
      <c r="E315" s="47"/>
      <c r="J315"/>
      <c r="K315" s="7"/>
      <c r="L315" s="7"/>
      <c r="M315" s="7"/>
      <c r="N315" s="7"/>
      <c r="O315" s="7"/>
      <c r="P315" s="7"/>
      <c r="BU315" s="236"/>
      <c r="CA315" s="264"/>
    </row>
    <row r="316" spans="1:79" s="131" customFormat="1" x14ac:dyDescent="0.3">
      <c r="A316" s="107"/>
      <c r="B316" s="7"/>
      <c r="C316" s="7"/>
      <c r="D316" s="7"/>
      <c r="E316" s="47"/>
      <c r="J316"/>
      <c r="K316" s="7"/>
      <c r="L316" s="7"/>
      <c r="M316" s="7"/>
      <c r="N316" s="7"/>
      <c r="O316" s="7"/>
      <c r="P316" s="7"/>
      <c r="BU316" s="236"/>
      <c r="CA316" s="264"/>
    </row>
    <row r="317" spans="1:79" s="131" customFormat="1" x14ac:dyDescent="0.3">
      <c r="A317" s="107"/>
      <c r="B317" s="7"/>
      <c r="C317" s="7"/>
      <c r="D317" s="7"/>
      <c r="E317" s="47"/>
      <c r="J317"/>
      <c r="K317" s="7"/>
      <c r="L317" s="7"/>
      <c r="M317" s="7"/>
      <c r="N317" s="7"/>
      <c r="O317" s="7"/>
      <c r="P317" s="7"/>
      <c r="BU317" s="236"/>
      <c r="CA317" s="264"/>
    </row>
    <row r="318" spans="1:79" s="131" customFormat="1" x14ac:dyDescent="0.3">
      <c r="A318" s="107"/>
      <c r="B318" s="7"/>
      <c r="C318" s="7"/>
      <c r="D318" s="7"/>
      <c r="E318" s="47"/>
      <c r="J318"/>
      <c r="K318" s="7"/>
      <c r="L318" s="7"/>
      <c r="M318" s="7"/>
      <c r="N318" s="7"/>
      <c r="O318" s="7"/>
      <c r="P318" s="7"/>
      <c r="BU318" s="236"/>
      <c r="CA318" s="264"/>
    </row>
    <row r="319" spans="1:79" s="131" customFormat="1" x14ac:dyDescent="0.3">
      <c r="A319" s="107"/>
      <c r="B319" s="7"/>
      <c r="C319" s="7"/>
      <c r="D319" s="7"/>
      <c r="E319" s="47"/>
      <c r="J319"/>
      <c r="K319" s="7"/>
      <c r="L319" s="7"/>
      <c r="M319" s="7"/>
      <c r="N319" s="7"/>
      <c r="O319" s="7"/>
      <c r="P319" s="7"/>
      <c r="BU319" s="236"/>
      <c r="CA319" s="264"/>
    </row>
    <row r="320" spans="1:79" s="131" customFormat="1" x14ac:dyDescent="0.3">
      <c r="A320" s="107"/>
      <c r="B320" s="7"/>
      <c r="C320" s="7"/>
      <c r="D320" s="7"/>
      <c r="E320" s="47"/>
      <c r="J320"/>
      <c r="K320" s="7"/>
      <c r="L320" s="7"/>
      <c r="M320" s="7"/>
      <c r="N320" s="7"/>
      <c r="O320" s="7"/>
      <c r="P320" s="7"/>
      <c r="BU320" s="236"/>
      <c r="CA320" s="264"/>
    </row>
    <row r="321" spans="1:79" s="131" customFormat="1" x14ac:dyDescent="0.3">
      <c r="A321" s="107"/>
      <c r="B321" s="7"/>
      <c r="C321" s="7"/>
      <c r="D321" s="7"/>
      <c r="E321" s="47"/>
      <c r="J321"/>
      <c r="K321" s="7"/>
      <c r="L321" s="7"/>
      <c r="M321" s="7"/>
      <c r="N321" s="7"/>
      <c r="O321" s="7"/>
      <c r="P321" s="7"/>
      <c r="BU321" s="236"/>
      <c r="CA321" s="264"/>
    </row>
    <row r="322" spans="1:79" s="131" customFormat="1" x14ac:dyDescent="0.3">
      <c r="A322" s="107"/>
      <c r="B322" s="7"/>
      <c r="C322" s="7"/>
      <c r="D322" s="7"/>
      <c r="E322" s="47"/>
      <c r="J322"/>
      <c r="K322" s="7"/>
      <c r="L322" s="7"/>
      <c r="M322" s="7"/>
      <c r="N322" s="7"/>
      <c r="O322" s="7"/>
      <c r="P322" s="7"/>
      <c r="BU322" s="236"/>
      <c r="CA322" s="264"/>
    </row>
    <row r="323" spans="1:79" s="131" customFormat="1" x14ac:dyDescent="0.3">
      <c r="A323" s="107"/>
      <c r="B323" s="7"/>
      <c r="C323" s="7"/>
      <c r="D323" s="7"/>
      <c r="E323" s="47"/>
      <c r="J323"/>
      <c r="K323" s="7"/>
      <c r="L323" s="7"/>
      <c r="M323" s="7"/>
      <c r="N323" s="7"/>
      <c r="O323" s="7"/>
      <c r="P323" s="7"/>
      <c r="BU323" s="236"/>
      <c r="CA323" s="264"/>
    </row>
    <row r="324" spans="1:79" s="131" customFormat="1" x14ac:dyDescent="0.3">
      <c r="A324" s="107"/>
      <c r="B324" s="7"/>
      <c r="C324" s="7"/>
      <c r="D324" s="7"/>
      <c r="E324" s="47"/>
      <c r="J324"/>
      <c r="K324" s="7"/>
      <c r="L324" s="7"/>
      <c r="M324" s="7"/>
      <c r="N324" s="7"/>
      <c r="O324" s="7"/>
      <c r="P324" s="7"/>
      <c r="BU324" s="236"/>
      <c r="CA324" s="264"/>
    </row>
    <row r="325" spans="1:79" s="131" customFormat="1" x14ac:dyDescent="0.3">
      <c r="A325" s="107"/>
      <c r="B325" s="7"/>
      <c r="C325" s="7"/>
      <c r="D325" s="7"/>
      <c r="E325" s="47"/>
      <c r="J325"/>
      <c r="K325" s="7"/>
      <c r="L325" s="7"/>
      <c r="M325" s="7"/>
      <c r="N325" s="7"/>
      <c r="O325" s="7"/>
      <c r="P325" s="7"/>
      <c r="BU325" s="236"/>
      <c r="CA325" s="264"/>
    </row>
    <row r="326" spans="1:79" s="131" customFormat="1" x14ac:dyDescent="0.3">
      <c r="A326" s="107"/>
      <c r="B326" s="7"/>
      <c r="C326" s="7"/>
      <c r="D326" s="7"/>
      <c r="E326" s="47"/>
      <c r="J326"/>
      <c r="K326" s="7"/>
      <c r="L326" s="7"/>
      <c r="M326" s="7"/>
      <c r="N326" s="7"/>
      <c r="O326" s="7"/>
      <c r="P326" s="7"/>
      <c r="BU326" s="236"/>
      <c r="CA326" s="264"/>
    </row>
    <row r="327" spans="1:79" s="131" customFormat="1" x14ac:dyDescent="0.3">
      <c r="A327" s="107"/>
      <c r="B327" s="7"/>
      <c r="C327" s="7"/>
      <c r="D327" s="7"/>
      <c r="E327" s="47"/>
      <c r="J327"/>
      <c r="K327" s="7"/>
      <c r="L327" s="7"/>
      <c r="M327" s="7"/>
      <c r="N327" s="7"/>
      <c r="O327" s="7"/>
      <c r="P327" s="7"/>
      <c r="BU327" s="236"/>
      <c r="CA327" s="264"/>
    </row>
    <row r="328" spans="1:79" s="131" customFormat="1" x14ac:dyDescent="0.3">
      <c r="A328" s="107"/>
      <c r="B328" s="7"/>
      <c r="C328" s="7"/>
      <c r="D328" s="7"/>
      <c r="E328" s="47"/>
      <c r="J328"/>
      <c r="K328" s="7"/>
      <c r="L328" s="7"/>
      <c r="M328" s="7"/>
      <c r="N328" s="7"/>
      <c r="O328" s="7"/>
      <c r="P328" s="7"/>
      <c r="BU328" s="236"/>
      <c r="CA328" s="264"/>
    </row>
    <row r="329" spans="1:79" s="131" customFormat="1" x14ac:dyDescent="0.3">
      <c r="A329" s="107"/>
      <c r="B329" s="7"/>
      <c r="C329" s="7"/>
      <c r="D329" s="7"/>
      <c r="E329" s="47"/>
      <c r="J329"/>
      <c r="K329" s="7"/>
      <c r="L329" s="7"/>
      <c r="M329" s="7"/>
      <c r="N329" s="7"/>
      <c r="O329" s="7"/>
      <c r="P329" s="7"/>
      <c r="BU329" s="236"/>
      <c r="CA329" s="264"/>
    </row>
    <row r="330" spans="1:79" s="131" customFormat="1" x14ac:dyDescent="0.3">
      <c r="A330" s="107"/>
      <c r="B330" s="7"/>
      <c r="C330" s="7"/>
      <c r="D330" s="7"/>
      <c r="E330" s="47"/>
      <c r="J330"/>
      <c r="K330" s="7"/>
      <c r="L330" s="7"/>
      <c r="M330" s="7"/>
      <c r="N330" s="7"/>
      <c r="O330" s="7"/>
      <c r="P330" s="7"/>
      <c r="BU330" s="236"/>
      <c r="CA330" s="264"/>
    </row>
    <row r="331" spans="1:79" s="131" customFormat="1" x14ac:dyDescent="0.3">
      <c r="A331" s="107"/>
      <c r="B331" s="7"/>
      <c r="C331" s="7"/>
      <c r="D331" s="7"/>
      <c r="E331" s="47"/>
      <c r="J331"/>
      <c r="K331" s="7"/>
      <c r="L331" s="7"/>
      <c r="M331" s="7"/>
      <c r="N331" s="7"/>
      <c r="O331" s="7"/>
      <c r="P331" s="7"/>
      <c r="BU331" s="236"/>
      <c r="CA331" s="264"/>
    </row>
    <row r="332" spans="1:79" s="131" customFormat="1" x14ac:dyDescent="0.3">
      <c r="A332" s="107"/>
      <c r="B332" s="7"/>
      <c r="C332" s="7"/>
      <c r="D332" s="7"/>
      <c r="E332" s="47"/>
      <c r="J332"/>
      <c r="K332" s="7"/>
      <c r="L332" s="7"/>
      <c r="M332" s="7"/>
      <c r="N332" s="7"/>
      <c r="O332" s="7"/>
      <c r="P332" s="7"/>
      <c r="BU332" s="236"/>
      <c r="CA332" s="264"/>
    </row>
    <row r="333" spans="1:79" s="131" customFormat="1" x14ac:dyDescent="0.3">
      <c r="A333" s="107"/>
      <c r="B333" s="7"/>
      <c r="C333" s="7"/>
      <c r="D333" s="7"/>
      <c r="E333" s="47"/>
      <c r="J333"/>
      <c r="K333" s="7"/>
      <c r="L333" s="7"/>
      <c r="M333" s="7"/>
      <c r="N333" s="7"/>
      <c r="O333" s="7"/>
      <c r="P333" s="7"/>
      <c r="BU333" s="236"/>
      <c r="CA333" s="264"/>
    </row>
    <row r="334" spans="1:79" s="131" customFormat="1" x14ac:dyDescent="0.3">
      <c r="A334" s="107"/>
      <c r="B334" s="7"/>
      <c r="C334" s="7"/>
      <c r="D334" s="7"/>
      <c r="E334" s="47"/>
      <c r="J334"/>
      <c r="K334" s="7"/>
      <c r="L334" s="7"/>
      <c r="M334" s="7"/>
      <c r="N334" s="7"/>
      <c r="O334" s="7"/>
      <c r="P334" s="7"/>
      <c r="BU334" s="236"/>
      <c r="CA334" s="264"/>
    </row>
    <row r="335" spans="1:79" s="131" customFormat="1" x14ac:dyDescent="0.3">
      <c r="A335" s="107"/>
      <c r="B335" s="7"/>
      <c r="C335" s="7"/>
      <c r="D335" s="7"/>
      <c r="E335" s="47"/>
      <c r="J335"/>
      <c r="K335" s="7"/>
      <c r="L335" s="7"/>
      <c r="M335" s="7"/>
      <c r="N335" s="7"/>
      <c r="O335" s="7"/>
      <c r="P335" s="7"/>
      <c r="BU335" s="236"/>
      <c r="CA335" s="264"/>
    </row>
    <row r="336" spans="1:79" s="131" customFormat="1" x14ac:dyDescent="0.3">
      <c r="A336" s="107"/>
      <c r="B336" s="7"/>
      <c r="C336" s="7"/>
      <c r="D336" s="7"/>
      <c r="E336" s="47"/>
      <c r="J336"/>
      <c r="K336" s="7"/>
      <c r="L336" s="7"/>
      <c r="M336" s="7"/>
      <c r="N336" s="7"/>
      <c r="O336" s="7"/>
      <c r="P336" s="7"/>
      <c r="BU336" s="236"/>
      <c r="CA336" s="264"/>
    </row>
    <row r="337" spans="1:79" s="131" customFormat="1" x14ac:dyDescent="0.3">
      <c r="A337" s="107"/>
      <c r="B337" s="7"/>
      <c r="C337" s="7"/>
      <c r="D337" s="7"/>
      <c r="E337" s="47"/>
      <c r="J337"/>
      <c r="K337" s="7"/>
      <c r="L337" s="7"/>
      <c r="M337" s="7"/>
      <c r="N337" s="7"/>
      <c r="O337" s="7"/>
      <c r="P337" s="7"/>
      <c r="BU337" s="236"/>
      <c r="CA337" s="264"/>
    </row>
    <row r="338" spans="1:79" s="131" customFormat="1" x14ac:dyDescent="0.3">
      <c r="A338" s="107"/>
      <c r="B338" s="7"/>
      <c r="C338" s="7"/>
      <c r="D338" s="7"/>
      <c r="E338" s="47"/>
      <c r="J338"/>
      <c r="K338" s="7"/>
      <c r="L338" s="7"/>
      <c r="M338" s="7"/>
      <c r="N338" s="7"/>
      <c r="O338" s="7"/>
      <c r="P338" s="7"/>
      <c r="BU338" s="236"/>
      <c r="CA338" s="264"/>
    </row>
    <row r="339" spans="1:79" s="131" customFormat="1" x14ac:dyDescent="0.3">
      <c r="A339" s="107"/>
      <c r="B339" s="7"/>
      <c r="C339" s="7"/>
      <c r="D339" s="7"/>
      <c r="E339" s="47"/>
      <c r="J339"/>
      <c r="K339" s="7"/>
      <c r="L339" s="7"/>
      <c r="M339" s="7"/>
      <c r="N339" s="7"/>
      <c r="O339" s="7"/>
      <c r="P339" s="7"/>
      <c r="BU339" s="236"/>
      <c r="CA339" s="264"/>
    </row>
    <row r="340" spans="1:79" s="131" customFormat="1" x14ac:dyDescent="0.3">
      <c r="A340" s="107"/>
      <c r="B340" s="7"/>
      <c r="C340" s="7"/>
      <c r="D340" s="7"/>
      <c r="E340" s="47"/>
      <c r="J340"/>
      <c r="K340" s="7"/>
      <c r="L340" s="7"/>
      <c r="M340" s="7"/>
      <c r="N340" s="7"/>
      <c r="O340" s="7"/>
      <c r="P340" s="7"/>
      <c r="BU340" s="236"/>
      <c r="CA340" s="264"/>
    </row>
    <row r="341" spans="1:79" s="131" customFormat="1" x14ac:dyDescent="0.3">
      <c r="A341" s="107"/>
      <c r="B341" s="7"/>
      <c r="C341" s="7"/>
      <c r="D341" s="7"/>
      <c r="E341" s="47"/>
      <c r="J341"/>
      <c r="K341" s="7"/>
      <c r="L341" s="7"/>
      <c r="M341" s="7"/>
      <c r="N341" s="7"/>
      <c r="O341" s="7"/>
      <c r="P341" s="7"/>
      <c r="BU341" s="236"/>
      <c r="CA341" s="264"/>
    </row>
    <row r="342" spans="1:79" s="131" customFormat="1" x14ac:dyDescent="0.3">
      <c r="A342" s="107"/>
      <c r="B342" s="7"/>
      <c r="C342" s="7"/>
      <c r="D342" s="7"/>
      <c r="E342" s="47"/>
      <c r="J342"/>
      <c r="K342" s="7"/>
      <c r="L342" s="7"/>
      <c r="M342" s="7"/>
      <c r="N342" s="7"/>
      <c r="O342" s="7"/>
      <c r="P342" s="7"/>
      <c r="BU342" s="236"/>
      <c r="CA342" s="264"/>
    </row>
    <row r="343" spans="1:79" s="131" customFormat="1" x14ac:dyDescent="0.3">
      <c r="A343" s="107"/>
      <c r="B343" s="7"/>
      <c r="C343" s="7"/>
      <c r="D343" s="7"/>
      <c r="E343" s="47"/>
      <c r="J343"/>
      <c r="K343" s="7"/>
      <c r="L343" s="7"/>
      <c r="M343" s="7"/>
      <c r="N343" s="7"/>
      <c r="O343" s="7"/>
      <c r="P343" s="7"/>
      <c r="BU343" s="236"/>
      <c r="CA343" s="264"/>
    </row>
    <row r="344" spans="1:79" s="131" customFormat="1" x14ac:dyDescent="0.3">
      <c r="A344" s="107"/>
      <c r="B344" s="7"/>
      <c r="C344" s="7"/>
      <c r="D344" s="7"/>
      <c r="E344" s="47"/>
      <c r="J344"/>
      <c r="K344" s="7"/>
      <c r="L344" s="7"/>
      <c r="M344" s="7"/>
      <c r="N344" s="7"/>
      <c r="O344" s="7"/>
      <c r="P344" s="7"/>
      <c r="BU344" s="236"/>
      <c r="CA344" s="264"/>
    </row>
    <row r="345" spans="1:79" s="131" customFormat="1" x14ac:dyDescent="0.3">
      <c r="A345" s="107"/>
      <c r="B345" s="7"/>
      <c r="C345" s="7"/>
      <c r="D345" s="7"/>
      <c r="E345" s="47"/>
      <c r="J345"/>
      <c r="K345" s="7"/>
      <c r="L345" s="7"/>
      <c r="M345" s="7"/>
      <c r="N345" s="7"/>
      <c r="O345" s="7"/>
      <c r="P345" s="7"/>
      <c r="BU345" s="236"/>
      <c r="CA345" s="264"/>
    </row>
    <row r="346" spans="1:79" s="131" customFormat="1" x14ac:dyDescent="0.3">
      <c r="A346" s="107"/>
      <c r="B346" s="7"/>
      <c r="C346" s="7"/>
      <c r="D346" s="7"/>
      <c r="E346" s="47"/>
      <c r="J346"/>
      <c r="K346" s="7"/>
      <c r="L346" s="7"/>
      <c r="M346" s="7"/>
      <c r="N346" s="7"/>
      <c r="O346" s="7"/>
      <c r="P346" s="7"/>
      <c r="BU346" s="236"/>
      <c r="CA346" s="264"/>
    </row>
    <row r="347" spans="1:79" s="131" customFormat="1" x14ac:dyDescent="0.3">
      <c r="A347" s="107"/>
      <c r="B347" s="7"/>
      <c r="C347" s="7"/>
      <c r="D347" s="7"/>
      <c r="E347" s="47"/>
      <c r="J347"/>
      <c r="K347" s="7"/>
      <c r="L347" s="7"/>
      <c r="M347" s="7"/>
      <c r="N347" s="7"/>
      <c r="O347" s="7"/>
      <c r="P347" s="7"/>
      <c r="BU347" s="236"/>
      <c r="CA347" s="264"/>
    </row>
    <row r="348" spans="1:79" s="131" customFormat="1" x14ac:dyDescent="0.3">
      <c r="A348" s="107"/>
      <c r="B348" s="7"/>
      <c r="C348" s="7"/>
      <c r="D348" s="7"/>
      <c r="E348" s="47"/>
      <c r="J348"/>
      <c r="K348" s="7"/>
      <c r="L348" s="7"/>
      <c r="M348" s="7"/>
      <c r="N348" s="7"/>
      <c r="O348" s="7"/>
      <c r="P348" s="7"/>
      <c r="BU348" s="236"/>
      <c r="CA348" s="264"/>
    </row>
    <row r="349" spans="1:79" s="131" customFormat="1" x14ac:dyDescent="0.3">
      <c r="A349" s="107"/>
      <c r="B349" s="7"/>
      <c r="C349" s="7"/>
      <c r="D349" s="7"/>
      <c r="E349" s="47"/>
      <c r="J349"/>
      <c r="K349" s="7"/>
      <c r="L349" s="7"/>
      <c r="M349" s="7"/>
      <c r="N349" s="7"/>
      <c r="O349" s="7"/>
      <c r="P349" s="7"/>
      <c r="BU349" s="236"/>
      <c r="CA349" s="264"/>
    </row>
    <row r="350" spans="1:79" s="131" customFormat="1" x14ac:dyDescent="0.3">
      <c r="A350" s="107"/>
      <c r="B350" s="7"/>
      <c r="C350" s="7"/>
      <c r="D350" s="7"/>
      <c r="E350" s="47"/>
      <c r="J350"/>
      <c r="K350" s="7"/>
      <c r="L350" s="7"/>
      <c r="M350" s="7"/>
      <c r="N350" s="7"/>
      <c r="O350" s="7"/>
      <c r="P350" s="7"/>
      <c r="BU350" s="236"/>
      <c r="CA350" s="264"/>
    </row>
    <row r="351" spans="1:79" s="131" customFormat="1" x14ac:dyDescent="0.3">
      <c r="A351" s="107"/>
      <c r="B351" s="7"/>
      <c r="C351" s="7"/>
      <c r="D351" s="7"/>
      <c r="E351" s="47"/>
      <c r="J351"/>
      <c r="K351" s="7"/>
      <c r="L351" s="7"/>
      <c r="M351" s="7"/>
      <c r="N351" s="7"/>
      <c r="O351" s="7"/>
      <c r="P351" s="7"/>
      <c r="BU351" s="236"/>
      <c r="CA351" s="264"/>
    </row>
    <row r="352" spans="1:79" s="131" customFormat="1" x14ac:dyDescent="0.3">
      <c r="A352" s="107"/>
      <c r="B352" s="7"/>
      <c r="C352" s="7"/>
      <c r="D352" s="7"/>
      <c r="E352" s="47"/>
      <c r="J352"/>
      <c r="K352" s="7"/>
      <c r="L352" s="7"/>
      <c r="M352" s="7"/>
      <c r="N352" s="7"/>
      <c r="O352" s="7"/>
      <c r="P352" s="7"/>
      <c r="BU352" s="236"/>
      <c r="CA352" s="264"/>
    </row>
    <row r="353" spans="1:79" s="131" customFormat="1" x14ac:dyDescent="0.3">
      <c r="A353" s="107"/>
      <c r="B353" s="7"/>
      <c r="C353" s="7"/>
      <c r="D353" s="7"/>
      <c r="E353" s="47"/>
      <c r="J353"/>
      <c r="K353" s="7"/>
      <c r="L353" s="7"/>
      <c r="M353" s="7"/>
      <c r="N353" s="7"/>
      <c r="O353" s="7"/>
      <c r="P353" s="7"/>
      <c r="BU353" s="236"/>
      <c r="CA353" s="264"/>
    </row>
    <row r="354" spans="1:79" s="131" customFormat="1" x14ac:dyDescent="0.3">
      <c r="A354" s="107"/>
      <c r="B354" s="7"/>
      <c r="C354" s="7"/>
      <c r="D354" s="7"/>
      <c r="E354" s="47"/>
      <c r="J354"/>
      <c r="K354" s="7"/>
      <c r="L354" s="7"/>
      <c r="M354" s="7"/>
      <c r="N354" s="7"/>
      <c r="O354" s="7"/>
      <c r="P354" s="7"/>
      <c r="BU354" s="236"/>
      <c r="CA354" s="264"/>
    </row>
    <row r="355" spans="1:79" s="131" customFormat="1" x14ac:dyDescent="0.3">
      <c r="A355" s="107"/>
      <c r="B355" s="7"/>
      <c r="C355" s="7"/>
      <c r="D355" s="7"/>
      <c r="E355" s="47"/>
      <c r="J355"/>
      <c r="K355" s="7"/>
      <c r="L355" s="7"/>
      <c r="M355" s="7"/>
      <c r="N355" s="7"/>
      <c r="O355" s="7"/>
      <c r="P355" s="7"/>
      <c r="BU355" s="236"/>
      <c r="CA355" s="264"/>
    </row>
    <row r="356" spans="1:79" s="131" customFormat="1" x14ac:dyDescent="0.3">
      <c r="A356" s="107"/>
      <c r="B356" s="7"/>
      <c r="C356" s="7"/>
      <c r="D356" s="7"/>
      <c r="E356" s="47"/>
      <c r="J356"/>
      <c r="K356" s="7"/>
      <c r="L356" s="7"/>
      <c r="M356" s="7"/>
      <c r="N356" s="7"/>
      <c r="O356" s="7"/>
      <c r="P356" s="7"/>
      <c r="BU356" s="236"/>
      <c r="CA356" s="264"/>
    </row>
    <row r="357" spans="1:79" s="131" customFormat="1" x14ac:dyDescent="0.3">
      <c r="A357" s="107"/>
      <c r="B357" s="7"/>
      <c r="C357" s="7"/>
      <c r="D357" s="7"/>
      <c r="E357" s="47"/>
      <c r="J357"/>
      <c r="K357" s="7"/>
      <c r="L357" s="7"/>
      <c r="M357" s="7"/>
      <c r="N357" s="7"/>
      <c r="O357" s="7"/>
      <c r="P357" s="7"/>
      <c r="BU357" s="236"/>
      <c r="CA357" s="264"/>
    </row>
    <row r="358" spans="1:79" s="131" customFormat="1" x14ac:dyDescent="0.3">
      <c r="A358" s="107"/>
      <c r="B358" s="7"/>
      <c r="C358" s="7"/>
      <c r="D358" s="7"/>
      <c r="E358" s="47"/>
      <c r="J358"/>
      <c r="K358" s="7"/>
      <c r="L358" s="7"/>
      <c r="M358" s="7"/>
      <c r="N358" s="7"/>
      <c r="O358" s="7"/>
      <c r="P358" s="7"/>
      <c r="BU358" s="236"/>
      <c r="CA358" s="264"/>
    </row>
    <row r="359" spans="1:79" s="131" customFormat="1" x14ac:dyDescent="0.3">
      <c r="A359" s="107"/>
      <c r="B359" s="7"/>
      <c r="C359" s="7"/>
      <c r="D359" s="7"/>
      <c r="E359" s="47"/>
      <c r="J359"/>
      <c r="K359" s="7"/>
      <c r="L359" s="7"/>
      <c r="M359" s="7"/>
      <c r="N359" s="7"/>
      <c r="O359" s="7"/>
      <c r="P359" s="7"/>
      <c r="BU359" s="236"/>
      <c r="CA359" s="264"/>
    </row>
    <row r="360" spans="1:79" s="131" customFormat="1" x14ac:dyDescent="0.3">
      <c r="A360" s="107"/>
      <c r="B360" s="7"/>
      <c r="C360" s="7"/>
      <c r="D360" s="7"/>
      <c r="E360" s="47"/>
      <c r="J360"/>
      <c r="K360" s="7"/>
      <c r="L360" s="7"/>
      <c r="M360" s="7"/>
      <c r="N360" s="7"/>
      <c r="O360" s="7"/>
      <c r="P360" s="7"/>
      <c r="BU360" s="236"/>
      <c r="CA360" s="264"/>
    </row>
    <row r="361" spans="1:79" s="131" customFormat="1" x14ac:dyDescent="0.3">
      <c r="A361" s="107"/>
      <c r="B361" s="7"/>
      <c r="C361" s="7"/>
      <c r="D361" s="7"/>
      <c r="E361" s="47"/>
      <c r="J361"/>
      <c r="K361" s="7"/>
      <c r="L361" s="7"/>
      <c r="M361" s="7"/>
      <c r="N361" s="7"/>
      <c r="O361" s="7"/>
      <c r="P361" s="7"/>
      <c r="BU361" s="236"/>
      <c r="CA361" s="264"/>
    </row>
    <row r="362" spans="1:79" s="131" customFormat="1" x14ac:dyDescent="0.3">
      <c r="A362" s="107"/>
      <c r="B362" s="7"/>
      <c r="C362" s="7"/>
      <c r="D362" s="7"/>
      <c r="E362" s="47"/>
      <c r="J362"/>
      <c r="K362" s="7"/>
      <c r="L362" s="7"/>
      <c r="M362" s="7"/>
      <c r="N362" s="7"/>
      <c r="O362" s="7"/>
      <c r="P362" s="7"/>
      <c r="BU362" s="236"/>
      <c r="CA362" s="264"/>
    </row>
    <row r="363" spans="1:79" s="131" customFormat="1" x14ac:dyDescent="0.3">
      <c r="A363" s="107"/>
      <c r="B363" s="7"/>
      <c r="C363" s="7"/>
      <c r="D363" s="7"/>
      <c r="E363" s="47"/>
      <c r="J363"/>
      <c r="K363" s="7"/>
      <c r="L363" s="7"/>
      <c r="M363" s="7"/>
      <c r="N363" s="7"/>
      <c r="O363" s="7"/>
      <c r="P363" s="7"/>
      <c r="BU363" s="236"/>
      <c r="CA363" s="264"/>
    </row>
    <row r="364" spans="1:79" s="131" customFormat="1" x14ac:dyDescent="0.3">
      <c r="A364" s="107"/>
      <c r="B364" s="7"/>
      <c r="C364" s="7"/>
      <c r="D364" s="7"/>
      <c r="E364" s="47"/>
      <c r="J364"/>
      <c r="K364" s="7"/>
      <c r="L364" s="7"/>
      <c r="M364" s="7"/>
      <c r="N364" s="7"/>
      <c r="O364" s="7"/>
      <c r="P364" s="7"/>
      <c r="BU364" s="236"/>
      <c r="CA364" s="264"/>
    </row>
    <row r="365" spans="1:79" s="131" customFormat="1" x14ac:dyDescent="0.3">
      <c r="A365" s="107"/>
      <c r="B365" s="7"/>
      <c r="C365" s="7"/>
      <c r="D365" s="7"/>
      <c r="E365" s="47"/>
      <c r="J365"/>
      <c r="K365" s="7"/>
      <c r="L365" s="7"/>
      <c r="M365" s="7"/>
      <c r="N365" s="7"/>
      <c r="O365" s="7"/>
      <c r="P365" s="7"/>
      <c r="BU365" s="236"/>
      <c r="CA365" s="264"/>
    </row>
    <row r="366" spans="1:79" s="131" customFormat="1" x14ac:dyDescent="0.3">
      <c r="A366" s="107"/>
      <c r="B366" s="7"/>
      <c r="C366" s="7"/>
      <c r="D366" s="7"/>
      <c r="E366" s="47"/>
      <c r="J366"/>
      <c r="K366" s="7"/>
      <c r="L366" s="7"/>
      <c r="M366" s="7"/>
      <c r="N366" s="7"/>
      <c r="O366" s="7"/>
      <c r="P366" s="7"/>
      <c r="BU366" s="236"/>
      <c r="CA366" s="264"/>
    </row>
    <row r="367" spans="1:79" s="131" customFormat="1" x14ac:dyDescent="0.3">
      <c r="A367" s="107"/>
      <c r="B367" s="7"/>
      <c r="C367" s="7"/>
      <c r="D367" s="7"/>
      <c r="E367" s="47"/>
      <c r="J367"/>
      <c r="K367" s="7"/>
      <c r="L367" s="7"/>
      <c r="M367" s="7"/>
      <c r="N367" s="7"/>
      <c r="O367" s="7"/>
      <c r="P367" s="7"/>
      <c r="BU367" s="236"/>
      <c r="CA367" s="264"/>
    </row>
    <row r="368" spans="1:79" s="131" customFormat="1" x14ac:dyDescent="0.3">
      <c r="A368" s="107"/>
      <c r="B368" s="7"/>
      <c r="C368" s="7"/>
      <c r="D368" s="7"/>
      <c r="E368" s="47"/>
      <c r="J368"/>
      <c r="K368" s="7"/>
      <c r="L368" s="7"/>
      <c r="M368" s="7"/>
      <c r="N368" s="7"/>
      <c r="O368" s="7"/>
      <c r="P368" s="7"/>
      <c r="BU368" s="236"/>
      <c r="CA368" s="264"/>
    </row>
    <row r="369" spans="1:79" s="131" customFormat="1" x14ac:dyDescent="0.3">
      <c r="A369" s="107"/>
      <c r="B369" s="7"/>
      <c r="C369" s="7"/>
      <c r="D369" s="7"/>
      <c r="E369" s="47"/>
      <c r="J369"/>
      <c r="K369" s="7"/>
      <c r="L369" s="7"/>
      <c r="M369" s="7"/>
      <c r="N369" s="7"/>
      <c r="O369" s="7"/>
      <c r="P369" s="7"/>
      <c r="BU369" s="236"/>
      <c r="CA369" s="264"/>
    </row>
    <row r="370" spans="1:79" s="131" customFormat="1" x14ac:dyDescent="0.3">
      <c r="A370" s="107"/>
      <c r="B370" s="7"/>
      <c r="C370" s="7"/>
      <c r="D370" s="7"/>
      <c r="E370" s="47"/>
      <c r="J370"/>
      <c r="K370" s="7"/>
      <c r="L370" s="7"/>
      <c r="M370" s="7"/>
      <c r="N370" s="7"/>
      <c r="O370" s="7"/>
      <c r="P370" s="7"/>
      <c r="BU370" s="236"/>
      <c r="CA370" s="264"/>
    </row>
    <row r="371" spans="1:79" s="131" customFormat="1" x14ac:dyDescent="0.3">
      <c r="A371" s="107"/>
      <c r="B371" s="7"/>
      <c r="C371" s="7"/>
      <c r="D371" s="7"/>
      <c r="E371" s="47"/>
      <c r="J371"/>
      <c r="K371" s="7"/>
      <c r="L371" s="7"/>
      <c r="M371" s="7"/>
      <c r="N371" s="7"/>
      <c r="O371" s="7"/>
      <c r="P371" s="7"/>
      <c r="BU371" s="236"/>
      <c r="CA371" s="264"/>
    </row>
    <row r="372" spans="1:79" s="131" customFormat="1" x14ac:dyDescent="0.3">
      <c r="A372" s="107"/>
      <c r="B372" s="7"/>
      <c r="C372" s="7"/>
      <c r="D372" s="7"/>
      <c r="E372" s="47"/>
      <c r="J372"/>
      <c r="K372" s="7"/>
      <c r="L372" s="7"/>
      <c r="M372" s="7"/>
      <c r="N372" s="7"/>
      <c r="O372" s="7"/>
      <c r="P372" s="7"/>
      <c r="BU372" s="236"/>
      <c r="CA372" s="264"/>
    </row>
    <row r="373" spans="1:79" s="131" customFormat="1" x14ac:dyDescent="0.3">
      <c r="A373" s="107"/>
      <c r="B373" s="7"/>
      <c r="C373" s="7"/>
      <c r="D373" s="7"/>
      <c r="E373" s="47"/>
      <c r="J373"/>
      <c r="K373" s="7"/>
      <c r="L373" s="7"/>
      <c r="M373" s="7"/>
      <c r="N373" s="7"/>
      <c r="O373" s="7"/>
      <c r="P373" s="7"/>
      <c r="BU373" s="236"/>
      <c r="CA373" s="264"/>
    </row>
    <row r="374" spans="1:79" s="131" customFormat="1" x14ac:dyDescent="0.3">
      <c r="A374" s="107"/>
      <c r="B374" s="7"/>
      <c r="C374" s="7"/>
      <c r="D374" s="7"/>
      <c r="E374" s="47"/>
      <c r="J374"/>
      <c r="K374" s="7"/>
      <c r="L374" s="7"/>
      <c r="M374" s="7"/>
      <c r="N374" s="7"/>
      <c r="O374" s="7"/>
      <c r="P374" s="7"/>
      <c r="BU374" s="236"/>
      <c r="CA374" s="264"/>
    </row>
    <row r="375" spans="1:79" s="131" customFormat="1" x14ac:dyDescent="0.3">
      <c r="A375" s="107"/>
      <c r="B375" s="7"/>
      <c r="C375" s="7"/>
      <c r="D375" s="7"/>
      <c r="E375" s="47"/>
      <c r="J375"/>
      <c r="K375" s="7"/>
      <c r="L375" s="7"/>
      <c r="M375" s="7"/>
      <c r="N375" s="7"/>
      <c r="O375" s="7"/>
      <c r="P375" s="7"/>
      <c r="BU375" s="236"/>
      <c r="CA375" s="264"/>
    </row>
    <row r="376" spans="1:79" s="131" customFormat="1" x14ac:dyDescent="0.3">
      <c r="A376" s="107"/>
      <c r="B376" s="7"/>
      <c r="C376" s="7"/>
      <c r="D376" s="7"/>
      <c r="E376" s="47"/>
      <c r="J376"/>
      <c r="K376" s="7"/>
      <c r="L376" s="7"/>
      <c r="M376" s="7"/>
      <c r="N376" s="7"/>
      <c r="O376" s="7"/>
      <c r="P376" s="7"/>
      <c r="BU376" s="236"/>
      <c r="CA376" s="264"/>
    </row>
    <row r="377" spans="1:79" s="131" customFormat="1" x14ac:dyDescent="0.3">
      <c r="A377" s="107"/>
      <c r="B377" s="7"/>
      <c r="C377" s="7"/>
      <c r="D377" s="7"/>
      <c r="E377" s="47"/>
      <c r="J377"/>
      <c r="K377" s="7"/>
      <c r="L377" s="7"/>
      <c r="M377" s="7"/>
      <c r="N377" s="7"/>
      <c r="O377" s="7"/>
      <c r="P377" s="7"/>
      <c r="BU377" s="236"/>
      <c r="CA377" s="264"/>
    </row>
    <row r="378" spans="1:79" s="131" customFormat="1" x14ac:dyDescent="0.3">
      <c r="A378" s="107"/>
      <c r="B378" s="7"/>
      <c r="C378" s="7"/>
      <c r="D378" s="7"/>
      <c r="E378" s="47"/>
      <c r="J378"/>
      <c r="K378" s="7"/>
      <c r="L378" s="7"/>
      <c r="M378" s="7"/>
      <c r="N378" s="7"/>
      <c r="O378" s="7"/>
      <c r="P378" s="7"/>
      <c r="BU378" s="236"/>
      <c r="CA378" s="264"/>
    </row>
    <row r="379" spans="1:79" s="131" customFormat="1" x14ac:dyDescent="0.3">
      <c r="A379" s="107"/>
      <c r="B379" s="7"/>
      <c r="C379" s="7"/>
      <c r="D379" s="7"/>
      <c r="E379" s="47"/>
      <c r="J379"/>
      <c r="K379" s="7"/>
      <c r="L379" s="7"/>
      <c r="M379" s="7"/>
      <c r="N379" s="7"/>
      <c r="O379" s="7"/>
      <c r="P379" s="7"/>
      <c r="BU379" s="236"/>
      <c r="CA379" s="264"/>
    </row>
  </sheetData>
  <mergeCells count="1">
    <mergeCell ref="A1:XFD1"/>
  </mergeCells>
  <conditionalFormatting sqref="C5:C22 C25:C9999">
    <cfRule type="expression" dxfId="25" priority="5">
      <formula>AND($C5&lt;&gt;"",$F5&lt;&gt;"",$C5&gt;$F5)</formula>
    </cfRule>
    <cfRule type="expression" dxfId="24" priority="6">
      <formula>AND($C5&lt;&gt;"",$F5&lt;&gt;"",$C5&lt;$F5)</formula>
    </cfRule>
  </conditionalFormatting>
  <conditionalFormatting sqref="C23:C24">
    <cfRule type="expression" dxfId="23" priority="7">
      <formula>AND($C23&lt;&gt;"",$X6&lt;&gt;"",$C23&gt;$X6)</formula>
    </cfRule>
    <cfRule type="expression" dxfId="22" priority="8">
      <formula>AND($C23&lt;&gt;"",$X6&lt;&gt;"",$C23&lt;$X6)</formula>
    </cfRule>
  </conditionalFormatting>
  <conditionalFormatting sqref="D5:D9999">
    <cfRule type="expression" dxfId="21" priority="3">
      <formula>AND($D5&lt;&gt;"",$G5&lt;&gt;"",$D5&gt;$G5)</formula>
    </cfRule>
    <cfRule type="expression" dxfId="20"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19"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6" customWidth="1"/>
    <col min="8" max="9" width="15.77734375" style="131" customWidth="1"/>
    <col min="11" max="16" width="15.77734375" style="7" customWidth="1"/>
    <col min="19" max="19" width="8.6640625" customWidth="1"/>
  </cols>
  <sheetData>
    <row r="1" spans="1:24" ht="15.6" x14ac:dyDescent="0.3">
      <c r="A1" s="360" t="s">
        <v>138</v>
      </c>
      <c r="B1" s="360"/>
      <c r="C1" s="360"/>
      <c r="D1" s="360"/>
      <c r="E1" s="360"/>
      <c r="F1" s="360"/>
      <c r="G1" s="360"/>
      <c r="H1" s="360"/>
      <c r="I1" s="360"/>
      <c r="J1" s="360"/>
      <c r="K1" s="360"/>
      <c r="L1" s="360"/>
      <c r="M1" s="360"/>
      <c r="N1" s="360"/>
      <c r="O1" s="360"/>
      <c r="P1" s="360"/>
    </row>
    <row r="2" spans="1:24" x14ac:dyDescent="0.3">
      <c r="A2" s="357" t="s">
        <v>168</v>
      </c>
      <c r="B2" s="357"/>
      <c r="C2" s="361" t="s">
        <v>18</v>
      </c>
      <c r="D2" s="361"/>
      <c r="E2" s="361"/>
      <c r="F2" s="361"/>
      <c r="G2" s="361"/>
      <c r="H2" s="361"/>
      <c r="I2" s="361"/>
      <c r="K2" s="362" t="s">
        <v>67</v>
      </c>
      <c r="L2" s="362"/>
      <c r="M2" s="362" t="s">
        <v>66</v>
      </c>
      <c r="N2" s="362"/>
      <c r="O2" s="362" t="s">
        <v>68</v>
      </c>
      <c r="P2" s="362"/>
      <c r="R2" s="283" t="s">
        <v>114</v>
      </c>
      <c r="S2" s="283"/>
      <c r="X2" s="51"/>
    </row>
    <row r="3" spans="1:24" ht="19.95" customHeight="1" thickBot="1" x14ac:dyDescent="0.35">
      <c r="A3" s="355" t="s">
        <v>31</v>
      </c>
      <c r="B3" s="358" t="s">
        <v>57</v>
      </c>
      <c r="C3" s="314" t="str">
        <f>_xlfn.CONCAT("Camera ", C2, " Error")</f>
        <v>Camera #5 (Vero v2.2) Error</v>
      </c>
      <c r="D3" s="314"/>
      <c r="E3" s="202" t="s">
        <v>279</v>
      </c>
      <c r="F3" s="364" t="s">
        <v>278</v>
      </c>
      <c r="G3" s="365"/>
      <c r="H3" s="363" t="s">
        <v>281</v>
      </c>
      <c r="I3" s="363"/>
      <c r="K3" s="31" t="s">
        <v>33</v>
      </c>
      <c r="L3" s="31" t="s">
        <v>34</v>
      </c>
      <c r="M3" s="31" t="s">
        <v>33</v>
      </c>
      <c r="N3" s="31" t="s">
        <v>34</v>
      </c>
      <c r="O3" s="31" t="s">
        <v>33</v>
      </c>
      <c r="P3" s="31" t="s">
        <v>34</v>
      </c>
      <c r="R3" s="345"/>
      <c r="S3" s="345"/>
      <c r="T3" s="346" t="s">
        <v>112</v>
      </c>
      <c r="U3" s="346"/>
      <c r="V3" s="346"/>
      <c r="W3" s="346"/>
      <c r="X3" s="346"/>
    </row>
    <row r="4" spans="1:24" ht="19.95" customHeight="1" thickBot="1" x14ac:dyDescent="0.35">
      <c r="A4" s="356"/>
      <c r="B4" s="359"/>
      <c r="C4" s="217" t="s">
        <v>173</v>
      </c>
      <c r="D4" s="217" t="s">
        <v>174</v>
      </c>
      <c r="E4" s="213" t="s">
        <v>280</v>
      </c>
      <c r="F4" s="217" t="s">
        <v>173</v>
      </c>
      <c r="G4" s="217" t="s">
        <v>174</v>
      </c>
      <c r="H4" s="217" t="s">
        <v>173</v>
      </c>
      <c r="I4" s="217" t="s">
        <v>174</v>
      </c>
      <c r="K4" s="133">
        <f>IFERROR(AVERAGEIFS(Log!$F:$F, Log!$D:$D,$C$2, Log!$A:$A, "Daily"), "")</f>
        <v>0.34902573913043478</v>
      </c>
      <c r="L4" s="133">
        <f>IFERROR(AVERAGEIFS(Log!$G:$G, Log!$D:$D, $C$2, Log!$A:$A, "Daily"), "")</f>
        <v>8.3140717391304339E-2</v>
      </c>
      <c r="M4" s="134">
        <f>AVERAGEIFS(Log!$F:$F, Log!$A:$A, "Daily")</f>
        <v>0.41469928087167107</v>
      </c>
      <c r="N4" s="134">
        <f>AVERAGEIFS(Log!$G:$G, Log!$A:$A, "Daily")</f>
        <v>9.9175409927360722E-2</v>
      </c>
      <c r="O4" s="135">
        <f>M4/K4</f>
        <v>1.1881624601808904</v>
      </c>
      <c r="P4" s="135">
        <f>N4/L4</f>
        <v>1.1928620901908822</v>
      </c>
      <c r="R4" s="366"/>
      <c r="S4" s="366"/>
      <c r="T4" s="367" t="s">
        <v>113</v>
      </c>
      <c r="U4" s="367"/>
      <c r="V4" s="367"/>
      <c r="W4" s="367"/>
      <c r="X4" s="367"/>
    </row>
    <row r="5" spans="1:24" x14ac:dyDescent="0.3">
      <c r="A5" s="8" cm="1">
        <f t="array" ref="A5:A25">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4">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4">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4">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4">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4">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4">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4">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4">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4">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4">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4">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4">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4">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4">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4">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4">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4">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4">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4">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4">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2"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4">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4">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4">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4">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4">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4">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4">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4">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4">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4">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4">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4">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4">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4">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4"/>
      <c r="G22" s="214"/>
      <c r="H22" s="131">
        <f>IF($C22="#N/A", NA(), _xlfn.XLOOKUP($A22, 'Daily WE'!$C:$C, 'Daily WE'!$N:$N))</f>
        <v>0.47570222222222225</v>
      </c>
      <c r="I22" s="131">
        <f>IF($D22="#N/A", NA(), _xlfn.XLOOKUP($A22, 'Daily WE'!$C:$C, 'Daily WE'!$Q:$Q))</f>
        <v>0.1148859611111111</v>
      </c>
    </row>
    <row r="23" spans="1:9" x14ac:dyDescent="0.3">
      <c r="A23" s="8">
        <v>46252</v>
      </c>
      <c r="B23" s="7">
        <f>_xlfn.XLOOKUP($A23, 'Daily WE'!C:C, 'Daily WE'!D:D)</f>
        <v>25</v>
      </c>
      <c r="C23" s="9">
        <f>IFERROR(AVERAGEIFS(Log!$F:$F, Log!$C:$C, $A23, Log!$B:$B, "n/a", Log!$A:$A, "Daily", Log!$D:$D, $C$2), "")</f>
        <v>0.367645</v>
      </c>
      <c r="D23" s="9">
        <f>IFERROR(AVERAGEIFS(Log!$G:$G, Log!$C:$C, $A23, Log!$B:$B, "n/a", Log!$A:$A, "Daily", Log!$D:$D, $C$2), "")</f>
        <v>8.7530300000000005E-2</v>
      </c>
      <c r="E23" s="136">
        <f>IFERROR(_xlfn.LET(_xlpm.camera_wand_count_by_day, AVERAGEIFS(Log!$E:$E, Log!$C:$C, $A23, Log!$B:$B, "n/a", Log!$A:$A, "Daily", Log!$D:$D, $C$2), _xlpm.auto_stop_that_day, _xlfn.XLOOKUP(A23, 'Daily WE'!$C20:$C10014, 'Daily WE'!$G20:$G10014), _xlpm.camera_wand_count_by_day/_xlpm.auto_stop_that_day), "")</f>
        <v>1.875</v>
      </c>
      <c r="F23" s="214"/>
      <c r="G23" s="214"/>
      <c r="H23" s="131">
        <f>IF($C23="#N/A", NA(), _xlfn.XLOOKUP($A23, 'Daily WE'!$C:$C, 'Daily WE'!$N:$N))</f>
        <v>0.44992333333333334</v>
      </c>
      <c r="I23" s="131">
        <f>IF($D23="#N/A", NA(), _xlfn.XLOOKUP($A23, 'Daily WE'!$C:$C, 'Daily WE'!$Q:$Q))</f>
        <v>0.10735644999999999</v>
      </c>
    </row>
    <row r="24" spans="1:9" x14ac:dyDescent="0.3">
      <c r="A24" s="8">
        <v>46253</v>
      </c>
      <c r="B24" s="7">
        <f>_xlfn.XLOOKUP($A24, 'Daily WE'!C:C, 'Daily WE'!D:D)</f>
        <v>24.5</v>
      </c>
      <c r="C24" s="9">
        <f>IFERROR(AVERAGEIFS(Log!$F:$F, Log!$C:$C, $A24, Log!$B:$B, "n/a", Log!$A:$A, "Daily", Log!$D:$D, $C$2), "")</f>
        <v>0.56932799999999995</v>
      </c>
      <c r="D24" s="9">
        <f>IFERROR(AVERAGEIFS(Log!$G:$G, Log!$C:$C, $A24, Log!$B:$B, "n/a", Log!$A:$A, "Daily", Log!$D:$D, $C$2), "")</f>
        <v>0.13553999999999999</v>
      </c>
      <c r="E24" s="136">
        <f>IFERROR(_xlfn.LET(_xlpm.camera_wand_count_by_day, AVERAGEIFS(Log!$E:$E, Log!$C:$C, $A24, Log!$B:$B, "n/a", Log!$A:$A, "Daily", Log!$D:$D, $C$2), _xlpm.auto_stop_that_day, _xlfn.XLOOKUP(A24, 'Daily WE'!$C21:$C10015, 'Daily WE'!$G21:$G10015), _xlpm.camera_wand_count_by_day/_xlpm.auto_stop_that_day), "")</f>
        <v>1.2809999999999999</v>
      </c>
      <c r="F24" s="214"/>
      <c r="G24" s="214"/>
      <c r="H24" s="131">
        <f>IF($C24="#N/A", NA(), _xlfn.XLOOKUP($A24, 'Daily WE'!$C:$C, 'Daily WE'!$N:$N))</f>
        <v>0.54501322222222215</v>
      </c>
      <c r="I24" s="131">
        <f>IF($D24="#N/A", NA(), _xlfn.XLOOKUP($A24, 'Daily WE'!$C:$C, 'Daily WE'!$Q:$Q))</f>
        <v>0.1279518555555556</v>
      </c>
    </row>
    <row r="25" spans="1:9" x14ac:dyDescent="0.3">
      <c r="A25" s="8">
        <v>46254</v>
      </c>
      <c r="B25" s="7">
        <f>_xlfn.XLOOKUP($A25, 'Daily WE'!C:C, 'Daily WE'!D:D)</f>
        <v>24.5</v>
      </c>
      <c r="C25" s="9">
        <f>IFERROR(AVERAGEIFS(Log!$F:$F, Log!$C:$C, $A25, Log!$B:$B, "n/a", Log!$A:$A, "Daily", Log!$D:$D, $C$2), "")</f>
        <v>0.36153600000000002</v>
      </c>
      <c r="D25" s="9">
        <f>IFERROR(AVERAGEIFS(Log!$G:$G, Log!$C:$C, $A25, Log!$B:$B, "n/a", Log!$A:$A, "Daily", Log!$D:$D, $C$2), "")</f>
        <v>8.6050100000000004E-2</v>
      </c>
      <c r="E25" s="136">
        <f>IFERROR(_xlfn.LET(_xlpm.camera_wand_count_by_day, AVERAGEIFS(Log!$E:$E, Log!$C:$C, $A25, Log!$B:$B, "n/a", Log!$A:$A, "Daily", Log!$D:$D, $C$2), _xlpm.auto_stop_that_day, _xlfn.XLOOKUP(A25, 'Daily WE'!$C22:$C10016, 'Daily WE'!$G22:$G10016), _xlpm.camera_wand_count_by_day/_xlpm.auto_stop_that_day), "")</f>
        <v>1.5049999999999999</v>
      </c>
      <c r="F25" s="214"/>
      <c r="G25" s="214"/>
      <c r="H25" s="131">
        <f>IF($C25="#N/A", NA(), _xlfn.XLOOKUP($A25, 'Daily WE'!$C:$C, 'Daily WE'!$N:$N))</f>
        <v>0.44261372222222223</v>
      </c>
      <c r="I25" s="131">
        <f>IF($D25="#N/A", NA(), _xlfn.XLOOKUP($A25, 'Daily WE'!$C:$C, 'Daily WE'!$Q:$Q))</f>
        <v>0.10628490555555553</v>
      </c>
    </row>
    <row r="26" spans="1:9" x14ac:dyDescent="0.3">
      <c r="A26" s="8"/>
      <c r="B26" s="7">
        <f>_xlfn.XLOOKUP($A26, 'Daily WE'!C:C, 'Daily WE'!D:D)</f>
        <v>0</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 WE'!$C23:$C10017, 'Daily WE'!$G23:$G10017), _xlpm.camera_wand_count_by_day/_xlpm.auto_stop_that_day), "")</f>
        <v/>
      </c>
      <c r="F26" s="214"/>
      <c r="G26" s="214"/>
      <c r="H26" s="131" t="str">
        <f>IF($C26="#N/A", NA(), _xlfn.XLOOKUP($A26, 'Daily WE'!$C:$C, 'Daily WE'!$N:$N))</f>
        <v/>
      </c>
      <c r="I26" s="131" t="str">
        <f>IF($D26="#N/A", NA(), _xlfn.XLOOKUP($A26, 'Daily WE'!$C:$C, 'Daily WE'!$Q:$Q))</f>
        <v/>
      </c>
    </row>
    <row r="27" spans="1:9" x14ac:dyDescent="0.3">
      <c r="A27" s="8"/>
      <c r="B27" s="7">
        <f>_xlfn.XLOOKUP($A27, 'Daily WE'!C:C, 'Daily WE'!D:D)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4"/>
      <c r="G27" s="214"/>
      <c r="H27" s="131" t="str">
        <f>IF($C27="#N/A", NA(), _xlfn.XLOOKUP($A27, 'Daily WE'!$C:$C, 'Daily WE'!$N:$N))</f>
        <v/>
      </c>
      <c r="I27" s="131" t="str">
        <f>IF($D27="#N/A", NA(), _xlfn.XLOOKUP($A27, 'Daily WE'!$C:$C, 'Daily WE'!$Q:$Q))</f>
        <v/>
      </c>
    </row>
    <row r="28" spans="1:9" x14ac:dyDescent="0.3">
      <c r="A28" s="8"/>
      <c r="B28" s="7">
        <f>_xlfn.XLOOKUP($A28, 'Daily WE'!C:C, 'Daily WE'!D:D)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4"/>
      <c r="G28" s="214"/>
      <c r="H28" s="131" t="str">
        <f>IF($C28="#N/A", NA(), _xlfn.XLOOKUP($A28, 'Daily WE'!$C:$C, 'Daily WE'!$N:$N))</f>
        <v/>
      </c>
      <c r="I28" s="131" t="str">
        <f>IF($D28="#N/A", NA(), _xlfn.XLOOKUP($A28, 'Daily WE'!$C:$C, 'Daily WE'!$Q:$Q))</f>
        <v/>
      </c>
    </row>
    <row r="29" spans="1:9" x14ac:dyDescent="0.3">
      <c r="A29" s="8"/>
      <c r="B29" s="7">
        <f>_xlfn.XLOOKUP($A29, 'Daily WE'!C:C, 'Daily WE'!D:D)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4"/>
      <c r="G29" s="214"/>
      <c r="H29" s="131" t="str">
        <f>IF($C29="#N/A", NA(), _xlfn.XLOOKUP($A29, 'Daily WE'!$C:$C, 'Daily WE'!$N:$N))</f>
        <v/>
      </c>
      <c r="I29" s="131" t="str">
        <f>IF($D29="#N/A", NA(), _xlfn.XLOOKUP($A29, 'Daily WE'!$C:$C, 'Daily WE'!$Q:$Q))</f>
        <v/>
      </c>
    </row>
    <row r="30" spans="1:9" x14ac:dyDescent="0.3">
      <c r="A30" s="8"/>
      <c r="B30" s="7">
        <f>_xlfn.XLOOKUP($A30, 'Daily WE'!C:C, 'Daily WE'!D:D)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4"/>
      <c r="G30" s="214"/>
      <c r="H30" s="131" t="str">
        <f>IF($C30="#N/A", NA(), _xlfn.XLOOKUP($A30, 'Daily WE'!$C:$C, 'Daily WE'!$N:$N))</f>
        <v/>
      </c>
      <c r="I30" s="131" t="str">
        <f>IF($D30="#N/A", NA(), _xlfn.XLOOKUP($A30, 'Daily WE'!$C:$C, 'Daily WE'!$Q:$Q))</f>
        <v/>
      </c>
    </row>
    <row r="31" spans="1:9" x14ac:dyDescent="0.3">
      <c r="A31" s="8"/>
      <c r="B31" s="7">
        <f>_xlfn.XLOOKUP($A31, 'Daily WE'!C:C, 'Daily WE'!D:D)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4"/>
      <c r="G31" s="214"/>
      <c r="H31" s="131" t="str">
        <f>IF($C31="#N/A", NA(), _xlfn.XLOOKUP($A31, 'Daily WE'!$C:$C, 'Daily WE'!$N:$N))</f>
        <v/>
      </c>
      <c r="I31" s="131" t="str">
        <f>IF($D31="#N/A", NA(), _xlfn.XLOOKUP($A31, 'Daily WE'!$C:$C, 'Daily WE'!$Q:$Q))</f>
        <v/>
      </c>
    </row>
    <row r="32" spans="1:9" x14ac:dyDescent="0.3">
      <c r="A32" s="8"/>
      <c r="B32" s="7">
        <f>_xlfn.XLOOKUP($A32, 'Daily WE'!C:C, 'Daily WE'!D:D)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4"/>
      <c r="G32" s="214"/>
      <c r="H32" s="131" t="str">
        <f>IF($C32="#N/A", NA(), _xlfn.XLOOKUP($A32, 'Daily WE'!$C:$C, 'Daily WE'!$N:$N))</f>
        <v/>
      </c>
      <c r="I32" s="131" t="str">
        <f>IF($D32="#N/A", NA(), _xlfn.XLOOKUP($A32, 'Daily WE'!$C:$C, 'Daily WE'!$Q:$Q))</f>
        <v/>
      </c>
    </row>
    <row r="33" spans="1:9" x14ac:dyDescent="0.3">
      <c r="A33" s="8"/>
      <c r="B33" s="7">
        <f>_xlfn.XLOOKUP($A33, 'Daily WE'!C:C, 'Daily WE'!D:D)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4"/>
      <c r="G33" s="214"/>
      <c r="H33" s="131" t="str">
        <f>IF($C33="#N/A", NA(), _xlfn.XLOOKUP($A33, 'Daily WE'!$C:$C, 'Daily WE'!$N:$N))</f>
        <v/>
      </c>
      <c r="I33" s="131" t="str">
        <f>IF($D33="#N/A", NA(), _xlfn.XLOOKUP($A33, 'Daily WE'!$C:$C, 'Daily WE'!$Q:$Q))</f>
        <v/>
      </c>
    </row>
    <row r="34" spans="1:9" x14ac:dyDescent="0.3">
      <c r="A34" s="8"/>
      <c r="B34" s="7">
        <f>_xlfn.XLOOKUP($A34, 'Daily WE'!C:C, 'Daily WE'!D:D)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4"/>
      <c r="G34" s="214"/>
      <c r="H34" s="131" t="str">
        <f>IF($C34="#N/A", NA(), _xlfn.XLOOKUP($A34, 'Daily WE'!$C:$C, 'Daily WE'!$N:$N))</f>
        <v/>
      </c>
      <c r="I34" s="131" t="str">
        <f>IF($D34="#N/A", NA(), _xlfn.XLOOKUP($A34, 'Daily WE'!$C:$C, 'Daily WE'!$Q:$Q))</f>
        <v/>
      </c>
    </row>
    <row r="35" spans="1:9" x14ac:dyDescent="0.3">
      <c r="A35" s="8"/>
      <c r="B35" s="7">
        <f>_xlfn.XLOOKUP($A35, 'Daily WE'!C:C, 'Daily WE'!D:D)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4"/>
      <c r="G35" s="214"/>
      <c r="H35" s="131" t="str">
        <f>IF($C35="#N/A", NA(), _xlfn.XLOOKUP($A35, 'Daily WE'!$C:$C, 'Daily WE'!$N:$N))</f>
        <v/>
      </c>
      <c r="I35" s="131" t="str">
        <f>IF($D35="#N/A", NA(), _xlfn.XLOOKUP($A35, 'Daily WE'!$C:$C, 'Daily WE'!$Q:$Q))</f>
        <v/>
      </c>
    </row>
    <row r="36" spans="1:9" x14ac:dyDescent="0.3">
      <c r="A36" s="8"/>
      <c r="B36" s="7">
        <f>_xlfn.XLOOKUP($A36, 'Daily WE'!C:C, 'Daily WE'!D:D)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4"/>
      <c r="G36" s="214"/>
      <c r="H36" s="131" t="str">
        <f>IF($C36="#N/A", NA(), _xlfn.XLOOKUP($A36, 'Daily WE'!$C:$C, 'Daily WE'!$N:$N))</f>
        <v/>
      </c>
      <c r="I36" s="131" t="str">
        <f>IF($D36="#N/A", NA(), _xlfn.XLOOKUP($A36, 'Daily WE'!$C:$C, 'Daily WE'!$Q:$Q))</f>
        <v/>
      </c>
    </row>
    <row r="37" spans="1:9" x14ac:dyDescent="0.3">
      <c r="A37" s="8"/>
      <c r="B37" s="7">
        <f>_xlfn.XLOOKUP($A37, 'Daily WE'!C:C, 'Daily WE'!D:D)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4"/>
      <c r="G37" s="214"/>
      <c r="H37" s="131" t="str">
        <f>IF($C37="#N/A", NA(), _xlfn.XLOOKUP($A37, 'Daily WE'!$C:$C, 'Daily WE'!$N:$N))</f>
        <v/>
      </c>
      <c r="I37" s="131" t="str">
        <f>IF($D37="#N/A", NA(), _xlfn.XLOOKUP($A37, 'Daily WE'!$C:$C, 'Daily WE'!$Q:$Q))</f>
        <v/>
      </c>
    </row>
    <row r="38" spans="1:9" x14ac:dyDescent="0.3">
      <c r="A38" s="8"/>
      <c r="B38" s="7">
        <f>_xlfn.XLOOKUP($A38, 'Daily WE'!C:C, 'Daily WE'!D:D)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4"/>
      <c r="G38" s="214"/>
      <c r="H38" s="131" t="str">
        <f>IF($C38="#N/A", NA(), _xlfn.XLOOKUP($A38, 'Daily WE'!$C:$C, 'Daily WE'!$N:$N))</f>
        <v/>
      </c>
      <c r="I38" s="131" t="str">
        <f>IF($D38="#N/A", NA(), _xlfn.XLOOKUP($A38, 'Daily WE'!$C:$C, 'Daily WE'!$Q:$Q))</f>
        <v/>
      </c>
    </row>
    <row r="39" spans="1:9" x14ac:dyDescent="0.3">
      <c r="A39" s="8"/>
      <c r="B39" s="7">
        <f>_xlfn.XLOOKUP($A39, 'Daily WE'!C:C, 'Daily WE'!D:D)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4"/>
      <c r="G39" s="214"/>
      <c r="H39" s="131" t="str">
        <f>IF($C39="#N/A", NA(), _xlfn.XLOOKUP($A39, 'Daily WE'!$C:$C, 'Daily WE'!$N:$N))</f>
        <v/>
      </c>
      <c r="I39" s="131" t="str">
        <f>IF($D39="#N/A", NA(), _xlfn.XLOOKUP($A39, 'Daily WE'!$C:$C, 'Daily WE'!$Q:$Q))</f>
        <v/>
      </c>
    </row>
    <row r="40" spans="1:9" x14ac:dyDescent="0.3">
      <c r="A40" s="8"/>
      <c r="B40" s="7">
        <f>_xlfn.XLOOKUP($A40, 'Daily WE'!C:C, 'Daily WE'!D:D)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4"/>
      <c r="G40" s="214"/>
      <c r="H40" s="131" t="str">
        <f>IF($C40="#N/A", NA(), _xlfn.XLOOKUP($A40, 'Daily WE'!$C:$C, 'Daily WE'!$N:$N))</f>
        <v/>
      </c>
      <c r="I40" s="131" t="str">
        <f>IF($D40="#N/A", NA(), _xlfn.XLOOKUP($A40, 'Daily WE'!$C:$C, 'Daily WE'!$Q:$Q))</f>
        <v/>
      </c>
    </row>
    <row r="41" spans="1:9" x14ac:dyDescent="0.3">
      <c r="A41" s="8"/>
      <c r="B41" s="7">
        <f>_xlfn.XLOOKUP($A41, 'Daily WE'!C:C, 'Daily WE'!D:D)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4"/>
      <c r="G41" s="214"/>
      <c r="H41" s="131" t="str">
        <f>IF($C41="#N/A", NA(), _xlfn.XLOOKUP($A41, 'Daily WE'!$C:$C, 'Daily WE'!$N:$N))</f>
        <v/>
      </c>
      <c r="I41" s="131" t="str">
        <f>IF($D41="#N/A", NA(), _xlfn.XLOOKUP($A41, 'Daily WE'!$C:$C, 'Daily WE'!$Q:$Q))</f>
        <v/>
      </c>
    </row>
    <row r="42" spans="1:9" x14ac:dyDescent="0.3">
      <c r="A42" s="8"/>
      <c r="B42" s="7">
        <f>_xlfn.XLOOKUP($A42, 'Daily WE'!C:C, 'Daily WE'!D:D)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4"/>
      <c r="G42" s="214"/>
      <c r="H42" s="131" t="str">
        <f>IF($C42="#N/A", NA(), _xlfn.XLOOKUP($A42, 'Daily WE'!$C:$C, 'Daily WE'!$N:$N))</f>
        <v/>
      </c>
      <c r="I42" s="131" t="str">
        <f>IF($D42="#N/A", NA(), _xlfn.XLOOKUP($A42, 'Daily WE'!$C:$C, 'Daily WE'!$Q:$Q))</f>
        <v/>
      </c>
    </row>
    <row r="43" spans="1:9" x14ac:dyDescent="0.3">
      <c r="A43" s="8"/>
      <c r="B43" s="7">
        <f>_xlfn.XLOOKUP($A43, 'Daily WE'!C:C, 'Daily WE'!D:D)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4"/>
      <c r="G43" s="214"/>
      <c r="H43" s="131" t="str">
        <f>IF($C43="#N/A", NA(), _xlfn.XLOOKUP($A43, 'Daily WE'!$C:$C, 'Daily WE'!$N:$N))</f>
        <v/>
      </c>
      <c r="I43" s="131" t="str">
        <f>IF($D43="#N/A", NA(), _xlfn.XLOOKUP($A43, 'Daily WE'!$C:$C, 'Daily WE'!$Q:$Q))</f>
        <v/>
      </c>
    </row>
    <row r="44" spans="1:9" x14ac:dyDescent="0.3">
      <c r="A44" s="8"/>
      <c r="B44" s="7">
        <f>_xlfn.XLOOKUP($A44, 'Daily WE'!C:C, 'Daily WE'!D:D)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4"/>
      <c r="G44" s="214"/>
      <c r="H44" s="131" t="str">
        <f>IF($C44="#N/A", NA(), _xlfn.XLOOKUP($A44, 'Daily WE'!$C:$C, 'Daily WE'!$N:$N))</f>
        <v/>
      </c>
      <c r="I44" s="131" t="str">
        <f>IF($D44="#N/A", NA(), _xlfn.XLOOKUP($A44, 'Daily WE'!$C:$C, 'Daily WE'!$Q:$Q))</f>
        <v/>
      </c>
    </row>
    <row r="45" spans="1:9" x14ac:dyDescent="0.3">
      <c r="A45" s="8"/>
      <c r="B45" s="7">
        <f>_xlfn.XLOOKUP($A45, 'Daily WE'!C:C, 'Daily WE'!D:D)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4"/>
      <c r="G45" s="214"/>
      <c r="H45" s="131" t="str">
        <f>IF($C45="#N/A", NA(), _xlfn.XLOOKUP($A45, 'Daily WE'!$C:$C, 'Daily WE'!$N:$N))</f>
        <v/>
      </c>
      <c r="I45" s="131" t="str">
        <f>IF($D45="#N/A", NA(), _xlfn.XLOOKUP($A45, 'Daily WE'!$C:$C, 'Daily WE'!$Q:$Q))</f>
        <v/>
      </c>
    </row>
    <row r="46" spans="1:9" x14ac:dyDescent="0.3">
      <c r="A46" s="8"/>
      <c r="B46" s="7">
        <f>_xlfn.XLOOKUP($A46, 'Daily WE'!C:C, 'Daily WE'!D:D)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4"/>
      <c r="G46" s="214"/>
      <c r="H46" s="131" t="str">
        <f>IF($C46="#N/A", NA(), _xlfn.XLOOKUP($A46, 'Daily WE'!$C:$C, 'Daily WE'!$N:$N))</f>
        <v/>
      </c>
      <c r="I46" s="131" t="str">
        <f>IF($D46="#N/A", NA(), _xlfn.XLOOKUP($A46, 'Daily WE'!$C:$C, 'Daily WE'!$Q:$Q))</f>
        <v/>
      </c>
    </row>
    <row r="47" spans="1:9" x14ac:dyDescent="0.3">
      <c r="A47" s="8"/>
      <c r="B47" s="7">
        <f>_xlfn.XLOOKUP($A47, 'Daily WE'!C:C, 'Daily WE'!D:D)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4"/>
      <c r="G47" s="214"/>
      <c r="H47" s="131" t="str">
        <f>IF($C47="#N/A", NA(), _xlfn.XLOOKUP($A47, 'Daily WE'!$C:$C, 'Daily WE'!$N:$N))</f>
        <v/>
      </c>
      <c r="I47" s="131" t="str">
        <f>IF($D47="#N/A", NA(), _xlfn.XLOOKUP($A47, 'Daily WE'!$C:$C, 'Daily WE'!$Q:$Q))</f>
        <v/>
      </c>
    </row>
    <row r="48" spans="1:9" x14ac:dyDescent="0.3">
      <c r="A48" s="8"/>
      <c r="B48" s="7">
        <f>_xlfn.XLOOKUP($A48, 'Daily WE'!C:C, 'Daily WE'!D:D)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4"/>
      <c r="G48" s="214"/>
      <c r="H48" s="131" t="str">
        <f>IF($C48="#N/A", NA(), _xlfn.XLOOKUP($A48, 'Daily WE'!$C:$C, 'Daily WE'!$N:$N))</f>
        <v/>
      </c>
      <c r="I48" s="131" t="str">
        <f>IF($D48="#N/A", NA(), _xlfn.XLOOKUP($A48, 'Daily WE'!$C:$C, 'Daily WE'!$Q:$Q))</f>
        <v/>
      </c>
    </row>
    <row r="49" spans="1:9" x14ac:dyDescent="0.3">
      <c r="A49" s="8"/>
      <c r="B49" s="7">
        <f>_xlfn.XLOOKUP($A49, 'Daily WE'!C:C, 'Daily WE'!D:D)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4"/>
      <c r="G49" s="214"/>
      <c r="H49" s="131" t="str">
        <f>IF($C49="#N/A", NA(), _xlfn.XLOOKUP($A49, 'Daily WE'!$C:$C, 'Daily WE'!$N:$N))</f>
        <v/>
      </c>
      <c r="I49" s="131" t="str">
        <f>IF($D49="#N/A", NA(), _xlfn.XLOOKUP($A49, 'Daily WE'!$C:$C, 'Daily WE'!$Q:$Q))</f>
        <v/>
      </c>
    </row>
    <row r="50" spans="1:9" x14ac:dyDescent="0.3">
      <c r="A50" s="8"/>
      <c r="B50" s="7">
        <f>_xlfn.XLOOKUP($A50, 'Daily WE'!C:C, 'Daily WE'!D:D)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4"/>
      <c r="G50" s="214"/>
      <c r="H50" s="131" t="str">
        <f>IF($C50="#N/A", NA(), _xlfn.XLOOKUP($A50, 'Daily WE'!$C:$C, 'Daily WE'!$N:$N))</f>
        <v/>
      </c>
      <c r="I50" s="131" t="str">
        <f>IF($D50="#N/A", NA(), _xlfn.XLOOKUP($A50, 'Daily WE'!$C:$C, 'Daily WE'!$Q:$Q))</f>
        <v/>
      </c>
    </row>
    <row r="51" spans="1:9" x14ac:dyDescent="0.3">
      <c r="A51" s="8"/>
      <c r="B51" s="7">
        <f>_xlfn.XLOOKUP($A51, 'Daily WE'!C:C, 'Daily WE'!D:D)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4"/>
      <c r="G51" s="214"/>
      <c r="H51" s="131" t="str">
        <f>IF($C51="#N/A", NA(), _xlfn.XLOOKUP($A51, 'Daily WE'!$C:$C, 'Daily WE'!$N:$N))</f>
        <v/>
      </c>
      <c r="I51" s="131" t="str">
        <f>IF($D51="#N/A", NA(), _xlfn.XLOOKUP($A51, 'Daily WE'!$C:$C, 'Daily WE'!$Q:$Q))</f>
        <v/>
      </c>
    </row>
    <row r="52" spans="1:9" x14ac:dyDescent="0.3">
      <c r="A52" s="8"/>
      <c r="B52" s="7">
        <f>_xlfn.XLOOKUP($A52, 'Daily WE'!C:C, 'Daily WE'!D:D)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4"/>
      <c r="G52" s="214"/>
      <c r="H52" s="131" t="str">
        <f>IF($C52="#N/A", NA(), _xlfn.XLOOKUP($A52, 'Daily WE'!$C:$C, 'Daily WE'!$N:$N))</f>
        <v/>
      </c>
      <c r="I52" s="131" t="str">
        <f>IF($D52="#N/A", NA(), _xlfn.XLOOKUP($A52, 'Daily WE'!$C:$C, 'Daily WE'!$Q:$Q))</f>
        <v/>
      </c>
    </row>
    <row r="53" spans="1:9" x14ac:dyDescent="0.3">
      <c r="A53" s="8"/>
      <c r="B53" s="7">
        <f>_xlfn.XLOOKUP($A53, 'Daily WE'!C:C, 'Daily WE'!D:D)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4"/>
      <c r="G53" s="214"/>
      <c r="H53" s="131" t="str">
        <f>IF($C53="#N/A", NA(), _xlfn.XLOOKUP($A53, 'Daily WE'!$C:$C, 'Daily WE'!$N:$N))</f>
        <v/>
      </c>
      <c r="I53" s="131" t="str">
        <f>IF($D53="#N/A", NA(), _xlfn.XLOOKUP($A53, 'Daily WE'!$C:$C, 'Daily WE'!$Q:$Q))</f>
        <v/>
      </c>
    </row>
    <row r="54" spans="1:9" x14ac:dyDescent="0.3">
      <c r="A54" s="8"/>
      <c r="B54" s="7">
        <f>_xlfn.XLOOKUP($A54, 'Daily WE'!C:C, 'Daily WE'!D:D)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4"/>
      <c r="G54" s="214"/>
      <c r="H54" s="131" t="str">
        <f>IF($C54="#N/A", NA(), _xlfn.XLOOKUP($A54, 'Daily WE'!$C:$C, 'Daily WE'!$N:$N))</f>
        <v/>
      </c>
      <c r="I54" s="131" t="str">
        <f>IF($D54="#N/A", NA(), _xlfn.XLOOKUP($A54, 'Daily WE'!$C:$C, 'Daily WE'!$Q:$Q))</f>
        <v/>
      </c>
    </row>
    <row r="55" spans="1:9" x14ac:dyDescent="0.3">
      <c r="A55" s="8"/>
      <c r="B55" s="7">
        <f>_xlfn.XLOOKUP($A55, 'Daily WE'!C:C, 'Daily WE'!D:D)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4"/>
      <c r="G55" s="214"/>
      <c r="H55" s="131" t="str">
        <f>IF($C55="#N/A", NA(), _xlfn.XLOOKUP($A55, 'Daily WE'!$C:$C, 'Daily WE'!$N:$N))</f>
        <v/>
      </c>
      <c r="I55" s="131" t="str">
        <f>IF($D55="#N/A", NA(), _xlfn.XLOOKUP($A55, 'Daily WE'!$C:$C, 'Daily WE'!$Q:$Q))</f>
        <v/>
      </c>
    </row>
    <row r="56" spans="1:9" x14ac:dyDescent="0.3">
      <c r="A56" s="8"/>
      <c r="B56" s="7">
        <f>_xlfn.XLOOKUP($A56, 'Daily WE'!C:C, 'Daily WE'!D:D)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4"/>
      <c r="G56" s="214"/>
      <c r="H56" s="131" t="str">
        <f>IF($C56="#N/A", NA(), _xlfn.XLOOKUP($A56, 'Daily WE'!$C:$C, 'Daily WE'!$N:$N))</f>
        <v/>
      </c>
      <c r="I56" s="131" t="str">
        <f>IF($D56="#N/A", NA(), _xlfn.XLOOKUP($A56, 'Daily WE'!$C:$C, 'Daily WE'!$Q:$Q))</f>
        <v/>
      </c>
    </row>
    <row r="57" spans="1:9" x14ac:dyDescent="0.3">
      <c r="A57" s="8"/>
      <c r="B57" s="7">
        <f>_xlfn.XLOOKUP($A57, 'Daily WE'!C:C, 'Daily WE'!D:D)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4"/>
      <c r="G57" s="214"/>
      <c r="H57" s="131" t="str">
        <f>IF($C57="#N/A", NA(), _xlfn.XLOOKUP($A57, 'Daily WE'!$C:$C, 'Daily WE'!$N:$N))</f>
        <v/>
      </c>
      <c r="I57" s="131" t="str">
        <f>IF($D57="#N/A", NA(), _xlfn.XLOOKUP($A57, 'Daily WE'!$C:$C, 'Daily WE'!$Q:$Q))</f>
        <v/>
      </c>
    </row>
    <row r="58" spans="1:9" x14ac:dyDescent="0.3">
      <c r="A58" s="8"/>
      <c r="B58" s="7">
        <f>_xlfn.XLOOKUP($A58, 'Daily WE'!C:C, 'Daily WE'!D:D)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4"/>
      <c r="G58" s="214"/>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4"/>
      <c r="G59" s="214"/>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4"/>
      <c r="G60" s="214"/>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4"/>
      <c r="G61" s="214"/>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4"/>
      <c r="G62" s="214"/>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4"/>
      <c r="G63" s="214"/>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4"/>
      <c r="G64" s="214"/>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4"/>
      <c r="G65" s="214"/>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4"/>
      <c r="G66" s="214"/>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4"/>
      <c r="G67" s="214"/>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4"/>
      <c r="G68" s="214"/>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4"/>
      <c r="G69" s="214"/>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4"/>
      <c r="G70" s="214"/>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4"/>
      <c r="G71" s="214"/>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4"/>
      <c r="G72" s="214"/>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4"/>
      <c r="G73" s="214"/>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4"/>
      <c r="G74" s="214"/>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4"/>
      <c r="G75" s="214"/>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4"/>
      <c r="G76" s="214"/>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4"/>
      <c r="G77" s="214"/>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4"/>
      <c r="G78" s="214"/>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4"/>
      <c r="G79" s="214"/>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4"/>
      <c r="G80" s="214"/>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4"/>
      <c r="G81" s="214"/>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4"/>
      <c r="G82" s="214"/>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4"/>
      <c r="G83" s="214"/>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4"/>
      <c r="G84" s="214"/>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4"/>
      <c r="G85" s="214"/>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4"/>
      <c r="G86" s="214"/>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4"/>
      <c r="G87" s="214"/>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4"/>
      <c r="G88" s="214"/>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4"/>
      <c r="G89" s="214"/>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4"/>
      <c r="G90" s="214"/>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4"/>
      <c r="G91" s="214"/>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4"/>
      <c r="G92" s="214"/>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4"/>
      <c r="G93" s="214"/>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4"/>
      <c r="G94" s="214"/>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4"/>
      <c r="G95" s="214"/>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4"/>
      <c r="G96" s="214"/>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4"/>
      <c r="G97" s="214"/>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4"/>
      <c r="G98" s="214"/>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4"/>
      <c r="G99" s="214"/>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4"/>
      <c r="G100" s="214"/>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4"/>
      <c r="G101" s="214"/>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4"/>
      <c r="G102" s="214"/>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4"/>
      <c r="G103" s="214"/>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4"/>
      <c r="G104" s="214"/>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4"/>
      <c r="G105" s="214"/>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4"/>
      <c r="G106" s="214"/>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4"/>
      <c r="G107" s="214"/>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4"/>
      <c r="G108" s="214"/>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4"/>
      <c r="G109" s="214"/>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4"/>
      <c r="G110" s="214"/>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4"/>
      <c r="G111" s="214"/>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4"/>
      <c r="G112" s="214"/>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4"/>
      <c r="G113" s="214"/>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4"/>
      <c r="G114" s="214"/>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4"/>
      <c r="G115" s="214"/>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4"/>
      <c r="G116" s="214"/>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4"/>
      <c r="G117" s="214"/>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4"/>
      <c r="G118" s="214"/>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4"/>
      <c r="G119" s="214"/>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4"/>
      <c r="G120" s="214"/>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4"/>
      <c r="G121" s="214"/>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4"/>
      <c r="G122" s="214"/>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4"/>
      <c r="G123" s="214"/>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4"/>
      <c r="G124" s="214"/>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4"/>
      <c r="G125" s="214"/>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4"/>
      <c r="G126" s="214"/>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4"/>
      <c r="G127" s="214"/>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4"/>
      <c r="G128" s="214"/>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4"/>
      <c r="G129" s="214"/>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4"/>
      <c r="G130" s="214"/>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4"/>
      <c r="G131" s="214"/>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4"/>
      <c r="G132" s="214"/>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4"/>
      <c r="G133" s="214"/>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4"/>
      <c r="G134" s="214"/>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4"/>
      <c r="G135" s="214"/>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4"/>
      <c r="G136" s="214"/>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4"/>
      <c r="G137" s="214"/>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4"/>
      <c r="G138" s="214"/>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4"/>
      <c r="G139" s="214"/>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4"/>
      <c r="G140" s="214"/>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4"/>
      <c r="G141" s="214"/>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5"/>
      <c r="G142" s="215"/>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5"/>
      <c r="G143" s="215"/>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5"/>
      <c r="G144" s="215"/>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5"/>
      <c r="G145" s="215"/>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5"/>
      <c r="G146" s="215"/>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5"/>
      <c r="G147" s="215"/>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5"/>
      <c r="G148" s="215"/>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5"/>
      <c r="G149" s="215"/>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5"/>
      <c r="G150" s="215"/>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5"/>
      <c r="G151" s="215"/>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5"/>
      <c r="G152" s="215"/>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5"/>
      <c r="G153" s="215"/>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5"/>
      <c r="G154" s="215"/>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5"/>
      <c r="G155" s="215"/>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5"/>
      <c r="G156" s="215"/>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5"/>
      <c r="G157" s="215"/>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5"/>
      <c r="G158" s="215"/>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5"/>
      <c r="G159" s="215"/>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5"/>
      <c r="G160" s="215"/>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5"/>
      <c r="G161" s="215"/>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5"/>
      <c r="G162" s="215"/>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5"/>
      <c r="G163" s="215"/>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5"/>
      <c r="G164" s="215"/>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5"/>
      <c r="G165" s="215"/>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5"/>
      <c r="G166" s="215"/>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5"/>
      <c r="G167" s="215"/>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5"/>
      <c r="G168" s="215"/>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5"/>
      <c r="G169" s="215"/>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5"/>
      <c r="G170" s="215"/>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5"/>
      <c r="G171" s="215"/>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5"/>
      <c r="G172" s="215"/>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5"/>
      <c r="G173" s="215"/>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5"/>
      <c r="G174" s="215"/>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5"/>
      <c r="G175" s="215"/>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5"/>
      <c r="G176" s="215"/>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5"/>
      <c r="G177" s="215"/>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5"/>
      <c r="G178" s="215"/>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5"/>
      <c r="G179" s="215"/>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5"/>
      <c r="G180" s="215"/>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5"/>
      <c r="G181" s="215"/>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5"/>
      <c r="G182" s="215"/>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5"/>
      <c r="G183" s="215"/>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5"/>
      <c r="G184" s="215"/>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5"/>
      <c r="G185" s="215"/>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5"/>
      <c r="G186" s="215"/>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5"/>
      <c r="G187" s="215"/>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5"/>
      <c r="G188" s="215"/>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5"/>
      <c r="G189" s="215"/>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5"/>
      <c r="G190" s="215"/>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5"/>
      <c r="G191" s="215"/>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5"/>
      <c r="G192" s="215"/>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5"/>
      <c r="G193" s="215"/>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5"/>
      <c r="G194" s="215"/>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5"/>
      <c r="G195" s="215"/>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5"/>
      <c r="G196" s="215"/>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5"/>
      <c r="G197" s="215"/>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5"/>
      <c r="G198" s="215"/>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5"/>
      <c r="G199" s="215"/>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5"/>
      <c r="G200" s="215"/>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5"/>
      <c r="G201" s="215"/>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5"/>
      <c r="G202" s="215"/>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5"/>
      <c r="G203" s="215"/>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5"/>
      <c r="G204" s="215"/>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5"/>
      <c r="G205" s="215"/>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5"/>
      <c r="G206" s="215"/>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5"/>
      <c r="G207" s="215"/>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5"/>
      <c r="G208" s="215"/>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5"/>
      <c r="G209" s="215"/>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5"/>
      <c r="G210" s="215"/>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5"/>
      <c r="G211" s="215"/>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5"/>
      <c r="G212" s="215"/>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5"/>
      <c r="G213" s="215"/>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5"/>
      <c r="G214" s="215"/>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5"/>
      <c r="G215" s="215"/>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5"/>
      <c r="G216" s="215"/>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5"/>
      <c r="G217" s="215"/>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5"/>
      <c r="G218" s="215"/>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5"/>
      <c r="G219" s="215"/>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5"/>
      <c r="G220" s="215"/>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5"/>
      <c r="G221" s="215"/>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5"/>
      <c r="G222" s="215"/>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5"/>
      <c r="G223" s="215"/>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5"/>
      <c r="G224" s="215"/>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5"/>
      <c r="G225" s="215"/>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5"/>
      <c r="G226" s="215"/>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5"/>
      <c r="G227" s="215"/>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5"/>
      <c r="G228" s="215"/>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5"/>
      <c r="G229" s="215"/>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5"/>
      <c r="G230" s="215"/>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5"/>
      <c r="G231" s="215"/>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5"/>
      <c r="G232" s="215"/>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5"/>
      <c r="G233" s="215"/>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5"/>
      <c r="G234" s="215"/>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5"/>
      <c r="G235" s="215"/>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5"/>
      <c r="G236" s="215"/>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5"/>
      <c r="G237" s="215"/>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5"/>
      <c r="G238" s="215"/>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5"/>
      <c r="G239" s="215"/>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5"/>
      <c r="G240" s="215"/>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5"/>
      <c r="G241" s="215"/>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5"/>
      <c r="G242" s="215"/>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5"/>
      <c r="G243" s="215"/>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5"/>
      <c r="G244" s="215"/>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5"/>
      <c r="G245" s="215"/>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5"/>
      <c r="G246" s="215"/>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5"/>
      <c r="G247" s="215"/>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5"/>
      <c r="G248" s="215"/>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5"/>
      <c r="G249" s="215"/>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5"/>
      <c r="G250" s="215"/>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5"/>
      <c r="G251" s="215"/>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5"/>
      <c r="G252" s="215"/>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5"/>
      <c r="G253" s="215"/>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5"/>
      <c r="G254" s="215"/>
      <c r="H254" s="131" t="str">
        <f>_xlfn.XLOOKUP($A254, 'Daily WE'!$C:$C, 'Daily WE'!$N:$N)</f>
        <v/>
      </c>
      <c r="I254" s="131" t="str">
        <f>_xlfn.XLOOKUP($A254, 'Daily WE'!$C:$C, 'Daily WE'!$Q:$Q)</f>
        <v/>
      </c>
    </row>
    <row r="255" spans="3:9" x14ac:dyDescent="0.3">
      <c r="E255" s="47" t="str">
        <f>IFERROR(AVERAGEIFS(Log!$E:$E, Log!$C:$C, $A255, Log!$B:$B, "n/a", Log!$A:$A, "Daily", Log!$D:$D, $C$2), "")</f>
        <v/>
      </c>
      <c r="F255" s="215"/>
      <c r="G255" s="215"/>
      <c r="H255" s="131" t="str">
        <f>'Daily WE'!N252</f>
        <v/>
      </c>
      <c r="I255" s="131" t="str">
        <f>'Daily WE'!Q252</f>
        <v/>
      </c>
    </row>
    <row r="256" spans="3:9" x14ac:dyDescent="0.3">
      <c r="E256" s="47" t="str">
        <f>IFERROR(AVERAGEIFS(Log!$E:$E, Log!$C:$C, $A256, Log!$B:$B, "n/a", Log!$A:$A, "Daily", Log!$D:$D, $C$2), "")</f>
        <v/>
      </c>
      <c r="F256" s="215"/>
      <c r="G256" s="215"/>
      <c r="H256" s="131" t="str">
        <f>'Daily WE'!N253</f>
        <v/>
      </c>
      <c r="I256" s="131" t="str">
        <f>'Daily WE'!Q253</f>
        <v/>
      </c>
    </row>
    <row r="257" spans="5:9" x14ac:dyDescent="0.3">
      <c r="E257" s="47" t="str">
        <f>IFERROR(AVERAGEIFS(Log!$E:$E, Log!$C:$C, $A257, Log!$B:$B, "n/a", Log!$A:$A, "Daily", Log!$D:$D, $C$2), "")</f>
        <v/>
      </c>
      <c r="F257" s="215"/>
      <c r="G257" s="215"/>
      <c r="H257" s="131" t="str">
        <f>'Daily WE'!N254</f>
        <v/>
      </c>
      <c r="I257" s="131" t="str">
        <f>'Daily WE'!Q254</f>
        <v/>
      </c>
    </row>
    <row r="258" spans="5:9" x14ac:dyDescent="0.3">
      <c r="E258" s="47" t="str">
        <f>IFERROR(AVERAGEIFS(Log!$E:$E, Log!$C:$C, $A258, Log!$B:$B, "n/a", Log!$A:$A, "Daily", Log!$D:$D, $C$2), "")</f>
        <v/>
      </c>
      <c r="F258" s="215"/>
      <c r="G258" s="215"/>
      <c r="H258" s="131" t="str">
        <f>'Daily WE'!N255</f>
        <v/>
      </c>
      <c r="I258" s="131" t="str">
        <f>'Daily WE'!Q255</f>
        <v/>
      </c>
    </row>
    <row r="259" spans="5:9" x14ac:dyDescent="0.3">
      <c r="E259" s="47" t="str">
        <f>IFERROR(AVERAGEIFS(Log!$E:$E, Log!$C:$C, $A259, Log!$B:$B, "n/a", Log!$A:$A, "Daily", Log!$D:$D, $C$2), "")</f>
        <v/>
      </c>
      <c r="F259" s="215"/>
      <c r="G259" s="215"/>
      <c r="H259" s="131" t="str">
        <f>'Daily WE'!N256</f>
        <v/>
      </c>
      <c r="I259" s="131" t="str">
        <f>'Daily WE'!Q256</f>
        <v/>
      </c>
    </row>
    <row r="260" spans="5:9" x14ac:dyDescent="0.3">
      <c r="E260" s="47" t="str">
        <f>IFERROR(AVERAGEIFS(Log!$E:$E, Log!$C:$C, $A260, Log!$B:$B, "n/a", Log!$A:$A, "Daily", Log!$D:$D, $C$2), "")</f>
        <v/>
      </c>
      <c r="F260" s="215"/>
      <c r="G260" s="215"/>
      <c r="H260" s="131" t="str">
        <f>'Daily WE'!N257</f>
        <v/>
      </c>
      <c r="I260" s="131" t="str">
        <f>'Daily WE'!Q257</f>
        <v/>
      </c>
    </row>
    <row r="261" spans="5:9" x14ac:dyDescent="0.3">
      <c r="E261" s="47" t="str">
        <f>IFERROR(AVERAGEIFS(Log!$E:$E, Log!$C:$C, $A261, Log!$B:$B, "n/a", Log!$A:$A, "Daily", Log!$D:$D, $C$2), "")</f>
        <v/>
      </c>
      <c r="F261" s="215"/>
      <c r="G261" s="215"/>
      <c r="H261" s="131" t="str">
        <f>'Daily WE'!N258</f>
        <v/>
      </c>
      <c r="I261" s="131" t="str">
        <f>'Daily WE'!Q258</f>
        <v/>
      </c>
    </row>
    <row r="262" spans="5:9" x14ac:dyDescent="0.3">
      <c r="E262" s="47" t="str">
        <f>IFERROR(AVERAGEIFS(Log!$E:$E, Log!$C:$C, $A262, Log!$B:$B, "n/a", Log!$A:$A, "Daily", Log!$D:$D, $C$2), "")</f>
        <v/>
      </c>
      <c r="F262" s="215"/>
      <c r="G262" s="215"/>
      <c r="H262" s="131" t="str">
        <f>'Daily WE'!N259</f>
        <v/>
      </c>
      <c r="I262" s="131" t="str">
        <f>'Daily WE'!Q259</f>
        <v/>
      </c>
    </row>
    <row r="263" spans="5:9" x14ac:dyDescent="0.3">
      <c r="E263" s="47" t="str">
        <f>IFERROR(AVERAGEIFS(Log!$E:$E, Log!$C:$C, $A263, Log!$B:$B, "n/a", Log!$A:$A, "Daily", Log!$D:$D, $C$2), "")</f>
        <v/>
      </c>
      <c r="F263" s="215"/>
      <c r="G263" s="215"/>
      <c r="H263" s="131" t="str">
        <f>'Daily WE'!N260</f>
        <v/>
      </c>
      <c r="I263" s="131" t="str">
        <f>'Daily WE'!Q260</f>
        <v/>
      </c>
    </row>
    <row r="264" spans="5:9" x14ac:dyDescent="0.3">
      <c r="E264" s="47" t="str">
        <f>IFERROR(AVERAGEIFS(Log!$E:$E, Log!$C:$C, $A264, Log!$B:$B, "n/a", Log!$A:$A, "Daily", Log!$D:$D, $C$2), "")</f>
        <v/>
      </c>
      <c r="F264" s="215"/>
      <c r="G264" s="215"/>
      <c r="H264" s="131" t="str">
        <f>'Daily WE'!N261</f>
        <v/>
      </c>
      <c r="I264" s="131" t="str">
        <f>'Daily WE'!Q261</f>
        <v/>
      </c>
    </row>
    <row r="265" spans="5:9" x14ac:dyDescent="0.3">
      <c r="E265" s="47" t="str">
        <f>IFERROR(AVERAGEIFS(Log!$E:$E, Log!$C:$C, $A265, Log!$B:$B, "n/a", Log!$A:$A, "Daily", Log!$D:$D, $C$2), "")</f>
        <v/>
      </c>
      <c r="F265" s="215"/>
      <c r="G265" s="215"/>
      <c r="H265" s="131" t="str">
        <f>'Daily WE'!N262</f>
        <v/>
      </c>
      <c r="I265" s="131" t="str">
        <f>'Daily WE'!Q262</f>
        <v/>
      </c>
    </row>
    <row r="266" spans="5:9" x14ac:dyDescent="0.3">
      <c r="E266" s="47" t="str">
        <f>IFERROR(AVERAGEIFS(Log!$E:$E, Log!$C:$C, $A266, Log!$B:$B, "n/a", Log!$A:$A, "Daily", Log!$D:$D, $C$2), "")</f>
        <v/>
      </c>
      <c r="F266" s="215"/>
      <c r="G266" s="215"/>
      <c r="H266" s="131" t="str">
        <f>'Daily WE'!N263</f>
        <v/>
      </c>
      <c r="I266" s="131" t="str">
        <f>'Daily WE'!Q263</f>
        <v/>
      </c>
    </row>
    <row r="267" spans="5:9" x14ac:dyDescent="0.3">
      <c r="E267" s="47" t="str">
        <f>IFERROR(AVERAGEIFS(Log!$E:$E, Log!$C:$C, $A267, Log!$B:$B, "n/a", Log!$A:$A, "Daily", Log!$D:$D, $C$2), "")</f>
        <v/>
      </c>
      <c r="F267" s="215"/>
      <c r="G267" s="215"/>
      <c r="H267" s="131" t="str">
        <f>'Daily WE'!N264</f>
        <v/>
      </c>
      <c r="I267" s="131" t="str">
        <f>'Daily WE'!Q264</f>
        <v/>
      </c>
    </row>
    <row r="268" spans="5:9" x14ac:dyDescent="0.3">
      <c r="E268" s="47" t="str">
        <f>IFERROR(AVERAGEIFS(Log!$E:$E, Log!$C:$C, $A268, Log!$B:$B, "n/a", Log!$A:$A, "Daily", Log!$D:$D, $C$2), "")</f>
        <v/>
      </c>
      <c r="F268" s="215"/>
      <c r="G268" s="215"/>
      <c r="H268" s="131" t="str">
        <f>'Daily WE'!N265</f>
        <v/>
      </c>
      <c r="I268" s="131" t="str">
        <f>'Daily WE'!Q265</f>
        <v/>
      </c>
    </row>
    <row r="269" spans="5:9" x14ac:dyDescent="0.3">
      <c r="E269" s="47" t="str">
        <f>IFERROR(AVERAGEIFS(Log!$E:$E, Log!$C:$C, $A269, Log!$B:$B, "n/a", Log!$A:$A, "Daily", Log!$D:$D, $C$2), "")</f>
        <v/>
      </c>
      <c r="F269" s="215"/>
      <c r="G269" s="215"/>
      <c r="H269" s="131" t="str">
        <f>'Daily WE'!N266</f>
        <v/>
      </c>
      <c r="I269" s="131" t="str">
        <f>'Daily WE'!Q266</f>
        <v/>
      </c>
    </row>
    <row r="270" spans="5:9" x14ac:dyDescent="0.3">
      <c r="E270" s="47" t="str">
        <f>IFERROR(AVERAGEIFS(Log!$E:$E, Log!$C:$C, $A270, Log!$B:$B, "n/a", Log!$A:$A, "Daily", Log!$D:$D, $C$2), "")</f>
        <v/>
      </c>
      <c r="F270" s="215"/>
      <c r="G270" s="215"/>
      <c r="H270" s="131" t="str">
        <f>'Daily WE'!N267</f>
        <v/>
      </c>
      <c r="I270" s="131" t="str">
        <f>'Daily WE'!Q267</f>
        <v/>
      </c>
    </row>
    <row r="271" spans="5:9" x14ac:dyDescent="0.3">
      <c r="E271" s="47" t="str">
        <f>IFERROR(AVERAGEIFS(Log!$E:$E, Log!$C:$C, $A271, Log!$B:$B, "n/a", Log!$A:$A, "Daily", Log!$D:$D, $C$2), "")</f>
        <v/>
      </c>
      <c r="F271" s="215"/>
      <c r="G271" s="215"/>
      <c r="H271" s="131" t="str">
        <f>'Daily WE'!N268</f>
        <v/>
      </c>
      <c r="I271" s="131" t="str">
        <f>'Daily WE'!Q268</f>
        <v/>
      </c>
    </row>
    <row r="272" spans="5:9" x14ac:dyDescent="0.3">
      <c r="E272" s="47" t="str">
        <f>IFERROR(AVERAGEIFS(Log!$E:$E, Log!$C:$C, $A272, Log!$B:$B, "n/a", Log!$A:$A, "Daily", Log!$D:$D, $C$2), "")</f>
        <v/>
      </c>
      <c r="F272" s="215"/>
      <c r="G272" s="215"/>
      <c r="H272" s="131" t="str">
        <f>'Daily WE'!N269</f>
        <v/>
      </c>
      <c r="I272" s="131" t="str">
        <f>'Daily WE'!Q269</f>
        <v/>
      </c>
    </row>
    <row r="273" spans="5:9" x14ac:dyDescent="0.3">
      <c r="E273" s="47" t="str">
        <f>IFERROR(AVERAGEIFS(Log!$E:$E, Log!$C:$C, $A273, Log!$B:$B, "n/a", Log!$A:$A, "Daily", Log!$D:$D, $C$2), "")</f>
        <v/>
      </c>
      <c r="F273" s="215"/>
      <c r="G273" s="215"/>
      <c r="H273" s="131" t="str">
        <f>'Daily WE'!N270</f>
        <v/>
      </c>
      <c r="I273" s="131" t="str">
        <f>'Daily WE'!Q270</f>
        <v/>
      </c>
    </row>
    <row r="274" spans="5:9" x14ac:dyDescent="0.3">
      <c r="E274" s="47" t="str">
        <f>IFERROR(AVERAGEIFS(Log!$E:$E, Log!$C:$C, $A274, Log!$B:$B, "n/a", Log!$A:$A, "Daily", Log!$D:$D, $C$2), "")</f>
        <v/>
      </c>
      <c r="F274" s="215"/>
      <c r="G274" s="215"/>
      <c r="H274" s="131" t="str">
        <f>'Daily WE'!N271</f>
        <v/>
      </c>
      <c r="I274" s="131" t="str">
        <f>'Daily WE'!Q271</f>
        <v/>
      </c>
    </row>
    <row r="275" spans="5:9" x14ac:dyDescent="0.3">
      <c r="E275" s="47" t="str">
        <f>IFERROR(AVERAGEIFS(Log!$E:$E, Log!$C:$C, $A275, Log!$B:$B, "n/a", Log!$A:$A, "Daily", Log!$D:$D, $C$2), "")</f>
        <v/>
      </c>
      <c r="F275" s="215"/>
      <c r="G275" s="215"/>
      <c r="H275" s="131" t="str">
        <f>'Daily WE'!N272</f>
        <v/>
      </c>
      <c r="I275" s="131" t="str">
        <f>'Daily WE'!Q272</f>
        <v/>
      </c>
    </row>
    <row r="276" spans="5:9" x14ac:dyDescent="0.3">
      <c r="E276" s="47" t="str">
        <f>IFERROR(AVERAGEIFS(Log!$E:$E, Log!$C:$C, $A276, Log!$B:$B, "n/a", Log!$A:$A, "Daily", Log!$D:$D, $C$2), "")</f>
        <v/>
      </c>
      <c r="F276" s="215"/>
      <c r="G276" s="215"/>
      <c r="H276" s="131" t="str">
        <f>'Daily WE'!N273</f>
        <v/>
      </c>
      <c r="I276" s="131" t="str">
        <f>'Daily WE'!Q273</f>
        <v/>
      </c>
    </row>
    <row r="277" spans="5:9" x14ac:dyDescent="0.3">
      <c r="E277" s="47" t="str">
        <f>IFERROR(AVERAGEIFS(Log!$E:$E, Log!$C:$C, $A277, Log!$B:$B, "n/a", Log!$A:$A, "Daily", Log!$D:$D, $C$2), "")</f>
        <v/>
      </c>
      <c r="F277" s="215"/>
      <c r="G277" s="215"/>
      <c r="H277" s="131" t="str">
        <f>'Daily WE'!N274</f>
        <v/>
      </c>
      <c r="I277" s="131" t="str">
        <f>'Daily WE'!Q274</f>
        <v/>
      </c>
    </row>
    <row r="278" spans="5:9" x14ac:dyDescent="0.3">
      <c r="E278" s="47" t="str">
        <f>IFERROR(AVERAGEIFS(Log!$E:$E, Log!$C:$C, $A278, Log!$B:$B, "n/a", Log!$A:$A, "Daily", Log!$D:$D, $C$2), "")</f>
        <v/>
      </c>
      <c r="F278" s="215"/>
      <c r="G278" s="215"/>
      <c r="H278" s="131" t="str">
        <f>'Daily WE'!N275</f>
        <v/>
      </c>
      <c r="I278" s="131" t="str">
        <f>'Daily WE'!Q275</f>
        <v/>
      </c>
    </row>
    <row r="279" spans="5:9" x14ac:dyDescent="0.3">
      <c r="E279" s="47" t="str">
        <f>IFERROR(AVERAGEIFS(Log!$E:$E, Log!$C:$C, $A279, Log!$B:$B, "n/a", Log!$A:$A, "Daily", Log!$D:$D, $C$2), "")</f>
        <v/>
      </c>
      <c r="F279" s="215"/>
      <c r="G279" s="215"/>
      <c r="H279" s="131" t="str">
        <f>'Daily WE'!N276</f>
        <v/>
      </c>
      <c r="I279" s="131" t="str">
        <f>'Daily WE'!Q276</f>
        <v/>
      </c>
    </row>
    <row r="280" spans="5:9" x14ac:dyDescent="0.3">
      <c r="E280" s="47" t="str">
        <f>IFERROR(AVERAGEIFS(Log!$E:$E, Log!$C:$C, $A280, Log!$B:$B, "n/a", Log!$A:$A, "Daily", Log!$D:$D, $C$2), "")</f>
        <v/>
      </c>
      <c r="F280" s="215"/>
      <c r="G280" s="215"/>
      <c r="H280" s="131" t="str">
        <f>'Daily WE'!N277</f>
        <v/>
      </c>
      <c r="I280" s="131" t="str">
        <f>'Daily WE'!Q277</f>
        <v/>
      </c>
    </row>
    <row r="281" spans="5:9" x14ac:dyDescent="0.3">
      <c r="E281" s="47" t="str">
        <f>IFERROR(AVERAGEIFS(Log!$E:$E, Log!$C:$C, $A281, Log!$B:$B, "n/a", Log!$A:$A, "Daily", Log!$D:$D, $C$2), "")</f>
        <v/>
      </c>
      <c r="F281" s="215"/>
      <c r="G281" s="215"/>
      <c r="H281" s="131" t="str">
        <f>'Daily WE'!N278</f>
        <v/>
      </c>
      <c r="I281" s="131" t="str">
        <f>'Daily WE'!Q278</f>
        <v/>
      </c>
    </row>
    <row r="282" spans="5:9" x14ac:dyDescent="0.3">
      <c r="E282" s="47" t="str">
        <f>IFERROR(AVERAGEIFS(Log!$E:$E, Log!$C:$C, $A282, Log!$B:$B, "n/a", Log!$A:$A, "Daily", Log!$D:$D, $C$2), "")</f>
        <v/>
      </c>
      <c r="F282" s="215"/>
      <c r="G282" s="215"/>
      <c r="H282" s="131" t="str">
        <f>'Daily WE'!N279</f>
        <v/>
      </c>
      <c r="I282" s="131" t="str">
        <f>'Daily WE'!Q279</f>
        <v/>
      </c>
    </row>
    <row r="283" spans="5:9" x14ac:dyDescent="0.3">
      <c r="E283" s="47" t="str">
        <f>IFERROR(AVERAGEIFS(Log!$E:$E, Log!$C:$C, $A283, Log!$B:$B, "n/a", Log!$A:$A, "Daily", Log!$D:$D, $C$2), "")</f>
        <v/>
      </c>
      <c r="F283" s="215"/>
      <c r="G283" s="215"/>
      <c r="H283" s="131" t="str">
        <f>'Daily WE'!N280</f>
        <v/>
      </c>
      <c r="I283" s="131" t="str">
        <f>'Daily WE'!Q280</f>
        <v/>
      </c>
    </row>
    <row r="284" spans="5:9" x14ac:dyDescent="0.3">
      <c r="E284" s="47" t="str">
        <f>IFERROR(AVERAGEIFS(Log!$E:$E, Log!$C:$C, $A284, Log!$B:$B, "n/a", Log!$A:$A, "Daily", Log!$D:$D, $C$2), "")</f>
        <v/>
      </c>
      <c r="F284" s="215"/>
      <c r="G284" s="215"/>
      <c r="H284" s="131" t="str">
        <f>'Daily WE'!N281</f>
        <v/>
      </c>
      <c r="I284" s="131" t="str">
        <f>'Daily WE'!Q281</f>
        <v/>
      </c>
    </row>
    <row r="285" spans="5:9" x14ac:dyDescent="0.3">
      <c r="E285" s="47" t="str">
        <f>IFERROR(AVERAGEIFS(Log!$E:$E, Log!$C:$C, $A285, Log!$B:$B, "n/a", Log!$A:$A, "Daily", Log!$D:$D, $C$2), "")</f>
        <v/>
      </c>
      <c r="F285" s="215"/>
      <c r="G285" s="215"/>
      <c r="H285" s="131" t="str">
        <f>'Daily WE'!N282</f>
        <v/>
      </c>
      <c r="I285" s="131" t="str">
        <f>'Daily WE'!Q282</f>
        <v/>
      </c>
    </row>
    <row r="286" spans="5:9" x14ac:dyDescent="0.3">
      <c r="E286" s="47" t="str">
        <f>IFERROR(AVERAGEIFS(Log!$E:$E, Log!$C:$C, $A286, Log!$B:$B, "n/a", Log!$A:$A, "Daily", Log!$D:$D, $C$2), "")</f>
        <v/>
      </c>
      <c r="F286" s="215"/>
      <c r="G286" s="215"/>
      <c r="H286" s="131" t="str">
        <f>'Daily WE'!N283</f>
        <v/>
      </c>
      <c r="I286" s="131" t="str">
        <f>'Daily WE'!Q283</f>
        <v/>
      </c>
    </row>
    <row r="287" spans="5:9" x14ac:dyDescent="0.3">
      <c r="E287" s="47" t="str">
        <f>IFERROR(AVERAGEIFS(Log!$E:$E, Log!$C:$C, $A287, Log!$B:$B, "n/a", Log!$A:$A, "Daily", Log!$D:$D, $C$2), "")</f>
        <v/>
      </c>
      <c r="F287" s="215"/>
      <c r="G287" s="215"/>
      <c r="H287" s="131" t="str">
        <f>'Daily WE'!N284</f>
        <v/>
      </c>
      <c r="I287" s="131" t="str">
        <f>'Daily WE'!Q284</f>
        <v/>
      </c>
    </row>
    <row r="288" spans="5:9" x14ac:dyDescent="0.3">
      <c r="E288" s="47" t="str">
        <f>IFERROR(AVERAGEIFS(Log!$E:$E, Log!$C:$C, $A288, Log!$B:$B, "n/a", Log!$A:$A, "Daily", Log!$D:$D, $C$2), "")</f>
        <v/>
      </c>
      <c r="F288" s="215"/>
      <c r="G288" s="215"/>
      <c r="H288" s="131" t="str">
        <f>'Daily WE'!N285</f>
        <v/>
      </c>
      <c r="I288" s="131" t="str">
        <f>'Daily WE'!Q285</f>
        <v/>
      </c>
    </row>
    <row r="289" spans="5:9" x14ac:dyDescent="0.3">
      <c r="E289" s="47" t="str">
        <f>IFERROR(AVERAGEIFS(Log!$E:$E, Log!$C:$C, $A289, Log!$B:$B, "n/a", Log!$A:$A, "Daily", Log!$D:$D, $C$2), "")</f>
        <v/>
      </c>
      <c r="F289" s="215"/>
      <c r="G289" s="215"/>
      <c r="H289" s="131" t="str">
        <f>'Daily WE'!N286</f>
        <v/>
      </c>
      <c r="I289" s="131" t="str">
        <f>'Daily WE'!Q286</f>
        <v/>
      </c>
    </row>
    <row r="290" spans="5:9" x14ac:dyDescent="0.3">
      <c r="E290" s="47" t="str">
        <f>IFERROR(AVERAGEIFS(Log!$E:$E, Log!$C:$C, $A290, Log!$B:$B, "n/a", Log!$A:$A, "Daily", Log!$D:$D, $C$2), "")</f>
        <v/>
      </c>
      <c r="F290" s="215"/>
      <c r="G290" s="215"/>
      <c r="H290" s="131" t="str">
        <f>'Daily WE'!N287</f>
        <v/>
      </c>
      <c r="I290" s="131" t="str">
        <f>'Daily WE'!Q287</f>
        <v/>
      </c>
    </row>
    <row r="291" spans="5:9" x14ac:dyDescent="0.3">
      <c r="E291" s="47" t="str">
        <f>IFERROR(AVERAGEIFS(Log!$E:$E, Log!$C:$C, $A291, Log!$B:$B, "n/a", Log!$A:$A, "Daily", Log!$D:$D, $C$2), "")</f>
        <v/>
      </c>
      <c r="F291" s="215"/>
      <c r="G291" s="215"/>
      <c r="H291" s="131" t="str">
        <f>'Daily WE'!N288</f>
        <v/>
      </c>
      <c r="I291" s="131" t="str">
        <f>'Daily WE'!Q288</f>
        <v/>
      </c>
    </row>
    <row r="292" spans="5:9" x14ac:dyDescent="0.3">
      <c r="E292" s="47" t="str">
        <f>IFERROR(AVERAGEIFS(Log!$E:$E, Log!$C:$C, $A292, Log!$B:$B, "n/a", Log!$A:$A, "Daily", Log!$D:$D, $C$2), "")</f>
        <v/>
      </c>
      <c r="F292" s="215"/>
      <c r="G292" s="215"/>
      <c r="H292" s="131" t="str">
        <f>'Daily WE'!N289</f>
        <v/>
      </c>
      <c r="I292" s="131" t="str">
        <f>'Daily WE'!Q289</f>
        <v/>
      </c>
    </row>
    <row r="293" spans="5:9" x14ac:dyDescent="0.3">
      <c r="E293" s="47" t="str">
        <f>IFERROR(AVERAGEIFS(Log!$E:$E, Log!$C:$C, $A293, Log!$B:$B, "n/a", Log!$A:$A, "Daily", Log!$D:$D, $C$2), "")</f>
        <v/>
      </c>
      <c r="F293" s="215"/>
      <c r="G293" s="215"/>
      <c r="H293" s="131" t="str">
        <f>'Daily WE'!N290</f>
        <v/>
      </c>
      <c r="I293" s="131" t="str">
        <f>'Daily WE'!Q290</f>
        <v/>
      </c>
    </row>
    <row r="294" spans="5:9" x14ac:dyDescent="0.3">
      <c r="E294" s="47" t="str">
        <f>IFERROR(AVERAGEIFS(Log!$E:$E, Log!$C:$C, $A294, Log!$B:$B, "n/a", Log!$A:$A, "Daily", Log!$D:$D, $C$2), "")</f>
        <v/>
      </c>
      <c r="F294" s="215"/>
      <c r="G294" s="215"/>
      <c r="H294" s="131" t="str">
        <f>'Daily WE'!N291</f>
        <v/>
      </c>
      <c r="I294" s="131" t="str">
        <f>'Daily WE'!Q291</f>
        <v/>
      </c>
    </row>
    <row r="295" spans="5:9" x14ac:dyDescent="0.3">
      <c r="E295" s="47" t="str">
        <f>IFERROR(AVERAGEIFS(Log!$E:$E, Log!$C:$C, $A295, Log!$B:$B, "n/a", Log!$A:$A, "Daily", Log!$D:$D, $C$2), "")</f>
        <v/>
      </c>
      <c r="F295" s="215"/>
      <c r="G295" s="215"/>
    </row>
    <row r="296" spans="5:9" x14ac:dyDescent="0.3">
      <c r="E296" s="47" t="str">
        <f>IFERROR(AVERAGEIFS(Log!$E:$E, Log!$C:$C, $A296, Log!$B:$B, "n/a", Log!$A:$A, "Daily", Log!$D:$D, $C$2), "")</f>
        <v/>
      </c>
      <c r="F296" s="215"/>
      <c r="G296" s="215"/>
    </row>
    <row r="297" spans="5:9" x14ac:dyDescent="0.3">
      <c r="E297" s="47" t="str">
        <f>IFERROR(AVERAGEIFS(Log!$E:$E, Log!$C:$C, $A297, Log!$B:$B, "n/a", Log!$A:$A, "Daily", Log!$D:$D, $C$2), "")</f>
        <v/>
      </c>
      <c r="F297" s="215"/>
      <c r="G297" s="215"/>
    </row>
    <row r="298" spans="5:9" x14ac:dyDescent="0.3">
      <c r="E298" s="47" t="str">
        <f>IFERROR(AVERAGEIFS(Log!$E:$E, Log!$C:$C, $A298, Log!$B:$B, "n/a", Log!$A:$A, "Daily", Log!$D:$D, $C$2), "")</f>
        <v/>
      </c>
      <c r="F298" s="215"/>
      <c r="G298" s="215"/>
    </row>
    <row r="299" spans="5:9" x14ac:dyDescent="0.3">
      <c r="E299" s="47" t="str">
        <f>IFERROR(AVERAGEIFS(Log!$E:$E, Log!$C:$C, $A299, Log!$B:$B, "n/a", Log!$A:$A, "Daily", Log!$D:$D, $C$2), "")</f>
        <v/>
      </c>
      <c r="F299" s="215"/>
      <c r="G299" s="215"/>
    </row>
    <row r="300" spans="5:9" x14ac:dyDescent="0.3">
      <c r="E300" s="47" t="str">
        <f>IFERROR(AVERAGEIFS(Log!$E:$E, Log!$C:$C, $A300, Log!$B:$B, "n/a", Log!$A:$A, "Daily", Log!$D:$D, $C$2), "")</f>
        <v/>
      </c>
      <c r="F300" s="215"/>
      <c r="G300" s="215"/>
    </row>
    <row r="301" spans="5:9" x14ac:dyDescent="0.3">
      <c r="E301" s="47" t="str">
        <f>IFERROR(AVERAGEIFS(Log!$E:$E, Log!$C:$C, $A301, Log!$B:$B, "n/a", Log!$A:$A, "Daily", Log!$D:$D, $C$2), "")</f>
        <v/>
      </c>
      <c r="F301" s="215"/>
      <c r="G301" s="215"/>
    </row>
    <row r="302" spans="5:9" x14ac:dyDescent="0.3">
      <c r="E302" s="47" t="str">
        <f>IFERROR(AVERAGEIFS(Log!$E:$E, Log!$C:$C, $A302, Log!$B:$B, "n/a", Log!$A:$A, "Daily", Log!$D:$D, $C$2), "")</f>
        <v/>
      </c>
      <c r="F302" s="215"/>
      <c r="G302" s="215"/>
    </row>
    <row r="303" spans="5:9" x14ac:dyDescent="0.3">
      <c r="E303" s="47" t="str">
        <f>IFERROR(AVERAGEIFS(Log!$E:$E, Log!$C:$C, $A303, Log!$B:$B, "n/a", Log!$A:$A, "Daily", Log!$D:$D, $C$2), "")</f>
        <v/>
      </c>
      <c r="F303" s="215"/>
      <c r="G303" s="215"/>
    </row>
    <row r="304" spans="5:9" x14ac:dyDescent="0.3">
      <c r="E304" s="47" t="str">
        <f>IFERROR(AVERAGEIFS(Log!$E:$E, Log!$C:$C, $A304, Log!$B:$B, "n/a", Log!$A:$A, "Daily", Log!$D:$D, $C$2), "")</f>
        <v/>
      </c>
      <c r="F304" s="215"/>
      <c r="G304" s="215"/>
    </row>
    <row r="305" spans="5:7" x14ac:dyDescent="0.3">
      <c r="E305" s="47" t="str">
        <f>IFERROR(AVERAGEIFS(Log!$E:$E, Log!$C:$C, $A305, Log!$B:$B, "n/a", Log!$A:$A, "Daily", Log!$D:$D, $C$2), "")</f>
        <v/>
      </c>
      <c r="F305" s="215"/>
      <c r="G305" s="215"/>
    </row>
    <row r="306" spans="5:7" x14ac:dyDescent="0.3">
      <c r="E306" s="47" t="str">
        <f>IFERROR(AVERAGEIFS(Log!$E:$E, Log!$C:$C, $A306, Log!$B:$B, "n/a", Log!$A:$A, "Daily", Log!$D:$D, $C$2), "")</f>
        <v/>
      </c>
      <c r="F306" s="215"/>
      <c r="G306" s="215"/>
    </row>
    <row r="307" spans="5:7" x14ac:dyDescent="0.3">
      <c r="E307" s="47" t="str">
        <f>IFERROR(AVERAGEIFS(Log!$E:$E, Log!$C:$C, $A307, Log!$B:$B, "n/a", Log!$A:$A, "Daily", Log!$D:$D, $C$2), "")</f>
        <v/>
      </c>
      <c r="F307" s="215"/>
      <c r="G307" s="215"/>
    </row>
    <row r="308" spans="5:7" x14ac:dyDescent="0.3">
      <c r="E308" s="47" t="str">
        <f>IFERROR(AVERAGEIFS(Log!$E:$E, Log!$C:$C, $A308, Log!$B:$B, "n/a", Log!$A:$A, "Daily", Log!$D:$D, $C$2), "")</f>
        <v/>
      </c>
      <c r="F308" s="215"/>
      <c r="G308" s="215"/>
    </row>
    <row r="309" spans="5:7" x14ac:dyDescent="0.3">
      <c r="E309" s="47" t="str">
        <f>IFERROR(AVERAGEIFS(Log!$E:$E, Log!$C:$C, $A309, Log!$B:$B, "n/a", Log!$A:$A, "Daily", Log!$D:$D, $C$2), "")</f>
        <v/>
      </c>
      <c r="F309" s="215"/>
      <c r="G309" s="215"/>
    </row>
    <row r="310" spans="5:7" x14ac:dyDescent="0.3">
      <c r="E310" s="47" t="str">
        <f>IFERROR(AVERAGEIFS(Log!$E:$E, Log!$C:$C, $A310, Log!$B:$B, "n/a", Log!$A:$A, "Daily", Log!$D:$D, $C$2), "")</f>
        <v/>
      </c>
      <c r="F310" s="215"/>
      <c r="G310" s="215"/>
    </row>
    <row r="311" spans="5:7" x14ac:dyDescent="0.3">
      <c r="E311" s="47" t="str">
        <f>IFERROR(AVERAGEIFS(Log!$E:$E, Log!$C:$C, $A311, Log!$B:$B, "n/a", Log!$A:$A, "Daily", Log!$D:$D, $C$2), "")</f>
        <v/>
      </c>
      <c r="F311" s="215"/>
      <c r="G311" s="215"/>
    </row>
    <row r="312" spans="5:7" x14ac:dyDescent="0.3">
      <c r="E312" s="47" t="str">
        <f>IFERROR(AVERAGEIFS(Log!$E:$E, Log!$C:$C, $A312, Log!$B:$B, "n/a", Log!$A:$A, "Daily", Log!$D:$D, $C$2), "")</f>
        <v/>
      </c>
      <c r="F312" s="215"/>
      <c r="G312" s="215"/>
    </row>
    <row r="313" spans="5:7" x14ac:dyDescent="0.3">
      <c r="E313" s="47" t="str">
        <f>IFERROR(AVERAGEIFS(Log!$E:$E, Log!$C:$C, $A313, Log!$B:$B, "n/a", Log!$A:$A, "Daily", Log!$D:$D, $C$2), "")</f>
        <v/>
      </c>
      <c r="F313" s="215"/>
      <c r="G313" s="215"/>
    </row>
    <row r="314" spans="5:7" x14ac:dyDescent="0.3">
      <c r="E314" s="47" t="str">
        <f>IFERROR(AVERAGEIFS(Log!$E:$E, Log!$C:$C, $A314, Log!$B:$B, "n/a", Log!$A:$A, "Daily", Log!$D:$D, $C$2), "")</f>
        <v/>
      </c>
      <c r="F314" s="215"/>
      <c r="G314" s="215"/>
    </row>
    <row r="315" spans="5:7" x14ac:dyDescent="0.3">
      <c r="E315" s="47" t="str">
        <f>IFERROR(AVERAGEIFS(Log!$E:$E, Log!$C:$C, $A315, Log!$B:$B, "n/a", Log!$A:$A, "Daily", Log!$D:$D, $C$2), "")</f>
        <v/>
      </c>
      <c r="F315" s="215"/>
      <c r="G315" s="215"/>
    </row>
    <row r="316" spans="5:7" x14ac:dyDescent="0.3">
      <c r="E316" s="47" t="str">
        <f>IFERROR(AVERAGEIFS(Log!$E:$E, Log!$C:$C, $A316, Log!$B:$B, "n/a", Log!$A:$A, "Daily", Log!$D:$D, $C$2), "")</f>
        <v/>
      </c>
      <c r="F316" s="215"/>
      <c r="G316" s="215"/>
    </row>
    <row r="317" spans="5:7" x14ac:dyDescent="0.3">
      <c r="E317" s="47" t="str">
        <f>IFERROR(AVERAGEIFS(Log!$E:$E, Log!$C:$C, $A317, Log!$B:$B, "n/a", Log!$A:$A, "Daily", Log!$D:$D, $C$2), "")</f>
        <v/>
      </c>
      <c r="F317" s="215"/>
      <c r="G317" s="215"/>
    </row>
    <row r="318" spans="5:7" x14ac:dyDescent="0.3">
      <c r="E318" s="47" t="str">
        <f>IFERROR(AVERAGEIFS(Log!$E:$E, Log!$C:$C, $A318, Log!$B:$B, "n/a", Log!$A:$A, "Daily", Log!$D:$D, $C$2), "")</f>
        <v/>
      </c>
      <c r="F318" s="215"/>
      <c r="G318" s="215"/>
    </row>
    <row r="319" spans="5:7" x14ac:dyDescent="0.3">
      <c r="E319" s="47" t="str">
        <f>IFERROR(AVERAGEIFS(Log!$E:$E, Log!$C:$C, $A319, Log!$B:$B, "n/a", Log!$A:$A, "Daily", Log!$D:$D, $C$2), "")</f>
        <v/>
      </c>
      <c r="F319" s="215"/>
      <c r="G319" s="215"/>
    </row>
    <row r="320" spans="5:7" x14ac:dyDescent="0.3">
      <c r="E320" s="47" t="str">
        <f>IFERROR(AVERAGEIFS(Log!$E:$E, Log!$C:$C, $A320, Log!$B:$B, "n/a", Log!$A:$A, "Daily", Log!$D:$D, $C$2), "")</f>
        <v/>
      </c>
      <c r="F320" s="215"/>
      <c r="G320" s="215"/>
    </row>
    <row r="321" spans="5:7" x14ac:dyDescent="0.3">
      <c r="E321" s="47" t="str">
        <f>IFERROR(AVERAGEIFS(Log!$E:$E, Log!$C:$C, $A321, Log!$B:$B, "n/a", Log!$A:$A, "Daily", Log!$D:$D, $C$2), "")</f>
        <v/>
      </c>
      <c r="F321" s="215"/>
      <c r="G321" s="215"/>
    </row>
    <row r="322" spans="5:7" x14ac:dyDescent="0.3">
      <c r="E322" s="47" t="str">
        <f>IFERROR(AVERAGEIFS(Log!$E:$E, Log!$C:$C, $A322, Log!$B:$B, "n/a", Log!$A:$A, "Daily", Log!$D:$D, $C$2), "")</f>
        <v/>
      </c>
      <c r="F322" s="215"/>
      <c r="G322" s="215"/>
    </row>
    <row r="323" spans="5:7" x14ac:dyDescent="0.3">
      <c r="E323" s="47" t="str">
        <f>IFERROR(AVERAGEIFS(Log!$E:$E, Log!$C:$C, $A323, Log!$B:$B, "n/a", Log!$A:$A, "Daily", Log!$D:$D, $C$2), "")</f>
        <v/>
      </c>
      <c r="F323" s="215"/>
      <c r="G323" s="215"/>
    </row>
    <row r="324" spans="5:7" x14ac:dyDescent="0.3">
      <c r="E324" s="47" t="str">
        <f>IFERROR(AVERAGEIFS(Log!$E:$E, Log!$C:$C, $A324, Log!$B:$B, "n/a", Log!$A:$A, "Daily", Log!$D:$D, $C$2), "")</f>
        <v/>
      </c>
      <c r="F324" s="215"/>
      <c r="G324" s="215"/>
    </row>
    <row r="325" spans="5:7" x14ac:dyDescent="0.3">
      <c r="E325" s="47" t="str">
        <f>IFERROR(AVERAGEIFS(Log!$E:$E, Log!$C:$C, $A325, Log!$B:$B, "n/a", Log!$A:$A, "Daily", Log!$D:$D, $C$2), "")</f>
        <v/>
      </c>
      <c r="F325" s="215"/>
      <c r="G325" s="215"/>
    </row>
    <row r="326" spans="5:7" x14ac:dyDescent="0.3">
      <c r="E326" s="47" t="str">
        <f>IFERROR(AVERAGEIFS(Log!$E:$E, Log!$C:$C, $A326, Log!$B:$B, "n/a", Log!$A:$A, "Daily", Log!$D:$D, $C$2), "")</f>
        <v/>
      </c>
      <c r="F326" s="215"/>
      <c r="G326" s="215"/>
    </row>
    <row r="327" spans="5:7" x14ac:dyDescent="0.3">
      <c r="E327" s="47" t="str">
        <f>IFERROR(AVERAGEIFS(Log!$E:$E, Log!$C:$C, $A327, Log!$B:$B, "n/a", Log!$A:$A, "Daily", Log!$D:$D, $C$2), "")</f>
        <v/>
      </c>
      <c r="F327" s="215"/>
      <c r="G327" s="215"/>
    </row>
    <row r="328" spans="5:7" x14ac:dyDescent="0.3">
      <c r="E328" s="47" t="str">
        <f>IFERROR(AVERAGEIFS(Log!$E:$E, Log!$C:$C, $A328, Log!$B:$B, "n/a", Log!$A:$A, "Daily", Log!$D:$D, $C$2), "")</f>
        <v/>
      </c>
      <c r="F328" s="215"/>
      <c r="G328" s="215"/>
    </row>
    <row r="329" spans="5:7" x14ac:dyDescent="0.3">
      <c r="E329" s="47" t="str">
        <f>IFERROR(AVERAGEIFS(Log!$E:$E, Log!$C:$C, $A329, Log!$B:$B, "n/a", Log!$A:$A, "Daily", Log!$D:$D, $C$2), "")</f>
        <v/>
      </c>
      <c r="F329" s="215"/>
      <c r="G329" s="215"/>
    </row>
    <row r="330" spans="5:7" x14ac:dyDescent="0.3">
      <c r="E330" s="47" t="str">
        <f>IFERROR(AVERAGEIFS(Log!$E:$E, Log!$C:$C, $A330, Log!$B:$B, "n/a", Log!$A:$A, "Daily", Log!$D:$D, $C$2), "")</f>
        <v/>
      </c>
      <c r="F330" s="215"/>
      <c r="G330" s="215"/>
    </row>
    <row r="331" spans="5:7" x14ac:dyDescent="0.3">
      <c r="E331" s="47" t="str">
        <f>IFERROR(AVERAGEIFS(Log!$E:$E, Log!$C:$C, $A331, Log!$B:$B, "n/a", Log!$A:$A, "Daily", Log!$D:$D, $C$2), "")</f>
        <v/>
      </c>
      <c r="F331" s="215"/>
      <c r="G331" s="215"/>
    </row>
    <row r="332" spans="5:7" x14ac:dyDescent="0.3">
      <c r="E332" s="47" t="str">
        <f>IFERROR(AVERAGEIFS(Log!$E:$E, Log!$C:$C, $A332, Log!$B:$B, "n/a", Log!$A:$A, "Daily", Log!$D:$D, $C$2), "")</f>
        <v/>
      </c>
      <c r="F332" s="215"/>
      <c r="G332" s="215"/>
    </row>
    <row r="333" spans="5:7" x14ac:dyDescent="0.3">
      <c r="E333" s="47" t="str">
        <f>IFERROR(AVERAGEIFS(Log!$E:$E, Log!$C:$C, $A333, Log!$B:$B, "n/a", Log!$A:$A, "Daily", Log!$D:$D, $C$2), "")</f>
        <v/>
      </c>
      <c r="F333" s="215"/>
      <c r="G333" s="215"/>
    </row>
    <row r="334" spans="5:7" x14ac:dyDescent="0.3">
      <c r="E334" s="47" t="str">
        <f>IFERROR(AVERAGEIFS(Log!$E:$E, Log!$C:$C, $A334, Log!$B:$B, "n/a", Log!$A:$A, "Daily", Log!$D:$D, $C$2), "")</f>
        <v/>
      </c>
      <c r="F334" s="215"/>
      <c r="G334" s="215"/>
    </row>
    <row r="335" spans="5:7" x14ac:dyDescent="0.3">
      <c r="E335" s="47" t="str">
        <f>IFERROR(AVERAGEIFS(Log!$E:$E, Log!$C:$C, $A335, Log!$B:$B, "n/a", Log!$A:$A, "Daily", Log!$D:$D, $C$2), "")</f>
        <v/>
      </c>
      <c r="F335" s="215"/>
      <c r="G335" s="215"/>
    </row>
    <row r="336" spans="5:7" x14ac:dyDescent="0.3">
      <c r="E336" s="47" t="str">
        <f>IFERROR(AVERAGEIFS(Log!$E:$E, Log!$C:$C, $A336, Log!$B:$B, "n/a", Log!$A:$A, "Daily", Log!$D:$D, $C$2), "")</f>
        <v/>
      </c>
      <c r="F336" s="215"/>
      <c r="G336" s="215"/>
    </row>
    <row r="337" spans="5:7" x14ac:dyDescent="0.3">
      <c r="E337" s="47" t="str">
        <f>IFERROR(AVERAGEIFS(Log!$E:$E, Log!$C:$C, $A337, Log!$B:$B, "n/a", Log!$A:$A, "Daily", Log!$D:$D, $C$2), "")</f>
        <v/>
      </c>
      <c r="F337" s="215"/>
      <c r="G337" s="215"/>
    </row>
    <row r="338" spans="5:7" x14ac:dyDescent="0.3">
      <c r="E338" s="47" t="str">
        <f>IFERROR(AVERAGEIFS(Log!$E:$E, Log!$C:$C, $A338, Log!$B:$B, "n/a", Log!$A:$A, "Daily", Log!$D:$D, $C$2), "")</f>
        <v/>
      </c>
      <c r="F338" s="215"/>
      <c r="G338" s="215"/>
    </row>
    <row r="339" spans="5:7" x14ac:dyDescent="0.3">
      <c r="E339" s="47" t="str">
        <f>IFERROR(AVERAGEIFS(Log!$E:$E, Log!$C:$C, $A339, Log!$B:$B, "n/a", Log!$A:$A, "Daily", Log!$D:$D, $C$2), "")</f>
        <v/>
      </c>
      <c r="F339" s="215"/>
      <c r="G339" s="215"/>
    </row>
    <row r="340" spans="5:7" x14ac:dyDescent="0.3">
      <c r="E340" s="47" t="str">
        <f>IFERROR(AVERAGEIFS(Log!$E:$E, Log!$C:$C, $A340, Log!$B:$B, "n/a", Log!$A:$A, "Daily", Log!$D:$D, $C$2), "")</f>
        <v/>
      </c>
      <c r="F340" s="215"/>
      <c r="G340" s="215"/>
    </row>
    <row r="341" spans="5:7" x14ac:dyDescent="0.3">
      <c r="E341" s="47" t="str">
        <f>IFERROR(AVERAGEIFS(Log!$E:$E, Log!$C:$C, $A341, Log!$B:$B, "n/a", Log!$A:$A, "Daily", Log!$D:$D, $C$2), "")</f>
        <v/>
      </c>
      <c r="F341" s="215"/>
      <c r="G341" s="215"/>
    </row>
    <row r="342" spans="5:7" x14ac:dyDescent="0.3">
      <c r="E342" s="47" t="str">
        <f>IFERROR(AVERAGEIFS(Log!$E:$E, Log!$C:$C, $A342, Log!$B:$B, "n/a", Log!$A:$A, "Daily", Log!$D:$D, $C$2), "")</f>
        <v/>
      </c>
      <c r="F342" s="215"/>
      <c r="G342" s="215"/>
    </row>
    <row r="343" spans="5:7" x14ac:dyDescent="0.3">
      <c r="E343" s="47" t="str">
        <f>IFERROR(AVERAGEIFS(Log!$E:$E, Log!$C:$C, $A343, Log!$B:$B, "n/a", Log!$A:$A, "Daily", Log!$D:$D, $C$2), "")</f>
        <v/>
      </c>
      <c r="F343" s="215"/>
      <c r="G343" s="215"/>
    </row>
    <row r="344" spans="5:7" x14ac:dyDescent="0.3">
      <c r="E344" s="47" t="str">
        <f>IFERROR(AVERAGEIFS(Log!$E:$E, Log!$C:$C, $A344, Log!$B:$B, "n/a", Log!$A:$A, "Daily", Log!$D:$D, $C$2), "")</f>
        <v/>
      </c>
      <c r="F344" s="215"/>
      <c r="G344" s="215"/>
    </row>
    <row r="345" spans="5:7" x14ac:dyDescent="0.3">
      <c r="E345" s="47" t="str">
        <f>IFERROR(AVERAGEIFS(Log!$E:$E, Log!$C:$C, $A345, Log!$B:$B, "n/a", Log!$A:$A, "Daily", Log!$D:$D, $C$2), "")</f>
        <v/>
      </c>
      <c r="F345" s="215"/>
      <c r="G345" s="215"/>
    </row>
    <row r="346" spans="5:7" x14ac:dyDescent="0.3">
      <c r="E346" s="47" t="str">
        <f>IFERROR(AVERAGEIFS(Log!$E:$E, Log!$C:$C, $A346, Log!$B:$B, "n/a", Log!$A:$A, "Daily", Log!$D:$D, $C$2), "")</f>
        <v/>
      </c>
      <c r="F346" s="215"/>
      <c r="G346" s="215"/>
    </row>
    <row r="347" spans="5:7" x14ac:dyDescent="0.3">
      <c r="E347" s="47" t="str">
        <f>IFERROR(AVERAGEIFS(Log!$E:$E, Log!$C:$C, $A347, Log!$B:$B, "n/a", Log!$A:$A, "Daily", Log!$D:$D, $C$2), "")</f>
        <v/>
      </c>
      <c r="F347" s="215"/>
      <c r="G347" s="215"/>
    </row>
    <row r="348" spans="5:7" x14ac:dyDescent="0.3">
      <c r="E348" s="47" t="str">
        <f>IFERROR(AVERAGEIFS(Log!$E:$E, Log!$C:$C, $A348, Log!$B:$B, "n/a", Log!$A:$A, "Daily", Log!$D:$D, $C$2), "")</f>
        <v/>
      </c>
      <c r="F348" s="215"/>
      <c r="G348" s="215"/>
    </row>
    <row r="349" spans="5:7" x14ac:dyDescent="0.3">
      <c r="E349" s="47" t="str">
        <f>IFERROR(AVERAGEIFS(Log!$E:$E, Log!$C:$C, $A349, Log!$B:$B, "n/a", Log!$A:$A, "Daily", Log!$D:$D, $C$2), "")</f>
        <v/>
      </c>
      <c r="F349" s="215"/>
      <c r="G349" s="215"/>
    </row>
    <row r="350" spans="5:7" x14ac:dyDescent="0.3">
      <c r="E350" s="47" t="str">
        <f>IFERROR(AVERAGEIFS(Log!$E:$E, Log!$C:$C, $A350, Log!$B:$B, "n/a", Log!$A:$A, "Daily", Log!$D:$D, $C$2), "")</f>
        <v/>
      </c>
      <c r="F350" s="215"/>
      <c r="G350" s="215"/>
    </row>
    <row r="351" spans="5:7" x14ac:dyDescent="0.3">
      <c r="E351" s="47" t="str">
        <f>IFERROR(AVERAGEIFS(Log!$E:$E, Log!$C:$C, $A351, Log!$B:$B, "n/a", Log!$A:$A, "Daily", Log!$D:$D, $C$2), "")</f>
        <v/>
      </c>
      <c r="F351" s="215"/>
      <c r="G351" s="215"/>
    </row>
    <row r="352" spans="5:7" x14ac:dyDescent="0.3">
      <c r="E352" s="47" t="str">
        <f>IFERROR(AVERAGEIFS(Log!$E:$E, Log!$C:$C, $A352, Log!$B:$B, "n/a", Log!$A:$A, "Daily", Log!$D:$D, $C$2), "")</f>
        <v/>
      </c>
      <c r="F352" s="215"/>
      <c r="G352" s="215"/>
    </row>
    <row r="353" spans="5:7" x14ac:dyDescent="0.3">
      <c r="E353" s="47" t="str">
        <f>IFERROR(AVERAGEIFS(Log!$E:$E, Log!$C:$C, $A353, Log!$B:$B, "n/a", Log!$A:$A, "Daily", Log!$D:$D, $C$2), "")</f>
        <v/>
      </c>
      <c r="F353" s="215"/>
      <c r="G353" s="215"/>
    </row>
    <row r="354" spans="5:7" x14ac:dyDescent="0.3">
      <c r="E354" s="47" t="str">
        <f>IFERROR(AVERAGEIFS(Log!$E:$E, Log!$C:$C, $A354, Log!$B:$B, "n/a", Log!$A:$A, "Daily", Log!$D:$D, $C$2), "")</f>
        <v/>
      </c>
      <c r="F354" s="215"/>
      <c r="G354" s="215"/>
    </row>
    <row r="355" spans="5:7" x14ac:dyDescent="0.3">
      <c r="E355" s="47" t="str">
        <f>IFERROR(AVERAGEIFS(Log!$E:$E, Log!$C:$C, $A355, Log!$B:$B, "n/a", Log!$A:$A, "Daily", Log!$D:$D, $C$2), "")</f>
        <v/>
      </c>
      <c r="F355" s="215"/>
      <c r="G355" s="215"/>
    </row>
    <row r="356" spans="5:7" x14ac:dyDescent="0.3">
      <c r="E356" s="47" t="str">
        <f>IFERROR(AVERAGEIFS(Log!$E:$E, Log!$C:$C, $A356, Log!$B:$B, "n/a", Log!$A:$A, "Daily", Log!$D:$D, $C$2), "")</f>
        <v/>
      </c>
      <c r="F356" s="215"/>
      <c r="G356" s="215"/>
    </row>
    <row r="357" spans="5:7" x14ac:dyDescent="0.3">
      <c r="E357" s="47" t="str">
        <f>IFERROR(AVERAGEIFS(Log!$E:$E, Log!$C:$C, $A357, Log!$B:$B, "n/a", Log!$A:$A, "Daily", Log!$D:$D, $C$2), "")</f>
        <v/>
      </c>
      <c r="F357" s="215"/>
      <c r="G357" s="215"/>
    </row>
    <row r="358" spans="5:7" x14ac:dyDescent="0.3">
      <c r="E358" s="47" t="str">
        <f>IFERROR(AVERAGEIFS(Log!$E:$E, Log!$C:$C, $A358, Log!$B:$B, "n/a", Log!$A:$A, "Daily", Log!$D:$D, $C$2), "")</f>
        <v/>
      </c>
      <c r="F358" s="215"/>
      <c r="G358" s="215"/>
    </row>
    <row r="359" spans="5:7" x14ac:dyDescent="0.3">
      <c r="E359" s="47" t="str">
        <f>IFERROR(AVERAGEIFS(Log!$E:$E, Log!$C:$C, $A359, Log!$B:$B, "n/a", Log!$A:$A, "Daily", Log!$D:$D, $C$2), "")</f>
        <v/>
      </c>
      <c r="F359" s="215"/>
      <c r="G359" s="215"/>
    </row>
    <row r="360" spans="5:7" x14ac:dyDescent="0.3">
      <c r="E360" s="47" t="str">
        <f>IFERROR(AVERAGEIFS(Log!$E:$E, Log!$C:$C, $A360, Log!$B:$B, "n/a", Log!$A:$A, "Daily", Log!$D:$D, $C$2), "")</f>
        <v/>
      </c>
      <c r="F360" s="215"/>
      <c r="G360" s="215"/>
    </row>
    <row r="361" spans="5:7" x14ac:dyDescent="0.3">
      <c r="E361" s="47" t="str">
        <f>IFERROR(AVERAGEIFS(Log!$E:$E, Log!$C:$C, $A361, Log!$B:$B, "n/a", Log!$A:$A, "Daily", Log!$D:$D, $C$2), "")</f>
        <v/>
      </c>
      <c r="F361" s="215"/>
      <c r="G361" s="215"/>
    </row>
    <row r="362" spans="5:7" x14ac:dyDescent="0.3">
      <c r="E362" s="47" t="str">
        <f>IFERROR(AVERAGEIFS(Log!$E:$E, Log!$C:$C, $A362, Log!$B:$B, "n/a", Log!$A:$A, "Daily", Log!$D:$D, $C$2), "")</f>
        <v/>
      </c>
      <c r="F362" s="215"/>
      <c r="G362" s="215"/>
    </row>
    <row r="363" spans="5:7" x14ac:dyDescent="0.3">
      <c r="E363" s="47" t="str">
        <f>IFERROR(AVERAGEIFS(Log!$E:$E, Log!$C:$C, $A363, Log!$B:$B, "n/a", Log!$A:$A, "Daily", Log!$D:$D, $C$2), "")</f>
        <v/>
      </c>
      <c r="F363" s="215"/>
      <c r="G363" s="215"/>
    </row>
    <row r="364" spans="5:7" x14ac:dyDescent="0.3">
      <c r="E364" s="47" t="str">
        <f>IFERROR(AVERAGEIFS(Log!$E:$E, Log!$C:$C, $A364, Log!$B:$B, "n/a", Log!$A:$A, "Daily", Log!$D:$D, $C$2), "")</f>
        <v/>
      </c>
      <c r="F364" s="215"/>
      <c r="G364" s="215"/>
    </row>
    <row r="365" spans="5:7" x14ac:dyDescent="0.3">
      <c r="E365" s="47" t="str">
        <f>IFERROR(AVERAGEIFS(Log!$E:$E, Log!$C:$C, $A365, Log!$B:$B, "n/a", Log!$A:$A, "Daily", Log!$D:$D, $C$2), "")</f>
        <v/>
      </c>
      <c r="F365" s="215"/>
      <c r="G365" s="215"/>
    </row>
    <row r="366" spans="5:7" x14ac:dyDescent="0.3">
      <c r="E366" s="47" t="str">
        <f>IFERROR(AVERAGEIFS(Log!$E:$E, Log!$C:$C, $A366, Log!$B:$B, "n/a", Log!$A:$A, "Daily", Log!$D:$D, $C$2), "")</f>
        <v/>
      </c>
      <c r="F366" s="215"/>
      <c r="G366" s="215"/>
    </row>
    <row r="367" spans="5:7" x14ac:dyDescent="0.3">
      <c r="E367" s="47" t="str">
        <f>IFERROR(AVERAGEIFS(Log!$E:$E, Log!$C:$C, $A367, Log!$B:$B, "n/a", Log!$A:$A, "Daily", Log!$D:$D, $C$2), "")</f>
        <v/>
      </c>
      <c r="F367" s="215"/>
      <c r="G367" s="215"/>
    </row>
    <row r="368" spans="5:7" x14ac:dyDescent="0.3">
      <c r="E368" s="47" t="str">
        <f>IFERROR(AVERAGEIFS(Log!$E:$E, Log!$C:$C, $A368, Log!$B:$B, "n/a", Log!$A:$A, "Daily", Log!$D:$D, $C$2), "")</f>
        <v/>
      </c>
      <c r="F368" s="215"/>
      <c r="G368" s="215"/>
    </row>
    <row r="369" spans="5:7" x14ac:dyDescent="0.3">
      <c r="E369" s="47" t="str">
        <f>IFERROR(AVERAGEIFS(Log!$E:$E, Log!$C:$C, $A369, Log!$B:$B, "n/a", Log!$A:$A, "Daily", Log!$D:$D, $C$2), "")</f>
        <v/>
      </c>
      <c r="F369" s="215"/>
      <c r="G369" s="215"/>
    </row>
    <row r="370" spans="5:7" x14ac:dyDescent="0.3">
      <c r="E370" s="47" t="str">
        <f>IFERROR(AVERAGEIFS(Log!$E:$E, Log!$C:$C, $A370, Log!$B:$B, "n/a", Log!$A:$A, "Daily", Log!$D:$D, $C$2), "")</f>
        <v/>
      </c>
      <c r="F370" s="215"/>
      <c r="G370" s="215"/>
    </row>
    <row r="371" spans="5:7" x14ac:dyDescent="0.3">
      <c r="E371" s="47" t="str">
        <f>IFERROR(AVERAGEIFS(Log!$E:$E, Log!$C:$C, $A371, Log!$B:$B, "n/a", Log!$A:$A, "Daily", Log!$D:$D, $C$2), "")</f>
        <v/>
      </c>
      <c r="F371" s="215"/>
      <c r="G371" s="215"/>
    </row>
    <row r="372" spans="5:7" x14ac:dyDescent="0.3">
      <c r="E372" s="47" t="str">
        <f>IFERROR(AVERAGEIFS(Log!$E:$E, Log!$C:$C, $A372, Log!$B:$B, "n/a", Log!$A:$A, "Daily", Log!$D:$D, $C$2), "")</f>
        <v/>
      </c>
      <c r="F372" s="215"/>
      <c r="G372" s="215"/>
    </row>
    <row r="373" spans="5:7" x14ac:dyDescent="0.3">
      <c r="E373" s="47" t="str">
        <f>IFERROR(AVERAGEIFS(Log!$E:$E, Log!$C:$C, $A373, Log!$B:$B, "n/a", Log!$A:$A, "Daily", Log!$D:$D, $C$2), "")</f>
        <v/>
      </c>
      <c r="F373" s="215"/>
      <c r="G373" s="215"/>
    </row>
    <row r="374" spans="5:7" x14ac:dyDescent="0.3">
      <c r="E374" s="47" t="str">
        <f>IFERROR(AVERAGEIFS(Log!$E:$E, Log!$C:$C, $A374, Log!$B:$B, "n/a", Log!$A:$A, "Daily", Log!$D:$D, $C$2), "")</f>
        <v/>
      </c>
      <c r="F374" s="215"/>
      <c r="G374" s="215"/>
    </row>
    <row r="375" spans="5:7" x14ac:dyDescent="0.3">
      <c r="E375" s="47" t="str">
        <f>IFERROR(AVERAGEIFS(Log!$E:$E, Log!$C:$C, $A375, Log!$B:$B, "n/a", Log!$A:$A, "Daily", Log!$D:$D, $C$2), "")</f>
        <v/>
      </c>
      <c r="F375" s="215"/>
      <c r="G375" s="215"/>
    </row>
    <row r="376" spans="5:7" x14ac:dyDescent="0.3">
      <c r="E376" s="47" t="str">
        <f>IFERROR(AVERAGEIFS(Log!$E:$E, Log!$C:$C, $A376, Log!$B:$B, "n/a", Log!$A:$A, "Daily", Log!$D:$D, $C$2), "")</f>
        <v/>
      </c>
      <c r="F376" s="215"/>
      <c r="G376" s="215"/>
    </row>
    <row r="377" spans="5:7" x14ac:dyDescent="0.3">
      <c r="E377" s="47" t="str">
        <f>IFERROR(AVERAGEIFS(Log!$E:$E, Log!$C:$C, $A377, Log!$B:$B, "n/a", Log!$A:$A, "Daily", Log!$D:$D, $C$2), "")</f>
        <v/>
      </c>
      <c r="F377" s="215"/>
      <c r="G377" s="215"/>
    </row>
    <row r="378" spans="5:7" x14ac:dyDescent="0.3">
      <c r="E378" s="47" t="str">
        <f>IFERROR(AVERAGEIFS(Log!$E:$E, Log!$C:$C, $A378, Log!$B:$B, "n/a", Log!$A:$A, "Daily", Log!$D:$D, $C$2), "")</f>
        <v/>
      </c>
      <c r="F378" s="215"/>
      <c r="G378" s="215"/>
    </row>
    <row r="379" spans="5:7" x14ac:dyDescent="0.3">
      <c r="E379" s="47" t="str">
        <f>IFERROR(AVERAGEIFS(Log!$E:$E, Log!$C:$C, $A379, Log!$B:$B, "n/a", Log!$A:$A, "Daily", Log!$D:$D, $C$2), "")</f>
        <v/>
      </c>
      <c r="F379" s="215"/>
      <c r="G379" s="215"/>
    </row>
  </sheetData>
  <mergeCells count="16">
    <mergeCell ref="R2:S2"/>
    <mergeCell ref="R3:S3"/>
    <mergeCell ref="T3:X3"/>
    <mergeCell ref="R4:S4"/>
    <mergeCell ref="T4:X4"/>
    <mergeCell ref="A3:A4"/>
    <mergeCell ref="A2:B2"/>
    <mergeCell ref="B3:B4"/>
    <mergeCell ref="A1:P1"/>
    <mergeCell ref="C2:I2"/>
    <mergeCell ref="K2:L2"/>
    <mergeCell ref="M2:N2"/>
    <mergeCell ref="O2:P2"/>
    <mergeCell ref="C3:D3"/>
    <mergeCell ref="H3:I3"/>
    <mergeCell ref="F3:G3"/>
  </mergeCells>
  <conditionalFormatting sqref="C5:C22 C25:C9999">
    <cfRule type="expression" dxfId="18" priority="9">
      <formula>AND($C5&lt;&gt;"",$H5&lt;&gt;"",$C5&gt;$H5)</formula>
    </cfRule>
    <cfRule type="expression" dxfId="17" priority="10">
      <formula>AND($C5&lt;&gt;"",$H5&lt;&gt;"",$C5&lt;$H5)</formula>
    </cfRule>
  </conditionalFormatting>
  <conditionalFormatting sqref="C23:C24">
    <cfRule type="expression" dxfId="16" priority="122">
      <formula>AND($C23&lt;&gt;"",$X6&lt;&gt;"",$C23&gt;$X6)</formula>
    </cfRule>
    <cfRule type="expression" dxfId="15" priority="123">
      <formula>AND($C23&lt;&gt;"",$X6&lt;&gt;"",$C23&lt;$X6)</formula>
    </cfRule>
  </conditionalFormatting>
  <conditionalFormatting sqref="D5:D9999">
    <cfRule type="expression" dxfId="14" priority="7">
      <formula>AND($D5&lt;&gt;"",$I5&lt;&gt;"",$D5&gt;$I5)</formula>
    </cfRule>
    <cfRule type="expression" dxfId="13"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12"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68" t="s">
        <v>13</v>
      </c>
      <c r="B1" s="370" t="s">
        <v>170</v>
      </c>
      <c r="C1" s="368"/>
      <c r="D1" s="371" t="s">
        <v>169</v>
      </c>
      <c r="E1" s="370" t="s">
        <v>171</v>
      </c>
      <c r="F1" s="370"/>
      <c r="G1" s="376" t="s">
        <v>53</v>
      </c>
      <c r="H1" s="376"/>
      <c r="I1" s="372" t="s">
        <v>172</v>
      </c>
      <c r="J1" s="373"/>
      <c r="K1" s="374" t="s">
        <v>177</v>
      </c>
      <c r="L1" s="374"/>
      <c r="N1" s="45" t="s">
        <v>175</v>
      </c>
      <c r="O1" s="45" t="s">
        <v>176</v>
      </c>
    </row>
    <row r="2" spans="1:22" s="132" customFormat="1" ht="27" thickBot="1" x14ac:dyDescent="0.35">
      <c r="A2" s="368"/>
      <c r="B2" s="152" t="s">
        <v>173</v>
      </c>
      <c r="C2" s="152" t="s">
        <v>174</v>
      </c>
      <c r="D2" s="371"/>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21</v>
      </c>
      <c r="E3" s="151" cm="1">
        <f t="array" ref="E3">SUMPRODUCT((Log!$D:$D=$A3)*(Log!$A:$A="Daily")*(Log!$B:$B="n/a")*(Log!$F:$F&lt;Log!$H:$H)*(Log!$F:$F&lt;&gt;""))</f>
        <v>12</v>
      </c>
      <c r="F3" s="151" cm="1">
        <f t="array" ref="F3">SUMPRODUCT((Log!$D:$D=$A3)*(Log!$A:$A="Daily")*(Log!$B:$B="n/a")*(Log!$G:$G&lt;Log!$I:$I)*(Log!$G:$G&lt;&gt;""))</f>
        <v>9</v>
      </c>
      <c r="G3" s="19">
        <f>COUNTIFS(ArchivedLog!$B:$B, $A3, ArchivedLog!$H:$H, "No")</f>
        <v>4</v>
      </c>
      <c r="H3" s="20">
        <f>COUNTIFS(ArchivedLog!$B:$B, $A3, ArchivedLog!$I:$I, "No")</f>
        <v>5</v>
      </c>
      <c r="I3" s="147">
        <f t="shared" ref="I3:I20" si="0">$E3/$D3</f>
        <v>0.5714285714285714</v>
      </c>
      <c r="J3" s="147">
        <f t="shared" ref="J3:J20" si="1">$F3/$D3</f>
        <v>0.42857142857142855</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1.1236827750466902</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0.95402530212964842</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21</v>
      </c>
      <c r="E4" s="150" cm="1">
        <f t="array" ref="E4">SUMPRODUCT((Log!$D:$D=$A4)*(Log!$A:$A="Daily")*(Log!$B:$B="n/a")*(Log!$F:$F&lt;Log!$H:$H)*(Log!$F:$F&lt;&gt;""))</f>
        <v>5</v>
      </c>
      <c r="F4" s="150" cm="1">
        <f t="array" ref="F4">SUMPRODUCT((Log!$D:$D=$A4)*(Log!$A:$A="Daily")*(Log!$B:$B="n/a")*(Log!$G:$G&lt;Log!$I:$I)*(Log!$G:$G&lt;&gt;""))</f>
        <v>2</v>
      </c>
      <c r="G4" s="19">
        <f>COUNTIFS(ArchivedLog!$B:$B, $A4, ArchivedLog!$H:$H, "No")</f>
        <v>9</v>
      </c>
      <c r="H4" s="20">
        <f>COUNTIFS(ArchivedLog!$B:$B, $A4, ArchivedLog!$I:$I, "No")</f>
        <v>10</v>
      </c>
      <c r="I4" s="149">
        <f t="shared" si="0"/>
        <v>0.23809523809523808</v>
      </c>
      <c r="J4" s="149">
        <f t="shared" si="1"/>
        <v>9.5238095238095233E-2</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0.95965292018464465</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0.86937889030864113</v>
      </c>
      <c r="N4" s="375" t="s">
        <v>54</v>
      </c>
      <c r="O4" s="375"/>
      <c r="P4" s="375"/>
      <c r="Q4" s="375"/>
      <c r="R4" s="375"/>
      <c r="S4" s="375"/>
      <c r="T4" s="375"/>
      <c r="U4" s="375"/>
      <c r="V4" s="375"/>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21</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9.5238095238095233E-2</v>
      </c>
      <c r="J5" s="149">
        <f t="shared" si="1"/>
        <v>9.5238095238095233E-2</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0.84907502640525823</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0.86521189418512034</v>
      </c>
      <c r="N5" s="375"/>
      <c r="O5" s="375"/>
      <c r="P5" s="375"/>
      <c r="Q5" s="375"/>
      <c r="R5" s="375"/>
      <c r="S5" s="375"/>
      <c r="T5" s="375"/>
      <c r="U5" s="375"/>
      <c r="V5" s="375"/>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21</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4.7619047619047616E-2</v>
      </c>
      <c r="J6" s="149">
        <f t="shared" si="1"/>
        <v>0.14285714285714285</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0.72782989929651409</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0.8781491299272286</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21</v>
      </c>
      <c r="E7" s="150" cm="1">
        <f t="array" ref="E7">SUMPRODUCT((Log!$D:$D=$A7)*(Log!$A:$A="Daily")*(Log!$B:$B="n/a")*(Log!$F:$F&lt;Log!$H:$H)*(Log!$F:$F&lt;&gt;""))</f>
        <v>19</v>
      </c>
      <c r="F7" s="150" cm="1">
        <f t="array" ref="F7">SUMPRODUCT((Log!$D:$D=$A7)*(Log!$A:$A="Daily")*(Log!$B:$B="n/a")*(Log!$G:$G&lt;Log!$I:$I)*(Log!$G:$G&lt;&gt;""))</f>
        <v>19</v>
      </c>
      <c r="G7" s="19">
        <f>COUNTIFS(ArchivedLog!$B:$B, $A7, ArchivedLog!$H:$H, "No")</f>
        <v>0</v>
      </c>
      <c r="H7" s="20">
        <f>COUNTIFS(ArchivedLog!$B:$B, $A7, ArchivedLog!$I:$I, "No")</f>
        <v>0</v>
      </c>
      <c r="I7" s="149">
        <f t="shared" si="0"/>
        <v>0.90476190476190477</v>
      </c>
      <c r="J7" s="149">
        <f t="shared" si="1"/>
        <v>0.90476190476190477</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1.1881624601808913</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1.192862090190884</v>
      </c>
      <c r="N7" s="369" t="s">
        <v>88</v>
      </c>
      <c r="O7" s="369"/>
      <c r="P7" s="369"/>
      <c r="Q7" s="369"/>
      <c r="R7" s="369"/>
      <c r="S7" s="369"/>
      <c r="T7" s="369"/>
      <c r="U7" s="369"/>
      <c r="V7" s="369"/>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21</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0.14285714285714285</v>
      </c>
      <c r="J8" s="149">
        <f t="shared" si="1"/>
        <v>0.42857142857142855</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0.76391858291767412</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0.86973523704075928</v>
      </c>
      <c r="N8" s="369"/>
      <c r="O8" s="369"/>
      <c r="P8" s="369"/>
      <c r="Q8" s="369"/>
      <c r="R8" s="369"/>
      <c r="S8" s="369"/>
      <c r="T8" s="369"/>
      <c r="U8" s="369"/>
      <c r="V8" s="369"/>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21</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9.5238095238095233E-2</v>
      </c>
      <c r="J9" s="149">
        <f t="shared" si="1"/>
        <v>0.2857142857142857</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0.76753330810708142</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0.87891477831445186</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20</v>
      </c>
      <c r="E10" s="150" cm="1">
        <f t="array" ref="E10">SUMPRODUCT((Log!$D:$D=$A10)*(Log!$A:$A="Daily")*(Log!$B:$B="n/a")*(Log!$F:$F&lt;Log!$H:$H)*(Log!$F:$F&lt;&gt;""))</f>
        <v>20</v>
      </c>
      <c r="F10" s="150" cm="1">
        <f t="array" ref="F10">SUMPRODUCT((Log!$D:$D=$A10)*(Log!$A:$A="Daily")*(Log!$B:$B="n/a")*(Log!$G:$G&lt;Log!$I:$I)*(Log!$G:$G&lt;&gt;""))</f>
        <v>18</v>
      </c>
      <c r="G10" s="19">
        <f>COUNTIFS(ArchivedLog!$B:$B, $A10, ArchivedLog!$H:$H, "No")</f>
        <v>0</v>
      </c>
      <c r="H10" s="20">
        <f>COUNTIFS(ArchivedLog!$B:$B, $A10, ArchivedLog!$I:$I, "No")</f>
        <v>0</v>
      </c>
      <c r="I10" s="149">
        <f t="shared" si="0"/>
        <v>1</v>
      </c>
      <c r="J10" s="149">
        <f t="shared" si="1"/>
        <v>0.9</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1.584937590898462</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1.2545254631375036</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21</v>
      </c>
      <c r="E11" s="150" cm="1">
        <f t="array" ref="E11">SUMPRODUCT((Log!$D:$D=$A11)*(Log!$A:$A="Daily")*(Log!$B:$B="n/a")*(Log!$F:$F&lt;Log!$H:$H)*(Log!$F:$F&lt;&gt;""))</f>
        <v>1</v>
      </c>
      <c r="F11" s="150" cm="1">
        <f t="array" ref="F11">SUMPRODUCT((Log!$D:$D=$A11)*(Log!$A:$A="Daily")*(Log!$B:$B="n/a")*(Log!$G:$G&lt;Log!$I:$I)*(Log!$G:$G&lt;&gt;""))</f>
        <v>14</v>
      </c>
      <c r="G11" s="19">
        <f>COUNTIFS(ArchivedLog!$B:$B, $A11, ArchivedLog!$H:$H, "No")</f>
        <v>10</v>
      </c>
      <c r="H11" s="20">
        <f>COUNTIFS(ArchivedLog!$B:$B, $A11, ArchivedLog!$I:$I, "No")</f>
        <v>3</v>
      </c>
      <c r="I11" s="149">
        <f t="shared" si="0"/>
        <v>4.7619047619047616E-2</v>
      </c>
      <c r="J11" s="149">
        <f t="shared" si="1"/>
        <v>0.66666666666666663</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0.80671336113431813</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0.98949937437310775</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21</v>
      </c>
      <c r="E12" s="150" cm="1">
        <f t="array" ref="E12">SUMPRODUCT((Log!$D:$D=$A12)*(Log!$A:$A="Daily")*(Log!$B:$B="n/a")*(Log!$F:$F&lt;Log!$H:$H)*(Log!$F:$F&lt;&gt;""))</f>
        <v>14</v>
      </c>
      <c r="F12" s="150" cm="1">
        <f t="array" ref="F12">SUMPRODUCT((Log!$D:$D=$A12)*(Log!$A:$A="Daily")*(Log!$B:$B="n/a")*(Log!$G:$G&lt;Log!$I:$I)*(Log!$G:$G&lt;&gt;""))</f>
        <v>11</v>
      </c>
      <c r="G12" s="19">
        <f>COUNTIFS(ArchivedLog!$B:$B, $A12, ArchivedLog!$H:$H, "No")</f>
        <v>6</v>
      </c>
      <c r="H12" s="20">
        <f>COUNTIFS(ArchivedLog!$B:$B, $A12, ArchivedLog!$I:$I, "No")</f>
        <v>7</v>
      </c>
      <c r="I12" s="149">
        <f t="shared" si="0"/>
        <v>0.66666666666666663</v>
      </c>
      <c r="J12" s="149">
        <f t="shared" si="1"/>
        <v>0.52380952380952384</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1.0433796738825409</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0.92127135318231845</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21</v>
      </c>
      <c r="E13" s="150" cm="1">
        <f t="array" ref="E13">SUMPRODUCT((Log!$D:$D=$A13)*(Log!$A:$A="Daily")*(Log!$B:$B="n/a")*(Log!$F:$F&lt;Log!$H:$H)*(Log!$F:$F&lt;&gt;""))</f>
        <v>14</v>
      </c>
      <c r="F13" s="150" cm="1">
        <f t="array" ref="F13">SUMPRODUCT((Log!$D:$D=$A13)*(Log!$A:$A="Daily")*(Log!$B:$B="n/a")*(Log!$G:$G&lt;Log!$I:$I)*(Log!$G:$G&lt;&gt;""))</f>
        <v>6</v>
      </c>
      <c r="G13" s="19">
        <f>COUNTIFS(ArchivedLog!$B:$B, $A13, ArchivedLog!$H:$H, "No")</f>
        <v>5</v>
      </c>
      <c r="H13" s="20">
        <f>COUNTIFS(ArchivedLog!$B:$B, $A13, ArchivedLog!$I:$I, "No")</f>
        <v>8</v>
      </c>
      <c r="I13" s="149">
        <f t="shared" si="0"/>
        <v>0.66666666666666663</v>
      </c>
      <c r="J13" s="149">
        <f t="shared" si="1"/>
        <v>0.2857142857142857</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1.1494706684536986</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0.83487410421366426</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21</v>
      </c>
      <c r="E14" s="150" cm="1">
        <f t="array" ref="E14">SUMPRODUCT((Log!$D:$D=$A14)*(Log!$A:$A="Daily")*(Log!$B:$B="n/a")*(Log!$F:$F&lt;Log!$H:$H)*(Log!$F:$F&lt;&gt;""))</f>
        <v>18</v>
      </c>
      <c r="F14" s="150" cm="1">
        <f t="array" ref="F14">SUMPRODUCT((Log!$D:$D=$A14)*(Log!$A:$A="Daily")*(Log!$B:$B="n/a")*(Log!$G:$G&lt;Log!$I:$I)*(Log!$G:$G&lt;&gt;""))</f>
        <v>15</v>
      </c>
      <c r="G14" s="19">
        <f>COUNTIFS(ArchivedLog!$B:$B, $A14, ArchivedLog!$H:$H, "No")</f>
        <v>2</v>
      </c>
      <c r="H14" s="20">
        <f>COUNTIFS(ArchivedLog!$B:$B, $A14, ArchivedLog!$I:$I, "No")</f>
        <v>4</v>
      </c>
      <c r="I14" s="149">
        <f t="shared" si="0"/>
        <v>0.8571428571428571</v>
      </c>
      <c r="J14" s="149">
        <f t="shared" si="1"/>
        <v>0.7142857142857143</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1.5013439980683929</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1.157450365780915</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21</v>
      </c>
      <c r="E15" s="150" cm="1">
        <f t="array" ref="E15">SUMPRODUCT((Log!$D:$D=$A15)*(Log!$A:$A="Daily")*(Log!$B:$B="n/a")*(Log!$F:$F&lt;Log!$H:$H)*(Log!$F:$F&lt;&gt;""))</f>
        <v>19</v>
      </c>
      <c r="F15" s="150" cm="1">
        <f t="array" ref="F15">SUMPRODUCT((Log!$D:$D=$A15)*(Log!$A:$A="Daily")*(Log!$B:$B="n/a")*(Log!$G:$G&lt;Log!$I:$I)*(Log!$G:$G&lt;&gt;""))</f>
        <v>19</v>
      </c>
      <c r="G15" s="19">
        <f>COUNTIFS(ArchivedLog!$B:$B, $A15, ArchivedLog!$H:$H, "No")</f>
        <v>0</v>
      </c>
      <c r="H15" s="20">
        <f>COUNTIFS(ArchivedLog!$B:$B, $A15, ArchivedLog!$I:$I, "No")</f>
        <v>0</v>
      </c>
      <c r="I15" s="149">
        <f t="shared" si="0"/>
        <v>0.90476190476190477</v>
      </c>
      <c r="J15" s="149">
        <f t="shared" si="1"/>
        <v>0.90476190476190477</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1.520489922506137</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1.5074895379950035</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21</v>
      </c>
      <c r="E16" s="150" cm="1">
        <f t="array" ref="E16">SUMPRODUCT((Log!$D:$D=$A16)*(Log!$A:$A="Daily")*(Log!$B:$B="n/a")*(Log!$F:$F&lt;Log!$H:$H)*(Log!$F:$F&lt;&gt;""))</f>
        <v>21</v>
      </c>
      <c r="F16" s="150" cm="1">
        <f t="array" ref="F16">SUMPRODUCT((Log!$D:$D=$A16)*(Log!$A:$A="Daily")*(Log!$B:$B="n/a")*(Log!$G:$G&lt;Log!$I:$I)*(Log!$G:$G&lt;&gt;""))</f>
        <v>19</v>
      </c>
      <c r="G16" s="19">
        <f>COUNTIFS(ArchivedLog!$B:$B, $A16, ArchivedLog!$H:$H, "No")</f>
        <v>0</v>
      </c>
      <c r="H16" s="20">
        <f>COUNTIFS(ArchivedLog!$B:$B, $A16, ArchivedLog!$I:$I, "No")</f>
        <v>0</v>
      </c>
      <c r="I16" s="149">
        <f t="shared" si="0"/>
        <v>1</v>
      </c>
      <c r="J16" s="149">
        <f t="shared" si="1"/>
        <v>0.90476190476190477</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1.7882834635189877</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1.3360298911994328</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21</v>
      </c>
      <c r="E17" s="150" cm="1">
        <f t="array" ref="E17">SUMPRODUCT((Log!$D:$D=$A17)*(Log!$A:$A="Daily")*(Log!$B:$B="n/a")*(Log!$F:$F&lt;Log!$H:$H)*(Log!$F:$F&lt;&gt;""))</f>
        <v>6</v>
      </c>
      <c r="F17" s="150" cm="1">
        <f t="array" ref="F17">SUMPRODUCT((Log!$D:$D=$A17)*(Log!$A:$A="Daily")*(Log!$B:$B="n/a")*(Log!$G:$G&lt;Log!$I:$I)*(Log!$G:$G&lt;&gt;""))</f>
        <v>9</v>
      </c>
      <c r="G17" s="19">
        <f>COUNTIFS(ArchivedLog!$B:$B, $A17, ArchivedLog!$H:$H, "No")</f>
        <v>8</v>
      </c>
      <c r="H17" s="20">
        <f>COUNTIFS(ArchivedLog!$B:$B, $A17, ArchivedLog!$I:$I, "No")</f>
        <v>5</v>
      </c>
      <c r="I17" s="149">
        <f t="shared" si="0"/>
        <v>0.2857142857142857</v>
      </c>
      <c r="J17" s="149">
        <f t="shared" si="1"/>
        <v>0.42857142857142855</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0.88256896756697922</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0.92868284604926321</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21</v>
      </c>
      <c r="E18" s="150" cm="1">
        <f t="array" ref="E18">SUMPRODUCT((Log!$D:$D=$A18)*(Log!$A:$A="Daily")*(Log!$B:$B="n/a")*(Log!$F:$F&lt;Log!$H:$H)*(Log!$F:$F&lt;&gt;""))</f>
        <v>10</v>
      </c>
      <c r="F18" s="150" cm="1">
        <f t="array" ref="F18">SUMPRODUCT((Log!$D:$D=$A18)*(Log!$A:$A="Daily")*(Log!$B:$B="n/a")*(Log!$G:$G&lt;Log!$I:$I)*(Log!$G:$G&lt;&gt;""))</f>
        <v>13</v>
      </c>
      <c r="G18" s="19">
        <f>COUNTIFS(ArchivedLog!$B:$B, $A18, ArchivedLog!$H:$H, "No")</f>
        <v>5</v>
      </c>
      <c r="H18" s="20">
        <f>COUNTIFS(ArchivedLog!$B:$B, $A18, ArchivedLog!$I:$I, "No")</f>
        <v>4</v>
      </c>
      <c r="I18" s="149">
        <f t="shared" si="0"/>
        <v>0.47619047619047616</v>
      </c>
      <c r="J18" s="149">
        <f t="shared" si="1"/>
        <v>0.61904761904761907</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0.97618144862590117</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1.0385969437887583</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21</v>
      </c>
      <c r="E19" s="150" cm="1">
        <f t="array" ref="E19">SUMPRODUCT((Log!$D:$D=$A19)*(Log!$A:$A="Daily")*(Log!$B:$B="n/a")*(Log!$F:$F&lt;Log!$H:$H)*(Log!$F:$F&lt;&gt;""))</f>
        <v>14</v>
      </c>
      <c r="F19" s="150" cm="1">
        <f t="array" ref="F19">SUMPRODUCT((Log!$D:$D=$A19)*(Log!$A:$A="Daily")*(Log!$B:$B="n/a")*(Log!$G:$G&lt;Log!$I:$I)*(Log!$G:$G&lt;&gt;""))</f>
        <v>18</v>
      </c>
      <c r="G19" s="19">
        <f>COUNTIFS(ArchivedLog!$B:$B, $A19, ArchivedLog!$H:$H, "No")</f>
        <v>3</v>
      </c>
      <c r="H19" s="20">
        <f>COUNTIFS(ArchivedLog!$B:$B, $A19, ArchivedLog!$I:$I, "No")</f>
        <v>1</v>
      </c>
      <c r="I19" s="149">
        <f t="shared" si="0"/>
        <v>0.66666666666666663</v>
      </c>
      <c r="J19" s="149">
        <f t="shared" si="1"/>
        <v>0.8571428571428571</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0.98477031244434421</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1.1350400782669727</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21</v>
      </c>
      <c r="E20" s="150" cm="1">
        <f t="array" ref="E20">SUMPRODUCT((Log!$D:$D=$A20)*(Log!$A:$A="Daily")*(Log!$B:$B="n/a")*(Log!$F:$F&lt;Log!$H:$H)*(Log!$F:$F&lt;&gt;""))</f>
        <v>4</v>
      </c>
      <c r="F20" s="150" cm="1">
        <f t="array" ref="F20">SUMPRODUCT((Log!$D:$D=$A20)*(Log!$A:$A="Daily")*(Log!$B:$B="n/a")*(Log!$G:$G&lt;Log!$I:$I)*(Log!$G:$G&lt;&gt;""))</f>
        <v>7</v>
      </c>
      <c r="G20" s="23">
        <f>COUNTIFS(ArchivedLog!$B:$B, $A20, ArchivedLog!$H:$H, "No")</f>
        <v>9</v>
      </c>
      <c r="H20" s="24">
        <f>COUNTIFS(ArchivedLog!$B:$B, $A20, ArchivedLog!$I:$I, "No")</f>
        <v>9</v>
      </c>
      <c r="I20" s="149">
        <f t="shared" si="0"/>
        <v>0.19047619047619047</v>
      </c>
      <c r="J20" s="149">
        <f t="shared" si="1"/>
        <v>0.33333333333333331</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0.77403374524274826</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0.92174299022381245</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f>'Daily WE'!N23</f>
        <v>0.54501322222222215</v>
      </c>
      <c r="H27" s="7">
        <f>'Daily WE'!Q23</f>
        <v>0.1279518555555556</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f>'Daily WE'!N24</f>
        <v>0.44261372222222223</v>
      </c>
      <c r="H28" s="7">
        <f>'Daily WE'!Q24</f>
        <v>0.10628490555555553</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11" priority="35">
      <formula>MOD(ROW(), 2) = 0</formula>
    </cfRule>
  </conditionalFormatting>
  <conditionalFormatting sqref="B3:B20">
    <cfRule type="expression" dxfId="10" priority="9">
      <formula>B3&gt;$N$2</formula>
    </cfRule>
  </conditionalFormatting>
  <conditionalFormatting sqref="C3:C20">
    <cfRule type="expression" dxfId="9" priority="34">
      <formula>C3&gt;$O$2</formula>
    </cfRule>
  </conditionalFormatting>
  <conditionalFormatting sqref="I3:I20">
    <cfRule type="top10" dxfId="8"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7"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6" priority="5" operator="lessThan">
      <formula>1</formula>
    </cfRule>
    <cfRule type="cellIs" dxfId="5"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382" t="s">
        <v>76</v>
      </c>
      <c r="B1" s="382"/>
      <c r="C1" s="382"/>
      <c r="D1" s="382"/>
      <c r="E1" s="382"/>
      <c r="F1" s="382"/>
      <c r="G1" s="382"/>
      <c r="H1" s="382"/>
      <c r="I1" s="382"/>
      <c r="J1" s="382"/>
      <c r="K1" s="382"/>
      <c r="L1" s="382"/>
      <c r="M1" s="382"/>
      <c r="N1" s="382"/>
      <c r="O1" s="382"/>
      <c r="P1" s="382"/>
      <c r="Q1" s="382"/>
      <c r="R1" s="382"/>
      <c r="S1" s="382"/>
      <c r="U1" s="230" t="s">
        <v>282</v>
      </c>
    </row>
    <row r="2" spans="1:22" ht="43.2" hidden="1" customHeight="1" x14ac:dyDescent="0.3">
      <c r="A2" s="223"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8"/>
    </row>
    <row r="3" spans="1:22" x14ac:dyDescent="0.3">
      <c r="A3" s="224" t="s">
        <v>283</v>
      </c>
      <c r="B3" s="226" cm="1">
        <f t="array" ref="B3">ROUND(AVERAGE(_xlfn._xlws.FILTER(B6:B22, ISNUMBER(B6:B22))), 0)</f>
        <v>9</v>
      </c>
      <c r="C3" s="226" cm="1">
        <f t="array" ref="C3">ROUND(AVERAGE(_xlfn._xlws.FILTER(C6:C22, ISNUMBER(C6:C22))), 0)</f>
        <v>11</v>
      </c>
      <c r="D3" s="226" cm="1">
        <f t="array" ref="D3">ROUND(AVERAGE(_xlfn._xlws.FILTER(D6:D22, ISNUMBER(D6:D22))), 0)</f>
        <v>13</v>
      </c>
      <c r="E3" s="226" cm="1">
        <f t="array" ref="E3">ROUND(AVERAGE(_xlfn._xlws.FILTER(E6:E22, ISNUMBER(E6:E22))), 0)</f>
        <v>16</v>
      </c>
      <c r="F3" s="226" cm="1">
        <f t="array" ref="F3">ROUND(AVERAGE(_xlfn._xlws.FILTER(F6:F22, ISNUMBER(F6:F22))), 0)</f>
        <v>6</v>
      </c>
      <c r="G3" s="226" cm="1">
        <f t="array" ref="G3">ROUND(AVERAGE(_xlfn._xlws.FILTER(G6:G22, ISNUMBER(G6:G22))), 0)</f>
        <v>12</v>
      </c>
      <c r="H3" s="226" cm="1">
        <f t="array" ref="H3">ROUND(AVERAGE(_xlfn._xlws.FILTER(H6:H22, ISNUMBER(H6:H22))), 0)</f>
        <v>14</v>
      </c>
      <c r="I3" s="226" cm="1">
        <f t="array" ref="I3">ROUND(AVERAGE(_xlfn._xlws.FILTER(I6:I22, ISNUMBER(I6:I22))), 0)</f>
        <v>3</v>
      </c>
      <c r="J3" s="226" cm="1">
        <f t="array" ref="J3">ROUND(AVERAGE(_xlfn._xlws.FILTER(J6:J22, ISNUMBER(J6:J22))), 0)</f>
        <v>14</v>
      </c>
      <c r="K3" s="226" cm="1">
        <f t="array" ref="K3">ROUND(AVERAGE(_xlfn._xlws.FILTER(K6:K22, ISNUMBER(K6:K22))), 0)</f>
        <v>10</v>
      </c>
      <c r="L3" s="226" cm="1">
        <f t="array" ref="L3">ROUND(AVERAGE(_xlfn._xlws.FILTER(L6:L22, ISNUMBER(L6:L22))), 0)</f>
        <v>8</v>
      </c>
      <c r="M3" s="226" cm="1">
        <f t="array" ref="M3">ROUND(AVERAGE(_xlfn._xlws.FILTER(M6:M22, ISNUMBER(M6:M22))), 0)</f>
        <v>5</v>
      </c>
      <c r="N3" s="226" cm="1">
        <f t="array" ref="N3">ROUND(AVERAGE(_xlfn._xlws.FILTER(N6:N22, ISNUMBER(N6:N22))), 0)</f>
        <v>3</v>
      </c>
      <c r="O3" s="226" cm="1">
        <f t="array" ref="O3">ROUND(AVERAGE(_xlfn._xlws.FILTER(O6:O22, ISNUMBER(O6:O22))), 0)</f>
        <v>3</v>
      </c>
      <c r="P3" s="226" cm="1">
        <f t="array" ref="P3">ROUND(AVERAGE(_xlfn._xlws.FILTER(P6:P22, ISNUMBER(P6:P22))), 0)</f>
        <v>11</v>
      </c>
      <c r="Q3" s="226" cm="1">
        <f t="array" ref="Q3">ROUND(AVERAGE(_xlfn._xlws.FILTER(Q6:Q22, ISNUMBER(Q6:Q22))), 0)</f>
        <v>9</v>
      </c>
      <c r="R3" s="226" cm="1">
        <f t="array" ref="R3">ROUND(AVERAGE(_xlfn._xlws.FILTER(R6:R22, ISNUMBER(R6:R22))), 0)</f>
        <v>9</v>
      </c>
      <c r="S3" s="226" cm="1">
        <f t="array" ref="S3">ROUND(AVERAGE(_xlfn._xlws.FILTER(S6:S22, ISNUMBER(S6:S22))), 0)</f>
        <v>14</v>
      </c>
      <c r="U3" s="377" t="s">
        <v>33</v>
      </c>
    </row>
    <row r="4" spans="1:22" ht="15.6" x14ac:dyDescent="0.3">
      <c r="A4" s="380" t="s">
        <v>31</v>
      </c>
      <c r="B4" s="383" t="s">
        <v>284</v>
      </c>
      <c r="C4" s="383"/>
      <c r="D4" s="383"/>
      <c r="E4" s="383"/>
      <c r="F4" s="383"/>
      <c r="G4" s="383"/>
      <c r="H4" s="383"/>
      <c r="I4" s="383"/>
      <c r="J4" s="383"/>
      <c r="K4" s="383"/>
      <c r="L4" s="383"/>
      <c r="M4" s="383"/>
      <c r="N4" s="383"/>
      <c r="O4" s="383"/>
      <c r="P4" s="383"/>
      <c r="Q4" s="383"/>
      <c r="R4" s="383"/>
      <c r="S4" s="383"/>
      <c r="U4" s="378"/>
    </row>
    <row r="5" spans="1:22" ht="15" customHeight="1" thickBot="1" x14ac:dyDescent="0.35">
      <c r="A5" s="381"/>
      <c r="B5" s="221" t="str">
        <f t="shared" ref="B5:S5" si="0">LEFT(B2, 3)</f>
        <v xml:space="preserve">#1 </v>
      </c>
      <c r="C5" s="221" t="str">
        <f t="shared" si="0"/>
        <v xml:space="preserve">#2 </v>
      </c>
      <c r="D5" s="221" t="str">
        <f t="shared" si="0"/>
        <v xml:space="preserve">#3 </v>
      </c>
      <c r="E5" s="221" t="str">
        <f t="shared" si="0"/>
        <v xml:space="preserve">#4 </v>
      </c>
      <c r="F5" s="221" t="str">
        <f t="shared" si="0"/>
        <v xml:space="preserve">#5 </v>
      </c>
      <c r="G5" s="221" t="str">
        <f t="shared" si="0"/>
        <v xml:space="preserve">#6 </v>
      </c>
      <c r="H5" s="221" t="str">
        <f t="shared" si="0"/>
        <v xml:space="preserve">#7 </v>
      </c>
      <c r="I5" s="221" t="str">
        <f t="shared" si="0"/>
        <v xml:space="preserve">#8 </v>
      </c>
      <c r="J5" s="221" t="str">
        <f t="shared" si="0"/>
        <v xml:space="preserve">#9 </v>
      </c>
      <c r="K5" s="221" t="str">
        <f t="shared" si="0"/>
        <v>#10</v>
      </c>
      <c r="L5" s="221" t="str">
        <f t="shared" si="0"/>
        <v>#11</v>
      </c>
      <c r="M5" s="221" t="str">
        <f t="shared" si="0"/>
        <v>#12</v>
      </c>
      <c r="N5" s="221" t="str">
        <f t="shared" si="0"/>
        <v>#13</v>
      </c>
      <c r="O5" s="221" t="str">
        <f t="shared" si="0"/>
        <v>#14</v>
      </c>
      <c r="P5" s="221" t="str">
        <f t="shared" si="0"/>
        <v>#15</v>
      </c>
      <c r="Q5" s="221" t="str">
        <f t="shared" si="0"/>
        <v>#16</v>
      </c>
      <c r="R5" s="221" t="str">
        <f t="shared" si="0"/>
        <v>#17</v>
      </c>
      <c r="S5" s="221" t="str">
        <f t="shared" si="0"/>
        <v>#18</v>
      </c>
      <c r="U5" s="379"/>
      <c r="V5" s="218"/>
    </row>
    <row r="6" spans="1:22" x14ac:dyDescent="0.3">
      <c r="A6" s="50" cm="1">
        <f t="array" ref="A6:A26">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5"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1"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19"/>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2" t="s">
        <v>285</v>
      </c>
      <c r="V9" s="220"/>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2" t="s">
        <v>288</v>
      </c>
      <c r="V10" s="220"/>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2" t="s">
        <v>289</v>
      </c>
      <c r="V11" s="220"/>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1"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1"/>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1"/>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29"/>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A24" s="95">
        <v>46252</v>
      </c>
      <c r="B24" s="84"/>
      <c r="C24" s="84"/>
      <c r="D24" s="84"/>
      <c r="E24" s="84"/>
      <c r="F24" s="84"/>
      <c r="G24" s="84"/>
      <c r="H24" s="84"/>
      <c r="I24" s="84"/>
      <c r="J24" s="84"/>
      <c r="K24" s="84"/>
      <c r="L24" s="84"/>
      <c r="M24" s="84"/>
      <c r="N24" s="84"/>
      <c r="O24" s="84"/>
      <c r="P24" s="84"/>
      <c r="Q24" s="84"/>
      <c r="R24" s="84"/>
      <c r="S24" s="84"/>
    </row>
    <row r="25" spans="1:19" x14ac:dyDescent="0.3">
      <c r="A25" s="95">
        <v>46253</v>
      </c>
      <c r="B25" s="84"/>
      <c r="C25" s="84"/>
      <c r="D25" s="84"/>
      <c r="E25" s="84"/>
      <c r="F25" s="84"/>
      <c r="G25" s="84"/>
      <c r="H25" s="84"/>
      <c r="I25" s="84"/>
      <c r="J25" s="84"/>
      <c r="K25" s="84"/>
      <c r="L25" s="84"/>
      <c r="M25" s="84"/>
      <c r="N25" s="84"/>
      <c r="O25" s="84"/>
      <c r="P25" s="84"/>
      <c r="Q25" s="84"/>
      <c r="R25" s="84"/>
      <c r="S25" s="84"/>
    </row>
    <row r="26" spans="1:19" x14ac:dyDescent="0.3">
      <c r="A26" s="95">
        <v>46254</v>
      </c>
      <c r="B26" s="84"/>
      <c r="C26" s="84"/>
      <c r="D26" s="84"/>
      <c r="E26" s="84"/>
      <c r="F26" s="84"/>
      <c r="G26" s="84"/>
      <c r="H26" s="84"/>
      <c r="I26" s="84"/>
      <c r="J26" s="84"/>
      <c r="K26" s="84"/>
      <c r="L26" s="84"/>
      <c r="M26" s="84"/>
      <c r="N26" s="84"/>
      <c r="O26" s="84"/>
      <c r="P26" s="84"/>
      <c r="Q26" s="84"/>
      <c r="R26" s="84"/>
      <c r="S26" s="84"/>
    </row>
    <row r="27" spans="1:19" x14ac:dyDescent="0.3">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382" t="s">
        <v>76</v>
      </c>
      <c r="B1" s="382"/>
      <c r="C1" s="382"/>
      <c r="D1" s="382"/>
      <c r="E1" s="382"/>
      <c r="F1" s="382"/>
      <c r="G1" s="382"/>
      <c r="H1" s="382"/>
      <c r="I1" s="382"/>
      <c r="J1" s="382"/>
      <c r="K1" s="382"/>
      <c r="L1" s="382"/>
      <c r="M1" s="382"/>
      <c r="N1" s="382"/>
      <c r="O1" s="382"/>
      <c r="P1" s="382"/>
      <c r="Q1" s="382"/>
      <c r="R1" s="382"/>
      <c r="S1" s="382"/>
    </row>
    <row r="2" spans="1:23" x14ac:dyDescent="0.3">
      <c r="A2" s="141" t="s">
        <v>80</v>
      </c>
      <c r="B2" s="101" cm="1">
        <f t="array" ref="B2">_xlfn.LET(_xlpm.total,COUNT(_xlfn.UNIQUE(_xlfn._xlws.FILTER(Log!$C:$C,(Log!$B:$B="n/a")*(Log!$D:$D=B$3)*(Log!$A:$A="Daily")))),_xlpm.errors,COUNTIF(B$6:B$9999,"&gt;0"),IF(_xlpm.errors&gt;0,_xlpm.errors/_xlpm.total,0))</f>
        <v>0.5714285714285714</v>
      </c>
      <c r="C2" s="101" cm="1">
        <f t="array" ref="C2">_xlfn.LET(_xlpm.total,COUNT(_xlfn.UNIQUE(_xlfn._xlws.FILTER(Log!$C:$C,(Log!$B:$B="n/a")*(Log!$D:$D=C$3)*(Log!$A:$A="Daily")))),_xlpm.errors,COUNTIF(C$6:C$9999,"&gt;0"),IF(_xlpm.errors&gt;0,_xlpm.errors/_xlpm.total,0))</f>
        <v>0.90476190476190477</v>
      </c>
      <c r="D2" s="101" cm="1">
        <f t="array" ref="D2">_xlfn.LET(_xlpm.total,COUNT(_xlfn.UNIQUE(_xlfn._xlws.FILTER(Log!$C:$C,(Log!$B:$B="n/a")*(Log!$D:$D=D$3)*(Log!$A:$A="Daily")))),_xlpm.errors,COUNTIF(D$6:D$9999,"&gt;0"),IF(_xlpm.errors&gt;0,_xlpm.errors/_xlpm.total,0))</f>
        <v>0.95238095238095233</v>
      </c>
      <c r="E2" s="101" cm="1">
        <f t="array" ref="E2">_xlfn.LET(_xlpm.total,COUNT(_xlfn.UNIQUE(_xlfn._xlws.FILTER(Log!$C:$C,(Log!$B:$B="n/a")*(Log!$D:$D=E$3)*(Log!$A:$A="Daily")))),_xlpm.errors,COUNTIF(E$6:E$9999,"&gt;0"),IF(_xlpm.errors&gt;0,_xlpm.errors/_xlpm.total,0))</f>
        <v>0.95238095238095233</v>
      </c>
      <c r="F2" s="101" cm="1">
        <f t="array" ref="F2">_xlfn.LET(_xlpm.total,COUNT(_xlfn.UNIQUE(_xlfn._xlws.FILTER(Log!$C:$C,(Log!$B:$B="n/a")*(Log!$D:$D=F$3)*(Log!$A:$A="Daily")))),_xlpm.errors,COUNTIF(F$6:F$9999,"&gt;0"),IF(_xlpm.errors&gt;0,_xlpm.errors/_xlpm.total,0))</f>
        <v>9.5238095238095233E-2</v>
      </c>
      <c r="G2" s="101" cm="1">
        <f t="array" ref="G2">_xlfn.LET(_xlpm.total,COUNT(_xlfn.UNIQUE(_xlfn._xlws.FILTER(Log!$C:$C,(Log!$B:$B="n/a")*(Log!$D:$D=G$3)*(Log!$A:$A="Daily")))),_xlpm.errors,COUNTIF(G$6:G$9999,"&gt;0"),IF(_xlpm.errors&gt;0,_xlpm.errors/_xlpm.total,0))</f>
        <v>0.8571428571428571</v>
      </c>
      <c r="H2" s="101" cm="1">
        <f t="array" ref="H2">_xlfn.LET(_xlpm.total,COUNT(_xlfn.UNIQUE(_xlfn._xlws.FILTER(Log!$C:$C,(Log!$B:$B="n/a")*(Log!$D:$D=H$3)*(Log!$A:$A="Daily")))),_xlpm.errors,COUNTIF(H$6:H$9999,"&gt;0"),IF(_xlpm.errors&gt;0,_xlpm.errors/_xlpm.total,0))</f>
        <v>0.90476190476190477</v>
      </c>
      <c r="I2" s="101" cm="1">
        <f t="array" ref="I2">_xlfn.LET(_xlpm.total,COUNT(_xlfn.UNIQUE(_xlfn._xlws.FILTER(Log!$C:$C,(Log!$B:$B="n/a")*(Log!$D:$D=I$3)*(Log!$A:$A="Daily")))),_xlpm.errors,COUNTIF(I$6:I$9999,"&gt;0"),IF(_xlpm.errors&gt;0,_xlpm.errors/_xlpm.total,0))</f>
        <v>0.1</v>
      </c>
      <c r="J2" s="101" cm="1">
        <f t="array" ref="J2">_xlfn.LET(_xlpm.total,COUNT(_xlfn.UNIQUE(_xlfn._xlws.FILTER(Log!$C:$C,(Log!$B:$B="n/a")*(Log!$D:$D=J$3)*(Log!$A:$A="Daily")))),_xlpm.errors,COUNTIF(J$6:J$9999,"&gt;0"),IF(_xlpm.errors&gt;0,_xlpm.errors/_xlpm.total,0))</f>
        <v>0.95238095238095233</v>
      </c>
      <c r="K2" s="101" cm="1">
        <f t="array" ref="K2">_xlfn.LET(_xlpm.total,COUNT(_xlfn.UNIQUE(_xlfn._xlws.FILTER(Log!$C:$C,(Log!$B:$B="n/a")*(Log!$D:$D=K$3)*(Log!$A:$A="Daily")))),_xlpm.errors,COUNTIF(K$6:K$9999,"&gt;0"),IF(_xlpm.errors&gt;0,_xlpm.errors/_xlpm.total,0))</f>
        <v>0.47619047619047616</v>
      </c>
      <c r="L2" s="101" cm="1">
        <f t="array" ref="L2">_xlfn.LET(_xlpm.total,COUNT(_xlfn.UNIQUE(_xlfn._xlws.FILTER(Log!$C:$C,(Log!$B:$B="n/a")*(Log!$D:$D=L$3)*(Log!$A:$A="Daily")))),_xlpm.errors,COUNTIF(L$6:L$9999,"&gt;0"),IF(_xlpm.errors&gt;0,_xlpm.errors/_xlpm.total,0))</f>
        <v>0.7142857142857143</v>
      </c>
      <c r="M2" s="101" cm="1">
        <f t="array" ref="M2">_xlfn.LET(_xlpm.total,COUNT(_xlfn.UNIQUE(_xlfn._xlws.FILTER(Log!$C:$C,(Log!$B:$B="n/a")*(Log!$D:$D=M$3)*(Log!$A:$A="Daily")))),_xlpm.errors,COUNTIF(M$6:M$9999,"&gt;0"),IF(_xlpm.errors&gt;0,_xlpm.errors/_xlpm.total,0))</f>
        <v>0.2857142857142857</v>
      </c>
      <c r="N2" s="101" cm="1">
        <f t="array" ref="N2">_xlfn.LET(_xlpm.total,COUNT(_xlfn.UNIQUE(_xlfn._xlws.FILTER(Log!$C:$C,(Log!$B:$B="n/a")*(Log!$D:$D=N$3)*(Log!$A:$A="Daily")))),_xlpm.errors,COUNTIF(N$6:N$9999,"&gt;0"),IF(_xlpm.errors&gt;0,_xlpm.errors/_xlpm.total,0))</f>
        <v>9.5238095238095233E-2</v>
      </c>
      <c r="O2" s="101" cm="1">
        <f t="array" ref="O2">_xlfn.LET(_xlpm.total,COUNT(_xlfn.UNIQUE(_xlfn._xlws.FILTER(Log!$C:$C,(Log!$B:$B="n/a")*(Log!$D:$D=O$3)*(Log!$A:$A="Daily")))),_xlpm.errors,COUNTIF(O$6:O$9999,"&gt;0"),IF(_xlpm.errors&gt;0,_xlpm.errors/_xlpm.total,0))</f>
        <v>9.5238095238095233E-2</v>
      </c>
      <c r="P2" s="101" cm="1">
        <f t="array" ref="P2">_xlfn.LET(_xlpm.total,COUNT(_xlfn.UNIQUE(_xlfn._xlws.FILTER(Log!$C:$C,(Log!$B:$B="n/a")*(Log!$D:$D=P$3)*(Log!$A:$A="Daily")))),_xlpm.errors,COUNTIF(P$6:P$9999,"&gt;0"),IF(_xlpm.errors&gt;0,_xlpm.errors/_xlpm.total,0))</f>
        <v>0.7142857142857143</v>
      </c>
      <c r="Q2" s="101" cm="1">
        <f t="array" ref="Q2">_xlfn.LET(_xlpm.total,COUNT(_xlfn.UNIQUE(_xlfn._xlws.FILTER(Log!$C:$C,(Log!$B:$B="n/a")*(Log!$D:$D=Q$3)*(Log!$A:$A="Daily")))),_xlpm.errors,COUNTIF(Q$6:Q$9999,"&gt;0"),IF(_xlpm.errors&gt;0,_xlpm.errors/_xlpm.total,0))</f>
        <v>0.52380952380952384</v>
      </c>
      <c r="R2" s="101" cm="1">
        <f t="array" ref="R2">_xlfn.LET(_xlpm.total,COUNT(_xlfn.UNIQUE(_xlfn._xlws.FILTER(Log!$C:$C,(Log!$B:$B="n/a")*(Log!$D:$D=R$3)*(Log!$A:$A="Daily")))),_xlpm.errors,COUNTIF(R$6:R$9999,"&gt;0"),IF(_xlpm.errors&gt;0,_xlpm.errors/_xlpm.total,0))</f>
        <v>0.33333333333333331</v>
      </c>
      <c r="S2" s="101" cm="1">
        <f t="array" ref="S2">_xlfn.LET(_xlpm.total,COUNT(_xlfn.UNIQUE(_xlfn._xlws.FILTER(Log!$C:$C,(Log!$B:$B="n/a")*(Log!$D:$D=S$3)*(Log!$A:$A="Daily")))),_xlpm.errors,COUNTIF(S$6:S$9999,"&gt;0"),IF(_xlpm.errors&gt;0,_xlpm.errors/_xlpm.total,0))</f>
        <v>0.80952380952380953</v>
      </c>
    </row>
    <row r="3" spans="1:23" ht="43.2" hidden="1" customHeight="1" x14ac:dyDescent="0.3">
      <c r="A3" s="386"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86"/>
      <c r="B4" s="383" t="s">
        <v>69</v>
      </c>
      <c r="C4" s="383"/>
      <c r="D4" s="383"/>
      <c r="E4" s="383"/>
      <c r="F4" s="383"/>
      <c r="G4" s="383"/>
      <c r="H4" s="383"/>
      <c r="I4" s="383"/>
      <c r="J4" s="383"/>
      <c r="K4" s="383"/>
      <c r="L4" s="383"/>
      <c r="M4" s="383"/>
      <c r="N4" s="383"/>
      <c r="O4" s="383"/>
      <c r="P4" s="383"/>
      <c r="Q4" s="383"/>
      <c r="R4" s="383"/>
      <c r="S4" s="383"/>
    </row>
    <row r="5" spans="1:23" x14ac:dyDescent="0.3">
      <c r="A5" s="386"/>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87" t="s">
        <v>89</v>
      </c>
      <c r="V5" s="387"/>
      <c r="W5" s="387"/>
    </row>
    <row r="6" spans="1:23" x14ac:dyDescent="0.3">
      <c r="A6" s="96" cm="1">
        <f t="array" ref="A6:A26">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85" t="s">
        <v>60</v>
      </c>
      <c r="V8" s="385"/>
      <c r="W8" s="385"/>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84" t="s">
        <v>77</v>
      </c>
      <c r="W9" s="384"/>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84" t="s">
        <v>78</v>
      </c>
      <c r="W10" s="384"/>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84" t="s">
        <v>79</v>
      </c>
      <c r="W11" s="384"/>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A24" s="95">
        <v>46252</v>
      </c>
      <c r="B24" s="84">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4" s="84">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4" s="84">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4" s="84">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4" s="84">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4" s="84">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4" s="84">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4" s="84">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4" s="84">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4" s="84">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4" s="84">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4" s="84">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4" s="84">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4" s="84">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4" s="84">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4" s="84">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4" s="84">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4" s="84">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5" spans="1:19" x14ac:dyDescent="0.3">
      <c r="A25" s="95">
        <v>46253</v>
      </c>
      <c r="B25" s="84">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5" s="84">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5" s="84">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5" s="84">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5" s="84">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5" s="84">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5" s="84">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5" s="84">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5" s="84">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K25" s="84">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5" s="84">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5" s="84">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5" s="84">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5" s="84">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5" s="84">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5" s="84">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5" s="84">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5" s="84">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6" spans="1:19" x14ac:dyDescent="0.3">
      <c r="A26" s="95">
        <v>46254</v>
      </c>
      <c r="B26" s="84">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6" s="84">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26" s="84">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6" s="84">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6" s="84">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6" s="84">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6" s="84">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6" s="84">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6" s="84">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6" s="84">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6" s="84">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6" s="84">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6" s="84">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6" s="84">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6" s="84">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6" s="84">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6" s="84">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6" s="84">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4" priority="2">
      <formula>B2&gt;=70%</formula>
    </cfRule>
  </conditionalFormatting>
  <conditionalFormatting sqref="B6:S925">
    <cfRule type="cellIs" dxfId="3" priority="4" operator="equal">
      <formula>2</formula>
    </cfRule>
    <cfRule type="cellIs" dxfId="2" priority="5" operator="equal">
      <formula>1</formula>
    </cfRule>
    <cfRule type="cellIs" dxfId="1" priority="6" operator="equal">
      <formula>0</formula>
    </cfRule>
  </conditionalFormatting>
  <conditionalFormatting sqref="U5">
    <cfRule type="expression" dxfId="0"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4"/>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91" t="s">
        <v>73</v>
      </c>
      <c r="B2" s="392"/>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4">_xlfn.UNIQUE(_xlfn._xlws.FILTER(Log!$C:$C, (Log!$B:B="n/a") * (Log!$A:$A="Daily")))</f>
        <v>46228</v>
      </c>
    </row>
    <row r="5" spans="1:25" x14ac:dyDescent="0.3">
      <c r="A5" s="50">
        <v>46230</v>
      </c>
      <c r="W5" s="75" t="s">
        <v>70</v>
      </c>
      <c r="X5" s="68"/>
    </row>
    <row r="6" spans="1:25" x14ac:dyDescent="0.3">
      <c r="A6" s="50">
        <v>46231</v>
      </c>
      <c r="V6" s="76" t="s">
        <v>72</v>
      </c>
      <c r="W6" s="388" t="s">
        <v>74</v>
      </c>
      <c r="X6" s="389"/>
      <c r="Y6" s="390"/>
    </row>
    <row r="7" spans="1:25" x14ac:dyDescent="0.3">
      <c r="A7" s="50">
        <v>46232</v>
      </c>
      <c r="V7" s="77"/>
      <c r="W7" s="388" t="s">
        <v>71</v>
      </c>
      <c r="X7" s="389"/>
      <c r="Y7" s="390"/>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row r="22" spans="1:22" x14ac:dyDescent="0.3">
      <c r="A22" s="50">
        <v>46252</v>
      </c>
    </row>
    <row r="23" spans="1:22" x14ac:dyDescent="0.3">
      <c r="A23" s="50">
        <v>46253</v>
      </c>
    </row>
    <row r="24" spans="1:22" x14ac:dyDescent="0.3">
      <c r="A24" s="50">
        <v>46254</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2026-08-21T18:59:55Z</dcterms:modified>
  <dc:language>en-US</dc:language>
</cp:coreProperties>
</file>