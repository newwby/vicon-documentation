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comments5.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EPSURIS Internship (Vicon)\Public Files\Documentation Data\"/>
    </mc:Choice>
  </mc:AlternateContent>
  <xr:revisionPtr revIDLastSave="0" documentId="13_ncr:1_{9B4FC879-0F06-412E-9058-D909EFF96F8C}" xr6:coauthVersionLast="47" xr6:coauthVersionMax="47" xr10:uidLastSave="{00000000-0000-0000-0000-000000000000}"/>
  <bookViews>
    <workbookView xWindow="-108" yWindow="-108" windowWidth="23256" windowHeight="13896" tabRatio="713" firstSheet="1" activeTab="7" xr2:uid="{00000000-000D-0000-FFFF-FFFF00000000}"/>
  </bookViews>
  <sheets>
    <sheet name="WIP" sheetId="1" r:id="rId1"/>
    <sheet name="Data-Lists" sheetId="2" r:id="rId2"/>
    <sheet name="Labelling" sheetId="7" r:id="rId3"/>
    <sheet name="ArchivedLog" sheetId="3" state="hidden" r:id="rId4"/>
    <sheet name="Log" sheetId="8" r:id="rId5"/>
    <sheet name="Daily" sheetId="4" r:id="rId6"/>
    <sheet name="Errors" sheetId="16" r:id="rId7"/>
    <sheet name="Trials" sheetId="17" r:id="rId8"/>
    <sheet name="Daily Trends" sheetId="5" r:id="rId9"/>
    <sheet name="Daily Averages TODO" sheetId="6" r:id="rId10"/>
    <sheet name="Daily Error Rates TODO" sheetId="13" r:id="rId11"/>
    <sheet name="Problem Cameras TODO" sheetId="14" r:id="rId12"/>
  </sheets>
  <externalReferences>
    <externalReference r:id="rId13"/>
  </externalReferences>
  <definedNames>
    <definedName name="_xlnm._FilterDatabase" localSheetId="9" hidden="1">'Daily Averages TODO'!$A$3:$J$60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8" i="17" l="1"/>
  <c r="N8" i="17"/>
  <c r="M8" i="17"/>
  <c r="L8" i="17"/>
  <c r="K8" i="17"/>
  <c r="J8" i="17"/>
  <c r="H8" i="17"/>
  <c r="I8" i="17" s="1"/>
  <c r="O5" i="17"/>
  <c r="N5" i="17"/>
  <c r="M5" i="17"/>
  <c r="L5" i="17"/>
  <c r="K5" i="17"/>
  <c r="J5" i="17"/>
  <c r="H5" i="17"/>
  <c r="I5" i="17" s="1"/>
  <c r="H6" i="16"/>
  <c r="I6" i="16" s="1"/>
  <c r="K6" i="16"/>
  <c r="L6" i="16"/>
  <c r="N6" i="16"/>
  <c r="O6" i="16"/>
  <c r="H7" i="16"/>
  <c r="I7" i="16" s="1"/>
  <c r="K7" i="16"/>
  <c r="L7" i="16"/>
  <c r="N7" i="16"/>
  <c r="O7" i="16"/>
  <c r="H8" i="16"/>
  <c r="I8" i="16" s="1"/>
  <c r="K8" i="16"/>
  <c r="L8" i="16"/>
  <c r="N8" i="16"/>
  <c r="O8" i="16"/>
  <c r="H9" i="16"/>
  <c r="I9" i="16" s="1"/>
  <c r="J9" i="16"/>
  <c r="K9" i="16"/>
  <c r="L9" i="16"/>
  <c r="M9" i="16"/>
  <c r="N9" i="16"/>
  <c r="O9" i="16"/>
  <c r="H10" i="16"/>
  <c r="I10" i="16" s="1"/>
  <c r="J10" i="16"/>
  <c r="K10" i="16"/>
  <c r="L10" i="16"/>
  <c r="M10" i="16"/>
  <c r="N10" i="16"/>
  <c r="O10" i="16"/>
  <c r="H11" i="16"/>
  <c r="I11" i="16" s="1"/>
  <c r="J11" i="16"/>
  <c r="K11" i="16"/>
  <c r="L11" i="16"/>
  <c r="M11" i="16"/>
  <c r="N11" i="16"/>
  <c r="O11" i="16"/>
  <c r="H12" i="16"/>
  <c r="I12" i="16" s="1"/>
  <c r="J12" i="16"/>
  <c r="K12" i="16"/>
  <c r="L12" i="16"/>
  <c r="M12" i="16"/>
  <c r="N12" i="16"/>
  <c r="O12" i="16"/>
  <c r="H13" i="16"/>
  <c r="I13" i="16" s="1"/>
  <c r="J13" i="16"/>
  <c r="K13" i="16"/>
  <c r="L13" i="16"/>
  <c r="M13" i="16"/>
  <c r="N13" i="16"/>
  <c r="O13" i="16"/>
  <c r="H14" i="16"/>
  <c r="I14" i="16" s="1"/>
  <c r="J14" i="16"/>
  <c r="K14" i="16"/>
  <c r="L14" i="16"/>
  <c r="M14" i="16"/>
  <c r="N14" i="16"/>
  <c r="O14" i="16"/>
  <c r="H15" i="16"/>
  <c r="I15" i="16" s="1"/>
  <c r="J15" i="16"/>
  <c r="K15" i="16"/>
  <c r="L15" i="16"/>
  <c r="M15" i="16"/>
  <c r="N15" i="16"/>
  <c r="O15" i="16"/>
  <c r="H16" i="16"/>
  <c r="I16" i="16" s="1"/>
  <c r="J16" i="16"/>
  <c r="K16" i="16"/>
  <c r="L16" i="16"/>
  <c r="M16" i="16"/>
  <c r="N16" i="16"/>
  <c r="O16" i="16"/>
  <c r="H17" i="16"/>
  <c r="I17" i="16" s="1"/>
  <c r="J17" i="16"/>
  <c r="K17" i="16"/>
  <c r="L17" i="16"/>
  <c r="M17" i="16"/>
  <c r="N17" i="16"/>
  <c r="O17" i="16"/>
  <c r="H18" i="16"/>
  <c r="I18" i="16" s="1"/>
  <c r="J18" i="16"/>
  <c r="K18" i="16"/>
  <c r="L18" i="16"/>
  <c r="M18" i="16"/>
  <c r="N18" i="16"/>
  <c r="O18" i="16"/>
  <c r="H19" i="16"/>
  <c r="I19" i="16" s="1"/>
  <c r="J19" i="16"/>
  <c r="K19" i="16"/>
  <c r="L19" i="16"/>
  <c r="M19" i="16"/>
  <c r="N19" i="16"/>
  <c r="O19" i="16"/>
  <c r="H20" i="16"/>
  <c r="I20" i="16" s="1"/>
  <c r="J20" i="16"/>
  <c r="K20" i="16"/>
  <c r="L20" i="16"/>
  <c r="M20" i="16"/>
  <c r="N20" i="16"/>
  <c r="O20" i="16"/>
  <c r="H21" i="16"/>
  <c r="I21" i="16" s="1"/>
  <c r="J21" i="16"/>
  <c r="K21" i="16"/>
  <c r="L21" i="16"/>
  <c r="M21" i="16"/>
  <c r="N21" i="16"/>
  <c r="O21" i="16"/>
  <c r="H22" i="16"/>
  <c r="I22" i="16" s="1"/>
  <c r="J22" i="16"/>
  <c r="K22" i="16"/>
  <c r="L22" i="16"/>
  <c r="M22" i="16"/>
  <c r="N22" i="16"/>
  <c r="O22" i="16"/>
  <c r="H23" i="16"/>
  <c r="I23" i="16" s="1"/>
  <c r="J23" i="16"/>
  <c r="K23" i="16"/>
  <c r="L23" i="16"/>
  <c r="M23" i="16"/>
  <c r="N23" i="16"/>
  <c r="O23" i="16"/>
  <c r="H24" i="16"/>
  <c r="I24" i="16" s="1"/>
  <c r="J24" i="16"/>
  <c r="K24" i="16"/>
  <c r="L24" i="16"/>
  <c r="M24" i="16"/>
  <c r="N24" i="16"/>
  <c r="O24" i="16"/>
  <c r="H25" i="16"/>
  <c r="I25" i="16" s="1"/>
  <c r="J25" i="16"/>
  <c r="K25" i="16"/>
  <c r="L25" i="16"/>
  <c r="M25" i="16"/>
  <c r="N25" i="16"/>
  <c r="O25" i="16"/>
  <c r="H26" i="16"/>
  <c r="I26" i="16" s="1"/>
  <c r="J26" i="16"/>
  <c r="K26" i="16"/>
  <c r="L26" i="16"/>
  <c r="M26" i="16"/>
  <c r="N26" i="16"/>
  <c r="O26" i="16"/>
  <c r="H27" i="16"/>
  <c r="I27" i="16" s="1"/>
  <c r="J27" i="16"/>
  <c r="K27" i="16"/>
  <c r="L27" i="16"/>
  <c r="M27" i="16"/>
  <c r="N27" i="16"/>
  <c r="O27" i="16"/>
  <c r="H28" i="16"/>
  <c r="I28" i="16" s="1"/>
  <c r="J28" i="16"/>
  <c r="K28" i="16"/>
  <c r="L28" i="16"/>
  <c r="M28" i="16"/>
  <c r="N28" i="16"/>
  <c r="O28" i="16"/>
  <c r="H29" i="16"/>
  <c r="I29" i="16" s="1"/>
  <c r="J29" i="16"/>
  <c r="K29" i="16"/>
  <c r="L29" i="16"/>
  <c r="M29" i="16"/>
  <c r="N29" i="16"/>
  <c r="O29" i="16"/>
  <c r="H30" i="16"/>
  <c r="I30" i="16" s="1"/>
  <c r="J30" i="16"/>
  <c r="K30" i="16"/>
  <c r="L30" i="16"/>
  <c r="M30" i="16"/>
  <c r="N30" i="16"/>
  <c r="O30" i="16"/>
  <c r="H31" i="16"/>
  <c r="I31" i="16" s="1"/>
  <c r="J31" i="16"/>
  <c r="K31" i="16"/>
  <c r="L31" i="16"/>
  <c r="M31" i="16"/>
  <c r="N31" i="16"/>
  <c r="O31" i="16"/>
  <c r="H32" i="16"/>
  <c r="I32" i="16" s="1"/>
  <c r="J32" i="16"/>
  <c r="K32" i="16"/>
  <c r="L32" i="16"/>
  <c r="M32" i="16"/>
  <c r="N32" i="16"/>
  <c r="O32" i="16"/>
  <c r="H33" i="16"/>
  <c r="I33" i="16" s="1"/>
  <c r="J33" i="16"/>
  <c r="K33" i="16"/>
  <c r="L33" i="16"/>
  <c r="M33" i="16"/>
  <c r="N33" i="16"/>
  <c r="O33" i="16"/>
  <c r="H34" i="16"/>
  <c r="I34" i="16" s="1"/>
  <c r="J34" i="16"/>
  <c r="K34" i="16"/>
  <c r="L34" i="16"/>
  <c r="M34" i="16"/>
  <c r="N34" i="16"/>
  <c r="O34" i="16"/>
  <c r="H35" i="16"/>
  <c r="I35" i="16" s="1"/>
  <c r="J35" i="16"/>
  <c r="K35" i="16"/>
  <c r="L35" i="16"/>
  <c r="M35" i="16"/>
  <c r="N35" i="16"/>
  <c r="O35" i="16"/>
  <c r="H36" i="16"/>
  <c r="I36" i="16" s="1"/>
  <c r="J36" i="16"/>
  <c r="K36" i="16"/>
  <c r="L36" i="16"/>
  <c r="M36" i="16"/>
  <c r="N36" i="16"/>
  <c r="O36" i="16"/>
  <c r="H37" i="16"/>
  <c r="I37" i="16" s="1"/>
  <c r="J37" i="16"/>
  <c r="K37" i="16"/>
  <c r="L37" i="16"/>
  <c r="M37" i="16"/>
  <c r="N37" i="16"/>
  <c r="O37" i="16"/>
  <c r="H38" i="16"/>
  <c r="I38" i="16" s="1"/>
  <c r="J38" i="16"/>
  <c r="K38" i="16"/>
  <c r="L38" i="16"/>
  <c r="M38" i="16"/>
  <c r="N38" i="16"/>
  <c r="O38" i="16"/>
  <c r="H39" i="16"/>
  <c r="I39" i="16" s="1"/>
  <c r="J39" i="16"/>
  <c r="K39" i="16"/>
  <c r="L39" i="16"/>
  <c r="M39" i="16"/>
  <c r="N39" i="16"/>
  <c r="O39" i="16"/>
  <c r="H40" i="16"/>
  <c r="I40" i="16" s="1"/>
  <c r="J40" i="16"/>
  <c r="K40" i="16"/>
  <c r="L40" i="16"/>
  <c r="M40" i="16"/>
  <c r="N40" i="16"/>
  <c r="O40" i="16"/>
  <c r="H41" i="16"/>
  <c r="I41" i="16" s="1"/>
  <c r="J41" i="16"/>
  <c r="K41" i="16"/>
  <c r="L41" i="16"/>
  <c r="M41" i="16"/>
  <c r="N41" i="16"/>
  <c r="O41" i="16"/>
  <c r="H42" i="16"/>
  <c r="I42" i="16" s="1"/>
  <c r="J42" i="16"/>
  <c r="K42" i="16"/>
  <c r="L42" i="16"/>
  <c r="M42" i="16"/>
  <c r="N42" i="16"/>
  <c r="O42" i="16"/>
  <c r="H43" i="16"/>
  <c r="I43" i="16" s="1"/>
  <c r="J43" i="16"/>
  <c r="K43" i="16"/>
  <c r="L43" i="16"/>
  <c r="M43" i="16"/>
  <c r="N43" i="16"/>
  <c r="O43" i="16"/>
  <c r="H44" i="16"/>
  <c r="I44" i="16" s="1"/>
  <c r="J44" i="16"/>
  <c r="K44" i="16"/>
  <c r="L44" i="16"/>
  <c r="M44" i="16"/>
  <c r="N44" i="16"/>
  <c r="O44" i="16"/>
  <c r="H45" i="16"/>
  <c r="I45" i="16" s="1"/>
  <c r="J45" i="16"/>
  <c r="K45" i="16"/>
  <c r="L45" i="16"/>
  <c r="M45" i="16"/>
  <c r="N45" i="16"/>
  <c r="O45" i="16"/>
  <c r="H46" i="16"/>
  <c r="I46" i="16" s="1"/>
  <c r="J46" i="16"/>
  <c r="K46" i="16"/>
  <c r="L46" i="16"/>
  <c r="M46" i="16"/>
  <c r="N46" i="16"/>
  <c r="O46" i="16"/>
  <c r="H47" i="16"/>
  <c r="I47" i="16" s="1"/>
  <c r="J47" i="16"/>
  <c r="K47" i="16"/>
  <c r="L47" i="16"/>
  <c r="M47" i="16"/>
  <c r="N47" i="16"/>
  <c r="O47" i="16"/>
  <c r="H48" i="16"/>
  <c r="I48" i="16" s="1"/>
  <c r="J48" i="16"/>
  <c r="K48" i="16"/>
  <c r="L48" i="16"/>
  <c r="M48" i="16"/>
  <c r="N48" i="16"/>
  <c r="O48" i="16"/>
  <c r="H49" i="16"/>
  <c r="I49" i="16" s="1"/>
  <c r="J49" i="16"/>
  <c r="K49" i="16"/>
  <c r="L49" i="16"/>
  <c r="M49" i="16"/>
  <c r="N49" i="16"/>
  <c r="O49" i="16"/>
  <c r="H50" i="16"/>
  <c r="I50" i="16" s="1"/>
  <c r="J50" i="16"/>
  <c r="K50" i="16"/>
  <c r="L50" i="16"/>
  <c r="M50" i="16"/>
  <c r="N50" i="16"/>
  <c r="O50" i="16"/>
  <c r="H51" i="16"/>
  <c r="I51" i="16" s="1"/>
  <c r="J51" i="16"/>
  <c r="K51" i="16"/>
  <c r="L51" i="16"/>
  <c r="M51" i="16"/>
  <c r="N51" i="16"/>
  <c r="O51" i="16"/>
  <c r="H52" i="16"/>
  <c r="I52" i="16" s="1"/>
  <c r="J52" i="16"/>
  <c r="K52" i="16"/>
  <c r="L52" i="16"/>
  <c r="M52" i="16"/>
  <c r="N52" i="16"/>
  <c r="O52" i="16"/>
  <c r="H53" i="16"/>
  <c r="I53" i="16" s="1"/>
  <c r="J53" i="16"/>
  <c r="K53" i="16"/>
  <c r="L53" i="16"/>
  <c r="M53" i="16"/>
  <c r="N53" i="16"/>
  <c r="O53" i="16"/>
  <c r="H54" i="16"/>
  <c r="I54" i="16" s="1"/>
  <c r="J54" i="16"/>
  <c r="K54" i="16"/>
  <c r="L54" i="16"/>
  <c r="M54" i="16"/>
  <c r="N54" i="16"/>
  <c r="O54" i="16"/>
  <c r="H55" i="16"/>
  <c r="I55" i="16" s="1"/>
  <c r="J55" i="16"/>
  <c r="K55" i="16"/>
  <c r="L55" i="16"/>
  <c r="M55" i="16"/>
  <c r="N55" i="16"/>
  <c r="O55" i="16"/>
  <c r="H56" i="16"/>
  <c r="I56" i="16" s="1"/>
  <c r="J56" i="16"/>
  <c r="K56" i="16"/>
  <c r="L56" i="16"/>
  <c r="M56" i="16"/>
  <c r="N56" i="16"/>
  <c r="O56" i="16"/>
  <c r="H57" i="16"/>
  <c r="I57" i="16" s="1"/>
  <c r="J57" i="16"/>
  <c r="K57" i="16"/>
  <c r="L57" i="16"/>
  <c r="M57" i="16"/>
  <c r="N57" i="16"/>
  <c r="O57" i="16"/>
  <c r="H58" i="16"/>
  <c r="I58" i="16" s="1"/>
  <c r="J58" i="16"/>
  <c r="K58" i="16"/>
  <c r="L58" i="16"/>
  <c r="M58" i="16"/>
  <c r="N58" i="16"/>
  <c r="O58" i="16"/>
  <c r="H59" i="16"/>
  <c r="I59" i="16" s="1"/>
  <c r="J59" i="16"/>
  <c r="K59" i="16"/>
  <c r="L59" i="16"/>
  <c r="M59" i="16"/>
  <c r="N59" i="16"/>
  <c r="O59" i="16"/>
  <c r="H60" i="16"/>
  <c r="I60" i="16" s="1"/>
  <c r="J60" i="16"/>
  <c r="K60" i="16"/>
  <c r="L60" i="16"/>
  <c r="M60" i="16"/>
  <c r="N60" i="16"/>
  <c r="O60" i="16"/>
  <c r="H61" i="16"/>
  <c r="I61" i="16" s="1"/>
  <c r="J61" i="16"/>
  <c r="K61" i="16"/>
  <c r="L61" i="16"/>
  <c r="M61" i="16"/>
  <c r="N61" i="16"/>
  <c r="O61" i="16"/>
  <c r="H62" i="16"/>
  <c r="I62" i="16" s="1"/>
  <c r="J62" i="16"/>
  <c r="K62" i="16"/>
  <c r="L62" i="16"/>
  <c r="M62" i="16"/>
  <c r="N62" i="16"/>
  <c r="O62" i="16"/>
  <c r="H63" i="16"/>
  <c r="I63" i="16" s="1"/>
  <c r="J63" i="16"/>
  <c r="K63" i="16"/>
  <c r="L63" i="16"/>
  <c r="M63" i="16"/>
  <c r="N63" i="16"/>
  <c r="O63" i="16"/>
  <c r="H64" i="16"/>
  <c r="I64" i="16" s="1"/>
  <c r="J64" i="16"/>
  <c r="K64" i="16"/>
  <c r="L64" i="16"/>
  <c r="M64" i="16"/>
  <c r="N64" i="16"/>
  <c r="O64" i="16"/>
  <c r="H65" i="16"/>
  <c r="I65" i="16" s="1"/>
  <c r="J65" i="16"/>
  <c r="K65" i="16"/>
  <c r="L65" i="16"/>
  <c r="M65" i="16"/>
  <c r="N65" i="16"/>
  <c r="O65" i="16"/>
  <c r="H66" i="16"/>
  <c r="I66" i="16" s="1"/>
  <c r="J66" i="16"/>
  <c r="K66" i="16"/>
  <c r="L66" i="16"/>
  <c r="M66" i="16"/>
  <c r="N66" i="16"/>
  <c r="O66" i="16"/>
  <c r="H67" i="16"/>
  <c r="I67" i="16" s="1"/>
  <c r="J67" i="16"/>
  <c r="K67" i="16"/>
  <c r="L67" i="16"/>
  <c r="M67" i="16"/>
  <c r="N67" i="16"/>
  <c r="O67" i="16"/>
  <c r="H68" i="16"/>
  <c r="I68" i="16" s="1"/>
  <c r="J68" i="16"/>
  <c r="K68" i="16"/>
  <c r="L68" i="16"/>
  <c r="M68" i="16"/>
  <c r="N68" i="16"/>
  <c r="O68" i="16"/>
  <c r="H69" i="16"/>
  <c r="I69" i="16" s="1"/>
  <c r="J69" i="16"/>
  <c r="K69" i="16"/>
  <c r="L69" i="16"/>
  <c r="M69" i="16"/>
  <c r="N69" i="16"/>
  <c r="O69" i="16"/>
  <c r="H70" i="16"/>
  <c r="I70" i="16" s="1"/>
  <c r="J70" i="16"/>
  <c r="K70" i="16"/>
  <c r="L70" i="16"/>
  <c r="M70" i="16"/>
  <c r="N70" i="16"/>
  <c r="O70" i="16"/>
  <c r="H71" i="16"/>
  <c r="I71" i="16" s="1"/>
  <c r="J71" i="16"/>
  <c r="K71" i="16"/>
  <c r="L71" i="16"/>
  <c r="M71" i="16"/>
  <c r="N71" i="16"/>
  <c r="O71" i="16"/>
  <c r="H72" i="16"/>
  <c r="I72" i="16" s="1"/>
  <c r="J72" i="16"/>
  <c r="K72" i="16"/>
  <c r="L72" i="16"/>
  <c r="M72" i="16"/>
  <c r="N72" i="16"/>
  <c r="O72" i="16"/>
  <c r="H73" i="16"/>
  <c r="I73" i="16" s="1"/>
  <c r="J73" i="16"/>
  <c r="K73" i="16"/>
  <c r="L73" i="16"/>
  <c r="M73" i="16"/>
  <c r="N73" i="16"/>
  <c r="O73" i="16"/>
  <c r="H74" i="16"/>
  <c r="I74" i="16" s="1"/>
  <c r="J74" i="16"/>
  <c r="K74" i="16"/>
  <c r="L74" i="16"/>
  <c r="M74" i="16"/>
  <c r="N74" i="16"/>
  <c r="O74" i="16"/>
  <c r="H75" i="16"/>
  <c r="I75" i="16" s="1"/>
  <c r="J75" i="16"/>
  <c r="K75" i="16"/>
  <c r="L75" i="16"/>
  <c r="M75" i="16"/>
  <c r="N75" i="16"/>
  <c r="O75" i="16"/>
  <c r="H76" i="16"/>
  <c r="I76" i="16" s="1"/>
  <c r="J76" i="16"/>
  <c r="K76" i="16"/>
  <c r="L76" i="16"/>
  <c r="M76" i="16"/>
  <c r="N76" i="16"/>
  <c r="O76" i="16"/>
  <c r="H77" i="16"/>
  <c r="I77" i="16" s="1"/>
  <c r="J77" i="16"/>
  <c r="K77" i="16"/>
  <c r="L77" i="16"/>
  <c r="M77" i="16"/>
  <c r="N77" i="16"/>
  <c r="O77" i="16"/>
  <c r="H78" i="16"/>
  <c r="I78" i="16" s="1"/>
  <c r="J78" i="16"/>
  <c r="K78" i="16"/>
  <c r="L78" i="16"/>
  <c r="M78" i="16"/>
  <c r="N78" i="16"/>
  <c r="O78" i="16"/>
  <c r="H79" i="16"/>
  <c r="I79" i="16" s="1"/>
  <c r="J79" i="16"/>
  <c r="K79" i="16"/>
  <c r="L79" i="16"/>
  <c r="M79" i="16"/>
  <c r="N79" i="16"/>
  <c r="O79" i="16"/>
  <c r="H80" i="16"/>
  <c r="I80" i="16" s="1"/>
  <c r="J80" i="16"/>
  <c r="K80" i="16"/>
  <c r="L80" i="16"/>
  <c r="M80" i="16"/>
  <c r="N80" i="16"/>
  <c r="O80" i="16"/>
  <c r="H81" i="16"/>
  <c r="I81" i="16" s="1"/>
  <c r="J81" i="16"/>
  <c r="K81" i="16"/>
  <c r="L81" i="16"/>
  <c r="M81" i="16"/>
  <c r="N81" i="16"/>
  <c r="O81" i="16"/>
  <c r="H82" i="16"/>
  <c r="I82" i="16" s="1"/>
  <c r="J82" i="16"/>
  <c r="K82" i="16"/>
  <c r="L82" i="16"/>
  <c r="M82" i="16"/>
  <c r="N82" i="16"/>
  <c r="O82" i="16"/>
  <c r="H83" i="16"/>
  <c r="I83" i="16" s="1"/>
  <c r="J83" i="16"/>
  <c r="K83" i="16"/>
  <c r="L83" i="16"/>
  <c r="M83" i="16"/>
  <c r="N83" i="16"/>
  <c r="O83" i="16"/>
  <c r="H84" i="16"/>
  <c r="I84" i="16" s="1"/>
  <c r="J84" i="16"/>
  <c r="K84" i="16"/>
  <c r="L84" i="16"/>
  <c r="M84" i="16"/>
  <c r="N84" i="16"/>
  <c r="O84" i="16"/>
  <c r="H85" i="16"/>
  <c r="I85" i="16" s="1"/>
  <c r="J85" i="16"/>
  <c r="K85" i="16"/>
  <c r="L85" i="16"/>
  <c r="M85" i="16"/>
  <c r="N85" i="16"/>
  <c r="O85" i="16"/>
  <c r="H86" i="16"/>
  <c r="I86" i="16" s="1"/>
  <c r="J86" i="16"/>
  <c r="K86" i="16"/>
  <c r="L86" i="16"/>
  <c r="M86" i="16"/>
  <c r="N86" i="16"/>
  <c r="O86" i="16"/>
  <c r="H87" i="16"/>
  <c r="I87" i="16" s="1"/>
  <c r="J87" i="16"/>
  <c r="K87" i="16"/>
  <c r="L87" i="16"/>
  <c r="M87" i="16"/>
  <c r="N87" i="16"/>
  <c r="O87" i="16"/>
  <c r="H88" i="16"/>
  <c r="I88" i="16" s="1"/>
  <c r="J88" i="16"/>
  <c r="K88" i="16"/>
  <c r="L88" i="16"/>
  <c r="M88" i="16"/>
  <c r="N88" i="16"/>
  <c r="O88" i="16"/>
  <c r="H89" i="16"/>
  <c r="I89" i="16" s="1"/>
  <c r="J89" i="16"/>
  <c r="K89" i="16"/>
  <c r="L89" i="16"/>
  <c r="M89" i="16"/>
  <c r="N89" i="16"/>
  <c r="O89" i="16"/>
  <c r="H90" i="16"/>
  <c r="I90" i="16" s="1"/>
  <c r="J90" i="16"/>
  <c r="K90" i="16"/>
  <c r="L90" i="16"/>
  <c r="M90" i="16"/>
  <c r="N90" i="16"/>
  <c r="O90" i="16"/>
  <c r="H91" i="16"/>
  <c r="I91" i="16" s="1"/>
  <c r="J91" i="16"/>
  <c r="K91" i="16"/>
  <c r="L91" i="16"/>
  <c r="M91" i="16"/>
  <c r="N91" i="16"/>
  <c r="O91" i="16"/>
  <c r="H92" i="16"/>
  <c r="I92" i="16" s="1"/>
  <c r="J92" i="16"/>
  <c r="K92" i="16"/>
  <c r="L92" i="16"/>
  <c r="M92" i="16"/>
  <c r="N92" i="16"/>
  <c r="O92" i="16"/>
  <c r="H93" i="16"/>
  <c r="I93" i="16" s="1"/>
  <c r="J93" i="16"/>
  <c r="K93" i="16"/>
  <c r="L93" i="16"/>
  <c r="M93" i="16"/>
  <c r="N93" i="16"/>
  <c r="O93" i="16"/>
  <c r="H94" i="16"/>
  <c r="I94" i="16" s="1"/>
  <c r="J94" i="16"/>
  <c r="K94" i="16"/>
  <c r="L94" i="16"/>
  <c r="M94" i="16"/>
  <c r="N94" i="16"/>
  <c r="O94" i="16"/>
  <c r="H95" i="16"/>
  <c r="I95" i="16" s="1"/>
  <c r="J95" i="16"/>
  <c r="K95" i="16"/>
  <c r="L95" i="16"/>
  <c r="M95" i="16"/>
  <c r="N95" i="16"/>
  <c r="O95" i="16"/>
  <c r="H96" i="16"/>
  <c r="I96" i="16" s="1"/>
  <c r="J96" i="16"/>
  <c r="K96" i="16"/>
  <c r="L96" i="16"/>
  <c r="M96" i="16"/>
  <c r="N96" i="16"/>
  <c r="O96" i="16"/>
  <c r="H97" i="16"/>
  <c r="I97" i="16" s="1"/>
  <c r="J97" i="16"/>
  <c r="K97" i="16"/>
  <c r="L97" i="16"/>
  <c r="M97" i="16"/>
  <c r="N97" i="16"/>
  <c r="O97" i="16"/>
  <c r="H98" i="16"/>
  <c r="I98" i="16" s="1"/>
  <c r="J98" i="16"/>
  <c r="K98" i="16"/>
  <c r="L98" i="16"/>
  <c r="M98" i="16"/>
  <c r="N98" i="16"/>
  <c r="O98" i="16"/>
  <c r="H99" i="16"/>
  <c r="I99" i="16" s="1"/>
  <c r="J99" i="16"/>
  <c r="K99" i="16"/>
  <c r="L99" i="16"/>
  <c r="M99" i="16"/>
  <c r="N99" i="16"/>
  <c r="O99" i="16"/>
  <c r="H100" i="16"/>
  <c r="I100" i="16" s="1"/>
  <c r="J100" i="16"/>
  <c r="K100" i="16"/>
  <c r="L100" i="16"/>
  <c r="M100" i="16"/>
  <c r="N100" i="16"/>
  <c r="O100" i="16"/>
  <c r="H101" i="16"/>
  <c r="I101" i="16" s="1"/>
  <c r="J101" i="16"/>
  <c r="K101" i="16"/>
  <c r="L101" i="16"/>
  <c r="M101" i="16"/>
  <c r="N101" i="16"/>
  <c r="O101" i="16"/>
  <c r="H102" i="16"/>
  <c r="I102" i="16" s="1"/>
  <c r="J102" i="16"/>
  <c r="K102" i="16"/>
  <c r="L102" i="16"/>
  <c r="M102" i="16"/>
  <c r="N102" i="16"/>
  <c r="O102" i="16"/>
  <c r="H103" i="16"/>
  <c r="I103" i="16" s="1"/>
  <c r="J103" i="16"/>
  <c r="K103" i="16"/>
  <c r="L103" i="16"/>
  <c r="M103" i="16"/>
  <c r="N103" i="16"/>
  <c r="O103" i="16"/>
  <c r="H104" i="16"/>
  <c r="I104" i="16" s="1"/>
  <c r="J104" i="16"/>
  <c r="K104" i="16"/>
  <c r="L104" i="16"/>
  <c r="M104" i="16"/>
  <c r="N104" i="16"/>
  <c r="O104" i="16"/>
  <c r="H105" i="16"/>
  <c r="I105" i="16" s="1"/>
  <c r="J105" i="16"/>
  <c r="K105" i="16"/>
  <c r="L105" i="16"/>
  <c r="M105" i="16"/>
  <c r="N105" i="16"/>
  <c r="O105" i="16"/>
  <c r="H106" i="16"/>
  <c r="I106" i="16" s="1"/>
  <c r="J106" i="16"/>
  <c r="K106" i="16"/>
  <c r="L106" i="16"/>
  <c r="M106" i="16"/>
  <c r="N106" i="16"/>
  <c r="O106" i="16"/>
  <c r="H107" i="16"/>
  <c r="I107" i="16" s="1"/>
  <c r="J107" i="16"/>
  <c r="K107" i="16"/>
  <c r="L107" i="16"/>
  <c r="M107" i="16"/>
  <c r="N107" i="16"/>
  <c r="O107" i="16"/>
  <c r="H108" i="16"/>
  <c r="I108" i="16" s="1"/>
  <c r="J108" i="16"/>
  <c r="K108" i="16"/>
  <c r="L108" i="16"/>
  <c r="M108" i="16"/>
  <c r="N108" i="16"/>
  <c r="O108" i="16"/>
  <c r="H109" i="16"/>
  <c r="I109" i="16" s="1"/>
  <c r="J109" i="16"/>
  <c r="K109" i="16"/>
  <c r="L109" i="16"/>
  <c r="M109" i="16"/>
  <c r="N109" i="16"/>
  <c r="O109" i="16"/>
  <c r="H110" i="16"/>
  <c r="I110" i="16" s="1"/>
  <c r="J110" i="16"/>
  <c r="K110" i="16"/>
  <c r="L110" i="16"/>
  <c r="M110" i="16"/>
  <c r="N110" i="16"/>
  <c r="O110" i="16"/>
  <c r="H111" i="16"/>
  <c r="I111" i="16" s="1"/>
  <c r="J111" i="16"/>
  <c r="K111" i="16"/>
  <c r="L111" i="16"/>
  <c r="M111" i="16"/>
  <c r="N111" i="16"/>
  <c r="O111" i="16"/>
  <c r="H112" i="16"/>
  <c r="I112" i="16" s="1"/>
  <c r="J112" i="16"/>
  <c r="K112" i="16"/>
  <c r="L112" i="16"/>
  <c r="M112" i="16"/>
  <c r="N112" i="16"/>
  <c r="O112" i="16"/>
  <c r="H113" i="16"/>
  <c r="I113" i="16" s="1"/>
  <c r="J113" i="16"/>
  <c r="K113" i="16"/>
  <c r="L113" i="16"/>
  <c r="M113" i="16"/>
  <c r="N113" i="16"/>
  <c r="O113" i="16"/>
  <c r="H114" i="16"/>
  <c r="I114" i="16" s="1"/>
  <c r="J114" i="16"/>
  <c r="K114" i="16"/>
  <c r="L114" i="16"/>
  <c r="M114" i="16"/>
  <c r="N114" i="16"/>
  <c r="O114" i="16"/>
  <c r="H115" i="16"/>
  <c r="I115" i="16" s="1"/>
  <c r="J115" i="16"/>
  <c r="K115" i="16"/>
  <c r="L115" i="16"/>
  <c r="M115" i="16"/>
  <c r="N115" i="16"/>
  <c r="O115" i="16"/>
  <c r="H116" i="16"/>
  <c r="I116" i="16" s="1"/>
  <c r="J116" i="16"/>
  <c r="K116" i="16"/>
  <c r="L116" i="16"/>
  <c r="M116" i="16"/>
  <c r="N116" i="16"/>
  <c r="O116" i="16"/>
  <c r="H117" i="16"/>
  <c r="I117" i="16" s="1"/>
  <c r="J117" i="16"/>
  <c r="K117" i="16"/>
  <c r="L117" i="16"/>
  <c r="M117" i="16"/>
  <c r="N117" i="16"/>
  <c r="O117" i="16"/>
  <c r="H118" i="16"/>
  <c r="I118" i="16" s="1"/>
  <c r="J118" i="16"/>
  <c r="K118" i="16"/>
  <c r="L118" i="16"/>
  <c r="M118" i="16"/>
  <c r="N118" i="16"/>
  <c r="O118" i="16"/>
  <c r="H119" i="16"/>
  <c r="I119" i="16" s="1"/>
  <c r="J119" i="16"/>
  <c r="K119" i="16"/>
  <c r="L119" i="16"/>
  <c r="M119" i="16"/>
  <c r="N119" i="16"/>
  <c r="O119" i="16"/>
  <c r="H120" i="16"/>
  <c r="I120" i="16" s="1"/>
  <c r="J120" i="16"/>
  <c r="K120" i="16"/>
  <c r="L120" i="16"/>
  <c r="M120" i="16"/>
  <c r="N120" i="16"/>
  <c r="O120" i="16"/>
  <c r="H121" i="16"/>
  <c r="I121" i="16" s="1"/>
  <c r="J121" i="16"/>
  <c r="K121" i="16"/>
  <c r="L121" i="16"/>
  <c r="M121" i="16"/>
  <c r="N121" i="16"/>
  <c r="O121" i="16"/>
  <c r="H122" i="16"/>
  <c r="I122" i="16" s="1"/>
  <c r="J122" i="16"/>
  <c r="K122" i="16"/>
  <c r="L122" i="16"/>
  <c r="M122" i="16"/>
  <c r="N122" i="16"/>
  <c r="O122" i="16"/>
  <c r="H123" i="16"/>
  <c r="I123" i="16" s="1"/>
  <c r="J123" i="16"/>
  <c r="K123" i="16"/>
  <c r="L123" i="16"/>
  <c r="M123" i="16"/>
  <c r="N123" i="16"/>
  <c r="O123" i="16"/>
  <c r="H124" i="16"/>
  <c r="I124" i="16" s="1"/>
  <c r="J124" i="16"/>
  <c r="K124" i="16"/>
  <c r="L124" i="16"/>
  <c r="M124" i="16"/>
  <c r="N124" i="16"/>
  <c r="O124" i="16"/>
  <c r="H125" i="16"/>
  <c r="I125" i="16" s="1"/>
  <c r="J125" i="16"/>
  <c r="K125" i="16"/>
  <c r="L125" i="16"/>
  <c r="M125" i="16"/>
  <c r="N125" i="16"/>
  <c r="O125" i="16"/>
  <c r="H126" i="16"/>
  <c r="I126" i="16" s="1"/>
  <c r="J126" i="16"/>
  <c r="K126" i="16"/>
  <c r="L126" i="16"/>
  <c r="M126" i="16"/>
  <c r="N126" i="16"/>
  <c r="O126" i="16"/>
  <c r="H127" i="16"/>
  <c r="I127" i="16" s="1"/>
  <c r="J127" i="16"/>
  <c r="K127" i="16"/>
  <c r="L127" i="16"/>
  <c r="M127" i="16"/>
  <c r="N127" i="16"/>
  <c r="O127" i="16"/>
  <c r="H128" i="16"/>
  <c r="I128" i="16" s="1"/>
  <c r="J128" i="16"/>
  <c r="K128" i="16"/>
  <c r="L128" i="16"/>
  <c r="M128" i="16"/>
  <c r="N128" i="16"/>
  <c r="O128" i="16"/>
  <c r="H129" i="16"/>
  <c r="I129" i="16" s="1"/>
  <c r="J129" i="16"/>
  <c r="K129" i="16"/>
  <c r="L129" i="16"/>
  <c r="M129" i="16"/>
  <c r="N129" i="16"/>
  <c r="O129" i="16"/>
  <c r="H130" i="16"/>
  <c r="I130" i="16" s="1"/>
  <c r="J130" i="16"/>
  <c r="K130" i="16"/>
  <c r="L130" i="16"/>
  <c r="M130" i="16"/>
  <c r="N130" i="16"/>
  <c r="O130" i="16"/>
  <c r="H131" i="16"/>
  <c r="I131" i="16" s="1"/>
  <c r="J131" i="16"/>
  <c r="K131" i="16"/>
  <c r="L131" i="16"/>
  <c r="M131" i="16"/>
  <c r="N131" i="16"/>
  <c r="O131" i="16"/>
  <c r="H132" i="16"/>
  <c r="I132" i="16" s="1"/>
  <c r="J132" i="16"/>
  <c r="K132" i="16"/>
  <c r="L132" i="16"/>
  <c r="M132" i="16"/>
  <c r="N132" i="16"/>
  <c r="O132" i="16"/>
  <c r="H133" i="16"/>
  <c r="I133" i="16" s="1"/>
  <c r="J133" i="16"/>
  <c r="K133" i="16"/>
  <c r="L133" i="16"/>
  <c r="M133" i="16"/>
  <c r="N133" i="16"/>
  <c r="O133" i="16"/>
  <c r="H134" i="16"/>
  <c r="I134" i="16" s="1"/>
  <c r="J134" i="16"/>
  <c r="K134" i="16"/>
  <c r="L134" i="16"/>
  <c r="M134" i="16"/>
  <c r="N134" i="16"/>
  <c r="O134" i="16"/>
  <c r="H135" i="16"/>
  <c r="I135" i="16" s="1"/>
  <c r="J135" i="16"/>
  <c r="K135" i="16"/>
  <c r="L135" i="16"/>
  <c r="M135" i="16"/>
  <c r="N135" i="16"/>
  <c r="O135" i="16"/>
  <c r="H136" i="16"/>
  <c r="I136" i="16" s="1"/>
  <c r="J136" i="16"/>
  <c r="K136" i="16"/>
  <c r="L136" i="16"/>
  <c r="M136" i="16"/>
  <c r="N136" i="16"/>
  <c r="O136" i="16"/>
  <c r="H137" i="16"/>
  <c r="I137" i="16" s="1"/>
  <c r="J137" i="16"/>
  <c r="K137" i="16"/>
  <c r="L137" i="16"/>
  <c r="M137" i="16"/>
  <c r="N137" i="16"/>
  <c r="O137" i="16"/>
  <c r="H138" i="16"/>
  <c r="I138" i="16" s="1"/>
  <c r="J138" i="16"/>
  <c r="K138" i="16"/>
  <c r="L138" i="16"/>
  <c r="M138" i="16"/>
  <c r="N138" i="16"/>
  <c r="O138" i="16"/>
  <c r="H139" i="16"/>
  <c r="I139" i="16" s="1"/>
  <c r="J139" i="16"/>
  <c r="K139" i="16"/>
  <c r="L139" i="16"/>
  <c r="M139" i="16"/>
  <c r="N139" i="16"/>
  <c r="O139" i="16"/>
  <c r="H140" i="16"/>
  <c r="I140" i="16" s="1"/>
  <c r="J140" i="16"/>
  <c r="K140" i="16"/>
  <c r="L140" i="16"/>
  <c r="M140" i="16"/>
  <c r="N140" i="16"/>
  <c r="O140" i="16"/>
  <c r="H141" i="16"/>
  <c r="I141" i="16" s="1"/>
  <c r="J141" i="16"/>
  <c r="K141" i="16"/>
  <c r="L141" i="16"/>
  <c r="M141" i="16"/>
  <c r="N141" i="16"/>
  <c r="O141" i="16"/>
  <c r="H142" i="16"/>
  <c r="I142" i="16" s="1"/>
  <c r="J142" i="16"/>
  <c r="K142" i="16"/>
  <c r="L142" i="16"/>
  <c r="M142" i="16"/>
  <c r="N142" i="16"/>
  <c r="O142" i="16"/>
  <c r="H143" i="16"/>
  <c r="I143" i="16" s="1"/>
  <c r="J143" i="16"/>
  <c r="K143" i="16"/>
  <c r="L143" i="16"/>
  <c r="M143" i="16"/>
  <c r="N143" i="16"/>
  <c r="O143" i="16"/>
  <c r="H144" i="16"/>
  <c r="I144" i="16" s="1"/>
  <c r="J144" i="16"/>
  <c r="K144" i="16"/>
  <c r="L144" i="16"/>
  <c r="M144" i="16"/>
  <c r="N144" i="16"/>
  <c r="O144" i="16"/>
  <c r="H145" i="16"/>
  <c r="I145" i="16" s="1"/>
  <c r="J145" i="16"/>
  <c r="K145" i="16"/>
  <c r="L145" i="16"/>
  <c r="M145" i="16"/>
  <c r="N145" i="16"/>
  <c r="O145" i="16"/>
  <c r="H146" i="16"/>
  <c r="I146" i="16" s="1"/>
  <c r="J146" i="16"/>
  <c r="K146" i="16"/>
  <c r="L146" i="16"/>
  <c r="M146" i="16"/>
  <c r="N146" i="16"/>
  <c r="O146" i="16"/>
  <c r="H147" i="16"/>
  <c r="I147" i="16" s="1"/>
  <c r="J147" i="16"/>
  <c r="K147" i="16"/>
  <c r="L147" i="16"/>
  <c r="M147" i="16"/>
  <c r="N147" i="16"/>
  <c r="O147" i="16"/>
  <c r="H148" i="16"/>
  <c r="I148" i="16" s="1"/>
  <c r="J148" i="16"/>
  <c r="K148" i="16"/>
  <c r="L148" i="16"/>
  <c r="M148" i="16"/>
  <c r="N148" i="16"/>
  <c r="O148" i="16"/>
  <c r="H149" i="16"/>
  <c r="I149" i="16" s="1"/>
  <c r="J149" i="16"/>
  <c r="K149" i="16"/>
  <c r="L149" i="16"/>
  <c r="M149" i="16"/>
  <c r="N149" i="16"/>
  <c r="O149" i="16"/>
  <c r="H150" i="16"/>
  <c r="I150" i="16" s="1"/>
  <c r="J150" i="16"/>
  <c r="K150" i="16"/>
  <c r="L150" i="16"/>
  <c r="M150" i="16"/>
  <c r="N150" i="16"/>
  <c r="O150" i="16"/>
  <c r="H151" i="16"/>
  <c r="I151" i="16" s="1"/>
  <c r="J151" i="16"/>
  <c r="K151" i="16"/>
  <c r="L151" i="16"/>
  <c r="M151" i="16"/>
  <c r="N151" i="16"/>
  <c r="O151" i="16"/>
  <c r="H152" i="16"/>
  <c r="I152" i="16" s="1"/>
  <c r="J152" i="16"/>
  <c r="K152" i="16"/>
  <c r="L152" i="16"/>
  <c r="M152" i="16"/>
  <c r="N152" i="16"/>
  <c r="O152" i="16"/>
  <c r="H153" i="16"/>
  <c r="I153" i="16" s="1"/>
  <c r="J153" i="16"/>
  <c r="K153" i="16"/>
  <c r="L153" i="16"/>
  <c r="M153" i="16"/>
  <c r="N153" i="16"/>
  <c r="O153" i="16"/>
  <c r="H154" i="16"/>
  <c r="I154" i="16" s="1"/>
  <c r="J154" i="16"/>
  <c r="K154" i="16"/>
  <c r="L154" i="16"/>
  <c r="M154" i="16"/>
  <c r="N154" i="16"/>
  <c r="O154" i="16"/>
  <c r="H155" i="16"/>
  <c r="I155" i="16" s="1"/>
  <c r="J155" i="16"/>
  <c r="K155" i="16"/>
  <c r="L155" i="16"/>
  <c r="M155" i="16"/>
  <c r="N155" i="16"/>
  <c r="O155" i="16"/>
  <c r="H156" i="16"/>
  <c r="I156" i="16" s="1"/>
  <c r="J156" i="16"/>
  <c r="K156" i="16"/>
  <c r="L156" i="16"/>
  <c r="M156" i="16"/>
  <c r="N156" i="16"/>
  <c r="O156" i="16"/>
  <c r="H157" i="16"/>
  <c r="I157" i="16" s="1"/>
  <c r="J157" i="16"/>
  <c r="K157" i="16"/>
  <c r="L157" i="16"/>
  <c r="M157" i="16"/>
  <c r="N157" i="16"/>
  <c r="O157" i="16"/>
  <c r="H158" i="16"/>
  <c r="I158" i="16" s="1"/>
  <c r="J158" i="16"/>
  <c r="K158" i="16"/>
  <c r="L158" i="16"/>
  <c r="M158" i="16"/>
  <c r="N158" i="16"/>
  <c r="O158" i="16"/>
  <c r="H159" i="16"/>
  <c r="I159" i="16" s="1"/>
  <c r="J159" i="16"/>
  <c r="K159" i="16"/>
  <c r="L159" i="16"/>
  <c r="M159" i="16"/>
  <c r="N159" i="16"/>
  <c r="O159" i="16"/>
  <c r="H160" i="16"/>
  <c r="I160" i="16" s="1"/>
  <c r="J160" i="16"/>
  <c r="K160" i="16"/>
  <c r="L160" i="16"/>
  <c r="M160" i="16"/>
  <c r="N160" i="16"/>
  <c r="O160" i="16"/>
  <c r="H161" i="16"/>
  <c r="I161" i="16" s="1"/>
  <c r="J161" i="16"/>
  <c r="K161" i="16"/>
  <c r="L161" i="16"/>
  <c r="M161" i="16"/>
  <c r="N161" i="16"/>
  <c r="O161" i="16"/>
  <c r="H162" i="16"/>
  <c r="I162" i="16" s="1"/>
  <c r="J162" i="16"/>
  <c r="K162" i="16"/>
  <c r="L162" i="16"/>
  <c r="M162" i="16"/>
  <c r="N162" i="16"/>
  <c r="O162" i="16"/>
  <c r="H163" i="16"/>
  <c r="I163" i="16" s="1"/>
  <c r="J163" i="16"/>
  <c r="K163" i="16"/>
  <c r="L163" i="16"/>
  <c r="M163" i="16"/>
  <c r="N163" i="16"/>
  <c r="O163" i="16"/>
  <c r="H164" i="16"/>
  <c r="I164" i="16" s="1"/>
  <c r="J164" i="16"/>
  <c r="K164" i="16"/>
  <c r="L164" i="16"/>
  <c r="M164" i="16"/>
  <c r="N164" i="16"/>
  <c r="O164" i="16"/>
  <c r="H165" i="16"/>
  <c r="I165" i="16" s="1"/>
  <c r="J165" i="16"/>
  <c r="K165" i="16"/>
  <c r="L165" i="16"/>
  <c r="M165" i="16"/>
  <c r="N165" i="16"/>
  <c r="O165" i="16"/>
  <c r="H166" i="16"/>
  <c r="I166" i="16" s="1"/>
  <c r="J166" i="16"/>
  <c r="K166" i="16"/>
  <c r="L166" i="16"/>
  <c r="M166" i="16"/>
  <c r="N166" i="16"/>
  <c r="O166" i="16"/>
  <c r="H167" i="16"/>
  <c r="I167" i="16" s="1"/>
  <c r="J167" i="16"/>
  <c r="K167" i="16"/>
  <c r="L167" i="16"/>
  <c r="M167" i="16"/>
  <c r="N167" i="16"/>
  <c r="O167" i="16"/>
  <c r="H168" i="16"/>
  <c r="I168" i="16" s="1"/>
  <c r="J168" i="16"/>
  <c r="K168" i="16"/>
  <c r="L168" i="16"/>
  <c r="M168" i="16"/>
  <c r="N168" i="16"/>
  <c r="O168" i="16"/>
  <c r="H169" i="16"/>
  <c r="I169" i="16" s="1"/>
  <c r="J169" i="16"/>
  <c r="K169" i="16"/>
  <c r="L169" i="16"/>
  <c r="M169" i="16"/>
  <c r="N169" i="16"/>
  <c r="O169" i="16"/>
  <c r="H170" i="16"/>
  <c r="I170" i="16" s="1"/>
  <c r="J170" i="16"/>
  <c r="K170" i="16"/>
  <c r="L170" i="16"/>
  <c r="M170" i="16"/>
  <c r="N170" i="16"/>
  <c r="O170" i="16"/>
  <c r="H171" i="16"/>
  <c r="I171" i="16" s="1"/>
  <c r="J171" i="16"/>
  <c r="K171" i="16"/>
  <c r="L171" i="16"/>
  <c r="M171" i="16"/>
  <c r="N171" i="16"/>
  <c r="O171" i="16"/>
  <c r="H172" i="16"/>
  <c r="I172" i="16" s="1"/>
  <c r="J172" i="16"/>
  <c r="K172" i="16"/>
  <c r="L172" i="16"/>
  <c r="M172" i="16"/>
  <c r="N172" i="16"/>
  <c r="O172" i="16"/>
  <c r="H173" i="16"/>
  <c r="I173" i="16" s="1"/>
  <c r="J173" i="16"/>
  <c r="K173" i="16"/>
  <c r="L173" i="16"/>
  <c r="M173" i="16"/>
  <c r="N173" i="16"/>
  <c r="O173" i="16"/>
  <c r="H174" i="16"/>
  <c r="I174" i="16" s="1"/>
  <c r="J174" i="16"/>
  <c r="K174" i="16"/>
  <c r="L174" i="16"/>
  <c r="M174" i="16"/>
  <c r="N174" i="16"/>
  <c r="O174" i="16"/>
  <c r="H175" i="16"/>
  <c r="I175" i="16" s="1"/>
  <c r="J175" i="16"/>
  <c r="K175" i="16"/>
  <c r="L175" i="16"/>
  <c r="M175" i="16"/>
  <c r="N175" i="16"/>
  <c r="O175" i="16"/>
  <c r="H176" i="16"/>
  <c r="I176" i="16" s="1"/>
  <c r="J176" i="16"/>
  <c r="K176" i="16"/>
  <c r="L176" i="16"/>
  <c r="M176" i="16"/>
  <c r="N176" i="16"/>
  <c r="O176" i="16"/>
  <c r="H177" i="16"/>
  <c r="I177" i="16" s="1"/>
  <c r="J177" i="16"/>
  <c r="K177" i="16"/>
  <c r="L177" i="16"/>
  <c r="M177" i="16"/>
  <c r="N177" i="16"/>
  <c r="O177" i="16"/>
  <c r="H178" i="16"/>
  <c r="I178" i="16" s="1"/>
  <c r="J178" i="16"/>
  <c r="K178" i="16"/>
  <c r="L178" i="16"/>
  <c r="M178" i="16"/>
  <c r="N178" i="16"/>
  <c r="O178" i="16"/>
  <c r="H179" i="16"/>
  <c r="I179" i="16" s="1"/>
  <c r="J179" i="16"/>
  <c r="K179" i="16"/>
  <c r="L179" i="16"/>
  <c r="M179" i="16"/>
  <c r="N179" i="16"/>
  <c r="O179" i="16"/>
  <c r="H180" i="16"/>
  <c r="I180" i="16" s="1"/>
  <c r="J180" i="16"/>
  <c r="K180" i="16"/>
  <c r="L180" i="16"/>
  <c r="M180" i="16"/>
  <c r="N180" i="16"/>
  <c r="O180" i="16"/>
  <c r="H181" i="16"/>
  <c r="I181" i="16" s="1"/>
  <c r="J181" i="16"/>
  <c r="K181" i="16"/>
  <c r="L181" i="16"/>
  <c r="M181" i="16"/>
  <c r="N181" i="16"/>
  <c r="O181" i="16"/>
  <c r="H182" i="16"/>
  <c r="I182" i="16" s="1"/>
  <c r="J182" i="16"/>
  <c r="K182" i="16"/>
  <c r="L182" i="16"/>
  <c r="M182" i="16"/>
  <c r="N182" i="16"/>
  <c r="O182" i="16"/>
  <c r="H183" i="16"/>
  <c r="I183" i="16" s="1"/>
  <c r="J183" i="16"/>
  <c r="K183" i="16"/>
  <c r="L183" i="16"/>
  <c r="M183" i="16"/>
  <c r="N183" i="16"/>
  <c r="O183" i="16"/>
  <c r="H184" i="16"/>
  <c r="I184" i="16" s="1"/>
  <c r="J184" i="16"/>
  <c r="K184" i="16"/>
  <c r="L184" i="16"/>
  <c r="M184" i="16"/>
  <c r="N184" i="16"/>
  <c r="O184" i="16"/>
  <c r="H185" i="16"/>
  <c r="I185" i="16" s="1"/>
  <c r="J185" i="16"/>
  <c r="K185" i="16"/>
  <c r="L185" i="16"/>
  <c r="M185" i="16"/>
  <c r="N185" i="16"/>
  <c r="O185" i="16"/>
  <c r="O5" i="16"/>
  <c r="N5" i="16"/>
  <c r="L5" i="16"/>
  <c r="K5" i="16"/>
  <c r="H7" i="17"/>
  <c r="I7" i="17" s="1"/>
  <c r="K7" i="17"/>
  <c r="L7" i="17"/>
  <c r="N7" i="17"/>
  <c r="O7" i="17"/>
  <c r="H9" i="17"/>
  <c r="I9" i="17" s="1"/>
  <c r="K9" i="17"/>
  <c r="L9" i="17"/>
  <c r="N9" i="17"/>
  <c r="O9" i="17"/>
  <c r="H10" i="17"/>
  <c r="I10" i="17" s="1"/>
  <c r="K10" i="17"/>
  <c r="L10" i="17"/>
  <c r="N10" i="17"/>
  <c r="O10" i="17"/>
  <c r="H11" i="17"/>
  <c r="I11" i="17" s="1"/>
  <c r="K11" i="17"/>
  <c r="L11" i="17"/>
  <c r="N11" i="17"/>
  <c r="O11" i="17"/>
  <c r="H12" i="17"/>
  <c r="I12" i="17" s="1"/>
  <c r="K12" i="17"/>
  <c r="L12" i="17"/>
  <c r="N12" i="17"/>
  <c r="O12" i="17"/>
  <c r="H13" i="17"/>
  <c r="I13" i="17" s="1"/>
  <c r="J13" i="17"/>
  <c r="K13" i="17"/>
  <c r="L13" i="17"/>
  <c r="M13" i="17"/>
  <c r="N13" i="17"/>
  <c r="O13" i="17"/>
  <c r="H14" i="17"/>
  <c r="I14" i="17" s="1"/>
  <c r="J14" i="17"/>
  <c r="K14" i="17"/>
  <c r="L14" i="17"/>
  <c r="M14" i="17"/>
  <c r="N14" i="17"/>
  <c r="O14" i="17"/>
  <c r="H15" i="17"/>
  <c r="I15" i="17" s="1"/>
  <c r="J15" i="17"/>
  <c r="K15" i="17"/>
  <c r="L15" i="17"/>
  <c r="M15" i="17"/>
  <c r="N15" i="17"/>
  <c r="O15" i="17"/>
  <c r="H16" i="17"/>
  <c r="I16" i="17" s="1"/>
  <c r="J16" i="17"/>
  <c r="K16" i="17"/>
  <c r="L16" i="17"/>
  <c r="M16" i="17"/>
  <c r="N16" i="17"/>
  <c r="O16" i="17"/>
  <c r="H17" i="17"/>
  <c r="I17" i="17" s="1"/>
  <c r="J17" i="17"/>
  <c r="K17" i="17"/>
  <c r="L17" i="17"/>
  <c r="M17" i="17"/>
  <c r="N17" i="17"/>
  <c r="O17" i="17"/>
  <c r="H18" i="17"/>
  <c r="I18" i="17" s="1"/>
  <c r="J18" i="17"/>
  <c r="K18" i="17"/>
  <c r="L18" i="17"/>
  <c r="M18" i="17"/>
  <c r="N18" i="17"/>
  <c r="O18" i="17"/>
  <c r="H19" i="17"/>
  <c r="I19" i="17" s="1"/>
  <c r="J19" i="17"/>
  <c r="K19" i="17"/>
  <c r="L19" i="17"/>
  <c r="M19" i="17"/>
  <c r="N19" i="17"/>
  <c r="O19" i="17"/>
  <c r="H20" i="17"/>
  <c r="I20" i="17" s="1"/>
  <c r="J20" i="17"/>
  <c r="K20" i="17"/>
  <c r="L20" i="17"/>
  <c r="M20" i="17"/>
  <c r="N20" i="17"/>
  <c r="O20" i="17"/>
  <c r="H21" i="17"/>
  <c r="I21" i="17" s="1"/>
  <c r="J21" i="17"/>
  <c r="K21" i="17"/>
  <c r="L21" i="17"/>
  <c r="M21" i="17"/>
  <c r="N21" i="17"/>
  <c r="O21" i="17"/>
  <c r="H22" i="17"/>
  <c r="I22" i="17" s="1"/>
  <c r="J22" i="17"/>
  <c r="K22" i="17"/>
  <c r="L22" i="17"/>
  <c r="M22" i="17"/>
  <c r="N22" i="17"/>
  <c r="O22" i="17"/>
  <c r="H23" i="17"/>
  <c r="I23" i="17" s="1"/>
  <c r="J23" i="17"/>
  <c r="K23" i="17"/>
  <c r="L23" i="17"/>
  <c r="M23" i="17"/>
  <c r="N23" i="17"/>
  <c r="O23" i="17"/>
  <c r="H24" i="17"/>
  <c r="I24" i="17" s="1"/>
  <c r="J24" i="17"/>
  <c r="K24" i="17"/>
  <c r="L24" i="17"/>
  <c r="M24" i="17"/>
  <c r="N24" i="17"/>
  <c r="O24" i="17"/>
  <c r="H25" i="17"/>
  <c r="I25" i="17" s="1"/>
  <c r="J25" i="17"/>
  <c r="K25" i="17"/>
  <c r="L25" i="17"/>
  <c r="M25" i="17"/>
  <c r="N25" i="17"/>
  <c r="O25" i="17"/>
  <c r="H26" i="17"/>
  <c r="I26" i="17" s="1"/>
  <c r="J26" i="17"/>
  <c r="K26" i="17"/>
  <c r="L26" i="17"/>
  <c r="M26" i="17"/>
  <c r="N26" i="17"/>
  <c r="O26" i="17"/>
  <c r="H27" i="17"/>
  <c r="I27" i="17" s="1"/>
  <c r="J27" i="17"/>
  <c r="K27" i="17"/>
  <c r="L27" i="17"/>
  <c r="M27" i="17"/>
  <c r="N27" i="17"/>
  <c r="O27" i="17"/>
  <c r="H28" i="17"/>
  <c r="I28" i="17" s="1"/>
  <c r="J28" i="17"/>
  <c r="K28" i="17"/>
  <c r="L28" i="17"/>
  <c r="M28" i="17"/>
  <c r="N28" i="17"/>
  <c r="O28" i="17"/>
  <c r="H29" i="17"/>
  <c r="I29" i="17" s="1"/>
  <c r="J29" i="17"/>
  <c r="K29" i="17"/>
  <c r="L29" i="17"/>
  <c r="M29" i="17"/>
  <c r="N29" i="17"/>
  <c r="O29" i="17"/>
  <c r="H30" i="17"/>
  <c r="I30" i="17" s="1"/>
  <c r="J30" i="17"/>
  <c r="K30" i="17"/>
  <c r="L30" i="17"/>
  <c r="M30" i="17"/>
  <c r="N30" i="17"/>
  <c r="O30" i="17"/>
  <c r="H31" i="17"/>
  <c r="I31" i="17" s="1"/>
  <c r="J31" i="17"/>
  <c r="K31" i="17"/>
  <c r="L31" i="17"/>
  <c r="M31" i="17"/>
  <c r="N31" i="17"/>
  <c r="O31" i="17"/>
  <c r="H32" i="17"/>
  <c r="I32" i="17" s="1"/>
  <c r="J32" i="17"/>
  <c r="K32" i="17"/>
  <c r="L32" i="17"/>
  <c r="M32" i="17"/>
  <c r="N32" i="17"/>
  <c r="O32" i="17"/>
  <c r="H33" i="17"/>
  <c r="I33" i="17" s="1"/>
  <c r="J33" i="17"/>
  <c r="K33" i="17"/>
  <c r="L33" i="17"/>
  <c r="M33" i="17"/>
  <c r="N33" i="17"/>
  <c r="O33" i="17"/>
  <c r="H34" i="17"/>
  <c r="I34" i="17" s="1"/>
  <c r="J34" i="17"/>
  <c r="K34" i="17"/>
  <c r="L34" i="17"/>
  <c r="M34" i="17"/>
  <c r="N34" i="17"/>
  <c r="O34" i="17"/>
  <c r="H35" i="17"/>
  <c r="I35" i="17" s="1"/>
  <c r="J35" i="17"/>
  <c r="K35" i="17"/>
  <c r="L35" i="17"/>
  <c r="M35" i="17"/>
  <c r="N35" i="17"/>
  <c r="O35" i="17"/>
  <c r="H36" i="17"/>
  <c r="I36" i="17" s="1"/>
  <c r="J36" i="17"/>
  <c r="K36" i="17"/>
  <c r="L36" i="17"/>
  <c r="M36" i="17"/>
  <c r="N36" i="17"/>
  <c r="O36" i="17"/>
  <c r="H37" i="17"/>
  <c r="I37" i="17" s="1"/>
  <c r="J37" i="17"/>
  <c r="K37" i="17"/>
  <c r="L37" i="17"/>
  <c r="M37" i="17"/>
  <c r="N37" i="17"/>
  <c r="O37" i="17"/>
  <c r="H38" i="17"/>
  <c r="I38" i="17" s="1"/>
  <c r="J38" i="17"/>
  <c r="K38" i="17"/>
  <c r="L38" i="17"/>
  <c r="M38" i="17"/>
  <c r="N38" i="17"/>
  <c r="O38" i="17"/>
  <c r="H39" i="17"/>
  <c r="I39" i="17" s="1"/>
  <c r="J39" i="17"/>
  <c r="K39" i="17"/>
  <c r="L39" i="17"/>
  <c r="M39" i="17"/>
  <c r="N39" i="17"/>
  <c r="O39" i="17"/>
  <c r="H40" i="17"/>
  <c r="I40" i="17" s="1"/>
  <c r="J40" i="17"/>
  <c r="K40" i="17"/>
  <c r="L40" i="17"/>
  <c r="M40" i="17"/>
  <c r="N40" i="17"/>
  <c r="O40" i="17"/>
  <c r="H41" i="17"/>
  <c r="I41" i="17" s="1"/>
  <c r="J41" i="17"/>
  <c r="K41" i="17"/>
  <c r="L41" i="17"/>
  <c r="M41" i="17"/>
  <c r="N41" i="17"/>
  <c r="O41" i="17"/>
  <c r="H42" i="17"/>
  <c r="I42" i="17" s="1"/>
  <c r="J42" i="17"/>
  <c r="K42" i="17"/>
  <c r="L42" i="17"/>
  <c r="M42" i="17"/>
  <c r="N42" i="17"/>
  <c r="O42" i="17"/>
  <c r="H43" i="17"/>
  <c r="I43" i="17" s="1"/>
  <c r="J43" i="17"/>
  <c r="K43" i="17"/>
  <c r="L43" i="17"/>
  <c r="M43" i="17"/>
  <c r="N43" i="17"/>
  <c r="O43" i="17"/>
  <c r="H44" i="17"/>
  <c r="I44" i="17" s="1"/>
  <c r="J44" i="17"/>
  <c r="K44" i="17"/>
  <c r="L44" i="17"/>
  <c r="M44" i="17"/>
  <c r="N44" i="17"/>
  <c r="O44" i="17"/>
  <c r="H45" i="17"/>
  <c r="I45" i="17" s="1"/>
  <c r="J45" i="17"/>
  <c r="K45" i="17"/>
  <c r="L45" i="17"/>
  <c r="M45" i="17"/>
  <c r="N45" i="17"/>
  <c r="O45" i="17"/>
  <c r="H46" i="17"/>
  <c r="I46" i="17" s="1"/>
  <c r="J46" i="17"/>
  <c r="K46" i="17"/>
  <c r="L46" i="17"/>
  <c r="M46" i="17"/>
  <c r="N46" i="17"/>
  <c r="O46" i="17"/>
  <c r="H47" i="17"/>
  <c r="I47" i="17" s="1"/>
  <c r="J47" i="17"/>
  <c r="K47" i="17"/>
  <c r="L47" i="17"/>
  <c r="M47" i="17"/>
  <c r="N47" i="17"/>
  <c r="O47" i="17"/>
  <c r="H48" i="17"/>
  <c r="I48" i="17" s="1"/>
  <c r="J48" i="17"/>
  <c r="K48" i="17"/>
  <c r="L48" i="17"/>
  <c r="M48" i="17"/>
  <c r="N48" i="17"/>
  <c r="O48" i="17"/>
  <c r="H49" i="17"/>
  <c r="I49" i="17" s="1"/>
  <c r="J49" i="17"/>
  <c r="K49" i="17"/>
  <c r="L49" i="17"/>
  <c r="M49" i="17"/>
  <c r="N49" i="17"/>
  <c r="O49" i="17"/>
  <c r="H50" i="17"/>
  <c r="I50" i="17" s="1"/>
  <c r="J50" i="17"/>
  <c r="K50" i="17"/>
  <c r="L50" i="17"/>
  <c r="M50" i="17"/>
  <c r="N50" i="17"/>
  <c r="O50" i="17"/>
  <c r="H51" i="17"/>
  <c r="I51" i="17" s="1"/>
  <c r="J51" i="17"/>
  <c r="K51" i="17"/>
  <c r="L51" i="17"/>
  <c r="M51" i="17"/>
  <c r="N51" i="17"/>
  <c r="O51" i="17"/>
  <c r="H52" i="17"/>
  <c r="I52" i="17" s="1"/>
  <c r="J52" i="17"/>
  <c r="K52" i="17"/>
  <c r="L52" i="17"/>
  <c r="M52" i="17"/>
  <c r="N52" i="17"/>
  <c r="O52" i="17"/>
  <c r="H53" i="17"/>
  <c r="I53" i="17" s="1"/>
  <c r="J53" i="17"/>
  <c r="K53" i="17"/>
  <c r="L53" i="17"/>
  <c r="M53" i="17"/>
  <c r="N53" i="17"/>
  <c r="O53" i="17"/>
  <c r="H54" i="17"/>
  <c r="I54" i="17" s="1"/>
  <c r="J54" i="17"/>
  <c r="K54" i="17"/>
  <c r="L54" i="17"/>
  <c r="M54" i="17"/>
  <c r="N54" i="17"/>
  <c r="O54" i="17"/>
  <c r="H55" i="17"/>
  <c r="I55" i="17" s="1"/>
  <c r="J55" i="17"/>
  <c r="K55" i="17"/>
  <c r="L55" i="17"/>
  <c r="M55" i="17"/>
  <c r="N55" i="17"/>
  <c r="O55" i="17"/>
  <c r="H56" i="17"/>
  <c r="I56" i="17" s="1"/>
  <c r="J56" i="17"/>
  <c r="K56" i="17"/>
  <c r="L56" i="17"/>
  <c r="M56" i="17"/>
  <c r="N56" i="17"/>
  <c r="O56" i="17"/>
  <c r="H57" i="17"/>
  <c r="I57" i="17" s="1"/>
  <c r="J57" i="17"/>
  <c r="K57" i="17"/>
  <c r="L57" i="17"/>
  <c r="M57" i="17"/>
  <c r="N57" i="17"/>
  <c r="O57" i="17"/>
  <c r="H58" i="17"/>
  <c r="I58" i="17" s="1"/>
  <c r="J58" i="17"/>
  <c r="K58" i="17"/>
  <c r="L58" i="17"/>
  <c r="M58" i="17"/>
  <c r="N58" i="17"/>
  <c r="O58" i="17"/>
  <c r="H59" i="17"/>
  <c r="I59" i="17" s="1"/>
  <c r="J59" i="17"/>
  <c r="K59" i="17"/>
  <c r="L59" i="17"/>
  <c r="M59" i="17"/>
  <c r="N59" i="17"/>
  <c r="O59" i="17"/>
  <c r="H60" i="17"/>
  <c r="I60" i="17" s="1"/>
  <c r="J60" i="17"/>
  <c r="K60" i="17"/>
  <c r="L60" i="17"/>
  <c r="M60" i="17"/>
  <c r="N60" i="17"/>
  <c r="O60" i="17"/>
  <c r="H61" i="17"/>
  <c r="I61" i="17" s="1"/>
  <c r="J61" i="17"/>
  <c r="K61" i="17"/>
  <c r="L61" i="17"/>
  <c r="M61" i="17"/>
  <c r="N61" i="17"/>
  <c r="O61" i="17"/>
  <c r="B3" i="2" a="1"/>
  <c r="B3" i="2" s="1"/>
  <c r="D2" i="2"/>
  <c r="E2" i="2"/>
  <c r="E3" i="2" a="1"/>
  <c r="E3" i="2" s="1"/>
  <c r="D3" i="2" a="1"/>
  <c r="D3" i="2" s="1"/>
  <c r="I4" i="5"/>
  <c r="J4" i="5"/>
  <c r="O187" i="17"/>
  <c r="N187" i="17"/>
  <c r="M187" i="17"/>
  <c r="L187" i="17"/>
  <c r="K187" i="17"/>
  <c r="J187" i="17"/>
  <c r="H187" i="17"/>
  <c r="I187" i="17" s="1"/>
  <c r="O186" i="17"/>
  <c r="N186" i="17"/>
  <c r="M186" i="17"/>
  <c r="L186" i="17"/>
  <c r="K186" i="17"/>
  <c r="J186" i="17"/>
  <c r="H186" i="17"/>
  <c r="I186" i="17" s="1"/>
  <c r="H93" i="8"/>
  <c r="I93" i="8"/>
  <c r="H94" i="8"/>
  <c r="I94" i="8"/>
  <c r="H95" i="8"/>
  <c r="I95" i="8"/>
  <c r="H96" i="8"/>
  <c r="I96" i="8"/>
  <c r="H97" i="8"/>
  <c r="I97" i="8"/>
  <c r="H98" i="8"/>
  <c r="I98" i="8"/>
  <c r="H99" i="8"/>
  <c r="I99" i="8"/>
  <c r="H100" i="8"/>
  <c r="I100" i="8"/>
  <c r="H101" i="8"/>
  <c r="I101" i="8"/>
  <c r="H102" i="8"/>
  <c r="I102" i="8"/>
  <c r="H103" i="8"/>
  <c r="I103" i="8"/>
  <c r="H104" i="8"/>
  <c r="I104" i="8"/>
  <c r="H105" i="8"/>
  <c r="I105" i="8"/>
  <c r="H106" i="8"/>
  <c r="I106" i="8"/>
  <c r="H107" i="8"/>
  <c r="I107" i="8"/>
  <c r="H108" i="8"/>
  <c r="I108" i="8"/>
  <c r="H109" i="8"/>
  <c r="I109" i="8"/>
  <c r="H110" i="8"/>
  <c r="I110" i="8"/>
  <c r="H111" i="8"/>
  <c r="I111" i="8"/>
  <c r="H112" i="8"/>
  <c r="I112" i="8"/>
  <c r="H113" i="8"/>
  <c r="I113" i="8"/>
  <c r="H114" i="8"/>
  <c r="I114" i="8"/>
  <c r="H115" i="8"/>
  <c r="I115" i="8"/>
  <c r="H116" i="8"/>
  <c r="I116" i="8"/>
  <c r="H117" i="8"/>
  <c r="I117" i="8"/>
  <c r="H118" i="8"/>
  <c r="I118" i="8"/>
  <c r="H119" i="8"/>
  <c r="I119" i="8"/>
  <c r="H120" i="8"/>
  <c r="I120" i="8"/>
  <c r="H121" i="8"/>
  <c r="I121" i="8"/>
  <c r="H122" i="8"/>
  <c r="I122" i="8"/>
  <c r="H123" i="8"/>
  <c r="I123" i="8"/>
  <c r="H124" i="8"/>
  <c r="I124" i="8"/>
  <c r="H125" i="8"/>
  <c r="I125" i="8"/>
  <c r="H126" i="8"/>
  <c r="I126" i="8"/>
  <c r="H127" i="8"/>
  <c r="I127" i="8"/>
  <c r="H164" i="8"/>
  <c r="I164" i="8"/>
  <c r="H165" i="8"/>
  <c r="I165" i="8"/>
  <c r="H166" i="8"/>
  <c r="I166" i="8"/>
  <c r="H167" i="8"/>
  <c r="I167" i="8"/>
  <c r="H168" i="8"/>
  <c r="I168" i="8"/>
  <c r="H169" i="8"/>
  <c r="I169" i="8"/>
  <c r="H170" i="8"/>
  <c r="I170" i="8"/>
  <c r="H171" i="8"/>
  <c r="I171" i="8"/>
  <c r="H172" i="8"/>
  <c r="I172" i="8"/>
  <c r="H173" i="8"/>
  <c r="I173" i="8"/>
  <c r="H174" i="8"/>
  <c r="I174" i="8"/>
  <c r="H175" i="8"/>
  <c r="I175" i="8"/>
  <c r="H176" i="8"/>
  <c r="I176" i="8"/>
  <c r="H177" i="8"/>
  <c r="I177" i="8"/>
  <c r="H178" i="8"/>
  <c r="I178" i="8"/>
  <c r="H179" i="8"/>
  <c r="I179" i="8"/>
  <c r="H180" i="8"/>
  <c r="I180" i="8"/>
  <c r="H181" i="8"/>
  <c r="I181" i="8"/>
  <c r="H182" i="8"/>
  <c r="I182" i="8"/>
  <c r="H183" i="8"/>
  <c r="I183" i="8"/>
  <c r="H184" i="8"/>
  <c r="I184" i="8"/>
  <c r="H185" i="8"/>
  <c r="I185" i="8"/>
  <c r="H186" i="8"/>
  <c r="I186" i="8"/>
  <c r="H187" i="8"/>
  <c r="I187" i="8"/>
  <c r="H188" i="8"/>
  <c r="I188" i="8"/>
  <c r="H189" i="8"/>
  <c r="I189" i="8"/>
  <c r="H190" i="8"/>
  <c r="I190" i="8"/>
  <c r="H191" i="8"/>
  <c r="I191" i="8"/>
  <c r="H192" i="8"/>
  <c r="I192" i="8"/>
  <c r="H193" i="8"/>
  <c r="I193" i="8"/>
  <c r="H194" i="8"/>
  <c r="I194" i="8"/>
  <c r="H195" i="8"/>
  <c r="I195" i="8"/>
  <c r="H196" i="8"/>
  <c r="I196" i="8"/>
  <c r="H197" i="8"/>
  <c r="I197" i="8"/>
  <c r="H198" i="8"/>
  <c r="I198" i="8"/>
  <c r="H199" i="8"/>
  <c r="I199" i="8"/>
  <c r="H3" i="8"/>
  <c r="I3" i="8"/>
  <c r="H4" i="8"/>
  <c r="I4" i="8"/>
  <c r="H5" i="8"/>
  <c r="I5" i="8"/>
  <c r="H6" i="8"/>
  <c r="I6" i="8"/>
  <c r="H7" i="8"/>
  <c r="I7" i="8"/>
  <c r="H8" i="8"/>
  <c r="I8" i="8"/>
  <c r="H9" i="8"/>
  <c r="I9" i="8"/>
  <c r="H10" i="8"/>
  <c r="I10" i="8"/>
  <c r="H11" i="8"/>
  <c r="I11" i="8"/>
  <c r="H12" i="8"/>
  <c r="I12" i="8"/>
  <c r="H13" i="8"/>
  <c r="I13" i="8"/>
  <c r="H14" i="8"/>
  <c r="I14" i="8"/>
  <c r="H15" i="8"/>
  <c r="I15" i="8"/>
  <c r="H16" i="8"/>
  <c r="I16" i="8"/>
  <c r="H17" i="8"/>
  <c r="I17" i="8"/>
  <c r="H18" i="8"/>
  <c r="I18" i="8"/>
  <c r="H19" i="8"/>
  <c r="I19" i="8"/>
  <c r="H20" i="8"/>
  <c r="I20" i="8"/>
  <c r="H21" i="8"/>
  <c r="I21" i="8"/>
  <c r="H22" i="8"/>
  <c r="I22" i="8"/>
  <c r="H23" i="8"/>
  <c r="I23" i="8"/>
  <c r="H24" i="8"/>
  <c r="I24" i="8"/>
  <c r="H25" i="8"/>
  <c r="I25" i="8"/>
  <c r="H26" i="8"/>
  <c r="I26" i="8"/>
  <c r="H27" i="8"/>
  <c r="I27" i="8"/>
  <c r="H28" i="8"/>
  <c r="I28" i="8"/>
  <c r="H29" i="8"/>
  <c r="I29" i="8"/>
  <c r="H30" i="8"/>
  <c r="I30" i="8"/>
  <c r="H31" i="8"/>
  <c r="I31" i="8"/>
  <c r="H32" i="8"/>
  <c r="I32" i="8"/>
  <c r="H33" i="8"/>
  <c r="I33" i="8"/>
  <c r="H34" i="8"/>
  <c r="I34" i="8"/>
  <c r="H35" i="8"/>
  <c r="I35" i="8"/>
  <c r="H36" i="8"/>
  <c r="I36" i="8"/>
  <c r="H37" i="8"/>
  <c r="I37" i="8"/>
  <c r="H38" i="8"/>
  <c r="I38" i="8"/>
  <c r="H39" i="8"/>
  <c r="I39" i="8"/>
  <c r="H40" i="8"/>
  <c r="I40" i="8"/>
  <c r="H41" i="8"/>
  <c r="I41" i="8"/>
  <c r="H42" i="8"/>
  <c r="I42" i="8"/>
  <c r="H43" i="8"/>
  <c r="I43" i="8"/>
  <c r="H44" i="8"/>
  <c r="I44" i="8"/>
  <c r="H45" i="8"/>
  <c r="I45" i="8"/>
  <c r="H46" i="8"/>
  <c r="I46" i="8"/>
  <c r="H47" i="8"/>
  <c r="I47" i="8"/>
  <c r="H48" i="8"/>
  <c r="I48" i="8"/>
  <c r="H49" i="8"/>
  <c r="I49" i="8"/>
  <c r="H50" i="8"/>
  <c r="I50" i="8"/>
  <c r="H51" i="8"/>
  <c r="I51" i="8"/>
  <c r="H52" i="8"/>
  <c r="I52" i="8"/>
  <c r="H53" i="8"/>
  <c r="I53" i="8"/>
  <c r="H54" i="8"/>
  <c r="I54" i="8"/>
  <c r="H55" i="8"/>
  <c r="I55" i="8"/>
  <c r="H56" i="8"/>
  <c r="I56" i="8"/>
  <c r="H57" i="8"/>
  <c r="I57" i="8"/>
  <c r="H58" i="8"/>
  <c r="I58" i="8"/>
  <c r="H59" i="8"/>
  <c r="I59" i="8"/>
  <c r="H60" i="8"/>
  <c r="I60" i="8"/>
  <c r="H61" i="8"/>
  <c r="I61" i="8"/>
  <c r="H62" i="8"/>
  <c r="I62" i="8"/>
  <c r="H63" i="8"/>
  <c r="I63" i="8"/>
  <c r="H64" i="8"/>
  <c r="I64" i="8"/>
  <c r="H65" i="8"/>
  <c r="I65" i="8"/>
  <c r="H66" i="8"/>
  <c r="I66" i="8"/>
  <c r="H67" i="8"/>
  <c r="I67" i="8"/>
  <c r="H68" i="8"/>
  <c r="I68" i="8"/>
  <c r="H69" i="8"/>
  <c r="I69" i="8"/>
  <c r="H70" i="8"/>
  <c r="I70" i="8"/>
  <c r="H71" i="8"/>
  <c r="I71" i="8"/>
  <c r="H72" i="8"/>
  <c r="I72" i="8"/>
  <c r="H73" i="8"/>
  <c r="I73" i="8"/>
  <c r="H74" i="8"/>
  <c r="I74" i="8"/>
  <c r="H75" i="8"/>
  <c r="I75" i="8"/>
  <c r="H76" i="8"/>
  <c r="I76" i="8"/>
  <c r="H77" i="8"/>
  <c r="I77" i="8"/>
  <c r="H78" i="8"/>
  <c r="I78" i="8"/>
  <c r="H79" i="8"/>
  <c r="I79" i="8"/>
  <c r="H80" i="8"/>
  <c r="I80" i="8"/>
  <c r="H81" i="8"/>
  <c r="I81" i="8"/>
  <c r="H82" i="8"/>
  <c r="I82" i="8"/>
  <c r="H83" i="8"/>
  <c r="I83" i="8"/>
  <c r="H84" i="8"/>
  <c r="I84" i="8"/>
  <c r="H85" i="8"/>
  <c r="I85" i="8"/>
  <c r="H86" i="8"/>
  <c r="I86" i="8"/>
  <c r="H87" i="8"/>
  <c r="I87" i="8"/>
  <c r="H88" i="8"/>
  <c r="I88" i="8"/>
  <c r="H89" i="8"/>
  <c r="I89" i="8"/>
  <c r="H90" i="8"/>
  <c r="I90" i="8"/>
  <c r="H91" i="8"/>
  <c r="I91" i="8"/>
  <c r="H128" i="8"/>
  <c r="I128" i="8"/>
  <c r="H129" i="8"/>
  <c r="I129" i="8"/>
  <c r="H130" i="8"/>
  <c r="I130" i="8"/>
  <c r="H131" i="8"/>
  <c r="I131" i="8"/>
  <c r="H132" i="8"/>
  <c r="I132" i="8"/>
  <c r="H133" i="8"/>
  <c r="I133" i="8"/>
  <c r="H134" i="8"/>
  <c r="I134" i="8"/>
  <c r="H135" i="8"/>
  <c r="I135" i="8"/>
  <c r="H136" i="8"/>
  <c r="I136" i="8"/>
  <c r="H137" i="8"/>
  <c r="I137" i="8"/>
  <c r="H138" i="8"/>
  <c r="I138" i="8"/>
  <c r="H139" i="8"/>
  <c r="I139" i="8"/>
  <c r="H140" i="8"/>
  <c r="I140" i="8"/>
  <c r="H141" i="8"/>
  <c r="I141" i="8"/>
  <c r="H142" i="8"/>
  <c r="I142" i="8"/>
  <c r="H143" i="8"/>
  <c r="I143" i="8"/>
  <c r="H144" i="8"/>
  <c r="I144" i="8"/>
  <c r="H145" i="8"/>
  <c r="I145" i="8"/>
  <c r="H146" i="8"/>
  <c r="I146" i="8"/>
  <c r="H147" i="8"/>
  <c r="I147" i="8"/>
  <c r="H148" i="8"/>
  <c r="I148" i="8"/>
  <c r="H149" i="8"/>
  <c r="I149" i="8"/>
  <c r="H150" i="8"/>
  <c r="I150" i="8"/>
  <c r="H151" i="8"/>
  <c r="I151" i="8"/>
  <c r="H152" i="8"/>
  <c r="I152" i="8"/>
  <c r="H153" i="8"/>
  <c r="I153" i="8"/>
  <c r="H154" i="8"/>
  <c r="I154" i="8"/>
  <c r="H155" i="8"/>
  <c r="I155" i="8"/>
  <c r="H156" i="8"/>
  <c r="I156" i="8"/>
  <c r="H157" i="8"/>
  <c r="I157" i="8"/>
  <c r="H158" i="8"/>
  <c r="I158" i="8"/>
  <c r="H159" i="8"/>
  <c r="I159" i="8"/>
  <c r="H160" i="8"/>
  <c r="I160" i="8"/>
  <c r="H161" i="8"/>
  <c r="I161" i="8"/>
  <c r="H162" i="8"/>
  <c r="I162" i="8"/>
  <c r="H163" i="8"/>
  <c r="I163" i="8"/>
  <c r="H200" i="8"/>
  <c r="I200" i="8"/>
  <c r="H201" i="8"/>
  <c r="I201" i="8"/>
  <c r="H202" i="8"/>
  <c r="I202" i="8"/>
  <c r="H203" i="8"/>
  <c r="I203" i="8"/>
  <c r="H204" i="8"/>
  <c r="I204" i="8"/>
  <c r="H205" i="8"/>
  <c r="I205" i="8"/>
  <c r="H206" i="8"/>
  <c r="I206" i="8"/>
  <c r="H207" i="8"/>
  <c r="I207" i="8"/>
  <c r="H208" i="8"/>
  <c r="I208" i="8"/>
  <c r="H209" i="8"/>
  <c r="I209" i="8"/>
  <c r="H210" i="8"/>
  <c r="I210" i="8"/>
  <c r="H211" i="8"/>
  <c r="I211" i="8"/>
  <c r="H212" i="8"/>
  <c r="I212" i="8"/>
  <c r="H213" i="8"/>
  <c r="I213" i="8"/>
  <c r="H214" i="8"/>
  <c r="I214" i="8"/>
  <c r="H215" i="8"/>
  <c r="I215" i="8"/>
  <c r="H216" i="8"/>
  <c r="I216" i="8"/>
  <c r="H217" i="8"/>
  <c r="I217" i="8"/>
  <c r="H218" i="8"/>
  <c r="I218" i="8"/>
  <c r="H219" i="8"/>
  <c r="I219" i="8"/>
  <c r="H220" i="8"/>
  <c r="I220" i="8"/>
  <c r="H221" i="8"/>
  <c r="I221" i="8"/>
  <c r="H222" i="8"/>
  <c r="I222" i="8"/>
  <c r="H223" i="8"/>
  <c r="I223" i="8"/>
  <c r="H224" i="8"/>
  <c r="I224" i="8"/>
  <c r="H225" i="8"/>
  <c r="I225" i="8"/>
  <c r="H226" i="8"/>
  <c r="I226" i="8"/>
  <c r="H227" i="8"/>
  <c r="I227" i="8"/>
  <c r="H228" i="8"/>
  <c r="I228" i="8"/>
  <c r="H229" i="8"/>
  <c r="I229" i="8"/>
  <c r="H230" i="8"/>
  <c r="I230" i="8"/>
  <c r="H231" i="8"/>
  <c r="I231" i="8"/>
  <c r="H232" i="8"/>
  <c r="I232" i="8"/>
  <c r="H233" i="8"/>
  <c r="I233" i="8"/>
  <c r="H234" i="8"/>
  <c r="I234" i="8"/>
  <c r="H235" i="8"/>
  <c r="I235" i="8"/>
  <c r="H236" i="8"/>
  <c r="I236" i="8"/>
  <c r="H237" i="8"/>
  <c r="I237" i="8"/>
  <c r="H238" i="8"/>
  <c r="I238" i="8"/>
  <c r="H239" i="8"/>
  <c r="I239" i="8"/>
  <c r="H240" i="8"/>
  <c r="I240" i="8"/>
  <c r="H241" i="8"/>
  <c r="I241" i="8"/>
  <c r="H242" i="8"/>
  <c r="I242" i="8"/>
  <c r="H243" i="8"/>
  <c r="I243" i="8"/>
  <c r="H244" i="8"/>
  <c r="I244" i="8"/>
  <c r="H245" i="8"/>
  <c r="I245" i="8"/>
  <c r="H246" i="8"/>
  <c r="I246" i="8"/>
  <c r="H247" i="8"/>
  <c r="I247" i="8"/>
  <c r="H248" i="8"/>
  <c r="I248" i="8"/>
  <c r="H249" i="8"/>
  <c r="I249" i="8"/>
  <c r="H250" i="8"/>
  <c r="I250" i="8"/>
  <c r="H251" i="8"/>
  <c r="I251" i="8"/>
  <c r="H252" i="8"/>
  <c r="I252" i="8"/>
  <c r="H253" i="8"/>
  <c r="I253" i="8"/>
  <c r="H254" i="8"/>
  <c r="I254" i="8"/>
  <c r="H255" i="8"/>
  <c r="I255" i="8"/>
  <c r="H256" i="8"/>
  <c r="I256" i="8"/>
  <c r="H257" i="8"/>
  <c r="I257" i="8"/>
  <c r="H258" i="8"/>
  <c r="I258" i="8"/>
  <c r="H259" i="8"/>
  <c r="I259" i="8"/>
  <c r="H260" i="8"/>
  <c r="I260" i="8"/>
  <c r="H261" i="8"/>
  <c r="I261" i="8"/>
  <c r="H262" i="8"/>
  <c r="I262" i="8"/>
  <c r="H263" i="8"/>
  <c r="I263" i="8"/>
  <c r="H264" i="8"/>
  <c r="I264" i="8"/>
  <c r="H265" i="8"/>
  <c r="I265" i="8"/>
  <c r="H266" i="8"/>
  <c r="I266" i="8"/>
  <c r="H267" i="8"/>
  <c r="I267" i="8"/>
  <c r="H268" i="8"/>
  <c r="I268" i="8"/>
  <c r="H269" i="8"/>
  <c r="I269" i="8"/>
  <c r="H270" i="8"/>
  <c r="I270" i="8"/>
  <c r="H271" i="8"/>
  <c r="I271" i="8"/>
  <c r="H272" i="8"/>
  <c r="I272" i="8"/>
  <c r="H273" i="8"/>
  <c r="I273" i="8"/>
  <c r="H274" i="8"/>
  <c r="I274" i="8"/>
  <c r="H275" i="8"/>
  <c r="I275" i="8"/>
  <c r="H276" i="8"/>
  <c r="I276" i="8"/>
  <c r="H277" i="8"/>
  <c r="I277" i="8"/>
  <c r="H278" i="8"/>
  <c r="I278" i="8"/>
  <c r="H279" i="8"/>
  <c r="I279" i="8"/>
  <c r="H280" i="8"/>
  <c r="I280" i="8"/>
  <c r="H281" i="8"/>
  <c r="I281" i="8"/>
  <c r="H282" i="8"/>
  <c r="I282" i="8"/>
  <c r="H283" i="8"/>
  <c r="I283" i="8"/>
  <c r="H284" i="8"/>
  <c r="I284" i="8"/>
  <c r="H285" i="8"/>
  <c r="I285" i="8"/>
  <c r="H286" i="8"/>
  <c r="I286" i="8"/>
  <c r="H287" i="8"/>
  <c r="I287" i="8"/>
  <c r="H288" i="8"/>
  <c r="I288" i="8"/>
  <c r="H289" i="8"/>
  <c r="I289" i="8"/>
  <c r="H290" i="8"/>
  <c r="I290" i="8"/>
  <c r="H291" i="8"/>
  <c r="I291" i="8"/>
  <c r="H292" i="8"/>
  <c r="I292" i="8"/>
  <c r="H293" i="8"/>
  <c r="I293" i="8"/>
  <c r="H294" i="8"/>
  <c r="I294" i="8"/>
  <c r="H295" i="8"/>
  <c r="I295" i="8"/>
  <c r="H296" i="8"/>
  <c r="I296" i="8"/>
  <c r="H297" i="8"/>
  <c r="I297" i="8"/>
  <c r="H298" i="8"/>
  <c r="I298" i="8"/>
  <c r="H299" i="8"/>
  <c r="I299" i="8"/>
  <c r="H300" i="8"/>
  <c r="I300" i="8"/>
  <c r="H301" i="8"/>
  <c r="I301" i="8"/>
  <c r="H302" i="8"/>
  <c r="I302" i="8"/>
  <c r="H303" i="8"/>
  <c r="I303" i="8"/>
  <c r="H304" i="8"/>
  <c r="I304" i="8"/>
  <c r="H305" i="8"/>
  <c r="I305" i="8"/>
  <c r="H306" i="8"/>
  <c r="I306" i="8"/>
  <c r="H307" i="8"/>
  <c r="I307" i="8"/>
  <c r="H308" i="8"/>
  <c r="I308" i="8"/>
  <c r="H309" i="8"/>
  <c r="I309" i="8"/>
  <c r="H310" i="8"/>
  <c r="I310" i="8"/>
  <c r="H311" i="8"/>
  <c r="I311" i="8"/>
  <c r="H312" i="8"/>
  <c r="I312" i="8"/>
  <c r="H313" i="8"/>
  <c r="I313" i="8"/>
  <c r="H314" i="8"/>
  <c r="I314" i="8"/>
  <c r="H315" i="8"/>
  <c r="I315" i="8"/>
  <c r="H316" i="8"/>
  <c r="I316" i="8"/>
  <c r="H317" i="8"/>
  <c r="I317" i="8"/>
  <c r="H318" i="8"/>
  <c r="I318" i="8"/>
  <c r="H319" i="8"/>
  <c r="I319" i="8"/>
  <c r="H320" i="8"/>
  <c r="I320" i="8"/>
  <c r="H321" i="8"/>
  <c r="I321" i="8"/>
  <c r="H322" i="8"/>
  <c r="I322" i="8"/>
  <c r="H323" i="8"/>
  <c r="I323" i="8"/>
  <c r="H324" i="8"/>
  <c r="I324" i="8"/>
  <c r="H325" i="8"/>
  <c r="I325" i="8"/>
  <c r="H326" i="8"/>
  <c r="I326" i="8"/>
  <c r="H327" i="8"/>
  <c r="I327" i="8"/>
  <c r="H328" i="8"/>
  <c r="I328" i="8"/>
  <c r="H329" i="8"/>
  <c r="I329" i="8"/>
  <c r="H330" i="8"/>
  <c r="I330" i="8"/>
  <c r="H331" i="8"/>
  <c r="I331" i="8"/>
  <c r="H332" i="8"/>
  <c r="I332" i="8"/>
  <c r="H333" i="8"/>
  <c r="I333" i="8"/>
  <c r="H334" i="8"/>
  <c r="I334" i="8"/>
  <c r="H335" i="8"/>
  <c r="I335" i="8"/>
  <c r="H336" i="8"/>
  <c r="I336" i="8"/>
  <c r="H337" i="8"/>
  <c r="I337" i="8"/>
  <c r="H338" i="8"/>
  <c r="I338" i="8"/>
  <c r="H339" i="8"/>
  <c r="I339" i="8"/>
  <c r="H340" i="8"/>
  <c r="I340" i="8"/>
  <c r="H341" i="8"/>
  <c r="I341" i="8"/>
  <c r="H342" i="8"/>
  <c r="I342" i="8"/>
  <c r="H343" i="8"/>
  <c r="I343" i="8"/>
  <c r="H344" i="8"/>
  <c r="I344" i="8"/>
  <c r="H345" i="8"/>
  <c r="I345" i="8"/>
  <c r="H346" i="8"/>
  <c r="I346" i="8"/>
  <c r="H347" i="8"/>
  <c r="I347" i="8"/>
  <c r="H348" i="8"/>
  <c r="I348" i="8"/>
  <c r="H349" i="8"/>
  <c r="I349" i="8"/>
  <c r="H350" i="8"/>
  <c r="I350" i="8"/>
  <c r="H351" i="8"/>
  <c r="I351" i="8"/>
  <c r="H352" i="8"/>
  <c r="I352" i="8"/>
  <c r="H353" i="8"/>
  <c r="I353" i="8"/>
  <c r="H354" i="8"/>
  <c r="I354" i="8"/>
  <c r="H355" i="8"/>
  <c r="I355" i="8"/>
  <c r="H356" i="8"/>
  <c r="I356" i="8"/>
  <c r="H357" i="8"/>
  <c r="I357" i="8"/>
  <c r="H358" i="8"/>
  <c r="I358" i="8"/>
  <c r="H359" i="8"/>
  <c r="I359" i="8"/>
  <c r="H360" i="8"/>
  <c r="I360" i="8"/>
  <c r="H361" i="8"/>
  <c r="I361" i="8"/>
  <c r="H362" i="8"/>
  <c r="I362" i="8"/>
  <c r="H363" i="8"/>
  <c r="I363" i="8"/>
  <c r="H364" i="8"/>
  <c r="I364" i="8"/>
  <c r="H365" i="8"/>
  <c r="I365" i="8"/>
  <c r="H366" i="8"/>
  <c r="I366" i="8"/>
  <c r="H367" i="8"/>
  <c r="I367" i="8"/>
  <c r="H368" i="8"/>
  <c r="I368" i="8"/>
  <c r="H369" i="8"/>
  <c r="I369" i="8"/>
  <c r="H370" i="8"/>
  <c r="I370" i="8"/>
  <c r="H371" i="8"/>
  <c r="I371" i="8"/>
  <c r="H372" i="8"/>
  <c r="I372" i="8"/>
  <c r="H373" i="8"/>
  <c r="I373" i="8"/>
  <c r="H374" i="8"/>
  <c r="I374" i="8"/>
  <c r="H375" i="8"/>
  <c r="I375" i="8"/>
  <c r="H376" i="8"/>
  <c r="I376" i="8"/>
  <c r="H377" i="8"/>
  <c r="I377" i="8"/>
  <c r="H378" i="8"/>
  <c r="I378" i="8"/>
  <c r="H379" i="8"/>
  <c r="I379" i="8"/>
  <c r="H380" i="8"/>
  <c r="I380" i="8"/>
  <c r="H381" i="8"/>
  <c r="I381" i="8"/>
  <c r="H382" i="8"/>
  <c r="I382" i="8"/>
  <c r="H383" i="8"/>
  <c r="I383" i="8"/>
  <c r="H384" i="8"/>
  <c r="I384" i="8"/>
  <c r="H385" i="8"/>
  <c r="I385" i="8"/>
  <c r="H386" i="8"/>
  <c r="I386" i="8"/>
  <c r="H387" i="8"/>
  <c r="I387" i="8"/>
  <c r="H388" i="8"/>
  <c r="I388" i="8"/>
  <c r="H389" i="8"/>
  <c r="I389" i="8"/>
  <c r="H390" i="8"/>
  <c r="I390" i="8"/>
  <c r="H391" i="8"/>
  <c r="I391" i="8"/>
  <c r="H392" i="8"/>
  <c r="I392" i="8"/>
  <c r="H393" i="8"/>
  <c r="I393" i="8"/>
  <c r="H394" i="8"/>
  <c r="I394" i="8"/>
  <c r="H395" i="8"/>
  <c r="I395" i="8"/>
  <c r="H396" i="8"/>
  <c r="I396" i="8"/>
  <c r="H397" i="8"/>
  <c r="I397" i="8"/>
  <c r="H398" i="8"/>
  <c r="I398" i="8"/>
  <c r="H399" i="8"/>
  <c r="I399" i="8"/>
  <c r="H400" i="8"/>
  <c r="I400" i="8"/>
  <c r="H401" i="8"/>
  <c r="I401" i="8"/>
  <c r="H402" i="8"/>
  <c r="I402" i="8"/>
  <c r="H403" i="8"/>
  <c r="I403" i="8"/>
  <c r="H404" i="8"/>
  <c r="I404" i="8"/>
  <c r="H405" i="8"/>
  <c r="I405" i="8"/>
  <c r="H406" i="8"/>
  <c r="I406" i="8"/>
  <c r="H407" i="8"/>
  <c r="I407" i="8"/>
  <c r="H408" i="8"/>
  <c r="I408" i="8"/>
  <c r="H409" i="8"/>
  <c r="I409" i="8"/>
  <c r="H410" i="8"/>
  <c r="I410" i="8"/>
  <c r="H411" i="8"/>
  <c r="I411" i="8"/>
  <c r="H412" i="8"/>
  <c r="I412" i="8"/>
  <c r="H413" i="8"/>
  <c r="I413" i="8"/>
  <c r="H414" i="8"/>
  <c r="I414" i="8"/>
  <c r="H415" i="8"/>
  <c r="I415" i="8"/>
  <c r="H416" i="8"/>
  <c r="I416" i="8"/>
  <c r="H417" i="8"/>
  <c r="I417" i="8"/>
  <c r="H418" i="8"/>
  <c r="I418" i="8"/>
  <c r="H419" i="8"/>
  <c r="I419" i="8"/>
  <c r="H420" i="8"/>
  <c r="I420" i="8"/>
  <c r="H421" i="8"/>
  <c r="I421" i="8"/>
  <c r="H422" i="8"/>
  <c r="I422" i="8"/>
  <c r="H423" i="8"/>
  <c r="I423" i="8"/>
  <c r="H424" i="8"/>
  <c r="I424" i="8"/>
  <c r="H425" i="8"/>
  <c r="I425" i="8"/>
  <c r="H426" i="8"/>
  <c r="I426" i="8"/>
  <c r="H427" i="8"/>
  <c r="I427" i="8"/>
  <c r="H428" i="8"/>
  <c r="I428" i="8"/>
  <c r="H429" i="8"/>
  <c r="I429" i="8"/>
  <c r="H430" i="8"/>
  <c r="I430" i="8"/>
  <c r="H431" i="8"/>
  <c r="I431" i="8"/>
  <c r="H432" i="8"/>
  <c r="I432" i="8"/>
  <c r="H433" i="8"/>
  <c r="I433" i="8"/>
  <c r="H434" i="8"/>
  <c r="I434" i="8"/>
  <c r="H435" i="8"/>
  <c r="I435" i="8"/>
  <c r="H436" i="8"/>
  <c r="I436" i="8"/>
  <c r="H437" i="8"/>
  <c r="I437" i="8"/>
  <c r="H438" i="8"/>
  <c r="I438" i="8"/>
  <c r="H439" i="8"/>
  <c r="I439" i="8"/>
  <c r="H440" i="8"/>
  <c r="I440" i="8"/>
  <c r="H441" i="8"/>
  <c r="I441" i="8"/>
  <c r="H442" i="8"/>
  <c r="I442" i="8"/>
  <c r="H443" i="8"/>
  <c r="I443" i="8"/>
  <c r="H444" i="8"/>
  <c r="I444" i="8"/>
  <c r="H445" i="8"/>
  <c r="I445" i="8"/>
  <c r="H446" i="8"/>
  <c r="I446" i="8"/>
  <c r="H447" i="8"/>
  <c r="I447" i="8"/>
  <c r="H448" i="8"/>
  <c r="I448" i="8"/>
  <c r="H449" i="8"/>
  <c r="I449" i="8"/>
  <c r="H450" i="8"/>
  <c r="I450" i="8"/>
  <c r="H451" i="8"/>
  <c r="I451" i="8"/>
  <c r="H452" i="8"/>
  <c r="I452" i="8"/>
  <c r="H453" i="8"/>
  <c r="I453" i="8"/>
  <c r="H454" i="8"/>
  <c r="I454" i="8"/>
  <c r="H455" i="8"/>
  <c r="I455" i="8"/>
  <c r="H456" i="8"/>
  <c r="I456" i="8"/>
  <c r="H457" i="8"/>
  <c r="I457" i="8"/>
  <c r="H458" i="8"/>
  <c r="I458" i="8"/>
  <c r="H459" i="8"/>
  <c r="I459" i="8"/>
  <c r="H460" i="8"/>
  <c r="I460" i="8"/>
  <c r="H461" i="8"/>
  <c r="I461" i="8"/>
  <c r="H462" i="8"/>
  <c r="I462" i="8"/>
  <c r="H463" i="8"/>
  <c r="I463" i="8"/>
  <c r="H464" i="8"/>
  <c r="I464" i="8"/>
  <c r="H465" i="8"/>
  <c r="I465" i="8"/>
  <c r="H466" i="8"/>
  <c r="I466" i="8"/>
  <c r="H467" i="8"/>
  <c r="I467" i="8"/>
  <c r="H468" i="8"/>
  <c r="I468" i="8"/>
  <c r="H469" i="8"/>
  <c r="I469" i="8"/>
  <c r="H470" i="8"/>
  <c r="I470" i="8"/>
  <c r="H471" i="8"/>
  <c r="I471" i="8"/>
  <c r="H472" i="8"/>
  <c r="I472" i="8"/>
  <c r="H473" i="8"/>
  <c r="I473" i="8"/>
  <c r="H474" i="8"/>
  <c r="I474" i="8"/>
  <c r="H475" i="8"/>
  <c r="I475" i="8"/>
  <c r="H476" i="8"/>
  <c r="I476" i="8"/>
  <c r="H477" i="8"/>
  <c r="I477" i="8"/>
  <c r="H478" i="8"/>
  <c r="I478" i="8"/>
  <c r="H479" i="8"/>
  <c r="I479" i="8"/>
  <c r="H480" i="8"/>
  <c r="I480" i="8"/>
  <c r="H481" i="8"/>
  <c r="I481" i="8"/>
  <c r="H482" i="8"/>
  <c r="I482" i="8"/>
  <c r="H483" i="8"/>
  <c r="I483" i="8"/>
  <c r="H484" i="8"/>
  <c r="I484" i="8"/>
  <c r="H485" i="8"/>
  <c r="I485" i="8"/>
  <c r="H486" i="8"/>
  <c r="I486" i="8"/>
  <c r="H487" i="8"/>
  <c r="I487" i="8"/>
  <c r="H488" i="8"/>
  <c r="I488" i="8"/>
  <c r="H489" i="8"/>
  <c r="I489" i="8"/>
  <c r="H490" i="8"/>
  <c r="I490" i="8"/>
  <c r="H491" i="8"/>
  <c r="I491" i="8"/>
  <c r="H492" i="8"/>
  <c r="I492" i="8"/>
  <c r="H493" i="8"/>
  <c r="I493" i="8"/>
  <c r="H494" i="8"/>
  <c r="I494" i="8"/>
  <c r="H495" i="8"/>
  <c r="I495" i="8"/>
  <c r="H496" i="8"/>
  <c r="I496" i="8"/>
  <c r="H497" i="8"/>
  <c r="I497" i="8"/>
  <c r="H498" i="8"/>
  <c r="I498" i="8"/>
  <c r="H499" i="8"/>
  <c r="I499" i="8"/>
  <c r="H500" i="8"/>
  <c r="I500" i="8"/>
  <c r="H501" i="8"/>
  <c r="I501" i="8"/>
  <c r="H502" i="8"/>
  <c r="I502" i="8"/>
  <c r="H503" i="8"/>
  <c r="I503" i="8"/>
  <c r="H504" i="8"/>
  <c r="I504" i="8"/>
  <c r="H505" i="8"/>
  <c r="I505" i="8"/>
  <c r="H506" i="8"/>
  <c r="I506" i="8"/>
  <c r="H507" i="8"/>
  <c r="I507" i="8"/>
  <c r="H508" i="8"/>
  <c r="I508" i="8"/>
  <c r="H509" i="8"/>
  <c r="I509" i="8"/>
  <c r="H510" i="8"/>
  <c r="I510" i="8"/>
  <c r="H511" i="8"/>
  <c r="I511" i="8"/>
  <c r="H512" i="8"/>
  <c r="I512" i="8"/>
  <c r="H513" i="8"/>
  <c r="I513" i="8"/>
  <c r="H514" i="8"/>
  <c r="I514" i="8"/>
  <c r="H515" i="8"/>
  <c r="I515" i="8"/>
  <c r="H516" i="8"/>
  <c r="I516" i="8"/>
  <c r="H517" i="8"/>
  <c r="I517" i="8"/>
  <c r="H518" i="8"/>
  <c r="I518" i="8"/>
  <c r="H519" i="8"/>
  <c r="I519" i="8"/>
  <c r="H520" i="8"/>
  <c r="I520" i="8"/>
  <c r="H521" i="8"/>
  <c r="I521" i="8"/>
  <c r="H522" i="8"/>
  <c r="I522" i="8"/>
  <c r="H523" i="8"/>
  <c r="I523" i="8"/>
  <c r="H524" i="8"/>
  <c r="I524" i="8"/>
  <c r="H525" i="8"/>
  <c r="I525" i="8"/>
  <c r="H526" i="8"/>
  <c r="I526" i="8"/>
  <c r="H527" i="8"/>
  <c r="I527" i="8"/>
  <c r="H528" i="8"/>
  <c r="I528" i="8"/>
  <c r="H529" i="8"/>
  <c r="I529" i="8"/>
  <c r="H530" i="8"/>
  <c r="I530" i="8"/>
  <c r="H531" i="8"/>
  <c r="I531" i="8"/>
  <c r="H532" i="8"/>
  <c r="I532" i="8"/>
  <c r="H533" i="8"/>
  <c r="I533" i="8"/>
  <c r="H534" i="8"/>
  <c r="I534" i="8"/>
  <c r="H535" i="8"/>
  <c r="I535" i="8"/>
  <c r="H536" i="8"/>
  <c r="I536" i="8"/>
  <c r="H537" i="8"/>
  <c r="I537" i="8"/>
  <c r="H538" i="8"/>
  <c r="I538" i="8"/>
  <c r="H539" i="8"/>
  <c r="I539" i="8"/>
  <c r="H540" i="8"/>
  <c r="I540" i="8"/>
  <c r="H541" i="8"/>
  <c r="I541" i="8"/>
  <c r="H542" i="8"/>
  <c r="I542" i="8"/>
  <c r="H543" i="8"/>
  <c r="I543" i="8"/>
  <c r="H544" i="8"/>
  <c r="I544" i="8"/>
  <c r="H545" i="8"/>
  <c r="I545" i="8"/>
  <c r="H546" i="8"/>
  <c r="I546" i="8"/>
  <c r="H547" i="8"/>
  <c r="I547" i="8"/>
  <c r="H548" i="8"/>
  <c r="I548" i="8"/>
  <c r="H549" i="8"/>
  <c r="I549" i="8"/>
  <c r="H550" i="8"/>
  <c r="I550" i="8"/>
  <c r="H551" i="8"/>
  <c r="I551" i="8"/>
  <c r="H552" i="8"/>
  <c r="I552" i="8"/>
  <c r="H553" i="8"/>
  <c r="I553" i="8"/>
  <c r="H554" i="8"/>
  <c r="I554" i="8"/>
  <c r="H555" i="8"/>
  <c r="I555" i="8"/>
  <c r="H556" i="8"/>
  <c r="I556" i="8"/>
  <c r="H557" i="8"/>
  <c r="I557" i="8"/>
  <c r="H558" i="8"/>
  <c r="I558" i="8"/>
  <c r="H559" i="8"/>
  <c r="I559" i="8"/>
  <c r="H560" i="8"/>
  <c r="I560" i="8"/>
  <c r="H561" i="8"/>
  <c r="I561" i="8"/>
  <c r="H562" i="8"/>
  <c r="I562" i="8"/>
  <c r="H563" i="8"/>
  <c r="I563" i="8"/>
  <c r="H564" i="8"/>
  <c r="I564" i="8"/>
  <c r="H565" i="8"/>
  <c r="I565" i="8"/>
  <c r="H566" i="8"/>
  <c r="I566" i="8"/>
  <c r="H567" i="8"/>
  <c r="I567" i="8"/>
  <c r="H568" i="8"/>
  <c r="I568" i="8"/>
  <c r="H569" i="8"/>
  <c r="I569" i="8"/>
  <c r="H570" i="8"/>
  <c r="I570" i="8"/>
  <c r="I92" i="8"/>
  <c r="H92" i="8"/>
  <c r="J12" i="17" l="1"/>
  <c r="M12" i="17"/>
  <c r="J11" i="17"/>
  <c r="M11" i="17"/>
  <c r="J10" i="17"/>
  <c r="M10" i="17"/>
  <c r="J9" i="17"/>
  <c r="M9" i="17"/>
  <c r="O6" i="17"/>
  <c r="L6" i="17"/>
  <c r="N6" i="17"/>
  <c r="K6" i="17"/>
  <c r="J6" i="16"/>
  <c r="J7" i="17"/>
  <c r="M8" i="16"/>
  <c r="J8" i="16"/>
  <c r="J7" i="16"/>
  <c r="M7" i="17"/>
  <c r="M7" i="16"/>
  <c r="M6" i="16"/>
  <c r="J6" i="17"/>
  <c r="L4" i="5"/>
  <c r="K4" i="5"/>
  <c r="M6" i="17"/>
  <c r="H6" i="17"/>
  <c r="I6" i="17" s="1"/>
  <c r="J5" i="16" l="1"/>
  <c r="H5" i="16"/>
  <c r="I5" i="16" s="1"/>
  <c r="M5" i="16"/>
  <c r="V6" i="13" l="1"/>
  <c r="V14" i="14" a="1"/>
  <c r="V14" i="14" s="1"/>
  <c r="A6" i="13" a="1"/>
  <c r="A6" i="13" s="1"/>
  <c r="A4" i="14" a="1"/>
  <c r="A4" i="14" s="1"/>
  <c r="B3" i="13" a="1"/>
  <c r="C3" i="14" a="1"/>
  <c r="C3" i="14" s="1"/>
  <c r="M4" i="5"/>
  <c r="K93" i="8"/>
  <c r="K94" i="8"/>
  <c r="K95" i="8"/>
  <c r="K96" i="8"/>
  <c r="K97" i="8"/>
  <c r="K98" i="8"/>
  <c r="K99" i="8"/>
  <c r="K100" i="8"/>
  <c r="K101" i="8"/>
  <c r="K102" i="8"/>
  <c r="K103" i="8"/>
  <c r="K104" i="8"/>
  <c r="K105" i="8"/>
  <c r="K106" i="8"/>
  <c r="K107" i="8"/>
  <c r="K108" i="8"/>
  <c r="K109" i="8"/>
  <c r="K110" i="8"/>
  <c r="K111" i="8"/>
  <c r="K112" i="8"/>
  <c r="K113" i="8"/>
  <c r="K114" i="8"/>
  <c r="K115" i="8"/>
  <c r="K116" i="8"/>
  <c r="K117" i="8"/>
  <c r="K118" i="8"/>
  <c r="K119" i="8"/>
  <c r="K120" i="8"/>
  <c r="K121" i="8"/>
  <c r="K122" i="8"/>
  <c r="K123" i="8"/>
  <c r="K124" i="8"/>
  <c r="K125" i="8"/>
  <c r="K126" i="8"/>
  <c r="K127" i="8"/>
  <c r="K164" i="8"/>
  <c r="K165" i="8"/>
  <c r="K166" i="8"/>
  <c r="K167" i="8"/>
  <c r="K168" i="8"/>
  <c r="K169" i="8"/>
  <c r="K170" i="8"/>
  <c r="K171" i="8"/>
  <c r="K172" i="8"/>
  <c r="K173" i="8"/>
  <c r="K174" i="8"/>
  <c r="K175" i="8"/>
  <c r="K176" i="8"/>
  <c r="K177" i="8"/>
  <c r="K178" i="8"/>
  <c r="K179" i="8"/>
  <c r="K180" i="8"/>
  <c r="K181" i="8"/>
  <c r="K182" i="8"/>
  <c r="K183" i="8"/>
  <c r="K184" i="8"/>
  <c r="K185" i="8"/>
  <c r="K186" i="8"/>
  <c r="K187" i="8"/>
  <c r="K188" i="8"/>
  <c r="K189" i="8"/>
  <c r="K190" i="8"/>
  <c r="K191" i="8"/>
  <c r="K192" i="8"/>
  <c r="K193" i="8"/>
  <c r="K194" i="8"/>
  <c r="K195" i="8"/>
  <c r="K196" i="8"/>
  <c r="K197" i="8"/>
  <c r="K198" i="8"/>
  <c r="K199" i="8"/>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5" i="8"/>
  <c r="K36" i="8"/>
  <c r="K37" i="8"/>
  <c r="K38" i="8"/>
  <c r="K39" i="8"/>
  <c r="K40" i="8"/>
  <c r="K41" i="8"/>
  <c r="K42" i="8"/>
  <c r="K43" i="8"/>
  <c r="K44" i="8"/>
  <c r="K45" i="8"/>
  <c r="K46" i="8"/>
  <c r="K47" i="8"/>
  <c r="K48" i="8"/>
  <c r="K49" i="8"/>
  <c r="K50" i="8"/>
  <c r="K51" i="8"/>
  <c r="K52" i="8"/>
  <c r="K53" i="8"/>
  <c r="K54" i="8"/>
  <c r="K55" i="8"/>
  <c r="K56" i="8"/>
  <c r="K57" i="8"/>
  <c r="K58" i="8"/>
  <c r="K59" i="8"/>
  <c r="K60" i="8"/>
  <c r="K61" i="8"/>
  <c r="K62" i="8"/>
  <c r="K63" i="8"/>
  <c r="K64" i="8"/>
  <c r="K65" i="8"/>
  <c r="K66" i="8"/>
  <c r="K67" i="8"/>
  <c r="K68" i="8"/>
  <c r="K69" i="8"/>
  <c r="K70" i="8"/>
  <c r="K71" i="8"/>
  <c r="K72" i="8"/>
  <c r="K73" i="8"/>
  <c r="K74" i="8"/>
  <c r="K75" i="8"/>
  <c r="K76" i="8"/>
  <c r="K77" i="8"/>
  <c r="K78" i="8"/>
  <c r="K79" i="8"/>
  <c r="K80" i="8"/>
  <c r="K81" i="8"/>
  <c r="K82" i="8"/>
  <c r="K83" i="8"/>
  <c r="K84" i="8"/>
  <c r="K85" i="8"/>
  <c r="K86" i="8"/>
  <c r="K92" i="8"/>
  <c r="J92" i="8"/>
  <c r="J93" i="8"/>
  <c r="J94" i="8"/>
  <c r="J95" i="8"/>
  <c r="J96" i="8"/>
  <c r="J97" i="8"/>
  <c r="J98" i="8"/>
  <c r="J99" i="8"/>
  <c r="J100" i="8"/>
  <c r="J101" i="8"/>
  <c r="J102" i="8"/>
  <c r="J103" i="8"/>
  <c r="J104" i="8"/>
  <c r="J105" i="8"/>
  <c r="J106" i="8"/>
  <c r="J107" i="8"/>
  <c r="J108" i="8"/>
  <c r="J109" i="8"/>
  <c r="J110" i="8"/>
  <c r="J111" i="8"/>
  <c r="J112" i="8"/>
  <c r="J113" i="8"/>
  <c r="J114" i="8"/>
  <c r="J115" i="8"/>
  <c r="J116" i="8"/>
  <c r="J117" i="8"/>
  <c r="J118" i="8"/>
  <c r="J119" i="8"/>
  <c r="J120" i="8"/>
  <c r="J121" i="8"/>
  <c r="J122" i="8"/>
  <c r="J123" i="8"/>
  <c r="J124" i="8"/>
  <c r="J125" i="8"/>
  <c r="J126" i="8"/>
  <c r="J127" i="8"/>
  <c r="J164" i="8"/>
  <c r="J165" i="8"/>
  <c r="J166" i="8"/>
  <c r="J167" i="8"/>
  <c r="J168" i="8"/>
  <c r="J169" i="8"/>
  <c r="J170" i="8"/>
  <c r="J171" i="8"/>
  <c r="J172" i="8"/>
  <c r="J173" i="8"/>
  <c r="J174" i="8"/>
  <c r="J175" i="8"/>
  <c r="J176" i="8"/>
  <c r="J177" i="8"/>
  <c r="J178" i="8"/>
  <c r="J179" i="8"/>
  <c r="J180" i="8"/>
  <c r="J181" i="8"/>
  <c r="J182" i="8"/>
  <c r="J183" i="8"/>
  <c r="J184" i="8"/>
  <c r="J185" i="8"/>
  <c r="J186" i="8"/>
  <c r="J187" i="8"/>
  <c r="J188" i="8"/>
  <c r="J189" i="8"/>
  <c r="J190" i="8"/>
  <c r="J191" i="8"/>
  <c r="J192" i="8"/>
  <c r="J193" i="8"/>
  <c r="J194" i="8"/>
  <c r="J195" i="8"/>
  <c r="J196" i="8"/>
  <c r="J197" i="8"/>
  <c r="J198" i="8"/>
  <c r="J199" i="8"/>
  <c r="J3" i="8"/>
  <c r="J4" i="8"/>
  <c r="J5" i="8"/>
  <c r="J6" i="8"/>
  <c r="J7" i="8"/>
  <c r="J8" i="8"/>
  <c r="J9" i="8"/>
  <c r="J10" i="8"/>
  <c r="J11" i="8"/>
  <c r="J12" i="8"/>
  <c r="J13" i="8"/>
  <c r="J14" i="8"/>
  <c r="J15" i="8"/>
  <c r="J16" i="8"/>
  <c r="J17" i="8"/>
  <c r="J18" i="8"/>
  <c r="J19" i="8"/>
  <c r="J20" i="8"/>
  <c r="J21" i="8"/>
  <c r="J22" i="8"/>
  <c r="J23" i="8"/>
  <c r="J24" i="8"/>
  <c r="J25" i="8"/>
  <c r="J26" i="8"/>
  <c r="J27" i="8"/>
  <c r="J28" i="8"/>
  <c r="J29" i="8"/>
  <c r="J30" i="8"/>
  <c r="J31" i="8"/>
  <c r="J32" i="8"/>
  <c r="J33" i="8"/>
  <c r="J34" i="8"/>
  <c r="J35" i="8"/>
  <c r="J36" i="8"/>
  <c r="J37" i="8"/>
  <c r="J38" i="8"/>
  <c r="J39" i="8"/>
  <c r="J40" i="8"/>
  <c r="J41" i="8"/>
  <c r="J42" i="8"/>
  <c r="J43" i="8"/>
  <c r="J44" i="8"/>
  <c r="J45" i="8"/>
  <c r="J46" i="8"/>
  <c r="J47" i="8"/>
  <c r="J48" i="8"/>
  <c r="J49" i="8"/>
  <c r="J50" i="8"/>
  <c r="J51" i="8"/>
  <c r="J52" i="8"/>
  <c r="J53" i="8"/>
  <c r="J54" i="8"/>
  <c r="J55" i="8"/>
  <c r="J56" i="8"/>
  <c r="J57" i="8"/>
  <c r="J58" i="8"/>
  <c r="J59" i="8"/>
  <c r="J60" i="8"/>
  <c r="J61" i="8"/>
  <c r="J62" i="8"/>
  <c r="J63" i="8"/>
  <c r="J64" i="8"/>
  <c r="J65" i="8"/>
  <c r="J66" i="8"/>
  <c r="J67" i="8"/>
  <c r="J68" i="8"/>
  <c r="J69" i="8"/>
  <c r="J70" i="8"/>
  <c r="J71" i="8"/>
  <c r="J72" i="8"/>
  <c r="J73" i="8"/>
  <c r="J74" i="8"/>
  <c r="J75" i="8"/>
  <c r="J76" i="8"/>
  <c r="J77" i="8"/>
  <c r="J78" i="8"/>
  <c r="J79" i="8"/>
  <c r="J80" i="8"/>
  <c r="J81" i="8"/>
  <c r="J82" i="8"/>
  <c r="J83" i="8"/>
  <c r="J84" i="8"/>
  <c r="J85" i="8"/>
  <c r="J86" i="8"/>
  <c r="N4" i="5" l="1"/>
  <c r="R7" i="13"/>
  <c r="I7" i="13"/>
  <c r="J7" i="13"/>
  <c r="J9" i="13"/>
  <c r="K9" i="13"/>
  <c r="F11" i="13"/>
  <c r="I13" i="13"/>
  <c r="D15" i="13"/>
  <c r="D31" i="13"/>
  <c r="E21" i="13"/>
  <c r="J23" i="13"/>
  <c r="L9" i="13"/>
  <c r="G11" i="13"/>
  <c r="J13" i="13"/>
  <c r="E15" i="13"/>
  <c r="C19" i="13"/>
  <c r="C25" i="13"/>
  <c r="S7" i="13"/>
  <c r="F21" i="13"/>
  <c r="F7" i="13"/>
  <c r="Q8" i="13"/>
  <c r="K10" i="13"/>
  <c r="O12" i="13"/>
  <c r="I14" i="13"/>
  <c r="L16" i="13"/>
  <c r="G18" i="13"/>
  <c r="J20" i="13"/>
  <c r="E22" i="13"/>
  <c r="G24" i="13"/>
  <c r="C26" i="13"/>
  <c r="E28" i="13"/>
  <c r="R29" i="13"/>
  <c r="G7" i="13"/>
  <c r="R8" i="13"/>
  <c r="C11" i="13"/>
  <c r="P12" i="13"/>
  <c r="R14" i="13"/>
  <c r="M16" i="13"/>
  <c r="P18" i="13"/>
  <c r="K20" i="13"/>
  <c r="N22" i="13"/>
  <c r="H24" i="13"/>
  <c r="L26" i="13"/>
  <c r="F28" i="13"/>
  <c r="S29" i="13"/>
  <c r="H7" i="13"/>
  <c r="S8" i="13"/>
  <c r="D11" i="13"/>
  <c r="Q12" i="13"/>
  <c r="S14" i="13"/>
  <c r="N16" i="13"/>
  <c r="Q18" i="13"/>
  <c r="L20" i="13"/>
  <c r="O22" i="13"/>
  <c r="I24" i="13"/>
  <c r="M26" i="13"/>
  <c r="G28" i="13"/>
  <c r="J30" i="13"/>
  <c r="E11" i="13"/>
  <c r="H13" i="13"/>
  <c r="C15" i="13"/>
  <c r="O16" i="13"/>
  <c r="R18" i="13"/>
  <c r="M20" i="13"/>
  <c r="P22" i="13"/>
  <c r="J24" i="13"/>
  <c r="N26" i="13"/>
  <c r="H28" i="13"/>
  <c r="K30" i="13"/>
  <c r="F17" i="13"/>
  <c r="S18" i="13"/>
  <c r="D21" i="13"/>
  <c r="Q22" i="13"/>
  <c r="K24" i="13"/>
  <c r="O26" i="13"/>
  <c r="I28" i="13"/>
  <c r="L30" i="13"/>
  <c r="G17" i="13"/>
  <c r="R22" i="13"/>
  <c r="P26" i="13"/>
  <c r="R28" i="13"/>
  <c r="M30" i="13"/>
  <c r="O30" i="13"/>
  <c r="F31" i="13"/>
  <c r="L13" i="13"/>
  <c r="L27" i="13"/>
  <c r="N8" i="13"/>
  <c r="L12" i="13"/>
  <c r="S15" i="13"/>
  <c r="D18" i="13"/>
  <c r="S21" i="13"/>
  <c r="N23" i="13"/>
  <c r="O29" i="13"/>
  <c r="D7" i="13"/>
  <c r="O8" i="13"/>
  <c r="I10" i="13"/>
  <c r="M12" i="13"/>
  <c r="G14" i="13"/>
  <c r="J16" i="13"/>
  <c r="E18" i="13"/>
  <c r="H20" i="13"/>
  <c r="C22" i="13"/>
  <c r="O23" i="13"/>
  <c r="R25" i="13"/>
  <c r="M27" i="13"/>
  <c r="P29" i="13"/>
  <c r="J31" i="13"/>
  <c r="M9" i="13"/>
  <c r="P11" i="13"/>
  <c r="K13" i="13"/>
  <c r="N15" i="13"/>
  <c r="H17" i="13"/>
  <c r="L19" i="13"/>
  <c r="S22" i="13"/>
  <c r="D25" i="13"/>
  <c r="Q26" i="13"/>
  <c r="S28" i="13"/>
  <c r="N30" i="13"/>
  <c r="C8" i="13"/>
  <c r="N9" i="13"/>
  <c r="Q11" i="13"/>
  <c r="O15" i="13"/>
  <c r="I17" i="13"/>
  <c r="M19" i="13"/>
  <c r="G21" i="13"/>
  <c r="E25" i="13"/>
  <c r="H27" i="13"/>
  <c r="C29" i="13"/>
  <c r="D8" i="13"/>
  <c r="O9" i="13"/>
  <c r="R11" i="13"/>
  <c r="M13" i="13"/>
  <c r="P15" i="13"/>
  <c r="J17" i="13"/>
  <c r="N19" i="13"/>
  <c r="H21" i="13"/>
  <c r="K23" i="13"/>
  <c r="F25" i="13"/>
  <c r="I27" i="13"/>
  <c r="D29" i="13"/>
  <c r="E8" i="13"/>
  <c r="F10" i="13"/>
  <c r="S11" i="13"/>
  <c r="D14" i="13"/>
  <c r="Q15" i="13"/>
  <c r="K17" i="13"/>
  <c r="O19" i="13"/>
  <c r="I21" i="13"/>
  <c r="L23" i="13"/>
  <c r="G25" i="13"/>
  <c r="J27" i="13"/>
  <c r="E29" i="13"/>
  <c r="G31" i="13"/>
  <c r="F8" i="13"/>
  <c r="G10" i="13"/>
  <c r="C12" i="13"/>
  <c r="E14" i="13"/>
  <c r="R15" i="13"/>
  <c r="C18" i="13"/>
  <c r="P19" i="13"/>
  <c r="R21" i="13"/>
  <c r="M23" i="13"/>
  <c r="P25" i="13"/>
  <c r="K27" i="13"/>
  <c r="N29" i="13"/>
  <c r="H31" i="13"/>
  <c r="H10" i="13"/>
  <c r="F14" i="13"/>
  <c r="Q19" i="13"/>
  <c r="Q25" i="13"/>
  <c r="I31" i="13"/>
  <c r="E7" i="13"/>
  <c r="P8" i="13"/>
  <c r="J10" i="13"/>
  <c r="N12" i="13"/>
  <c r="H14" i="13"/>
  <c r="K16" i="13"/>
  <c r="F18" i="13"/>
  <c r="I20" i="13"/>
  <c r="D22" i="13"/>
  <c r="F24" i="13"/>
  <c r="S25" i="13"/>
  <c r="D28" i="13"/>
  <c r="Q29" i="13"/>
  <c r="K31" i="13"/>
  <c r="P9" i="13"/>
  <c r="D12" i="13"/>
  <c r="J14" i="13"/>
  <c r="H18" i="13"/>
  <c r="R19" i="13"/>
  <c r="J21" i="13"/>
  <c r="L24" i="13"/>
  <c r="H25" i="13"/>
  <c r="N27" i="13"/>
  <c r="J28" i="13"/>
  <c r="F29" i="13"/>
  <c r="P30" i="13"/>
  <c r="L31" i="13"/>
  <c r="K7" i="13"/>
  <c r="G8" i="13"/>
  <c r="C9" i="13"/>
  <c r="Q9" i="13"/>
  <c r="M10" i="13"/>
  <c r="I11" i="13"/>
  <c r="E12" i="13"/>
  <c r="S12" i="13"/>
  <c r="O13" i="13"/>
  <c r="K14" i="13"/>
  <c r="G15" i="13"/>
  <c r="C16" i="13"/>
  <c r="Q16" i="13"/>
  <c r="M17" i="13"/>
  <c r="I18" i="13"/>
  <c r="E19" i="13"/>
  <c r="S19" i="13"/>
  <c r="O20" i="13"/>
  <c r="K21" i="13"/>
  <c r="G22" i="13"/>
  <c r="C23" i="13"/>
  <c r="Q23" i="13"/>
  <c r="M24" i="13"/>
  <c r="I25" i="13"/>
  <c r="E26" i="13"/>
  <c r="S26" i="13"/>
  <c r="O27" i="13"/>
  <c r="K28" i="13"/>
  <c r="G29" i="13"/>
  <c r="C30" i="13"/>
  <c r="Q30" i="13"/>
  <c r="M31" i="13"/>
  <c r="L10" i="13"/>
  <c r="P23" i="13"/>
  <c r="D9" i="13"/>
  <c r="J11" i="13"/>
  <c r="L14" i="13"/>
  <c r="R16" i="13"/>
  <c r="R23" i="13"/>
  <c r="D30" i="13"/>
  <c r="M7" i="13"/>
  <c r="E9" i="13"/>
  <c r="O10" i="13"/>
  <c r="G12" i="13"/>
  <c r="Q13" i="13"/>
  <c r="I15" i="13"/>
  <c r="E16" i="13"/>
  <c r="O17" i="13"/>
  <c r="K18" i="13"/>
  <c r="G19" i="13"/>
  <c r="C20" i="13"/>
  <c r="Q20" i="13"/>
  <c r="M21" i="13"/>
  <c r="I22" i="13"/>
  <c r="E23" i="13"/>
  <c r="S23" i="13"/>
  <c r="K25" i="13"/>
  <c r="G26" i="13"/>
  <c r="C27" i="13"/>
  <c r="Q27" i="13"/>
  <c r="M28" i="13"/>
  <c r="I29" i="13"/>
  <c r="E30" i="13"/>
  <c r="S30" i="13"/>
  <c r="O31" i="13"/>
  <c r="F22" i="13"/>
  <c r="L7" i="13"/>
  <c r="N10" i="13"/>
  <c r="P13" i="13"/>
  <c r="D16" i="13"/>
  <c r="J18" i="13"/>
  <c r="P20" i="13"/>
  <c r="J25" i="13"/>
  <c r="R30" i="13"/>
  <c r="I8" i="13"/>
  <c r="S9" i="13"/>
  <c r="K11" i="13"/>
  <c r="C13" i="13"/>
  <c r="M14" i="13"/>
  <c r="S16" i="13"/>
  <c r="O24" i="13"/>
  <c r="N7" i="13"/>
  <c r="J8" i="13"/>
  <c r="F9" i="13"/>
  <c r="P10" i="13"/>
  <c r="L11" i="13"/>
  <c r="H12" i="13"/>
  <c r="D13" i="13"/>
  <c r="R13" i="13"/>
  <c r="N14" i="13"/>
  <c r="J15" i="13"/>
  <c r="F16" i="13"/>
  <c r="P17" i="13"/>
  <c r="L18" i="13"/>
  <c r="H19" i="13"/>
  <c r="D20" i="13"/>
  <c r="R20" i="13"/>
  <c r="N21" i="13"/>
  <c r="J22" i="13"/>
  <c r="F23" i="13"/>
  <c r="P24" i="13"/>
  <c r="L25" i="13"/>
  <c r="H26" i="13"/>
  <c r="D27" i="13"/>
  <c r="R27" i="13"/>
  <c r="N28" i="13"/>
  <c r="J29" i="13"/>
  <c r="F30" i="13"/>
  <c r="P31" i="13"/>
  <c r="R12" i="13"/>
  <c r="L17" i="13"/>
  <c r="R26" i="13"/>
  <c r="O7" i="13"/>
  <c r="K8" i="13"/>
  <c r="G9" i="13"/>
  <c r="C10" i="13"/>
  <c r="Q10" i="13"/>
  <c r="M11" i="13"/>
  <c r="I12" i="13"/>
  <c r="E13" i="13"/>
  <c r="S13" i="13"/>
  <c r="O14" i="13"/>
  <c r="K15" i="13"/>
  <c r="G16" i="13"/>
  <c r="C17" i="13"/>
  <c r="Q17" i="13"/>
  <c r="M18" i="13"/>
  <c r="I19" i="13"/>
  <c r="E20" i="13"/>
  <c r="S20" i="13"/>
  <c r="O21" i="13"/>
  <c r="K22" i="13"/>
  <c r="G23" i="13"/>
  <c r="C24" i="13"/>
  <c r="Q24" i="13"/>
  <c r="M25" i="13"/>
  <c r="I26" i="13"/>
  <c r="E27" i="13"/>
  <c r="S27" i="13"/>
  <c r="O28" i="13"/>
  <c r="K29" i="13"/>
  <c r="G30" i="13"/>
  <c r="C31" i="13"/>
  <c r="Q31" i="13"/>
  <c r="H22" i="13"/>
  <c r="J12" i="13"/>
  <c r="D17" i="13"/>
  <c r="D24" i="13"/>
  <c r="R31" i="13"/>
  <c r="H11" i="13"/>
  <c r="N13" i="13"/>
  <c r="F15" i="13"/>
  <c r="P16" i="13"/>
  <c r="D19" i="13"/>
  <c r="N20" i="13"/>
  <c r="D26" i="13"/>
  <c r="H8" i="13"/>
  <c r="R9" i="13"/>
  <c r="F12" i="13"/>
  <c r="H15" i="13"/>
  <c r="N17" i="13"/>
  <c r="F19" i="13"/>
  <c r="L21" i="13"/>
  <c r="D23" i="13"/>
  <c r="N24" i="13"/>
  <c r="F26" i="13"/>
  <c r="P27" i="13"/>
  <c r="L28" i="13"/>
  <c r="H29" i="13"/>
  <c r="N31" i="13"/>
  <c r="P7" i="13"/>
  <c r="L8" i="13"/>
  <c r="H9" i="13"/>
  <c r="D10" i="13"/>
  <c r="R10" i="13"/>
  <c r="N11" i="13"/>
  <c r="F13" i="13"/>
  <c r="P14" i="13"/>
  <c r="L15" i="13"/>
  <c r="H16" i="13"/>
  <c r="R17" i="13"/>
  <c r="N18" i="13"/>
  <c r="J19" i="13"/>
  <c r="F20" i="13"/>
  <c r="P21" i="13"/>
  <c r="L22" i="13"/>
  <c r="H23" i="13"/>
  <c r="R24" i="13"/>
  <c r="N25" i="13"/>
  <c r="J26" i="13"/>
  <c r="F27" i="13"/>
  <c r="P28" i="13"/>
  <c r="L29" i="13"/>
  <c r="H30" i="13"/>
  <c r="C7" i="13"/>
  <c r="Q7" i="13"/>
  <c r="M8" i="13"/>
  <c r="I9" i="13"/>
  <c r="E10" i="13"/>
  <c r="S10" i="13"/>
  <c r="O11" i="13"/>
  <c r="K12" i="13"/>
  <c r="G13" i="13"/>
  <c r="C14" i="13"/>
  <c r="Q14" i="13"/>
  <c r="M15" i="13"/>
  <c r="I16" i="13"/>
  <c r="E17" i="13"/>
  <c r="S17" i="13"/>
  <c r="O18" i="13"/>
  <c r="K19" i="13"/>
  <c r="G20" i="13"/>
  <c r="C21" i="13"/>
  <c r="Q21" i="13"/>
  <c r="M22" i="13"/>
  <c r="I23" i="13"/>
  <c r="E24" i="13"/>
  <c r="S24" i="13"/>
  <c r="O25" i="13"/>
  <c r="K26" i="13"/>
  <c r="G27" i="13"/>
  <c r="C28" i="13"/>
  <c r="Q28" i="13"/>
  <c r="M29" i="13"/>
  <c r="I30" i="13"/>
  <c r="E31" i="13"/>
  <c r="S31" i="13"/>
  <c r="B6" i="13"/>
  <c r="S6" i="13"/>
  <c r="E6" i="13"/>
  <c r="O6" i="13"/>
  <c r="N6" i="13"/>
  <c r="M6" i="13"/>
  <c r="L6" i="13"/>
  <c r="K6" i="13"/>
  <c r="R6" i="13"/>
  <c r="D6" i="13"/>
  <c r="J6" i="13"/>
  <c r="I6" i="13"/>
  <c r="H6" i="13"/>
  <c r="G6" i="13"/>
  <c r="F6" i="13"/>
  <c r="Q6" i="13"/>
  <c r="C6" i="13"/>
  <c r="P6" i="13"/>
  <c r="P5" i="13"/>
  <c r="I5" i="13"/>
  <c r="O5" i="13"/>
  <c r="N5" i="13"/>
  <c r="M5" i="13"/>
  <c r="L5" i="13"/>
  <c r="K5" i="13"/>
  <c r="J5" i="13"/>
  <c r="B3" i="13"/>
  <c r="B10" i="13" s="1"/>
  <c r="H5" i="13"/>
  <c r="G5" i="13"/>
  <c r="F5" i="13"/>
  <c r="E5" i="13"/>
  <c r="R5" i="13"/>
  <c r="D5" i="13"/>
  <c r="Q5" i="13"/>
  <c r="C5" i="13"/>
  <c r="S5" i="13"/>
  <c r="N2" i="13" l="1"/>
  <c r="H2" i="13"/>
  <c r="K2" i="13"/>
  <c r="J2" i="13"/>
  <c r="M2" i="13"/>
  <c r="E2" i="13"/>
  <c r="O2" i="13"/>
  <c r="D2" i="13"/>
  <c r="C2" i="13"/>
  <c r="Q2" i="13"/>
  <c r="L2" i="13"/>
  <c r="P2" i="13"/>
  <c r="S2" i="13"/>
  <c r="F2" i="13"/>
  <c r="G2" i="13"/>
  <c r="I2" i="13"/>
  <c r="R2" i="13"/>
  <c r="B31" i="13"/>
  <c r="B17" i="13"/>
  <c r="B24" i="13"/>
  <c r="B28" i="13"/>
  <c r="B21" i="13"/>
  <c r="B14" i="13"/>
  <c r="B7" i="13"/>
  <c r="B27" i="13"/>
  <c r="B13" i="13"/>
  <c r="B9" i="13"/>
  <c r="B20" i="13"/>
  <c r="B30" i="13"/>
  <c r="B23" i="13"/>
  <c r="B16" i="13"/>
  <c r="B26" i="13"/>
  <c r="B8" i="13"/>
  <c r="B15" i="13"/>
  <c r="B22" i="13"/>
  <c r="B18" i="13"/>
  <c r="B29" i="13"/>
  <c r="B11" i="13"/>
  <c r="B25" i="13"/>
  <c r="B12" i="13"/>
  <c r="B19" i="13"/>
  <c r="A5" i="5" a="1"/>
  <c r="C5" i="4" a="1"/>
  <c r="B5" i="13"/>
  <c r="B2" i="13" l="1"/>
  <c r="H6" i="4"/>
  <c r="I6" i="4" s="1"/>
  <c r="O7" i="4"/>
  <c r="M9" i="4"/>
  <c r="K11" i="4"/>
  <c r="O14" i="4"/>
  <c r="M16" i="4"/>
  <c r="K18" i="4"/>
  <c r="O21" i="4"/>
  <c r="M23" i="4"/>
  <c r="K25" i="4"/>
  <c r="O28" i="4"/>
  <c r="M30" i="4"/>
  <c r="K32" i="4"/>
  <c r="O35" i="4"/>
  <c r="M37" i="4"/>
  <c r="K39" i="4"/>
  <c r="O42" i="4"/>
  <c r="M44" i="4"/>
  <c r="K46" i="4"/>
  <c r="O49" i="4"/>
  <c r="M51" i="4"/>
  <c r="K53" i="4"/>
  <c r="O56" i="4"/>
  <c r="M58" i="4"/>
  <c r="K60" i="4"/>
  <c r="O63" i="4"/>
  <c r="M65" i="4"/>
  <c r="K67" i="4"/>
  <c r="O70" i="4"/>
  <c r="M72" i="4"/>
  <c r="K74" i="4"/>
  <c r="O77" i="4"/>
  <c r="M79" i="4"/>
  <c r="K81" i="4"/>
  <c r="O84" i="4"/>
  <c r="M86" i="4"/>
  <c r="K88" i="4"/>
  <c r="O91" i="4"/>
  <c r="M93" i="4"/>
  <c r="K95" i="4"/>
  <c r="O98" i="4"/>
  <c r="M100" i="4"/>
  <c r="K102" i="4"/>
  <c r="O105" i="4"/>
  <c r="M107" i="4"/>
  <c r="K109" i="4"/>
  <c r="O112" i="4"/>
  <c r="M114" i="4"/>
  <c r="K116" i="4"/>
  <c r="O119" i="4"/>
  <c r="M121" i="4"/>
  <c r="K123" i="4"/>
  <c r="O126" i="4"/>
  <c r="M128" i="4"/>
  <c r="K130" i="4"/>
  <c r="O133" i="4"/>
  <c r="M135" i="4"/>
  <c r="K137" i="4"/>
  <c r="O140" i="4"/>
  <c r="M142" i="4"/>
  <c r="K144" i="4"/>
  <c r="O147" i="4"/>
  <c r="M149" i="4"/>
  <c r="K151" i="4"/>
  <c r="J6" i="4"/>
  <c r="H10" i="4"/>
  <c r="I10" i="4" s="1"/>
  <c r="O11" i="4"/>
  <c r="N13" i="4"/>
  <c r="M15" i="4"/>
  <c r="L17" i="4"/>
  <c r="K19" i="4"/>
  <c r="J21" i="4"/>
  <c r="H25" i="4"/>
  <c r="I25" i="4" s="1"/>
  <c r="O26" i="4"/>
  <c r="N28" i="4"/>
  <c r="N30" i="4"/>
  <c r="M32" i="4"/>
  <c r="L34" i="4"/>
  <c r="K36" i="4"/>
  <c r="J38" i="4"/>
  <c r="H42" i="4"/>
  <c r="I42" i="4" s="1"/>
  <c r="O43" i="4"/>
  <c r="N45" i="4"/>
  <c r="M47" i="4"/>
  <c r="L49" i="4"/>
  <c r="K51" i="4"/>
  <c r="J53" i="4"/>
  <c r="J55" i="4"/>
  <c r="H59" i="4"/>
  <c r="I59" i="4" s="1"/>
  <c r="O60" i="4"/>
  <c r="N62" i="4"/>
  <c r="M64" i="4"/>
  <c r="L66" i="4"/>
  <c r="K68" i="4"/>
  <c r="J70" i="4"/>
  <c r="H74" i="4"/>
  <c r="I74" i="4" s="1"/>
  <c r="O75" i="4"/>
  <c r="N77" i="4"/>
  <c r="N79" i="4"/>
  <c r="M81" i="4"/>
  <c r="L83" i="4"/>
  <c r="K85" i="4"/>
  <c r="J87" i="4"/>
  <c r="H91" i="4"/>
  <c r="I91" i="4" s="1"/>
  <c r="O92" i="4"/>
  <c r="N94" i="4"/>
  <c r="M96" i="4"/>
  <c r="L98" i="4"/>
  <c r="K100" i="4"/>
  <c r="J102" i="4"/>
  <c r="J104" i="4"/>
  <c r="H108" i="4"/>
  <c r="I108" i="4" s="1"/>
  <c r="O109" i="4"/>
  <c r="N111" i="4"/>
  <c r="M113" i="4"/>
  <c r="L115" i="4"/>
  <c r="K117" i="4"/>
  <c r="J119" i="4"/>
  <c r="H123" i="4"/>
  <c r="I123" i="4" s="1"/>
  <c r="O124" i="4"/>
  <c r="N126" i="4"/>
  <c r="N128" i="4"/>
  <c r="M130" i="4"/>
  <c r="L132" i="4"/>
  <c r="K134" i="4"/>
  <c r="J136" i="4"/>
  <c r="H140" i="4"/>
  <c r="I140" i="4" s="1"/>
  <c r="O141" i="4"/>
  <c r="N143" i="4"/>
  <c r="M145" i="4"/>
  <c r="L147" i="4"/>
  <c r="K149" i="4"/>
  <c r="J151" i="4"/>
  <c r="J153" i="4"/>
  <c r="H155" i="4"/>
  <c r="I155" i="4" s="1"/>
  <c r="N156" i="4"/>
  <c r="L158" i="4"/>
  <c r="J160" i="4"/>
  <c r="H162" i="4"/>
  <c r="I162" i="4" s="1"/>
  <c r="N163" i="4"/>
  <c r="K6" i="4"/>
  <c r="K8" i="4"/>
  <c r="K10" i="4"/>
  <c r="K12" i="4"/>
  <c r="K14" i="4"/>
  <c r="K16" i="4"/>
  <c r="L18" i="4"/>
  <c r="L20" i="4"/>
  <c r="L22" i="4"/>
  <c r="L24" i="4"/>
  <c r="L26" i="4"/>
  <c r="L28" i="4"/>
  <c r="L30" i="4"/>
  <c r="N32" i="4"/>
  <c r="N34" i="4"/>
  <c r="N36" i="4"/>
  <c r="N38" i="4"/>
  <c r="N40" i="4"/>
  <c r="N42" i="4"/>
  <c r="O44" i="4"/>
  <c r="O46" i="4"/>
  <c r="O48" i="4"/>
  <c r="O50" i="4"/>
  <c r="O52" i="4"/>
  <c r="O54" i="4"/>
  <c r="H57" i="4"/>
  <c r="I57" i="4" s="1"/>
  <c r="J69" i="4"/>
  <c r="J71" i="4"/>
  <c r="J73" i="4"/>
  <c r="J75" i="4"/>
  <c r="J77" i="4"/>
  <c r="J79" i="4"/>
  <c r="J81" i="4"/>
  <c r="K83" i="4"/>
  <c r="L85" i="4"/>
  <c r="L87" i="4"/>
  <c r="L89" i="4"/>
  <c r="L91" i="4"/>
  <c r="L93" i="4"/>
  <c r="M95" i="4"/>
  <c r="M97" i="4"/>
  <c r="M99" i="4"/>
  <c r="M101" i="4"/>
  <c r="M103" i="4"/>
  <c r="M105" i="4"/>
  <c r="N107" i="4"/>
  <c r="N109" i="4"/>
  <c r="O111" i="4"/>
  <c r="O113" i="4"/>
  <c r="O115" i="4"/>
  <c r="O117" i="4"/>
  <c r="H120" i="4"/>
  <c r="I120" i="4" s="1"/>
  <c r="H122" i="4"/>
  <c r="I122" i="4" s="1"/>
  <c r="H124" i="4"/>
  <c r="I124" i="4" s="1"/>
  <c r="H126" i="4"/>
  <c r="I126" i="4" s="1"/>
  <c r="H128" i="4"/>
  <c r="I128" i="4" s="1"/>
  <c r="H130" i="4"/>
  <c r="I130" i="4" s="1"/>
  <c r="H132" i="4"/>
  <c r="I132" i="4" s="1"/>
  <c r="J138" i="4"/>
  <c r="J140" i="4"/>
  <c r="J142" i="4"/>
  <c r="J144" i="4"/>
  <c r="K146" i="4"/>
  <c r="K148" i="4"/>
  <c r="K150" i="4"/>
  <c r="K152" i="4"/>
  <c r="K154" i="4"/>
  <c r="J156" i="4"/>
  <c r="H160" i="4"/>
  <c r="I160" i="4" s="1"/>
  <c r="O161" i="4"/>
  <c r="O163" i="4"/>
  <c r="M165" i="4"/>
  <c r="K167" i="4"/>
  <c r="O170" i="4"/>
  <c r="M172" i="4"/>
  <c r="K174" i="4"/>
  <c r="O177" i="4"/>
  <c r="M179" i="4"/>
  <c r="K181" i="4"/>
  <c r="O184" i="4"/>
  <c r="M186" i="4"/>
  <c r="K188" i="4"/>
  <c r="O191" i="4"/>
  <c r="M193" i="4"/>
  <c r="K195" i="4"/>
  <c r="O198" i="4"/>
  <c r="M200" i="4"/>
  <c r="K202" i="4"/>
  <c r="O205" i="4"/>
  <c r="M207" i="4"/>
  <c r="K209" i="4"/>
  <c r="O212" i="4"/>
  <c r="M214" i="4"/>
  <c r="K216" i="4"/>
  <c r="O219" i="4"/>
  <c r="M221" i="4"/>
  <c r="K223" i="4"/>
  <c r="O226" i="4"/>
  <c r="M228" i="4"/>
  <c r="K230" i="4"/>
  <c r="O233" i="4"/>
  <c r="M235" i="4"/>
  <c r="K237" i="4"/>
  <c r="O240" i="4"/>
  <c r="M242" i="4"/>
  <c r="K244" i="4"/>
  <c r="O247" i="4"/>
  <c r="M249" i="4"/>
  <c r="K251" i="4"/>
  <c r="O254" i="4"/>
  <c r="M256" i="4"/>
  <c r="G256" i="5" s="1"/>
  <c r="K258" i="4"/>
  <c r="O261" i="4"/>
  <c r="M263" i="4"/>
  <c r="G263" i="5" s="1"/>
  <c r="K265" i="4"/>
  <c r="O268" i="4"/>
  <c r="M270" i="4"/>
  <c r="G270" i="5" s="1"/>
  <c r="K272" i="4"/>
  <c r="O275" i="4"/>
  <c r="M277" i="4"/>
  <c r="G277" i="5" s="1"/>
  <c r="K279" i="4"/>
  <c r="O282" i="4"/>
  <c r="M284" i="4"/>
  <c r="G284" i="5" s="1"/>
  <c r="K286" i="4"/>
  <c r="O289" i="4"/>
  <c r="M291" i="4"/>
  <c r="G291" i="5" s="1"/>
  <c r="K293" i="4"/>
  <c r="O296" i="4"/>
  <c r="M298" i="4"/>
  <c r="K300" i="4"/>
  <c r="O303" i="4"/>
  <c r="M305" i="4"/>
  <c r="K307" i="4"/>
  <c r="O310" i="4"/>
  <c r="M312" i="4"/>
  <c r="K314" i="4"/>
  <c r="O317" i="4"/>
  <c r="M319" i="4"/>
  <c r="K321" i="4"/>
  <c r="L6" i="4"/>
  <c r="M8" i="4"/>
  <c r="N10" i="4"/>
  <c r="O12" i="4"/>
  <c r="J17" i="4"/>
  <c r="L19" i="4"/>
  <c r="M21" i="4"/>
  <c r="O23" i="4"/>
  <c r="H26" i="4"/>
  <c r="I26" i="4" s="1"/>
  <c r="J30" i="4"/>
  <c r="L32" i="4"/>
  <c r="O34" i="4"/>
  <c r="H37" i="4"/>
  <c r="I37" i="4" s="1"/>
  <c r="K41" i="4"/>
  <c r="L43" i="4"/>
  <c r="M45" i="4"/>
  <c r="O47" i="4"/>
  <c r="J52" i="4"/>
  <c r="K54" i="4"/>
  <c r="L56" i="4"/>
  <c r="N58" i="4"/>
  <c r="H61" i="4"/>
  <c r="I61" i="4" s="1"/>
  <c r="J63" i="4"/>
  <c r="K65" i="4"/>
  <c r="M67" i="4"/>
  <c r="N69" i="4"/>
  <c r="O71" i="4"/>
  <c r="K76" i="4"/>
  <c r="L78" i="4"/>
  <c r="M80" i="4"/>
  <c r="N82" i="4"/>
  <c r="H85" i="4"/>
  <c r="I85" i="4" s="1"/>
  <c r="K89" i="4"/>
  <c r="M91" i="4"/>
  <c r="O93" i="4"/>
  <c r="H96" i="4"/>
  <c r="I96" i="4" s="1"/>
  <c r="J100" i="4"/>
  <c r="M102" i="4"/>
  <c r="N104" i="4"/>
  <c r="O106" i="4"/>
  <c r="H109" i="4"/>
  <c r="I109" i="4" s="1"/>
  <c r="J111" i="4"/>
  <c r="K113" i="4"/>
  <c r="M115" i="4"/>
  <c r="N117" i="4"/>
  <c r="J122" i="4"/>
  <c r="K124" i="4"/>
  <c r="L126" i="4"/>
  <c r="O128" i="4"/>
  <c r="H131" i="4"/>
  <c r="I131" i="4" s="1"/>
  <c r="J135" i="4"/>
  <c r="L137" i="4"/>
  <c r="M139" i="4"/>
  <c r="N141" i="4"/>
  <c r="H144" i="4"/>
  <c r="I144" i="4" s="1"/>
  <c r="J146" i="4"/>
  <c r="L148" i="4"/>
  <c r="M150" i="4"/>
  <c r="N152" i="4"/>
  <c r="O154" i="4"/>
  <c r="H157" i="4"/>
  <c r="I157" i="4" s="1"/>
  <c r="H159" i="4"/>
  <c r="I159" i="4" s="1"/>
  <c r="H161" i="4"/>
  <c r="I161" i="4" s="1"/>
  <c r="H163" i="4"/>
  <c r="I163" i="4" s="1"/>
  <c r="H165" i="4"/>
  <c r="I165" i="4" s="1"/>
  <c r="O166" i="4"/>
  <c r="N168" i="4"/>
  <c r="M170" i="4"/>
  <c r="L172" i="4"/>
  <c r="L174" i="4"/>
  <c r="K176" i="4"/>
  <c r="J178" i="4"/>
  <c r="H182" i="4"/>
  <c r="I182" i="4" s="1"/>
  <c r="O183" i="4"/>
  <c r="N185" i="4"/>
  <c r="M187" i="4"/>
  <c r="L189" i="4"/>
  <c r="K191" i="4"/>
  <c r="J193" i="4"/>
  <c r="H197" i="4"/>
  <c r="I197" i="4" s="1"/>
  <c r="H199" i="4"/>
  <c r="I199" i="4" s="1"/>
  <c r="O200" i="4"/>
  <c r="N202" i="4"/>
  <c r="M204" i="4"/>
  <c r="L206" i="4"/>
  <c r="K208" i="4"/>
  <c r="J210" i="4"/>
  <c r="H214" i="4"/>
  <c r="I214" i="4" s="1"/>
  <c r="O215" i="4"/>
  <c r="N217" i="4"/>
  <c r="M219" i="4"/>
  <c r="L221" i="4"/>
  <c r="L223" i="4"/>
  <c r="K225" i="4"/>
  <c r="J227" i="4"/>
  <c r="H231" i="4"/>
  <c r="I231" i="4" s="1"/>
  <c r="O232" i="4"/>
  <c r="N234" i="4"/>
  <c r="M236" i="4"/>
  <c r="L238" i="4"/>
  <c r="K240" i="4"/>
  <c r="J242" i="4"/>
  <c r="H246" i="4"/>
  <c r="I246" i="4" s="1"/>
  <c r="H248" i="4"/>
  <c r="I248" i="4" s="1"/>
  <c r="O249" i="4"/>
  <c r="N251" i="4"/>
  <c r="M253" i="4"/>
  <c r="L255" i="4"/>
  <c r="K257" i="4"/>
  <c r="J259" i="4"/>
  <c r="F259" i="5" s="1"/>
  <c r="H263" i="4"/>
  <c r="I263" i="4" s="1"/>
  <c r="O264" i="4"/>
  <c r="N266" i="4"/>
  <c r="M268" i="4"/>
  <c r="G268" i="5" s="1"/>
  <c r="L270" i="4"/>
  <c r="L272" i="4"/>
  <c r="K274" i="4"/>
  <c r="J276" i="4"/>
  <c r="F276" i="5" s="1"/>
  <c r="H280" i="4"/>
  <c r="I280" i="4" s="1"/>
  <c r="O281" i="4"/>
  <c r="N283" i="4"/>
  <c r="M285" i="4"/>
  <c r="G285" i="5" s="1"/>
  <c r="L287" i="4"/>
  <c r="K289" i="4"/>
  <c r="J291" i="4"/>
  <c r="F291" i="5" s="1"/>
  <c r="H295" i="4"/>
  <c r="I295" i="4" s="1"/>
  <c r="H297" i="4"/>
  <c r="I297" i="4" s="1"/>
  <c r="O298" i="4"/>
  <c r="N300" i="4"/>
  <c r="M302" i="4"/>
  <c r="L304" i="4"/>
  <c r="K306" i="4"/>
  <c r="J308" i="4"/>
  <c r="H312" i="4"/>
  <c r="I312" i="4" s="1"/>
  <c r="O313" i="4"/>
  <c r="N315" i="4"/>
  <c r="M317" i="4"/>
  <c r="L319" i="4"/>
  <c r="L321" i="4"/>
  <c r="K323" i="4"/>
  <c r="O326" i="4"/>
  <c r="M328" i="4"/>
  <c r="K330" i="4"/>
  <c r="O333" i="4"/>
  <c r="M335" i="4"/>
  <c r="K337" i="4"/>
  <c r="O340" i="4"/>
  <c r="M342" i="4"/>
  <c r="K344" i="4"/>
  <c r="O347" i="4"/>
  <c r="M349" i="4"/>
  <c r="K351" i="4"/>
  <c r="O354" i="4"/>
  <c r="M356" i="4"/>
  <c r="K358" i="4"/>
  <c r="O361" i="4"/>
  <c r="M363" i="4"/>
  <c r="K365" i="4"/>
  <c r="O368" i="4"/>
  <c r="M370" i="4"/>
  <c r="K372" i="4"/>
  <c r="O375" i="4"/>
  <c r="M377" i="4"/>
  <c r="K379" i="4"/>
  <c r="O382" i="4"/>
  <c r="M384" i="4"/>
  <c r="K386" i="4"/>
  <c r="O389" i="4"/>
  <c r="M391" i="4"/>
  <c r="K393" i="4"/>
  <c r="O396" i="4"/>
  <c r="M398" i="4"/>
  <c r="K400" i="4"/>
  <c r="O403" i="4"/>
  <c r="M405" i="4"/>
  <c r="K407" i="4"/>
  <c r="M6" i="4"/>
  <c r="N8" i="4"/>
  <c r="O10" i="4"/>
  <c r="H13" i="4"/>
  <c r="I13" i="4" s="1"/>
  <c r="J15" i="4"/>
  <c r="K17" i="4"/>
  <c r="M19" i="4"/>
  <c r="N21" i="4"/>
  <c r="H24" i="4"/>
  <c r="I24" i="4" s="1"/>
  <c r="J28" i="4"/>
  <c r="K30" i="4"/>
  <c r="O32" i="4"/>
  <c r="H35" i="4"/>
  <c r="I35" i="4" s="1"/>
  <c r="J39" i="4"/>
  <c r="L41" i="4"/>
  <c r="M43" i="4"/>
  <c r="O45" i="4"/>
  <c r="H48" i="4"/>
  <c r="I48" i="4" s="1"/>
  <c r="J50" i="4"/>
  <c r="K52" i="4"/>
  <c r="L54" i="4"/>
  <c r="M56" i="4"/>
  <c r="O58" i="4"/>
  <c r="J61" i="4"/>
  <c r="K63" i="4"/>
  <c r="L65" i="4"/>
  <c r="N67" i="4"/>
  <c r="O69" i="4"/>
  <c r="H72" i="4"/>
  <c r="I72" i="4" s="1"/>
  <c r="J74" i="4"/>
  <c r="L76" i="4"/>
  <c r="M78" i="4"/>
  <c r="N80" i="4"/>
  <c r="O82" i="4"/>
  <c r="K87" i="4"/>
  <c r="M89" i="4"/>
  <c r="N91" i="4"/>
  <c r="H94" i="4"/>
  <c r="I94" i="4" s="1"/>
  <c r="J98" i="4"/>
  <c r="L100" i="4"/>
  <c r="N102" i="4"/>
  <c r="O104" i="4"/>
  <c r="H107" i="4"/>
  <c r="I107" i="4" s="1"/>
  <c r="K111" i="4"/>
  <c r="L113" i="4"/>
  <c r="N115" i="4"/>
  <c r="H118" i="4"/>
  <c r="I118" i="4" s="1"/>
  <c r="J120" i="4"/>
  <c r="K122" i="4"/>
  <c r="L124" i="4"/>
  <c r="M126" i="4"/>
  <c r="H129" i="4"/>
  <c r="I129" i="4" s="1"/>
  <c r="J133" i="4"/>
  <c r="K135" i="4"/>
  <c r="M137" i="4"/>
  <c r="N139" i="4"/>
  <c r="H142" i="4"/>
  <c r="I142" i="4" s="1"/>
  <c r="L146" i="4"/>
  <c r="M148" i="4"/>
  <c r="N150" i="4"/>
  <c r="O152" i="4"/>
  <c r="H167" i="4"/>
  <c r="I167" i="4" s="1"/>
  <c r="O168" i="4"/>
  <c r="N170" i="4"/>
  <c r="N172" i="4"/>
  <c r="M174" i="4"/>
  <c r="L176" i="4"/>
  <c r="K178" i="4"/>
  <c r="J180" i="4"/>
  <c r="H184" i="4"/>
  <c r="I184" i="4" s="1"/>
  <c r="O185" i="4"/>
  <c r="N187" i="4"/>
  <c r="M189" i="4"/>
  <c r="L191" i="4"/>
  <c r="K193" i="4"/>
  <c r="J195" i="4"/>
  <c r="J197" i="4"/>
  <c r="H201" i="4"/>
  <c r="I201" i="4" s="1"/>
  <c r="O202" i="4"/>
  <c r="N204" i="4"/>
  <c r="M206" i="4"/>
  <c r="L208" i="4"/>
  <c r="K210" i="4"/>
  <c r="J212" i="4"/>
  <c r="H216" i="4"/>
  <c r="I216" i="4" s="1"/>
  <c r="O217" i="4"/>
  <c r="N219" i="4"/>
  <c r="N221" i="4"/>
  <c r="M223" i="4"/>
  <c r="N6" i="4"/>
  <c r="M11" i="4"/>
  <c r="N16" i="4"/>
  <c r="H22" i="4"/>
  <c r="I22" i="4" s="1"/>
  <c r="K24" i="4"/>
  <c r="H27" i="4"/>
  <c r="I27" i="4" s="1"/>
  <c r="L29" i="4"/>
  <c r="O31" i="4"/>
  <c r="K34" i="4"/>
  <c r="J37" i="4"/>
  <c r="N39" i="4"/>
  <c r="J42" i="4"/>
  <c r="N44" i="4"/>
  <c r="J47" i="4"/>
  <c r="N49" i="4"/>
  <c r="L52" i="4"/>
  <c r="H55" i="4"/>
  <c r="I55" i="4" s="1"/>
  <c r="M57" i="4"/>
  <c r="H60" i="4"/>
  <c r="I60" i="4" s="1"/>
  <c r="L62" i="4"/>
  <c r="H65" i="4"/>
  <c r="I65" i="4" s="1"/>
  <c r="O67" i="4"/>
  <c r="K70" i="4"/>
  <c r="O72" i="4"/>
  <c r="K75" i="4"/>
  <c r="H78" i="4"/>
  <c r="I78" i="4" s="1"/>
  <c r="K80" i="4"/>
  <c r="H83" i="4"/>
  <c r="I83" i="4" s="1"/>
  <c r="N85" i="4"/>
  <c r="M90" i="4"/>
  <c r="N95" i="4"/>
  <c r="K98" i="4"/>
  <c r="H101" i="4"/>
  <c r="I101" i="4" s="1"/>
  <c r="K103" i="4"/>
  <c r="H106" i="4"/>
  <c r="I106" i="4" s="1"/>
  <c r="L108" i="4"/>
  <c r="O110" i="4"/>
  <c r="N113" i="4"/>
  <c r="J116" i="4"/>
  <c r="N118" i="4"/>
  <c r="J121" i="4"/>
  <c r="N123" i="4"/>
  <c r="J126" i="4"/>
  <c r="L131" i="4"/>
  <c r="H134" i="4"/>
  <c r="I134" i="4" s="1"/>
  <c r="M136" i="4"/>
  <c r="H139" i="4"/>
  <c r="I139" i="4" s="1"/>
  <c r="L141" i="4"/>
  <c r="L144" i="4"/>
  <c r="O146" i="4"/>
  <c r="J149" i="4"/>
  <c r="O151" i="4"/>
  <c r="J154" i="4"/>
  <c r="M156" i="4"/>
  <c r="J159" i="4"/>
  <c r="L161" i="4"/>
  <c r="H164" i="4"/>
  <c r="I164" i="4" s="1"/>
  <c r="J168" i="4"/>
  <c r="K170" i="4"/>
  <c r="O172" i="4"/>
  <c r="H175" i="4"/>
  <c r="I175" i="4" s="1"/>
  <c r="J179" i="4"/>
  <c r="L181" i="4"/>
  <c r="M183" i="4"/>
  <c r="H186" i="4"/>
  <c r="I186" i="4" s="1"/>
  <c r="K190" i="4"/>
  <c r="L192" i="4"/>
  <c r="M194" i="4"/>
  <c r="N196" i="4"/>
  <c r="J199" i="4"/>
  <c r="K201" i="4"/>
  <c r="L203" i="4"/>
  <c r="M205" i="4"/>
  <c r="O207" i="4"/>
  <c r="H210" i="4"/>
  <c r="I210" i="4" s="1"/>
  <c r="K212" i="4"/>
  <c r="L214" i="4"/>
  <c r="N216" i="4"/>
  <c r="O218" i="4"/>
  <c r="H221" i="4"/>
  <c r="I221" i="4" s="1"/>
  <c r="L225" i="4"/>
  <c r="L227" i="4"/>
  <c r="L229" i="4"/>
  <c r="L231" i="4"/>
  <c r="L233" i="4"/>
  <c r="L235" i="4"/>
  <c r="M237" i="4"/>
  <c r="M239" i="4"/>
  <c r="M241" i="4"/>
  <c r="M243" i="4"/>
  <c r="M245" i="4"/>
  <c r="M247" i="4"/>
  <c r="N249" i="4"/>
  <c r="O251" i="4"/>
  <c r="O253" i="4"/>
  <c r="O255" i="4"/>
  <c r="O257" i="4"/>
  <c r="O259" i="4"/>
  <c r="H262" i="4"/>
  <c r="I262" i="4" s="1"/>
  <c r="H264" i="4"/>
  <c r="I264" i="4" s="1"/>
  <c r="H266" i="4"/>
  <c r="I266" i="4" s="1"/>
  <c r="H268" i="4"/>
  <c r="I268" i="4" s="1"/>
  <c r="H270" i="4"/>
  <c r="I270" i="4" s="1"/>
  <c r="H272" i="4"/>
  <c r="I272" i="4" s="1"/>
  <c r="H274" i="4"/>
  <c r="I274" i="4" s="1"/>
  <c r="J278" i="4"/>
  <c r="F278" i="5" s="1"/>
  <c r="J280" i="4"/>
  <c r="F280" i="5" s="1"/>
  <c r="J282" i="4"/>
  <c r="F282" i="5" s="1"/>
  <c r="J284" i="4"/>
  <c r="F284" i="5" s="1"/>
  <c r="J286" i="4"/>
  <c r="F286" i="5" s="1"/>
  <c r="K288" i="4"/>
  <c r="K290" i="4"/>
  <c r="K292" i="4"/>
  <c r="K294" i="4"/>
  <c r="K296" i="4"/>
  <c r="K298" i="4"/>
  <c r="L300" i="4"/>
  <c r="L302" i="4"/>
  <c r="M304" i="4"/>
  <c r="M306" i="4"/>
  <c r="M308" i="4"/>
  <c r="M310" i="4"/>
  <c r="N312" i="4"/>
  <c r="N314" i="4"/>
  <c r="N316" i="4"/>
  <c r="N318" i="4"/>
  <c r="N320" i="4"/>
  <c r="N322" i="4"/>
  <c r="N324" i="4"/>
  <c r="M326" i="4"/>
  <c r="L328" i="4"/>
  <c r="L330" i="4"/>
  <c r="K332" i="4"/>
  <c r="J334" i="4"/>
  <c r="H338" i="4"/>
  <c r="I338" i="4" s="1"/>
  <c r="O339" i="4"/>
  <c r="N341" i="4"/>
  <c r="M343" i="4"/>
  <c r="L345" i="4"/>
  <c r="K347" i="4"/>
  <c r="J349" i="4"/>
  <c r="H353" i="4"/>
  <c r="I353" i="4" s="1"/>
  <c r="H355" i="4"/>
  <c r="I355" i="4" s="1"/>
  <c r="O356" i="4"/>
  <c r="N358" i="4"/>
  <c r="M360" i="4"/>
  <c r="L362" i="4"/>
  <c r="K364" i="4"/>
  <c r="J366" i="4"/>
  <c r="H370" i="4"/>
  <c r="I370" i="4" s="1"/>
  <c r="O371" i="4"/>
  <c r="N373" i="4"/>
  <c r="M375" i="4"/>
  <c r="L377" i="4"/>
  <c r="L379" i="4"/>
  <c r="K381" i="4"/>
  <c r="J383" i="4"/>
  <c r="H387" i="4"/>
  <c r="I387" i="4" s="1"/>
  <c r="O388" i="4"/>
  <c r="N390" i="4"/>
  <c r="M392" i="4"/>
  <c r="L394" i="4"/>
  <c r="K396" i="4"/>
  <c r="J398" i="4"/>
  <c r="H402" i="4"/>
  <c r="I402" i="4" s="1"/>
  <c r="H404" i="4"/>
  <c r="I404" i="4" s="1"/>
  <c r="O405" i="4"/>
  <c r="N407" i="4"/>
  <c r="O6" i="4"/>
  <c r="J9" i="4"/>
  <c r="N11" i="4"/>
  <c r="J14" i="4"/>
  <c r="O16" i="4"/>
  <c r="J19" i="4"/>
  <c r="M24" i="4"/>
  <c r="J27" i="4"/>
  <c r="M29" i="4"/>
  <c r="H32" i="4"/>
  <c r="I32" i="4" s="1"/>
  <c r="M34" i="4"/>
  <c r="K37" i="4"/>
  <c r="O39" i="4"/>
  <c r="K42" i="4"/>
  <c r="H45" i="4"/>
  <c r="I45" i="4" s="1"/>
  <c r="K47" i="4"/>
  <c r="H50" i="4"/>
  <c r="I50" i="4" s="1"/>
  <c r="M52" i="4"/>
  <c r="K55" i="4"/>
  <c r="N57" i="4"/>
  <c r="M62" i="4"/>
  <c r="J65" i="4"/>
  <c r="H68" i="4"/>
  <c r="I68" i="4" s="1"/>
  <c r="L70" i="4"/>
  <c r="H73" i="4"/>
  <c r="I73" i="4" s="1"/>
  <c r="L75" i="4"/>
  <c r="L80" i="4"/>
  <c r="J83" i="4"/>
  <c r="O85" i="4"/>
  <c r="J88" i="4"/>
  <c r="N90" i="4"/>
  <c r="J93" i="4"/>
  <c r="O95" i="4"/>
  <c r="M98" i="4"/>
  <c r="L103" i="4"/>
  <c r="J106" i="4"/>
  <c r="M108" i="4"/>
  <c r="H111" i="4"/>
  <c r="I111" i="4" s="1"/>
  <c r="H114" i="4"/>
  <c r="I114" i="4" s="1"/>
  <c r="L116" i="4"/>
  <c r="O118" i="4"/>
  <c r="K121" i="4"/>
  <c r="O123" i="4"/>
  <c r="K126" i="4"/>
  <c r="J129" i="4"/>
  <c r="M131" i="4"/>
  <c r="J134" i="4"/>
  <c r="N136" i="4"/>
  <c r="J139" i="4"/>
  <c r="M141" i="4"/>
  <c r="M144" i="4"/>
  <c r="H147" i="4"/>
  <c r="I147" i="4" s="1"/>
  <c r="L149" i="4"/>
  <c r="H152" i="4"/>
  <c r="I152" i="4" s="1"/>
  <c r="L154" i="4"/>
  <c r="O156" i="4"/>
  <c r="K159" i="4"/>
  <c r="M161" i="4"/>
  <c r="J166" i="4"/>
  <c r="K168" i="4"/>
  <c r="L170" i="4"/>
  <c r="H173" i="4"/>
  <c r="I173" i="4" s="1"/>
  <c r="J177" i="4"/>
  <c r="K179" i="4"/>
  <c r="M181" i="4"/>
  <c r="N183" i="4"/>
  <c r="J188" i="4"/>
  <c r="L190" i="4"/>
  <c r="M192" i="4"/>
  <c r="N194" i="4"/>
  <c r="O196" i="4"/>
  <c r="K199" i="4"/>
  <c r="L201" i="4"/>
  <c r="M203" i="4"/>
  <c r="N205" i="4"/>
  <c r="H208" i="4"/>
  <c r="I208" i="4" s="1"/>
  <c r="L212" i="4"/>
  <c r="N214" i="4"/>
  <c r="O216" i="4"/>
  <c r="H219" i="4"/>
  <c r="I219" i="4" s="1"/>
  <c r="J223" i="4"/>
  <c r="M225" i="4"/>
  <c r="M227" i="4"/>
  <c r="M229" i="4"/>
  <c r="M231" i="4"/>
  <c r="M233" i="4"/>
  <c r="N235" i="4"/>
  <c r="N237" i="4"/>
  <c r="N239" i="4"/>
  <c r="N241" i="4"/>
  <c r="N243" i="4"/>
  <c r="N245" i="4"/>
  <c r="N247" i="4"/>
  <c r="H250" i="4"/>
  <c r="I250" i="4" s="1"/>
  <c r="H252" i="4"/>
  <c r="I252" i="4" s="1"/>
  <c r="H254" i="4"/>
  <c r="I254" i="4" s="1"/>
  <c r="H256" i="4"/>
  <c r="I256" i="4" s="1"/>
  <c r="H258" i="4"/>
  <c r="I258" i="4" s="1"/>
  <c r="H260" i="4"/>
  <c r="I260" i="4" s="1"/>
  <c r="J274" i="4"/>
  <c r="F274" i="5" s="1"/>
  <c r="K276" i="4"/>
  <c r="K278" i="4"/>
  <c r="K280" i="4"/>
  <c r="K282" i="4"/>
  <c r="K284" i="4"/>
  <c r="L286" i="4"/>
  <c r="L288" i="4"/>
  <c r="L290" i="4"/>
  <c r="L292" i="4"/>
  <c r="L294" i="4"/>
  <c r="L296" i="4"/>
  <c r="L298" i="4"/>
  <c r="M300" i="4"/>
  <c r="N302" i="4"/>
  <c r="N304" i="4"/>
  <c r="N306" i="4"/>
  <c r="N308" i="4"/>
  <c r="N310" i="4"/>
  <c r="O312" i="4"/>
  <c r="O314" i="4"/>
  <c r="O316" i="4"/>
  <c r="O318" i="4"/>
  <c r="O320" i="4"/>
  <c r="O322" i="4"/>
  <c r="O324" i="4"/>
  <c r="N326" i="4"/>
  <c r="N328" i="4"/>
  <c r="M330" i="4"/>
  <c r="L332" i="4"/>
  <c r="K334" i="4"/>
  <c r="J336" i="4"/>
  <c r="H340" i="4"/>
  <c r="I340" i="4" s="1"/>
  <c r="O341" i="4"/>
  <c r="N343" i="4"/>
  <c r="M345" i="4"/>
  <c r="L347" i="4"/>
  <c r="K349" i="4"/>
  <c r="J351" i="4"/>
  <c r="J353" i="4"/>
  <c r="H357" i="4"/>
  <c r="I357" i="4" s="1"/>
  <c r="O358" i="4"/>
  <c r="N360" i="4"/>
  <c r="M362" i="4"/>
  <c r="L364" i="4"/>
  <c r="K366" i="4"/>
  <c r="J368" i="4"/>
  <c r="H372" i="4"/>
  <c r="I372" i="4" s="1"/>
  <c r="O373" i="4"/>
  <c r="N375" i="4"/>
  <c r="N377" i="4"/>
  <c r="M379" i="4"/>
  <c r="L381" i="4"/>
  <c r="L7" i="4"/>
  <c r="L10" i="4"/>
  <c r="L13" i="4"/>
  <c r="J16" i="4"/>
  <c r="N19" i="4"/>
  <c r="M22" i="4"/>
  <c r="L25" i="4"/>
  <c r="K28" i="4"/>
  <c r="K31" i="4"/>
  <c r="H34" i="4"/>
  <c r="I34" i="4" s="1"/>
  <c r="L37" i="4"/>
  <c r="K40" i="4"/>
  <c r="J43" i="4"/>
  <c r="J46" i="4"/>
  <c r="H52" i="4"/>
  <c r="I52" i="4" s="1"/>
  <c r="L55" i="4"/>
  <c r="K61" i="4"/>
  <c r="O66" i="4"/>
  <c r="H70" i="4"/>
  <c r="I70" i="4" s="1"/>
  <c r="H76" i="4"/>
  <c r="I76" i="4" s="1"/>
  <c r="H79" i="4"/>
  <c r="I79" i="4" s="1"/>
  <c r="H82" i="4"/>
  <c r="I82" i="4" s="1"/>
  <c r="M84" i="4"/>
  <c r="O87" i="4"/>
  <c r="O90" i="4"/>
  <c r="O96" i="4"/>
  <c r="N99" i="4"/>
  <c r="O102" i="4"/>
  <c r="L105" i="4"/>
  <c r="N108" i="4"/>
  <c r="H112" i="4"/>
  <c r="I112" i="4" s="1"/>
  <c r="N114" i="4"/>
  <c r="L117" i="4"/>
  <c r="M120" i="4"/>
  <c r="L123" i="4"/>
  <c r="H127" i="4"/>
  <c r="I127" i="4" s="1"/>
  <c r="M129" i="4"/>
  <c r="M132" i="4"/>
  <c r="L135" i="4"/>
  <c r="N7" i="4"/>
  <c r="H11" i="4"/>
  <c r="I11" i="4" s="1"/>
  <c r="O13" i="4"/>
  <c r="H17" i="4"/>
  <c r="I17" i="4" s="1"/>
  <c r="H20" i="4"/>
  <c r="I20" i="4" s="1"/>
  <c r="O22" i="4"/>
  <c r="N25" i="4"/>
  <c r="H29" i="4"/>
  <c r="I29" i="4" s="1"/>
  <c r="M31" i="4"/>
  <c r="O37" i="4"/>
  <c r="M40" i="4"/>
  <c r="N43" i="4"/>
  <c r="M46" i="4"/>
  <c r="K49" i="4"/>
  <c r="N52" i="4"/>
  <c r="N55" i="4"/>
  <c r="K58" i="4"/>
  <c r="M61" i="4"/>
  <c r="K64" i="4"/>
  <c r="J67" i="4"/>
  <c r="M70" i="4"/>
  <c r="L73" i="4"/>
  <c r="M76" i="4"/>
  <c r="K79" i="4"/>
  <c r="J82" i="4"/>
  <c r="J85" i="4"/>
  <c r="L88" i="4"/>
  <c r="J91" i="4"/>
  <c r="K94" i="4"/>
  <c r="J97" i="4"/>
  <c r="H100" i="4"/>
  <c r="I100" i="4" s="1"/>
  <c r="K106" i="4"/>
  <c r="J109" i="4"/>
  <c r="J112" i="4"/>
  <c r="H115" i="4"/>
  <c r="I115" i="4" s="1"/>
  <c r="J118" i="4"/>
  <c r="O120" i="4"/>
  <c r="J127" i="4"/>
  <c r="O129" i="4"/>
  <c r="O132" i="4"/>
  <c r="O135" i="4"/>
  <c r="N138" i="4"/>
  <c r="H145" i="4"/>
  <c r="I145" i="4" s="1"/>
  <c r="N147" i="4"/>
  <c r="O150" i="4"/>
  <c r="N153" i="4"/>
  <c r="K156" i="4"/>
  <c r="L159" i="4"/>
  <c r="J162" i="4"/>
  <c r="N164" i="4"/>
  <c r="L167" i="4"/>
  <c r="O169" i="4"/>
  <c r="J172" i="4"/>
  <c r="J175" i="4"/>
  <c r="M177" i="4"/>
  <c r="K180" i="4"/>
  <c r="N182" i="4"/>
  <c r="J185" i="4"/>
  <c r="O187" i="4"/>
  <c r="M190" i="4"/>
  <c r="H193" i="4"/>
  <c r="I193" i="4" s="1"/>
  <c r="N195" i="4"/>
  <c r="L200" i="4"/>
  <c r="J203" i="4"/>
  <c r="H206" i="4"/>
  <c r="I206" i="4" s="1"/>
  <c r="M208" i="4"/>
  <c r="H211" i="4"/>
  <c r="I211" i="4" s="1"/>
  <c r="L213" i="4"/>
  <c r="M218" i="4"/>
  <c r="J221" i="4"/>
  <c r="H224" i="4"/>
  <c r="I224" i="4" s="1"/>
  <c r="J226" i="4"/>
  <c r="L228" i="4"/>
  <c r="O230" i="4"/>
  <c r="J233" i="4"/>
  <c r="O235" i="4"/>
  <c r="L240" i="4"/>
  <c r="O242" i="4"/>
  <c r="H7" i="4"/>
  <c r="I7" i="4" s="1"/>
  <c r="M13" i="4"/>
  <c r="M17" i="4"/>
  <c r="N20" i="4"/>
  <c r="M27" i="4"/>
  <c r="J34" i="4"/>
  <c r="M41" i="4"/>
  <c r="L48" i="4"/>
  <c r="N51" i="4"/>
  <c r="M55" i="4"/>
  <c r="J59" i="4"/>
  <c r="J62" i="4"/>
  <c r="H66" i="4"/>
  <c r="I66" i="4" s="1"/>
  <c r="H69" i="4"/>
  <c r="I69" i="4" s="1"/>
  <c r="L72" i="4"/>
  <c r="J76" i="4"/>
  <c r="O79" i="4"/>
  <c r="M83" i="4"/>
  <c r="L86" i="4"/>
  <c r="H90" i="4"/>
  <c r="I90" i="4" s="1"/>
  <c r="K93" i="4"/>
  <c r="H97" i="4"/>
  <c r="I97" i="4" s="1"/>
  <c r="N100" i="4"/>
  <c r="H104" i="4"/>
  <c r="I104" i="4" s="1"/>
  <c r="K107" i="4"/>
  <c r="M110" i="4"/>
  <c r="K114" i="4"/>
  <c r="M117" i="4"/>
  <c r="L121" i="4"/>
  <c r="H125" i="4"/>
  <c r="I125" i="4" s="1"/>
  <c r="N131" i="4"/>
  <c r="H135" i="4"/>
  <c r="I135" i="4" s="1"/>
  <c r="L138" i="4"/>
  <c r="K141" i="4"/>
  <c r="L151" i="4"/>
  <c r="M154" i="4"/>
  <c r="M157" i="4"/>
  <c r="L160" i="4"/>
  <c r="K163" i="4"/>
  <c r="M7" i="4"/>
  <c r="J11" i="4"/>
  <c r="N14" i="4"/>
  <c r="K21" i="4"/>
  <c r="M28" i="4"/>
  <c r="M35" i="4"/>
  <c r="O38" i="4"/>
  <c r="L42" i="4"/>
  <c r="H46" i="4"/>
  <c r="I46" i="4" s="1"/>
  <c r="J49" i="4"/>
  <c r="J56" i="4"/>
  <c r="N59" i="4"/>
  <c r="L63" i="4"/>
  <c r="M66" i="4"/>
  <c r="N73" i="4"/>
  <c r="O80" i="4"/>
  <c r="M87" i="4"/>
  <c r="M94" i="4"/>
  <c r="O97" i="4"/>
  <c r="L101" i="4"/>
  <c r="H105" i="4"/>
  <c r="I105" i="4" s="1"/>
  <c r="J108" i="4"/>
  <c r="J115" i="4"/>
  <c r="H119" i="4"/>
  <c r="I119" i="4" s="1"/>
  <c r="L122" i="4"/>
  <c r="M125" i="4"/>
  <c r="K129" i="4"/>
  <c r="N132" i="4"/>
  <c r="K136" i="4"/>
  <c r="L139" i="4"/>
  <c r="O142" i="4"/>
  <c r="N145" i="4"/>
  <c r="H149" i="4"/>
  <c r="I149" i="4" s="1"/>
  <c r="J152" i="4"/>
  <c r="L155" i="4"/>
  <c r="J158" i="4"/>
  <c r="J161" i="4"/>
  <c r="K164" i="4"/>
  <c r="N169" i="4"/>
  <c r="K172" i="4"/>
  <c r="L175" i="4"/>
  <c r="O180" i="4"/>
  <c r="L183" i="4"/>
  <c r="L186" i="4"/>
  <c r="H192" i="4"/>
  <c r="I192" i="4" s="1"/>
  <c r="L194" i="4"/>
  <c r="M197" i="4"/>
  <c r="H203" i="4"/>
  <c r="I203" i="4" s="1"/>
  <c r="L205" i="4"/>
  <c r="N208" i="4"/>
  <c r="K211" i="4"/>
  <c r="O213" i="4"/>
  <c r="H217" i="4"/>
  <c r="I217" i="4" s="1"/>
  <c r="L219" i="4"/>
  <c r="K222" i="4"/>
  <c r="O224" i="4"/>
  <c r="N227" i="4"/>
  <c r="M232" i="4"/>
  <c r="O237" i="4"/>
  <c r="J240" i="4"/>
  <c r="H243" i="4"/>
  <c r="I243" i="4" s="1"/>
  <c r="J245" i="4"/>
  <c r="L247" i="4"/>
  <c r="J250" i="4"/>
  <c r="L252" i="4"/>
  <c r="N254" i="4"/>
  <c r="L259" i="4"/>
  <c r="N261" i="4"/>
  <c r="K264" i="4"/>
  <c r="H8" i="4"/>
  <c r="I8" i="4" s="1"/>
  <c r="L8" i="4"/>
  <c r="L12" i="4"/>
  <c r="M20" i="4"/>
  <c r="N24" i="4"/>
  <c r="L36" i="4"/>
  <c r="O40" i="4"/>
  <c r="L44" i="4"/>
  <c r="N48" i="4"/>
  <c r="L53" i="4"/>
  <c r="J57" i="4"/>
  <c r="N60" i="4"/>
  <c r="O64" i="4"/>
  <c r="O68" i="4"/>
  <c r="K73" i="4"/>
  <c r="K77" i="4"/>
  <c r="L81" i="4"/>
  <c r="M85" i="4"/>
  <c r="J89" i="4"/>
  <c r="H93" i="4"/>
  <c r="I93" i="4" s="1"/>
  <c r="L97" i="4"/>
  <c r="N101" i="4"/>
  <c r="K105" i="4"/>
  <c r="H110" i="4"/>
  <c r="I110" i="4" s="1"/>
  <c r="J113" i="4"/>
  <c r="J117" i="4"/>
  <c r="O121" i="4"/>
  <c r="N125" i="4"/>
  <c r="N133" i="4"/>
  <c r="O137" i="4"/>
  <c r="J141" i="4"/>
  <c r="K145" i="4"/>
  <c r="H153" i="4"/>
  <c r="I153" i="4" s="1"/>
  <c r="O159" i="4"/>
  <c r="J163" i="4"/>
  <c r="L166" i="4"/>
  <c r="L169" i="4"/>
  <c r="M175" i="4"/>
  <c r="M178" i="4"/>
  <c r="J181" i="4"/>
  <c r="L184" i="4"/>
  <c r="J187" i="4"/>
  <c r="J190" i="4"/>
  <c r="L193" i="4"/>
  <c r="J196" i="4"/>
  <c r="L199" i="4"/>
  <c r="J211" i="4"/>
  <c r="J214" i="4"/>
  <c r="J217" i="4"/>
  <c r="J220" i="4"/>
  <c r="O222" i="4"/>
  <c r="H226" i="4"/>
  <c r="I226" i="4" s="1"/>
  <c r="N228" i="4"/>
  <c r="K231" i="4"/>
  <c r="J234" i="4"/>
  <c r="O236" i="4"/>
  <c r="L239" i="4"/>
  <c r="K242" i="4"/>
  <c r="H245" i="4"/>
  <c r="I245" i="4" s="1"/>
  <c r="K247" i="4"/>
  <c r="K250" i="4"/>
  <c r="N252" i="4"/>
  <c r="J255" i="4"/>
  <c r="F255" i="5" s="1"/>
  <c r="N257" i="4"/>
  <c r="L260" i="4"/>
  <c r="O262" i="4"/>
  <c r="L265" i="4"/>
  <c r="N267" i="4"/>
  <c r="J270" i="4"/>
  <c r="F270" i="5" s="1"/>
  <c r="N272" i="4"/>
  <c r="H275" i="4"/>
  <c r="I275" i="4" s="1"/>
  <c r="J277" i="4"/>
  <c r="F277" i="5" s="1"/>
  <c r="M279" i="4"/>
  <c r="G279" i="5" s="1"/>
  <c r="H282" i="4"/>
  <c r="I282" i="4" s="1"/>
  <c r="L284" i="4"/>
  <c r="O286" i="4"/>
  <c r="L291" i="4"/>
  <c r="O293" i="4"/>
  <c r="N298" i="4"/>
  <c r="K303" i="4"/>
  <c r="N305" i="4"/>
  <c r="H308" i="4"/>
  <c r="I308" i="4" s="1"/>
  <c r="K310" i="4"/>
  <c r="H313" i="4"/>
  <c r="I313" i="4" s="1"/>
  <c r="J315" i="4"/>
  <c r="L317" i="4"/>
  <c r="H320" i="4"/>
  <c r="I320" i="4" s="1"/>
  <c r="J322" i="4"/>
  <c r="L324" i="4"/>
  <c r="H327" i="4"/>
  <c r="I327" i="4" s="1"/>
  <c r="J331" i="4"/>
  <c r="K333" i="4"/>
  <c r="L335" i="4"/>
  <c r="N337" i="4"/>
  <c r="J342" i="4"/>
  <c r="L344" i="4"/>
  <c r="M346" i="4"/>
  <c r="N348" i="4"/>
  <c r="O350" i="4"/>
  <c r="K353" i="4"/>
  <c r="L355" i="4"/>
  <c r="M357" i="4"/>
  <c r="N359" i="4"/>
  <c r="H362" i="4"/>
  <c r="I362" i="4" s="1"/>
  <c r="L366" i="4"/>
  <c r="M368" i="4"/>
  <c r="O370" i="4"/>
  <c r="H373" i="4"/>
  <c r="I373" i="4" s="1"/>
  <c r="J377" i="4"/>
  <c r="N379" i="4"/>
  <c r="O381" i="4"/>
  <c r="O383" i="4"/>
  <c r="O385" i="4"/>
  <c r="O387" i="4"/>
  <c r="H390" i="4"/>
  <c r="I390" i="4" s="1"/>
  <c r="H392" i="4"/>
  <c r="I392" i="4" s="1"/>
  <c r="H394" i="4"/>
  <c r="I394" i="4" s="1"/>
  <c r="H396" i="4"/>
  <c r="I396" i="4" s="1"/>
  <c r="H398" i="4"/>
  <c r="I398" i="4" s="1"/>
  <c r="H400" i="4"/>
  <c r="I400" i="4" s="1"/>
  <c r="J402" i="4"/>
  <c r="J404" i="4"/>
  <c r="J406" i="4"/>
  <c r="O8" i="4"/>
  <c r="M12" i="4"/>
  <c r="L16" i="4"/>
  <c r="O20" i="4"/>
  <c r="O24" i="4"/>
  <c r="J29" i="4"/>
  <c r="J33" i="4"/>
  <c r="M36" i="4"/>
  <c r="H41" i="4"/>
  <c r="I41" i="4" s="1"/>
  <c r="J45" i="4"/>
  <c r="H49" i="4"/>
  <c r="I49" i="4" s="1"/>
  <c r="M53" i="4"/>
  <c r="K57" i="4"/>
  <c r="L61" i="4"/>
  <c r="N65" i="4"/>
  <c r="K69" i="4"/>
  <c r="M73" i="4"/>
  <c r="L77" i="4"/>
  <c r="N81" i="4"/>
  <c r="H86" i="4"/>
  <c r="I86" i="4" s="1"/>
  <c r="N89" i="4"/>
  <c r="N93" i="4"/>
  <c r="N97" i="4"/>
  <c r="O101" i="4"/>
  <c r="N105" i="4"/>
  <c r="K118" i="4"/>
  <c r="O125" i="4"/>
  <c r="J130" i="4"/>
  <c r="L134" i="4"/>
  <c r="H138" i="4"/>
  <c r="I138" i="4" s="1"/>
  <c r="K142" i="4"/>
  <c r="L145" i="4"/>
  <c r="N149" i="4"/>
  <c r="K153" i="4"/>
  <c r="L156" i="4"/>
  <c r="L163" i="4"/>
  <c r="M166" i="4"/>
  <c r="M169" i="4"/>
  <c r="N175" i="4"/>
  <c r="N178" i="4"/>
  <c r="N181" i="4"/>
  <c r="M184" i="4"/>
  <c r="K187" i="4"/>
  <c r="N190" i="4"/>
  <c r="N193" i="4"/>
  <c r="K196" i="4"/>
  <c r="M199" i="4"/>
  <c r="J202" i="4"/>
  <c r="J205" i="4"/>
  <c r="J208" i="4"/>
  <c r="L211" i="4"/>
  <c r="K214" i="4"/>
  <c r="K217" i="4"/>
  <c r="K220" i="4"/>
  <c r="H223" i="4"/>
  <c r="I223" i="4" s="1"/>
  <c r="O228" i="4"/>
  <c r="N231" i="4"/>
  <c r="K234" i="4"/>
  <c r="H237" i="4"/>
  <c r="I237" i="4" s="1"/>
  <c r="O239" i="4"/>
  <c r="L242" i="4"/>
  <c r="L250" i="4"/>
  <c r="O252" i="4"/>
  <c r="K255" i="4"/>
  <c r="M260" i="4"/>
  <c r="G260" i="5" s="1"/>
  <c r="M265" i="4"/>
  <c r="G265" i="5" s="1"/>
  <c r="O267" i="4"/>
  <c r="K270" i="4"/>
  <c r="O272" i="4"/>
  <c r="K277" i="4"/>
  <c r="N279" i="4"/>
  <c r="N284" i="4"/>
  <c r="H287" i="4"/>
  <c r="I287" i="4" s="1"/>
  <c r="H9" i="4"/>
  <c r="I9" i="4" s="1"/>
  <c r="K13" i="4"/>
  <c r="J18" i="4"/>
  <c r="H23" i="4"/>
  <c r="I23" i="4" s="1"/>
  <c r="L27" i="4"/>
  <c r="J32" i="4"/>
  <c r="O36" i="4"/>
  <c r="O41" i="4"/>
  <c r="N46" i="4"/>
  <c r="H56" i="4"/>
  <c r="I56" i="4" s="1"/>
  <c r="L60" i="4"/>
  <c r="O65" i="4"/>
  <c r="N70" i="4"/>
  <c r="O74" i="4"/>
  <c r="L79" i="4"/>
  <c r="J84" i="4"/>
  <c r="O88" i="4"/>
  <c r="J94" i="4"/>
  <c r="H99" i="4"/>
  <c r="I99" i="4" s="1"/>
  <c r="J103" i="4"/>
  <c r="O107" i="4"/>
  <c r="M112" i="4"/>
  <c r="H117" i="4"/>
  <c r="I117" i="4" s="1"/>
  <c r="M122" i="4"/>
  <c r="K127" i="4"/>
  <c r="K131" i="4"/>
  <c r="L136" i="4"/>
  <c r="M140" i="4"/>
  <c r="O144" i="4"/>
  <c r="O149" i="4"/>
  <c r="O153" i="4"/>
  <c r="O157" i="4"/>
  <c r="N165" i="4"/>
  <c r="J169" i="4"/>
  <c r="J173" i="4"/>
  <c r="J176" i="4"/>
  <c r="N179" i="4"/>
  <c r="H183" i="4"/>
  <c r="I183" i="4" s="1"/>
  <c r="N186" i="4"/>
  <c r="O189" i="4"/>
  <c r="O193" i="4"/>
  <c r="K197" i="4"/>
  <c r="K200" i="4"/>
  <c r="H204" i="4"/>
  <c r="I204" i="4" s="1"/>
  <c r="J207" i="4"/>
  <c r="N210" i="4"/>
  <c r="O214" i="4"/>
  <c r="H218" i="4"/>
  <c r="I218" i="4" s="1"/>
  <c r="K221" i="4"/>
  <c r="M224" i="4"/>
  <c r="H228" i="4"/>
  <c r="I228" i="4" s="1"/>
  <c r="L234" i="4"/>
  <c r="L237" i="4"/>
  <c r="H241" i="4"/>
  <c r="I241" i="4" s="1"/>
  <c r="H244" i="4"/>
  <c r="I244" i="4" s="1"/>
  <c r="O246" i="4"/>
  <c r="L249" i="4"/>
  <c r="H253" i="4"/>
  <c r="I253" i="4" s="1"/>
  <c r="O258" i="4"/>
  <c r="M261" i="4"/>
  <c r="G261" i="5" s="1"/>
  <c r="N264" i="4"/>
  <c r="L267" i="4"/>
  <c r="N270" i="4"/>
  <c r="J273" i="4"/>
  <c r="F273" i="5" s="1"/>
  <c r="N275" i="4"/>
  <c r="N278" i="4"/>
  <c r="K281" i="4"/>
  <c r="H284" i="4"/>
  <c r="I284" i="4" s="1"/>
  <c r="M289" i="4"/>
  <c r="G289" i="5" s="1"/>
  <c r="N294" i="4"/>
  <c r="K297" i="4"/>
  <c r="N299" i="4"/>
  <c r="J302" i="4"/>
  <c r="H305" i="4"/>
  <c r="I305" i="4" s="1"/>
  <c r="L307" i="4"/>
  <c r="O309" i="4"/>
  <c r="K312" i="4"/>
  <c r="N317" i="4"/>
  <c r="J320" i="4"/>
  <c r="M322" i="4"/>
  <c r="K325" i="4"/>
  <c r="M327" i="4"/>
  <c r="O329" i="4"/>
  <c r="J332" i="4"/>
  <c r="N334" i="4"/>
  <c r="H337" i="4"/>
  <c r="I337" i="4" s="1"/>
  <c r="K339" i="4"/>
  <c r="M341" i="4"/>
  <c r="L346" i="4"/>
  <c r="O348" i="4"/>
  <c r="L351" i="4"/>
  <c r="N353" i="4"/>
  <c r="H356" i="4"/>
  <c r="I356" i="4" s="1"/>
  <c r="J358" i="4"/>
  <c r="O360" i="4"/>
  <c r="L365" i="4"/>
  <c r="N367" i="4"/>
  <c r="J370" i="4"/>
  <c r="M372" i="4"/>
  <c r="O374" i="4"/>
  <c r="O379" i="4"/>
  <c r="J384" i="4"/>
  <c r="L386" i="4"/>
  <c r="M388" i="4"/>
  <c r="O390" i="4"/>
  <c r="H393" i="4"/>
  <c r="I393" i="4" s="1"/>
  <c r="J395" i="4"/>
  <c r="K397" i="4"/>
  <c r="L399" i="4"/>
  <c r="M401" i="4"/>
  <c r="N403" i="4"/>
  <c r="K9" i="4"/>
  <c r="H14" i="4"/>
  <c r="I14" i="4" s="1"/>
  <c r="M18" i="4"/>
  <c r="J23" i="4"/>
  <c r="N27" i="4"/>
  <c r="H33" i="4"/>
  <c r="I33" i="4" s="1"/>
  <c r="N37" i="4"/>
  <c r="H47" i="4"/>
  <c r="I47" i="4" s="1"/>
  <c r="J51" i="4"/>
  <c r="M60" i="4"/>
  <c r="H71" i="4"/>
  <c r="I71" i="4" s="1"/>
  <c r="H75" i="4"/>
  <c r="I75" i="4" s="1"/>
  <c r="H80" i="4"/>
  <c r="I80" i="4" s="1"/>
  <c r="K84" i="4"/>
  <c r="H89" i="4"/>
  <c r="I89" i="4" s="1"/>
  <c r="L94" i="4"/>
  <c r="N103" i="4"/>
  <c r="N112" i="4"/>
  <c r="N122" i="4"/>
  <c r="L127" i="4"/>
  <c r="O131" i="4"/>
  <c r="O136" i="4"/>
  <c r="N140" i="4"/>
  <c r="J145" i="4"/>
  <c r="H150" i="4"/>
  <c r="I150" i="4" s="1"/>
  <c r="H154" i="4"/>
  <c r="I154" i="4" s="1"/>
  <c r="H158" i="4"/>
  <c r="I158" i="4" s="1"/>
  <c r="K162" i="4"/>
  <c r="O165" i="4"/>
  <c r="K169" i="4"/>
  <c r="K173" i="4"/>
  <c r="M176" i="4"/>
  <c r="O179" i="4"/>
  <c r="J183" i="4"/>
  <c r="O186" i="4"/>
  <c r="H190" i="4"/>
  <c r="I190" i="4" s="1"/>
  <c r="H194" i="4"/>
  <c r="I194" i="4" s="1"/>
  <c r="L197" i="4"/>
  <c r="N200" i="4"/>
  <c r="J204" i="4"/>
  <c r="K207" i="4"/>
  <c r="O210" i="4"/>
  <c r="H215" i="4"/>
  <c r="I215" i="4" s="1"/>
  <c r="J218" i="4"/>
  <c r="O221" i="4"/>
  <c r="N224" i="4"/>
  <c r="J231" i="4"/>
  <c r="M234" i="4"/>
  <c r="H238" i="4"/>
  <c r="I238" i="4" s="1"/>
  <c r="J244" i="4"/>
  <c r="H247" i="4"/>
  <c r="I247" i="4" s="1"/>
  <c r="J253" i="4"/>
  <c r="J256" i="4"/>
  <c r="F256" i="5" s="1"/>
  <c r="H259" i="4"/>
  <c r="I259" i="4" s="1"/>
  <c r="J262" i="4"/>
  <c r="F262" i="5" s="1"/>
  <c r="H265" i="4"/>
  <c r="I265" i="4" s="1"/>
  <c r="M267" i="4"/>
  <c r="G267" i="5" s="1"/>
  <c r="O270" i="4"/>
  <c r="K273" i="4"/>
  <c r="H276" i="4"/>
  <c r="I276" i="4" s="1"/>
  <c r="O278" i="4"/>
  <c r="L281" i="4"/>
  <c r="J287" i="4"/>
  <c r="F287" i="5" s="1"/>
  <c r="N289" i="4"/>
  <c r="J292" i="4"/>
  <c r="F292" i="5" s="1"/>
  <c r="O294" i="4"/>
  <c r="L297" i="4"/>
  <c r="O299" i="4"/>
  <c r="K302" i="4"/>
  <c r="M307" i="4"/>
  <c r="H310" i="4"/>
  <c r="I310" i="4" s="1"/>
  <c r="L312" i="4"/>
  <c r="K315" i="4"/>
  <c r="H318" i="4"/>
  <c r="I318" i="4" s="1"/>
  <c r="K320" i="4"/>
  <c r="H323" i="4"/>
  <c r="I323" i="4" s="1"/>
  <c r="L325" i="4"/>
  <c r="N327" i="4"/>
  <c r="H330" i="4"/>
  <c r="I330" i="4" s="1"/>
  <c r="M332" i="4"/>
  <c r="O334" i="4"/>
  <c r="L339" i="4"/>
  <c r="H342" i="4"/>
  <c r="I342" i="4" s="1"/>
  <c r="J344" i="4"/>
  <c r="N346" i="4"/>
  <c r="H349" i="4"/>
  <c r="I349" i="4" s="1"/>
  <c r="M351" i="4"/>
  <c r="O353" i="4"/>
  <c r="L358" i="4"/>
  <c r="H361" i="4"/>
  <c r="I361" i="4" s="1"/>
  <c r="J363" i="4"/>
  <c r="M365" i="4"/>
  <c r="O367" i="4"/>
  <c r="K370" i="4"/>
  <c r="N372" i="4"/>
  <c r="H375" i="4"/>
  <c r="I375" i="4" s="1"/>
  <c r="K377" i="4"/>
  <c r="H380" i="4"/>
  <c r="I380" i="4" s="1"/>
  <c r="J382" i="4"/>
  <c r="K384" i="4"/>
  <c r="M386" i="4"/>
  <c r="N388" i="4"/>
  <c r="H391" i="4"/>
  <c r="I391" i="4" s="1"/>
  <c r="K395" i="4"/>
  <c r="L397" i="4"/>
  <c r="M399" i="4"/>
  <c r="N401" i="4"/>
  <c r="K406" i="4"/>
  <c r="L9" i="4"/>
  <c r="L14" i="4"/>
  <c r="N18" i="4"/>
  <c r="K23" i="4"/>
  <c r="O27" i="4"/>
  <c r="K33" i="4"/>
  <c r="H38" i="4"/>
  <c r="I38" i="4" s="1"/>
  <c r="M42" i="4"/>
  <c r="L51" i="4"/>
  <c r="K56" i="4"/>
  <c r="N61" i="4"/>
  <c r="J66" i="4"/>
  <c r="L84" i="4"/>
  <c r="O89" i="4"/>
  <c r="O94" i="4"/>
  <c r="J99" i="4"/>
  <c r="O103" i="4"/>
  <c r="K108" i="4"/>
  <c r="H113" i="4"/>
  <c r="I113" i="4" s="1"/>
  <c r="L118" i="4"/>
  <c r="O122" i="4"/>
  <c r="M127" i="4"/>
  <c r="J132" i="4"/>
  <c r="H137" i="4"/>
  <c r="I137" i="4" s="1"/>
  <c r="H141" i="4"/>
  <c r="I141" i="4" s="1"/>
  <c r="O145" i="4"/>
  <c r="K158" i="4"/>
  <c r="L162" i="4"/>
  <c r="H166" i="4"/>
  <c r="I166" i="4" s="1"/>
  <c r="H170" i="4"/>
  <c r="I170" i="4" s="1"/>
  <c r="L173" i="4"/>
  <c r="N176" i="4"/>
  <c r="H180" i="4"/>
  <c r="I180" i="4" s="1"/>
  <c r="K183" i="4"/>
  <c r="J13" i="4"/>
  <c r="O19" i="4"/>
  <c r="O25" i="4"/>
  <c r="J31" i="4"/>
  <c r="K38" i="4"/>
  <c r="H44" i="4"/>
  <c r="I44" i="4" s="1"/>
  <c r="K50" i="4"/>
  <c r="N54" i="4"/>
  <c r="H62" i="4"/>
  <c r="I62" i="4" s="1"/>
  <c r="O73" i="4"/>
  <c r="J86" i="4"/>
  <c r="K97" i="4"/>
  <c r="K104" i="4"/>
  <c r="J110" i="4"/>
  <c r="H116" i="4"/>
  <c r="I116" i="4" s="1"/>
  <c r="H121" i="4"/>
  <c r="I121" i="4" s="1"/>
  <c r="N9" i="4"/>
  <c r="L15" i="4"/>
  <c r="N26" i="4"/>
  <c r="M33" i="4"/>
  <c r="L39" i="4"/>
  <c r="K45" i="4"/>
  <c r="H51" i="4"/>
  <c r="I51" i="4" s="1"/>
  <c r="O57" i="4"/>
  <c r="M63" i="4"/>
  <c r="N68" i="4"/>
  <c r="M75" i="4"/>
  <c r="O81" i="4"/>
  <c r="H87" i="4"/>
  <c r="I87" i="4" s="1"/>
  <c r="M92" i="4"/>
  <c r="L99" i="4"/>
  <c r="J105" i="4"/>
  <c r="L111" i="4"/>
  <c r="O116" i="4"/>
  <c r="M123" i="4"/>
  <c r="L129" i="4"/>
  <c r="L157" i="4"/>
  <c r="N162" i="4"/>
  <c r="N167" i="4"/>
  <c r="M171" i="4"/>
  <c r="H176" i="4"/>
  <c r="I176" i="4" s="1"/>
  <c r="N180" i="4"/>
  <c r="H189" i="4"/>
  <c r="I189" i="4" s="1"/>
  <c r="O192" i="4"/>
  <c r="N197" i="4"/>
  <c r="M201" i="4"/>
  <c r="K205" i="4"/>
  <c r="L209" i="4"/>
  <c r="J213" i="4"/>
  <c r="L217" i="4"/>
  <c r="H222" i="4"/>
  <c r="I222" i="4" s="1"/>
  <c r="N225" i="4"/>
  <c r="K229" i="4"/>
  <c r="H233" i="4"/>
  <c r="I233" i="4" s="1"/>
  <c r="L236" i="4"/>
  <c r="M240" i="4"/>
  <c r="L244" i="4"/>
  <c r="J248" i="4"/>
  <c r="L254" i="4"/>
  <c r="J258" i="4"/>
  <c r="F258" i="5" s="1"/>
  <c r="K261" i="4"/>
  <c r="L268" i="4"/>
  <c r="L271" i="4"/>
  <c r="N274" i="4"/>
  <c r="O277" i="4"/>
  <c r="H281" i="4"/>
  <c r="I281" i="4" s="1"/>
  <c r="O284" i="4"/>
  <c r="N287" i="4"/>
  <c r="N290" i="4"/>
  <c r="M293" i="4"/>
  <c r="G293" i="5" s="1"/>
  <c r="M296" i="4"/>
  <c r="L299" i="4"/>
  <c r="O302" i="4"/>
  <c r="L305" i="4"/>
  <c r="L308" i="4"/>
  <c r="L311" i="4"/>
  <c r="J314" i="4"/>
  <c r="J317" i="4"/>
  <c r="L320" i="4"/>
  <c r="M323" i="4"/>
  <c r="H329" i="4"/>
  <c r="I329" i="4" s="1"/>
  <c r="M331" i="4"/>
  <c r="L334" i="4"/>
  <c r="J337" i="4"/>
  <c r="J340" i="4"/>
  <c r="O342" i="4"/>
  <c r="K345" i="4"/>
  <c r="J348" i="4"/>
  <c r="N350" i="4"/>
  <c r="H354" i="4"/>
  <c r="I354" i="4" s="1"/>
  <c r="L356" i="4"/>
  <c r="K359" i="4"/>
  <c r="O364" i="4"/>
  <c r="L367" i="4"/>
  <c r="L370" i="4"/>
  <c r="J373" i="4"/>
  <c r="M378" i="4"/>
  <c r="J381" i="4"/>
  <c r="H384" i="4"/>
  <c r="I384" i="4" s="1"/>
  <c r="N386" i="4"/>
  <c r="J389" i="4"/>
  <c r="N391" i="4"/>
  <c r="J394" i="4"/>
  <c r="N396" i="4"/>
  <c r="J399" i="4"/>
  <c r="O401" i="4"/>
  <c r="M404" i="4"/>
  <c r="H407" i="4"/>
  <c r="I407" i="4" s="1"/>
  <c r="J10" i="4"/>
  <c r="H168" i="4"/>
  <c r="I168" i="4" s="1"/>
  <c r="M281" i="4"/>
  <c r="G281" i="5" s="1"/>
  <c r="H300" i="4"/>
  <c r="I300" i="4" s="1"/>
  <c r="M314" i="4"/>
  <c r="H321" i="4"/>
  <c r="I321" i="4" s="1"/>
  <c r="K326" i="4"/>
  <c r="O331" i="4"/>
  <c r="M337" i="4"/>
  <c r="O345" i="4"/>
  <c r="N351" i="4"/>
  <c r="J354" i="4"/>
  <c r="M359" i="4"/>
  <c r="H371" i="4"/>
  <c r="I371" i="4" s="1"/>
  <c r="K376" i="4"/>
  <c r="O378" i="4"/>
  <c r="L384" i="4"/>
  <c r="L389" i="4"/>
  <c r="M394" i="4"/>
  <c r="O404" i="4"/>
  <c r="H16" i="4"/>
  <c r="I16" i="4" s="1"/>
  <c r="K22" i="4"/>
  <c r="K29" i="4"/>
  <c r="J35" i="4"/>
  <c r="L46" i="4"/>
  <c r="H53" i="4"/>
  <c r="I53" i="4" s="1"/>
  <c r="J64" i="4"/>
  <c r="O76" i="4"/>
  <c r="M88" i="4"/>
  <c r="O100" i="4"/>
  <c r="L112" i="4"/>
  <c r="N124" i="4"/>
  <c r="H143" i="4"/>
  <c r="I143" i="4" s="1"/>
  <c r="L153" i="4"/>
  <c r="J164" i="4"/>
  <c r="H172" i="4"/>
  <c r="I172" i="4" s="1"/>
  <c r="O181" i="4"/>
  <c r="N189" i="4"/>
  <c r="J198" i="4"/>
  <c r="K206" i="4"/>
  <c r="N213" i="4"/>
  <c r="L226" i="4"/>
  <c r="N233" i="4"/>
  <c r="K241" i="4"/>
  <c r="M248" i="4"/>
  <c r="M251" i="4"/>
  <c r="N258" i="4"/>
  <c r="O265" i="4"/>
  <c r="O271" i="4"/>
  <c r="M278" i="4"/>
  <c r="G278" i="5" s="1"/>
  <c r="N281" i="4"/>
  <c r="J288" i="4"/>
  <c r="F288" i="5" s="1"/>
  <c r="J297" i="4"/>
  <c r="O9" i="4"/>
  <c r="N15" i="4"/>
  <c r="L21" i="4"/>
  <c r="K27" i="4"/>
  <c r="N33" i="4"/>
  <c r="M39" i="4"/>
  <c r="L45" i="4"/>
  <c r="O51" i="4"/>
  <c r="H58" i="4"/>
  <c r="I58" i="4" s="1"/>
  <c r="N63" i="4"/>
  <c r="L69" i="4"/>
  <c r="N75" i="4"/>
  <c r="N87" i="4"/>
  <c r="N92" i="4"/>
  <c r="O99" i="4"/>
  <c r="L106" i="4"/>
  <c r="M111" i="4"/>
  <c r="M118" i="4"/>
  <c r="J124" i="4"/>
  <c r="N129" i="4"/>
  <c r="N135" i="4"/>
  <c r="L142" i="4"/>
  <c r="J147" i="4"/>
  <c r="L152" i="4"/>
  <c r="N157" i="4"/>
  <c r="O162" i="4"/>
  <c r="O167" i="4"/>
  <c r="N171" i="4"/>
  <c r="O176" i="4"/>
  <c r="H181" i="4"/>
  <c r="I181" i="4" s="1"/>
  <c r="K185" i="4"/>
  <c r="J189" i="4"/>
  <c r="O197" i="4"/>
  <c r="N201" i="4"/>
  <c r="M209" i="4"/>
  <c r="K213" i="4"/>
  <c r="M217" i="4"/>
  <c r="O225" i="4"/>
  <c r="N229" i="4"/>
  <c r="N236" i="4"/>
  <c r="N240" i="4"/>
  <c r="M244" i="4"/>
  <c r="K248" i="4"/>
  <c r="J251" i="4"/>
  <c r="M254" i="4"/>
  <c r="L258" i="4"/>
  <c r="L261" i="4"/>
  <c r="J265" i="4"/>
  <c r="F265" i="5" s="1"/>
  <c r="N268" i="4"/>
  <c r="M271" i="4"/>
  <c r="G271" i="5" s="1"/>
  <c r="O274" i="4"/>
  <c r="H278" i="4"/>
  <c r="I278" i="4" s="1"/>
  <c r="J281" i="4"/>
  <c r="F281" i="5" s="1"/>
  <c r="H285" i="4"/>
  <c r="I285" i="4" s="1"/>
  <c r="O287" i="4"/>
  <c r="O290" i="4"/>
  <c r="N293" i="4"/>
  <c r="N296" i="4"/>
  <c r="M299" i="4"/>
  <c r="H303" i="4"/>
  <c r="I303" i="4" s="1"/>
  <c r="O305" i="4"/>
  <c r="O308" i="4"/>
  <c r="M311" i="4"/>
  <c r="L314" i="4"/>
  <c r="K317" i="4"/>
  <c r="M320" i="4"/>
  <c r="N323" i="4"/>
  <c r="J326" i="4"/>
  <c r="J329" i="4"/>
  <c r="N331" i="4"/>
  <c r="M334" i="4"/>
  <c r="L337" i="4"/>
  <c r="K340" i="4"/>
  <c r="H343" i="4"/>
  <c r="I343" i="4" s="1"/>
  <c r="N345" i="4"/>
  <c r="K348" i="4"/>
  <c r="H351" i="4"/>
  <c r="I351" i="4" s="1"/>
  <c r="N356" i="4"/>
  <c r="L359" i="4"/>
  <c r="J362" i="4"/>
  <c r="H365" i="4"/>
  <c r="I365" i="4" s="1"/>
  <c r="M367" i="4"/>
  <c r="N370" i="4"/>
  <c r="K373" i="4"/>
  <c r="J376" i="4"/>
  <c r="N378" i="4"/>
  <c r="M381" i="4"/>
  <c r="O386" i="4"/>
  <c r="K389" i="4"/>
  <c r="O391" i="4"/>
  <c r="K394" i="4"/>
  <c r="H397" i="4"/>
  <c r="I397" i="4" s="1"/>
  <c r="K399" i="4"/>
  <c r="K402" i="4"/>
  <c r="N404" i="4"/>
  <c r="O15" i="4"/>
  <c r="J22" i="4"/>
  <c r="H28" i="4"/>
  <c r="I28" i="4" s="1"/>
  <c r="O33" i="4"/>
  <c r="H40" i="4"/>
  <c r="I40" i="4" s="1"/>
  <c r="J58" i="4"/>
  <c r="H64" i="4"/>
  <c r="I64" i="4" s="1"/>
  <c r="M69" i="4"/>
  <c r="N76" i="4"/>
  <c r="K82" i="4"/>
  <c r="H88" i="4"/>
  <c r="I88" i="4" s="1"/>
  <c r="H95" i="4"/>
  <c r="I95" i="4" s="1"/>
  <c r="M106" i="4"/>
  <c r="K112" i="4"/>
  <c r="M124" i="4"/>
  <c r="L130" i="4"/>
  <c r="H136" i="4"/>
  <c r="I136" i="4" s="1"/>
  <c r="N142" i="4"/>
  <c r="K147" i="4"/>
  <c r="M152" i="4"/>
  <c r="M158" i="4"/>
  <c r="M163" i="4"/>
  <c r="O171" i="4"/>
  <c r="H177" i="4"/>
  <c r="I177" i="4" s="1"/>
  <c r="L185" i="4"/>
  <c r="K189" i="4"/>
  <c r="H198" i="4"/>
  <c r="I198" i="4" s="1"/>
  <c r="O201" i="4"/>
  <c r="J206" i="4"/>
  <c r="N209" i="4"/>
  <c r="M213" i="4"/>
  <c r="K218" i="4"/>
  <c r="J222" i="4"/>
  <c r="K226" i="4"/>
  <c r="O229" i="4"/>
  <c r="K233" i="4"/>
  <c r="J241" i="4"/>
  <c r="N244" i="4"/>
  <c r="L248" i="4"/>
  <c r="L251" i="4"/>
  <c r="H255" i="4"/>
  <c r="I255" i="4" s="1"/>
  <c r="M258" i="4"/>
  <c r="G258" i="5" s="1"/>
  <c r="K262" i="4"/>
  <c r="N265" i="4"/>
  <c r="H269" i="4"/>
  <c r="I269" i="4" s="1"/>
  <c r="N271" i="4"/>
  <c r="J275" i="4"/>
  <c r="F275" i="5" s="1"/>
  <c r="L278" i="4"/>
  <c r="H288" i="4"/>
  <c r="I288" i="4" s="1"/>
  <c r="H291" i="4"/>
  <c r="I291" i="4" s="1"/>
  <c r="H294" i="4"/>
  <c r="I294" i="4" s="1"/>
  <c r="H306" i="4"/>
  <c r="I306" i="4" s="1"/>
  <c r="H309" i="4"/>
  <c r="I309" i="4" s="1"/>
  <c r="N311" i="4"/>
  <c r="O323" i="4"/>
  <c r="K329" i="4"/>
  <c r="H335" i="4"/>
  <c r="I335" i="4" s="1"/>
  <c r="L340" i="4"/>
  <c r="L348" i="4"/>
  <c r="K362" i="4"/>
  <c r="H368" i="4"/>
  <c r="I368" i="4" s="1"/>
  <c r="L373" i="4"/>
  <c r="N381" i="4"/>
  <c r="N399" i="4"/>
  <c r="L402" i="4"/>
  <c r="J407" i="4"/>
  <c r="M10" i="4"/>
  <c r="J40" i="4"/>
  <c r="L58" i="4"/>
  <c r="K71" i="4"/>
  <c r="L82" i="4"/>
  <c r="N106" i="4"/>
  <c r="K119" i="4"/>
  <c r="N130" i="4"/>
  <c r="M147" i="4"/>
  <c r="N158" i="4"/>
  <c r="K177" i="4"/>
  <c r="M185" i="4"/>
  <c r="J194" i="4"/>
  <c r="H202" i="4"/>
  <c r="I202" i="4" s="1"/>
  <c r="O209" i="4"/>
  <c r="L218" i="4"/>
  <c r="L222" i="4"/>
  <c r="H230" i="4"/>
  <c r="I230" i="4" s="1"/>
  <c r="J237" i="4"/>
  <c r="O244" i="4"/>
  <c r="L262" i="4"/>
  <c r="K275" i="4"/>
  <c r="J285" i="4"/>
  <c r="F285" i="5" s="1"/>
  <c r="J7" i="4"/>
  <c r="O17" i="4"/>
  <c r="K26" i="4"/>
  <c r="H36" i="4"/>
  <c r="I36" i="4" s="1"/>
  <c r="K44" i="4"/>
  <c r="J54" i="4"/>
  <c r="L64" i="4"/>
  <c r="N72" i="4"/>
  <c r="N83" i="4"/>
  <c r="J92" i="4"/>
  <c r="H102" i="4"/>
  <c r="I102" i="4" s="1"/>
  <c r="L110" i="4"/>
  <c r="K120" i="4"/>
  <c r="K128" i="4"/>
  <c r="K138" i="4"/>
  <c r="N144" i="4"/>
  <c r="M153" i="4"/>
  <c r="M160" i="4"/>
  <c r="J167" i="4"/>
  <c r="O173" i="4"/>
  <c r="J186" i="4"/>
  <c r="M191" i="4"/>
  <c r="L196" i="4"/>
  <c r="O208" i="4"/>
  <c r="H220" i="4"/>
  <c r="I220" i="4" s="1"/>
  <c r="H225" i="4"/>
  <c r="I225" i="4" s="1"/>
  <c r="M230" i="4"/>
  <c r="H236" i="4"/>
  <c r="I236" i="4" s="1"/>
  <c r="L241" i="4"/>
  <c r="K246" i="4"/>
  <c r="O250" i="4"/>
  <c r="K256" i="4"/>
  <c r="N260" i="4"/>
  <c r="J266" i="4"/>
  <c r="F266" i="5" s="1"/>
  <c r="N269" i="4"/>
  <c r="L274" i="4"/>
  <c r="J279" i="4"/>
  <c r="F279" i="5" s="1"/>
  <c r="K283" i="4"/>
  <c r="M288" i="4"/>
  <c r="G288" i="5" s="1"/>
  <c r="M292" i="4"/>
  <c r="G292" i="5" s="1"/>
  <c r="H296" i="4"/>
  <c r="I296" i="4" s="1"/>
  <c r="H301" i="4"/>
  <c r="I301" i="4" s="1"/>
  <c r="J304" i="4"/>
  <c r="H316" i="4"/>
  <c r="I316" i="4" s="1"/>
  <c r="K319" i="4"/>
  <c r="L323" i="4"/>
  <c r="J327" i="4"/>
  <c r="N330" i="4"/>
  <c r="N333" i="4"/>
  <c r="O337" i="4"/>
  <c r="N344" i="4"/>
  <c r="H348" i="4"/>
  <c r="I348" i="4" s="1"/>
  <c r="H352" i="4"/>
  <c r="I352" i="4" s="1"/>
  <c r="J355" i="4"/>
  <c r="M358" i="4"/>
  <c r="N361" i="4"/>
  <c r="O365" i="4"/>
  <c r="J369" i="4"/>
  <c r="L372" i="4"/>
  <c r="L376" i="4"/>
  <c r="N389" i="4"/>
  <c r="O392" i="4"/>
  <c r="O402" i="4"/>
  <c r="N405" i="4"/>
  <c r="K7" i="4"/>
  <c r="H18" i="4"/>
  <c r="I18" i="4" s="1"/>
  <c r="M26" i="4"/>
  <c r="L47" i="4"/>
  <c r="M54" i="4"/>
  <c r="N64" i="4"/>
  <c r="L74" i="4"/>
  <c r="O83" i="4"/>
  <c r="K92" i="4"/>
  <c r="N110" i="4"/>
  <c r="L120" i="4"/>
  <c r="L128" i="4"/>
  <c r="M138" i="4"/>
  <c r="H146" i="4"/>
  <c r="I146" i="4" s="1"/>
  <c r="N154" i="4"/>
  <c r="N160" i="4"/>
  <c r="M167" i="4"/>
  <c r="H174" i="4"/>
  <c r="I174" i="4" s="1"/>
  <c r="L179" i="4"/>
  <c r="K186" i="4"/>
  <c r="N191" i="4"/>
  <c r="M196" i="4"/>
  <c r="K203" i="4"/>
  <c r="H209" i="4"/>
  <c r="I209" i="4" s="1"/>
  <c r="J215" i="4"/>
  <c r="J225" i="4"/>
  <c r="N230" i="4"/>
  <c r="O241" i="4"/>
  <c r="L246" i="4"/>
  <c r="H251" i="4"/>
  <c r="I251" i="4" s="1"/>
  <c r="L256" i="4"/>
  <c r="O260" i="4"/>
  <c r="K266" i="4"/>
  <c r="O269" i="4"/>
  <c r="M274" i="4"/>
  <c r="G274" i="5" s="1"/>
  <c r="L279" i="4"/>
  <c r="L283" i="4"/>
  <c r="N288" i="4"/>
  <c r="N292" i="4"/>
  <c r="J296" i="4"/>
  <c r="J301" i="4"/>
  <c r="K304" i="4"/>
  <c r="K308" i="4"/>
  <c r="J312" i="4"/>
  <c r="J316" i="4"/>
  <c r="N319" i="4"/>
  <c r="H324" i="4"/>
  <c r="I324" i="4" s="1"/>
  <c r="K327" i="4"/>
  <c r="O330" i="4"/>
  <c r="H334" i="4"/>
  <c r="I334" i="4" s="1"/>
  <c r="J338" i="4"/>
  <c r="J341" i="4"/>
  <c r="O344" i="4"/>
  <c r="K355" i="4"/>
  <c r="H359" i="4"/>
  <c r="I359" i="4" s="1"/>
  <c r="N362" i="4"/>
  <c r="H366" i="4"/>
  <c r="I366" i="4" s="1"/>
  <c r="K369" i="4"/>
  <c r="O372" i="4"/>
  <c r="M376" i="4"/>
  <c r="J380" i="4"/>
  <c r="K383" i="4"/>
  <c r="J386" i="4"/>
  <c r="J393" i="4"/>
  <c r="J396" i="4"/>
  <c r="O399" i="4"/>
  <c r="H403" i="4"/>
  <c r="I403" i="4" s="1"/>
  <c r="H406" i="4"/>
  <c r="I406" i="4" s="1"/>
  <c r="L11" i="4"/>
  <c r="J20" i="4"/>
  <c r="H30" i="4"/>
  <c r="I30" i="4" s="1"/>
  <c r="M38" i="4"/>
  <c r="K48" i="4"/>
  <c r="L57" i="4"/>
  <c r="H67" i="4"/>
  <c r="I67" i="4" s="1"/>
  <c r="H77" i="4"/>
  <c r="I77" i="4" s="1"/>
  <c r="L95" i="4"/>
  <c r="L104" i="4"/>
  <c r="L114" i="4"/>
  <c r="K132" i="4"/>
  <c r="O139" i="4"/>
  <c r="H148" i="4"/>
  <c r="I148" i="4" s="1"/>
  <c r="M155" i="4"/>
  <c r="N161" i="4"/>
  <c r="H169" i="4"/>
  <c r="I169" i="4" s="1"/>
  <c r="N174" i="4"/>
  <c r="J182" i="4"/>
  <c r="L187" i="4"/>
  <c r="K192" i="4"/>
  <c r="M198" i="4"/>
  <c r="K204" i="4"/>
  <c r="L210" i="4"/>
  <c r="M215" i="4"/>
  <c r="N220" i="4"/>
  <c r="H227" i="4"/>
  <c r="I227" i="4" s="1"/>
  <c r="J232" i="4"/>
  <c r="J238" i="4"/>
  <c r="N242" i="4"/>
  <c r="K252" i="4"/>
  <c r="H257" i="4"/>
  <c r="I257" i="4" s="1"/>
  <c r="M262" i="4"/>
  <c r="G262" i="5" s="1"/>
  <c r="O266" i="4"/>
  <c r="J271" i="4"/>
  <c r="F271" i="5" s="1"/>
  <c r="L276" i="4"/>
  <c r="L280" i="4"/>
  <c r="K285" i="4"/>
  <c r="J289" i="4"/>
  <c r="F289" i="5" s="1"/>
  <c r="J293" i="4"/>
  <c r="F293" i="5" s="1"/>
  <c r="O297" i="4"/>
  <c r="M301" i="4"/>
  <c r="K305" i="4"/>
  <c r="L309" i="4"/>
  <c r="K313" i="4"/>
  <c r="M316" i="4"/>
  <c r="K324" i="4"/>
  <c r="H328" i="4"/>
  <c r="I328" i="4" s="1"/>
  <c r="K331" i="4"/>
  <c r="J335" i="4"/>
  <c r="M338" i="4"/>
  <c r="J345" i="4"/>
  <c r="L349" i="4"/>
  <c r="L352" i="4"/>
  <c r="O355" i="4"/>
  <c r="O359" i="4"/>
  <c r="K363" i="4"/>
  <c r="N366" i="4"/>
  <c r="N369" i="4"/>
  <c r="H374" i="4"/>
  <c r="I374" i="4" s="1"/>
  <c r="H377" i="4"/>
  <c r="I377" i="4" s="1"/>
  <c r="M380" i="4"/>
  <c r="N383" i="4"/>
  <c r="L387" i="4"/>
  <c r="L390" i="4"/>
  <c r="N393" i="4"/>
  <c r="J397" i="4"/>
  <c r="M400" i="4"/>
  <c r="K403" i="4"/>
  <c r="N406" i="4"/>
  <c r="J12" i="4"/>
  <c r="O86" i="4"/>
  <c r="K125" i="4"/>
  <c r="L140" i="4"/>
  <c r="H156" i="4"/>
  <c r="I156" i="4" s="1"/>
  <c r="H171" i="4"/>
  <c r="I171" i="4" s="1"/>
  <c r="M188" i="4"/>
  <c r="H205" i="4"/>
  <c r="I205" i="4" s="1"/>
  <c r="O227" i="4"/>
  <c r="N238" i="4"/>
  <c r="O248" i="4"/>
  <c r="M257" i="4"/>
  <c r="G257" i="5" s="1"/>
  <c r="O276" i="4"/>
  <c r="H302" i="4"/>
  <c r="I302" i="4" s="1"/>
  <c r="J310" i="4"/>
  <c r="J318" i="4"/>
  <c r="J325" i="4"/>
  <c r="N332" i="4"/>
  <c r="H339" i="4"/>
  <c r="I339" i="4" s="1"/>
  <c r="H350" i="4"/>
  <c r="I350" i="4" s="1"/>
  <c r="J357" i="4"/>
  <c r="O363" i="4"/>
  <c r="J367" i="4"/>
  <c r="L374" i="4"/>
  <c r="H385" i="4"/>
  <c r="I385" i="4" s="1"/>
  <c r="H388" i="4"/>
  <c r="I388" i="4" s="1"/>
  <c r="N394" i="4"/>
  <c r="H401" i="4"/>
  <c r="I401" i="4" s="1"/>
  <c r="M407" i="4"/>
  <c r="N12" i="4"/>
  <c r="M50" i="4"/>
  <c r="N78" i="4"/>
  <c r="J107" i="4"/>
  <c r="M133" i="4"/>
  <c r="J157" i="4"/>
  <c r="L177" i="4"/>
  <c r="N188" i="4"/>
  <c r="N206" i="4"/>
  <c r="N223" i="4"/>
  <c r="H234" i="4"/>
  <c r="I234" i="4" s="1"/>
  <c r="H249" i="4"/>
  <c r="I249" i="4" s="1"/>
  <c r="J268" i="4"/>
  <c r="F268" i="5" s="1"/>
  <c r="H277" i="4"/>
  <c r="I277" i="4" s="1"/>
  <c r="H286" i="4"/>
  <c r="I286" i="4" s="1"/>
  <c r="J295" i="4"/>
  <c r="O306" i="4"/>
  <c r="K318" i="4"/>
  <c r="M325" i="4"/>
  <c r="H336" i="4"/>
  <c r="I336" i="4" s="1"/>
  <c r="J343" i="4"/>
  <c r="K357" i="4"/>
  <c r="H364" i="4"/>
  <c r="I364" i="4" s="1"/>
  <c r="K367" i="4"/>
  <c r="M374" i="4"/>
  <c r="H382" i="4"/>
  <c r="I382" i="4" s="1"/>
  <c r="J388" i="4"/>
  <c r="O394" i="4"/>
  <c r="L404" i="4"/>
  <c r="N23" i="4"/>
  <c r="N31" i="4"/>
  <c r="H43" i="4"/>
  <c r="I43" i="4" s="1"/>
  <c r="J60" i="4"/>
  <c r="O78" i="4"/>
  <c r="H98" i="4"/>
  <c r="I98" i="4" s="1"/>
  <c r="M116" i="4"/>
  <c r="M134" i="4"/>
  <c r="L150" i="4"/>
  <c r="J165" i="4"/>
  <c r="J171" i="4"/>
  <c r="O188" i="4"/>
  <c r="J200" i="4"/>
  <c r="O206" i="4"/>
  <c r="O223" i="4"/>
  <c r="H239" i="4"/>
  <c r="I239" i="4" s="1"/>
  <c r="O243" i="4"/>
  <c r="K259" i="4"/>
  <c r="K268" i="4"/>
  <c r="M290" i="4"/>
  <c r="G290" i="5" s="1"/>
  <c r="L303" i="4"/>
  <c r="H307" i="4"/>
  <c r="I307" i="4" s="1"/>
  <c r="L318" i="4"/>
  <c r="H322" i="4"/>
  <c r="I322" i="4" s="1"/>
  <c r="L329" i="4"/>
  <c r="H333" i="4"/>
  <c r="I333" i="4" s="1"/>
  <c r="K336" i="4"/>
  <c r="K343" i="4"/>
  <c r="H347" i="4"/>
  <c r="I347" i="4" s="1"/>
  <c r="M353" i="4"/>
  <c r="L357" i="4"/>
  <c r="J364" i="4"/>
  <c r="K368" i="4"/>
  <c r="N374" i="4"/>
  <c r="K378" i="4"/>
  <c r="K385" i="4"/>
  <c r="K388" i="4"/>
  <c r="H395" i="4"/>
  <c r="I395" i="4" s="1"/>
  <c r="K398" i="4"/>
  <c r="H405" i="4"/>
  <c r="I405" i="4" s="1"/>
  <c r="H15" i="4"/>
  <c r="I15" i="4" s="1"/>
  <c r="K165" i="4"/>
  <c r="O190" i="4"/>
  <c r="H207" i="4"/>
  <c r="I207" i="4" s="1"/>
  <c r="J239" i="4"/>
  <c r="M259" i="4"/>
  <c r="G259" i="5" s="1"/>
  <c r="L273" i="4"/>
  <c r="K291" i="4"/>
  <c r="J299" i="4"/>
  <c r="H315" i="4"/>
  <c r="I315" i="4" s="1"/>
  <c r="O325" i="4"/>
  <c r="M329" i="4"/>
  <c r="L336" i="4"/>
  <c r="N339" i="4"/>
  <c r="L343" i="4"/>
  <c r="K350" i="4"/>
  <c r="K354" i="4"/>
  <c r="J361" i="4"/>
  <c r="M364" i="4"/>
  <c r="M371" i="4"/>
  <c r="L378" i="4"/>
  <c r="L385" i="4"/>
  <c r="L388" i="4"/>
  <c r="L395" i="4"/>
  <c r="L398" i="4"/>
  <c r="K15" i="4"/>
  <c r="O53" i="4"/>
  <c r="N71" i="4"/>
  <c r="L90" i="4"/>
  <c r="L109" i="4"/>
  <c r="N127" i="4"/>
  <c r="L143" i="4"/>
  <c r="M159" i="4"/>
  <c r="L171" i="4"/>
  <c r="K184" i="4"/>
  <c r="O195" i="4"/>
  <c r="N212" i="4"/>
  <c r="J224" i="4"/>
  <c r="J229" i="4"/>
  <c r="K239" i="4"/>
  <c r="K249" i="4"/>
  <c r="N259" i="4"/>
  <c r="K269" i="4"/>
  <c r="M273" i="4"/>
  <c r="G273" i="5" s="1"/>
  <c r="H283" i="4"/>
  <c r="I283" i="4" s="1"/>
  <c r="N286" i="4"/>
  <c r="M295" i="4"/>
  <c r="K299" i="4"/>
  <c r="J307" i="4"/>
  <c r="J311" i="4"/>
  <c r="H319" i="4"/>
  <c r="I319" i="4" s="1"/>
  <c r="K322" i="4"/>
  <c r="N329" i="4"/>
  <c r="J333" i="4"/>
  <c r="M340" i="4"/>
  <c r="O343" i="4"/>
  <c r="L350" i="4"/>
  <c r="O357" i="4"/>
  <c r="N364" i="4"/>
  <c r="N371" i="4"/>
  <c r="K375" i="4"/>
  <c r="M382" i="4"/>
  <c r="H389" i="4"/>
  <c r="I389" i="4" s="1"/>
  <c r="N398" i="4"/>
  <c r="J405" i="4"/>
  <c r="H12" i="4"/>
  <c r="I12" i="4" s="1"/>
  <c r="K20" i="4"/>
  <c r="H39" i="4"/>
  <c r="I39" i="4" s="1"/>
  <c r="M48" i="4"/>
  <c r="K59" i="4"/>
  <c r="L67" i="4"/>
  <c r="M77" i="4"/>
  <c r="K86" i="4"/>
  <c r="J96" i="4"/>
  <c r="M104" i="4"/>
  <c r="O114" i="4"/>
  <c r="J123" i="4"/>
  <c r="H133" i="4"/>
  <c r="I133" i="4" s="1"/>
  <c r="J148" i="4"/>
  <c r="N155" i="4"/>
  <c r="M162" i="4"/>
  <c r="O174" i="4"/>
  <c r="K182" i="4"/>
  <c r="H188" i="4"/>
  <c r="I188" i="4" s="1"/>
  <c r="N192" i="4"/>
  <c r="N198" i="4"/>
  <c r="L204" i="4"/>
  <c r="M210" i="4"/>
  <c r="N215" i="4"/>
  <c r="O220" i="4"/>
  <c r="K232" i="4"/>
  <c r="K238" i="4"/>
  <c r="J247" i="4"/>
  <c r="M252" i="4"/>
  <c r="J257" i="4"/>
  <c r="F257" i="5" s="1"/>
  <c r="N262" i="4"/>
  <c r="H267" i="4"/>
  <c r="I267" i="4" s="1"/>
  <c r="K271" i="4"/>
  <c r="M276" i="4"/>
  <c r="G276" i="5" s="1"/>
  <c r="M280" i="4"/>
  <c r="G280" i="5" s="1"/>
  <c r="L285" i="4"/>
  <c r="L289" i="4"/>
  <c r="L293" i="4"/>
  <c r="H298" i="4"/>
  <c r="I298" i="4" s="1"/>
  <c r="N301" i="4"/>
  <c r="M309" i="4"/>
  <c r="L313" i="4"/>
  <c r="H317" i="4"/>
  <c r="I317" i="4" s="1"/>
  <c r="J321" i="4"/>
  <c r="M324" i="4"/>
  <c r="L331" i="4"/>
  <c r="K335" i="4"/>
  <c r="N338" i="4"/>
  <c r="K342" i="4"/>
  <c r="H346" i="4"/>
  <c r="I346" i="4" s="1"/>
  <c r="N349" i="4"/>
  <c r="M352" i="4"/>
  <c r="J356" i="4"/>
  <c r="H360" i="4"/>
  <c r="I360" i="4" s="1"/>
  <c r="L363" i="4"/>
  <c r="O366" i="4"/>
  <c r="O369" i="4"/>
  <c r="J374" i="4"/>
  <c r="O377" i="4"/>
  <c r="N380" i="4"/>
  <c r="N384" i="4"/>
  <c r="M387" i="4"/>
  <c r="M390" i="4"/>
  <c r="O393" i="4"/>
  <c r="M397" i="4"/>
  <c r="N400" i="4"/>
  <c r="L403" i="4"/>
  <c r="O406" i="4"/>
  <c r="H21" i="4"/>
  <c r="I21" i="4" s="1"/>
  <c r="O30" i="4"/>
  <c r="L40" i="4"/>
  <c r="M49" i="4"/>
  <c r="L59" i="4"/>
  <c r="J68" i="4"/>
  <c r="J78" i="4"/>
  <c r="N86" i="4"/>
  <c r="K96" i="4"/>
  <c r="J125" i="4"/>
  <c r="K133" i="4"/>
  <c r="K140" i="4"/>
  <c r="N148" i="4"/>
  <c r="O155" i="4"/>
  <c r="L164" i="4"/>
  <c r="J170" i="4"/>
  <c r="K175" i="4"/>
  <c r="L182" i="4"/>
  <c r="L188" i="4"/>
  <c r="K194" i="4"/>
  <c r="N199" i="4"/>
  <c r="O204" i="4"/>
  <c r="M211" i="4"/>
  <c r="J216" i="4"/>
  <c r="M222" i="4"/>
  <c r="K227" i="4"/>
  <c r="L232" i="4"/>
  <c r="M238" i="4"/>
  <c r="J243" i="4"/>
  <c r="N248" i="4"/>
  <c r="K253" i="4"/>
  <c r="L257" i="4"/>
  <c r="J263" i="4"/>
  <c r="F263" i="5" s="1"/>
  <c r="J267" i="4"/>
  <c r="F267" i="5" s="1"/>
  <c r="J272" i="4"/>
  <c r="F272" i="5" s="1"/>
  <c r="N276" i="4"/>
  <c r="N280" i="4"/>
  <c r="N285" i="4"/>
  <c r="H290" i="4"/>
  <c r="I290" i="4" s="1"/>
  <c r="J294" i="4"/>
  <c r="F294" i="5" s="1"/>
  <c r="O301" i="4"/>
  <c r="J306" i="4"/>
  <c r="N309" i="4"/>
  <c r="M313" i="4"/>
  <c r="M321" i="4"/>
  <c r="H325" i="4"/>
  <c r="I325" i="4" s="1"/>
  <c r="J328" i="4"/>
  <c r="H332" i="4"/>
  <c r="I332" i="4" s="1"/>
  <c r="N335" i="4"/>
  <c r="O338" i="4"/>
  <c r="L342" i="4"/>
  <c r="J346" i="4"/>
  <c r="O349" i="4"/>
  <c r="N352" i="4"/>
  <c r="K356" i="4"/>
  <c r="J360" i="4"/>
  <c r="N363" i="4"/>
  <c r="H367" i="4"/>
  <c r="I367" i="4" s="1"/>
  <c r="K374" i="4"/>
  <c r="H378" i="4"/>
  <c r="I378" i="4" s="1"/>
  <c r="O380" i="4"/>
  <c r="O384" i="4"/>
  <c r="N387" i="4"/>
  <c r="N397" i="4"/>
  <c r="O400" i="4"/>
  <c r="M403" i="4"/>
  <c r="L407" i="4"/>
  <c r="N22" i="4"/>
  <c r="H31" i="4"/>
  <c r="I31" i="4" s="1"/>
  <c r="J41" i="4"/>
  <c r="L50" i="4"/>
  <c r="M59" i="4"/>
  <c r="L68" i="4"/>
  <c r="K78" i="4"/>
  <c r="L96" i="4"/>
  <c r="K115" i="4"/>
  <c r="L133" i="4"/>
  <c r="O148" i="4"/>
  <c r="M164" i="4"/>
  <c r="O175" i="4"/>
  <c r="M182" i="4"/>
  <c r="O194" i="4"/>
  <c r="O199" i="4"/>
  <c r="N211" i="4"/>
  <c r="L216" i="4"/>
  <c r="N222" i="4"/>
  <c r="N232" i="4"/>
  <c r="K243" i="4"/>
  <c r="L253" i="4"/>
  <c r="K263" i="4"/>
  <c r="K267" i="4"/>
  <c r="M272" i="4"/>
  <c r="G272" i="5" s="1"/>
  <c r="O280" i="4"/>
  <c r="O285" i="4"/>
  <c r="M294" i="4"/>
  <c r="G294" i="5" s="1"/>
  <c r="J298" i="4"/>
  <c r="L306" i="4"/>
  <c r="N313" i="4"/>
  <c r="N321" i="4"/>
  <c r="K328" i="4"/>
  <c r="O335" i="4"/>
  <c r="N342" i="4"/>
  <c r="K346" i="4"/>
  <c r="O352" i="4"/>
  <c r="K360" i="4"/>
  <c r="J371" i="4"/>
  <c r="H381" i="4"/>
  <c r="I381" i="4" s="1"/>
  <c r="J391" i="4"/>
  <c r="O397" i="4"/>
  <c r="K404" i="4"/>
  <c r="L23" i="4"/>
  <c r="L31" i="4"/>
  <c r="N41" i="4"/>
  <c r="O59" i="4"/>
  <c r="M68" i="4"/>
  <c r="N88" i="4"/>
  <c r="N96" i="4"/>
  <c r="L125" i="4"/>
  <c r="J150" i="4"/>
  <c r="O164" i="4"/>
  <c r="O182" i="4"/>
  <c r="H195" i="4"/>
  <c r="I195" i="4" s="1"/>
  <c r="H200" i="4"/>
  <c r="I200" i="4" s="1"/>
  <c r="O211" i="4"/>
  <c r="M216" i="4"/>
  <c r="J228" i="4"/>
  <c r="O238" i="4"/>
  <c r="L243" i="4"/>
  <c r="N253" i="4"/>
  <c r="L263" i="4"/>
  <c r="H273" i="4"/>
  <c r="I273" i="4" s="1"/>
  <c r="L282" i="4"/>
  <c r="J290" i="4"/>
  <c r="F290" i="5" s="1"/>
  <c r="H299" i="4"/>
  <c r="I299" i="4" s="1"/>
  <c r="J303" i="4"/>
  <c r="L310" i="4"/>
  <c r="H314" i="4"/>
  <c r="I314" i="4" s="1"/>
  <c r="O321" i="4"/>
  <c r="O328" i="4"/>
  <c r="O332" i="4"/>
  <c r="J339" i="4"/>
  <c r="O346" i="4"/>
  <c r="L353" i="4"/>
  <c r="L360" i="4"/>
  <c r="K371" i="4"/>
  <c r="J378" i="4"/>
  <c r="J385" i="4"/>
  <c r="K391" i="4"/>
  <c r="O407" i="4"/>
  <c r="M14" i="4"/>
  <c r="N50" i="4"/>
  <c r="L71" i="4"/>
  <c r="J90" i="4"/>
  <c r="L107" i="4"/>
  <c r="J143" i="4"/>
  <c r="K157" i="4"/>
  <c r="N177" i="4"/>
  <c r="L195" i="4"/>
  <c r="H212" i="4"/>
  <c r="I212" i="4" s="1"/>
  <c r="K228" i="4"/>
  <c r="N263" i="4"/>
  <c r="M282" i="4"/>
  <c r="G282" i="5" s="1"/>
  <c r="K295" i="4"/>
  <c r="H311" i="4"/>
  <c r="I311" i="4" s="1"/>
  <c r="N325" i="4"/>
  <c r="M339" i="4"/>
  <c r="J350" i="4"/>
  <c r="L371" i="4"/>
  <c r="K382" i="4"/>
  <c r="L391" i="4"/>
  <c r="J401" i="4"/>
  <c r="J24" i="4"/>
  <c r="L33" i="4"/>
  <c r="N53" i="4"/>
  <c r="O61" i="4"/>
  <c r="M71" i="4"/>
  <c r="J80" i="4"/>
  <c r="K90" i="4"/>
  <c r="N98" i="4"/>
  <c r="O108" i="4"/>
  <c r="N116" i="4"/>
  <c r="N134" i="4"/>
  <c r="K143" i="4"/>
  <c r="H151" i="4"/>
  <c r="I151" i="4" s="1"/>
  <c r="O158" i="4"/>
  <c r="K171" i="4"/>
  <c r="H178" i="4"/>
  <c r="I178" i="4" s="1"/>
  <c r="J184" i="4"/>
  <c r="M195" i="4"/>
  <c r="M212" i="4"/>
  <c r="N218" i="4"/>
  <c r="H229" i="4"/>
  <c r="I229" i="4" s="1"/>
  <c r="O234" i="4"/>
  <c r="K245" i="4"/>
  <c r="J249" i="4"/>
  <c r="J254" i="4"/>
  <c r="O263" i="4"/>
  <c r="J269" i="4"/>
  <c r="F269" i="5" s="1"/>
  <c r="L277" i="4"/>
  <c r="N282" i="4"/>
  <c r="M286" i="4"/>
  <c r="G286" i="5" s="1"/>
  <c r="L295" i="4"/>
  <c r="M303" i="4"/>
  <c r="M318" i="4"/>
  <c r="N357" i="4"/>
  <c r="L368" i="4"/>
  <c r="J375" i="4"/>
  <c r="L382" i="4"/>
  <c r="J392" i="4"/>
  <c r="K401" i="4"/>
  <c r="J25" i="4"/>
  <c r="K35" i="4"/>
  <c r="K43" i="4"/>
  <c r="K62" i="4"/>
  <c r="H81" i="4"/>
  <c r="I81" i="4" s="1"/>
  <c r="K99" i="4"/>
  <c r="L119" i="4"/>
  <c r="O134" i="4"/>
  <c r="L165" i="4"/>
  <c r="L178" i="4"/>
  <c r="H191" i="4"/>
  <c r="I191" i="4" s="1"/>
  <c r="J201" i="4"/>
  <c r="H235" i="4"/>
  <c r="I235" i="4" s="1"/>
  <c r="L245" i="4"/>
  <c r="K254" i="4"/>
  <c r="J264" i="4"/>
  <c r="F264" i="5" s="1"/>
  <c r="N277" i="4"/>
  <c r="N291" i="4"/>
  <c r="N303" i="4"/>
  <c r="L315" i="4"/>
  <c r="H326" i="4"/>
  <c r="I326" i="4" s="1"/>
  <c r="M336" i="4"/>
  <c r="J347" i="4"/>
  <c r="L354" i="4"/>
  <c r="K361" i="4"/>
  <c r="N368" i="4"/>
  <c r="H379" i="4"/>
  <c r="I379" i="4" s="1"/>
  <c r="M385" i="4"/>
  <c r="K392" i="4"/>
  <c r="M395" i="4"/>
  <c r="L401" i="4"/>
  <c r="J8" i="4"/>
  <c r="M74" i="4"/>
  <c r="M109" i="4"/>
  <c r="O138" i="4"/>
  <c r="K166" i="4"/>
  <c r="H187" i="4"/>
  <c r="I187" i="4" s="1"/>
  <c r="L207" i="4"/>
  <c r="M226" i="4"/>
  <c r="O245" i="4"/>
  <c r="H261" i="4"/>
  <c r="I261" i="4" s="1"/>
  <c r="H279" i="4"/>
  <c r="I279" i="4" s="1"/>
  <c r="O292" i="4"/>
  <c r="N307" i="4"/>
  <c r="O319" i="4"/>
  <c r="L333" i="4"/>
  <c r="H345" i="4"/>
  <c r="I345" i="4" s="1"/>
  <c r="H358" i="4"/>
  <c r="I358" i="4" s="1"/>
  <c r="L369" i="4"/>
  <c r="N382" i="4"/>
  <c r="L393" i="4"/>
  <c r="K405" i="4"/>
  <c r="O18" i="4"/>
  <c r="H54" i="4"/>
  <c r="I54" i="4" s="1"/>
  <c r="H84" i="4"/>
  <c r="I84" i="4" s="1"/>
  <c r="M119" i="4"/>
  <c r="M146" i="4"/>
  <c r="M173" i="4"/>
  <c r="H213" i="4"/>
  <c r="I213" i="4" s="1"/>
  <c r="O231" i="4"/>
  <c r="M250" i="4"/>
  <c r="L266" i="4"/>
  <c r="M297" i="4"/>
  <c r="K311" i="4"/>
  <c r="N336" i="4"/>
  <c r="M348" i="4"/>
  <c r="L361" i="4"/>
  <c r="N385" i="4"/>
  <c r="L396" i="4"/>
  <c r="H19" i="4"/>
  <c r="I19" i="4" s="1"/>
  <c r="N84" i="4"/>
  <c r="N119" i="4"/>
  <c r="N146" i="4"/>
  <c r="N173" i="4"/>
  <c r="J192" i="4"/>
  <c r="H232" i="4"/>
  <c r="I232" i="4" s="1"/>
  <c r="N250" i="4"/>
  <c r="M266" i="4"/>
  <c r="G266" i="5" s="1"/>
  <c r="J283" i="4"/>
  <c r="F283" i="5" s="1"/>
  <c r="N297" i="4"/>
  <c r="O311" i="4"/>
  <c r="J324" i="4"/>
  <c r="O336" i="4"/>
  <c r="M361" i="4"/>
  <c r="M373" i="4"/>
  <c r="H386" i="4"/>
  <c r="I386" i="4" s="1"/>
  <c r="M396" i="4"/>
  <c r="M25" i="4"/>
  <c r="O55" i="4"/>
  <c r="K91" i="4"/>
  <c r="N120" i="4"/>
  <c r="M151" i="4"/>
  <c r="H196" i="4"/>
  <c r="I196" i="4" s="1"/>
  <c r="K215" i="4"/>
  <c r="J235" i="4"/>
  <c r="L269" i="4"/>
  <c r="M283" i="4"/>
  <c r="G283" i="5" s="1"/>
  <c r="J300" i="4"/>
  <c r="L326" i="4"/>
  <c r="K338" i="4"/>
  <c r="M350" i="4"/>
  <c r="O362" i="4"/>
  <c r="L375" i="4"/>
  <c r="J387" i="4"/>
  <c r="O398" i="4"/>
  <c r="J26" i="4"/>
  <c r="N56" i="4"/>
  <c r="H92" i="4"/>
  <c r="I92" i="4" s="1"/>
  <c r="N121" i="4"/>
  <c r="N151" i="4"/>
  <c r="J174" i="4"/>
  <c r="L215" i="4"/>
  <c r="K235" i="4"/>
  <c r="J252" i="4"/>
  <c r="M269" i="4"/>
  <c r="G269" i="5" s="1"/>
  <c r="O283" i="4"/>
  <c r="O300" i="4"/>
  <c r="J313" i="4"/>
  <c r="L338" i="4"/>
  <c r="O351" i="4"/>
  <c r="H363" i="4"/>
  <c r="I363" i="4" s="1"/>
  <c r="H376" i="4"/>
  <c r="I376" i="4" s="1"/>
  <c r="K387" i="4"/>
  <c r="H399" i="4"/>
  <c r="I399" i="4" s="1"/>
  <c r="N29" i="4"/>
  <c r="O62" i="4"/>
  <c r="L92" i="4"/>
  <c r="O127" i="4"/>
  <c r="J155" i="4"/>
  <c r="O178" i="4"/>
  <c r="K198" i="4"/>
  <c r="J219" i="4"/>
  <c r="J236" i="4"/>
  <c r="M255" i="4"/>
  <c r="G255" i="5" s="1"/>
  <c r="H271" i="4"/>
  <c r="I271" i="4" s="1"/>
  <c r="K287" i="4"/>
  <c r="K301" i="4"/>
  <c r="M315" i="4"/>
  <c r="L327" i="4"/>
  <c r="N340" i="4"/>
  <c r="J352" i="4"/>
  <c r="J365" i="4"/>
  <c r="N376" i="4"/>
  <c r="J400" i="4"/>
  <c r="O29" i="4"/>
  <c r="H63" i="4"/>
  <c r="I63" i="4" s="1"/>
  <c r="J95" i="4"/>
  <c r="J128" i="4"/>
  <c r="K155" i="4"/>
  <c r="H179" i="4"/>
  <c r="I179" i="4" s="1"/>
  <c r="L198" i="4"/>
  <c r="K219" i="4"/>
  <c r="K236" i="4"/>
  <c r="N255" i="4"/>
  <c r="M287" i="4"/>
  <c r="G287" i="5" s="1"/>
  <c r="L301" i="4"/>
  <c r="O315" i="4"/>
  <c r="O327" i="4"/>
  <c r="H341" i="4"/>
  <c r="I341" i="4" s="1"/>
  <c r="K352" i="4"/>
  <c r="N365" i="4"/>
  <c r="O376" i="4"/>
  <c r="M389" i="4"/>
  <c r="L400" i="4"/>
  <c r="L35" i="4"/>
  <c r="K66" i="4"/>
  <c r="J101" i="4"/>
  <c r="O130" i="4"/>
  <c r="N159" i="4"/>
  <c r="L180" i="4"/>
  <c r="L202" i="4"/>
  <c r="L220" i="4"/>
  <c r="H240" i="4"/>
  <c r="I240" i="4" s="1"/>
  <c r="N256" i="4"/>
  <c r="N273" i="4"/>
  <c r="O288" i="4"/>
  <c r="H304" i="4"/>
  <c r="I304" i="4" s="1"/>
  <c r="K316" i="4"/>
  <c r="K341" i="4"/>
  <c r="M354" i="4"/>
  <c r="J390" i="4"/>
  <c r="M402" i="4"/>
  <c r="N35" i="4"/>
  <c r="N66" i="4"/>
  <c r="K101" i="4"/>
  <c r="J131" i="4"/>
  <c r="K160" i="4"/>
  <c r="M180" i="4"/>
  <c r="M202" i="4"/>
  <c r="M220" i="4"/>
  <c r="O256" i="4"/>
  <c r="O273" i="4"/>
  <c r="H289" i="4"/>
  <c r="I289" i="4" s="1"/>
  <c r="L316" i="4"/>
  <c r="J330" i="4"/>
  <c r="L341" i="4"/>
  <c r="N354" i="4"/>
  <c r="M366" i="4"/>
  <c r="J379" i="4"/>
  <c r="K390" i="4"/>
  <c r="N402" i="4"/>
  <c r="J36" i="4"/>
  <c r="J72" i="4"/>
  <c r="L102" i="4"/>
  <c r="J137" i="4"/>
  <c r="O160" i="4"/>
  <c r="N184" i="4"/>
  <c r="N203" i="4"/>
  <c r="K224" i="4"/>
  <c r="H242" i="4"/>
  <c r="I242" i="4" s="1"/>
  <c r="J260" i="4"/>
  <c r="F260" i="5" s="1"/>
  <c r="L275" i="4"/>
  <c r="O291" i="4"/>
  <c r="O304" i="4"/>
  <c r="H331" i="4"/>
  <c r="I331" i="4" s="1"/>
  <c r="H344" i="4"/>
  <c r="I344" i="4" s="1"/>
  <c r="M355" i="4"/>
  <c r="H369" i="4"/>
  <c r="I369" i="4" s="1"/>
  <c r="K380" i="4"/>
  <c r="L392" i="4"/>
  <c r="L38" i="4"/>
  <c r="K72" i="4"/>
  <c r="H103" i="4"/>
  <c r="I103" i="4" s="1"/>
  <c r="N137" i="4"/>
  <c r="K161" i="4"/>
  <c r="H185" i="4"/>
  <c r="I185" i="4" s="1"/>
  <c r="O203" i="4"/>
  <c r="L224" i="4"/>
  <c r="K260" i="4"/>
  <c r="M275" i="4"/>
  <c r="G275" i="5" s="1"/>
  <c r="H292" i="4"/>
  <c r="I292" i="4" s="1"/>
  <c r="J305" i="4"/>
  <c r="J319" i="4"/>
  <c r="M344" i="4"/>
  <c r="N355" i="4"/>
  <c r="L380" i="4"/>
  <c r="N392" i="4"/>
  <c r="J403" i="4"/>
  <c r="N74" i="4"/>
  <c r="L168" i="4"/>
  <c r="J261" i="4"/>
  <c r="F261" i="5" s="1"/>
  <c r="J323" i="4"/>
  <c r="L383" i="4"/>
  <c r="N17" i="4"/>
  <c r="M168" i="4"/>
  <c r="L264" i="4"/>
  <c r="M333" i="4"/>
  <c r="M383" i="4"/>
  <c r="J44" i="4"/>
  <c r="M264" i="4"/>
  <c r="G264" i="5" s="1"/>
  <c r="M393" i="4"/>
  <c r="N47" i="4"/>
  <c r="N395" i="4"/>
  <c r="J48" i="4"/>
  <c r="J191" i="4"/>
  <c r="O279" i="4"/>
  <c r="O395" i="4"/>
  <c r="H383" i="4"/>
  <c r="I383" i="4" s="1"/>
  <c r="N207" i="4"/>
  <c r="M347" i="4"/>
  <c r="L405" i="4"/>
  <c r="L322" i="4"/>
  <c r="M82" i="4"/>
  <c r="H293" i="4"/>
  <c r="I293" i="4" s="1"/>
  <c r="N347" i="4"/>
  <c r="L406" i="4"/>
  <c r="J114" i="4"/>
  <c r="L230" i="4"/>
  <c r="J246" i="4"/>
  <c r="O143" i="4"/>
  <c r="J372" i="4"/>
  <c r="N246" i="4"/>
  <c r="K110" i="4"/>
  <c r="J209" i="4"/>
  <c r="N295" i="4"/>
  <c r="M406" i="4"/>
  <c r="N226" i="4"/>
  <c r="O295" i="4"/>
  <c r="J230" i="4"/>
  <c r="O307" i="4"/>
  <c r="J359" i="4"/>
  <c r="K139" i="4"/>
  <c r="J309" i="4"/>
  <c r="M369" i="4"/>
  <c r="M143" i="4"/>
  <c r="K309" i="4"/>
  <c r="M246" i="4"/>
  <c r="N166" i="4"/>
  <c r="E18" i="5"/>
  <c r="E32" i="5"/>
  <c r="E46" i="5"/>
  <c r="E60" i="5"/>
  <c r="E74" i="5"/>
  <c r="E88" i="5"/>
  <c r="E102" i="5"/>
  <c r="E116" i="5"/>
  <c r="E130" i="5"/>
  <c r="E19" i="5"/>
  <c r="E33" i="5"/>
  <c r="E47" i="5"/>
  <c r="E61" i="5"/>
  <c r="E75" i="5"/>
  <c r="E89" i="5"/>
  <c r="E103" i="5"/>
  <c r="E117" i="5"/>
  <c r="E131" i="5"/>
  <c r="E8" i="5"/>
  <c r="E22" i="5"/>
  <c r="E36" i="5"/>
  <c r="E50" i="5"/>
  <c r="E64" i="5"/>
  <c r="E78" i="5"/>
  <c r="E92" i="5"/>
  <c r="E9" i="5"/>
  <c r="E23" i="5"/>
  <c r="E37" i="5"/>
  <c r="E51" i="5"/>
  <c r="E65" i="5"/>
  <c r="E79" i="5"/>
  <c r="E93" i="5"/>
  <c r="E107" i="5"/>
  <c r="E121" i="5"/>
  <c r="E135" i="5"/>
  <c r="E143" i="5"/>
  <c r="E157" i="5"/>
  <c r="E171" i="5"/>
  <c r="E185" i="5"/>
  <c r="E199" i="5"/>
  <c r="E213" i="5"/>
  <c r="E227" i="5"/>
  <c r="E241" i="5"/>
  <c r="E255" i="5"/>
  <c r="E269" i="5"/>
  <c r="E283" i="5"/>
  <c r="E297" i="5"/>
  <c r="E311" i="5"/>
  <c r="E325" i="5"/>
  <c r="E339" i="5"/>
  <c r="E353" i="5"/>
  <c r="E367" i="5"/>
  <c r="E10" i="5"/>
  <c r="E24" i="5"/>
  <c r="E38" i="5"/>
  <c r="E52" i="5"/>
  <c r="E66" i="5"/>
  <c r="E80" i="5"/>
  <c r="E94" i="5"/>
  <c r="E108" i="5"/>
  <c r="E122" i="5"/>
  <c r="E136" i="5"/>
  <c r="E144" i="5"/>
  <c r="E158" i="5"/>
  <c r="E172" i="5"/>
  <c r="E186" i="5"/>
  <c r="E200" i="5"/>
  <c r="E214" i="5"/>
  <c r="E228" i="5"/>
  <c r="E242" i="5"/>
  <c r="E256" i="5"/>
  <c r="E270" i="5"/>
  <c r="E284" i="5"/>
  <c r="E298" i="5"/>
  <c r="E312" i="5"/>
  <c r="E326" i="5"/>
  <c r="E340" i="5"/>
  <c r="E12" i="5"/>
  <c r="E26" i="5"/>
  <c r="E40" i="5"/>
  <c r="E54" i="5"/>
  <c r="E68" i="5"/>
  <c r="E82" i="5"/>
  <c r="E96" i="5"/>
  <c r="E110" i="5"/>
  <c r="E124" i="5"/>
  <c r="E138" i="5"/>
  <c r="E146" i="5"/>
  <c r="E160" i="5"/>
  <c r="E174" i="5"/>
  <c r="E188" i="5"/>
  <c r="E13" i="5"/>
  <c r="E27" i="5"/>
  <c r="E41" i="5"/>
  <c r="E55" i="5"/>
  <c r="E69" i="5"/>
  <c r="E83" i="5"/>
  <c r="E97" i="5"/>
  <c r="E111" i="5"/>
  <c r="E125" i="5"/>
  <c r="E139" i="5"/>
  <c r="E147" i="5"/>
  <c r="E161" i="5"/>
  <c r="E175" i="5"/>
  <c r="E189" i="5"/>
  <c r="E203" i="5"/>
  <c r="E217" i="5"/>
  <c r="E231" i="5"/>
  <c r="E245" i="5"/>
  <c r="E259" i="5"/>
  <c r="E273" i="5"/>
  <c r="E287" i="5"/>
  <c r="E301" i="5"/>
  <c r="E315" i="5"/>
  <c r="E329" i="5"/>
  <c r="E343" i="5"/>
  <c r="E357" i="5"/>
  <c r="E371" i="5"/>
  <c r="E28" i="5"/>
  <c r="E42" i="5"/>
  <c r="E56" i="5"/>
  <c r="E70" i="5"/>
  <c r="E98" i="5"/>
  <c r="E112" i="5"/>
  <c r="E126" i="5"/>
  <c r="E162" i="5"/>
  <c r="E204" i="5"/>
  <c r="E274" i="5"/>
  <c r="E302" i="5"/>
  <c r="E330" i="5"/>
  <c r="E358" i="5"/>
  <c r="E205" i="5"/>
  <c r="E247" i="5"/>
  <c r="E261" i="5"/>
  <c r="E275" i="5"/>
  <c r="E289" i="5"/>
  <c r="E331" i="5"/>
  <c r="E359" i="5"/>
  <c r="E373" i="5"/>
  <c r="E100" i="5"/>
  <c r="E128" i="5"/>
  <c r="E6" i="5"/>
  <c r="E150" i="5"/>
  <c r="E164" i="5"/>
  <c r="E178" i="5"/>
  <c r="E220" i="5"/>
  <c r="E234" i="5"/>
  <c r="E374" i="5"/>
  <c r="E129" i="5"/>
  <c r="E193" i="5"/>
  <c r="E235" i="5"/>
  <c r="E277" i="5"/>
  <c r="E305" i="5"/>
  <c r="E347" i="5"/>
  <c r="E152" i="5"/>
  <c r="E180" i="5"/>
  <c r="E194" i="5"/>
  <c r="E208" i="5"/>
  <c r="E222" i="5"/>
  <c r="E250" i="5"/>
  <c r="E264" i="5"/>
  <c r="E278" i="5"/>
  <c r="E292" i="5"/>
  <c r="E306" i="5"/>
  <c r="E320" i="5"/>
  <c r="E334" i="5"/>
  <c r="E348" i="5"/>
  <c r="E362" i="5"/>
  <c r="E376" i="5"/>
  <c r="E153" i="5"/>
  <c r="E181" i="5"/>
  <c r="E195" i="5"/>
  <c r="E223" i="5"/>
  <c r="E237" i="5"/>
  <c r="E251" i="5"/>
  <c r="E265" i="5"/>
  <c r="E14" i="5"/>
  <c r="E84" i="5"/>
  <c r="E140" i="5"/>
  <c r="E148" i="5"/>
  <c r="E176" i="5"/>
  <c r="E190" i="5"/>
  <c r="E218" i="5"/>
  <c r="E232" i="5"/>
  <c r="E246" i="5"/>
  <c r="E260" i="5"/>
  <c r="E288" i="5"/>
  <c r="E316" i="5"/>
  <c r="E344" i="5"/>
  <c r="E372" i="5"/>
  <c r="E233" i="5"/>
  <c r="E114" i="5"/>
  <c r="E192" i="5"/>
  <c r="E206" i="5"/>
  <c r="E262" i="5"/>
  <c r="E276" i="5"/>
  <c r="E290" i="5"/>
  <c r="E304" i="5"/>
  <c r="E318" i="5"/>
  <c r="E332" i="5"/>
  <c r="E346" i="5"/>
  <c r="E360" i="5"/>
  <c r="E115" i="5"/>
  <c r="E221" i="5"/>
  <c r="E249" i="5"/>
  <c r="E291" i="5"/>
  <c r="E333" i="5"/>
  <c r="E361" i="5"/>
  <c r="E15" i="5"/>
  <c r="E29" i="5"/>
  <c r="E43" i="5"/>
  <c r="E57" i="5"/>
  <c r="E71" i="5"/>
  <c r="E85" i="5"/>
  <c r="E99" i="5"/>
  <c r="E113" i="5"/>
  <c r="E127" i="5"/>
  <c r="E141" i="5"/>
  <c r="E149" i="5"/>
  <c r="E163" i="5"/>
  <c r="E177" i="5"/>
  <c r="E191" i="5"/>
  <c r="E219" i="5"/>
  <c r="E303" i="5"/>
  <c r="E317" i="5"/>
  <c r="E345" i="5"/>
  <c r="E248" i="5"/>
  <c r="E165" i="5"/>
  <c r="E236" i="5"/>
  <c r="E16" i="5"/>
  <c r="E30" i="5"/>
  <c r="E44" i="5"/>
  <c r="E58" i="5"/>
  <c r="E72" i="5"/>
  <c r="E86" i="5"/>
  <c r="E17" i="5"/>
  <c r="E31" i="5"/>
  <c r="E45" i="5"/>
  <c r="E59" i="5"/>
  <c r="E73" i="5"/>
  <c r="E87" i="5"/>
  <c r="E101" i="5"/>
  <c r="E7" i="5"/>
  <c r="E151" i="5"/>
  <c r="E179" i="5"/>
  <c r="E207" i="5"/>
  <c r="E263" i="5"/>
  <c r="E319" i="5"/>
  <c r="E375" i="5"/>
  <c r="E166" i="5"/>
  <c r="E62" i="5"/>
  <c r="E119" i="5"/>
  <c r="E159" i="5"/>
  <c r="E202" i="5"/>
  <c r="E240" i="5"/>
  <c r="E280" i="5"/>
  <c r="E310" i="5"/>
  <c r="E342" i="5"/>
  <c r="E370" i="5"/>
  <c r="E67" i="5"/>
  <c r="E123" i="5"/>
  <c r="E168" i="5"/>
  <c r="E210" i="5"/>
  <c r="E244" i="5"/>
  <c r="E282" i="5"/>
  <c r="E314" i="5"/>
  <c r="E350" i="5"/>
  <c r="E378" i="5"/>
  <c r="E76" i="5"/>
  <c r="E132" i="5"/>
  <c r="E169" i="5"/>
  <c r="E211" i="5"/>
  <c r="E252" i="5"/>
  <c r="E285" i="5"/>
  <c r="E321" i="5"/>
  <c r="E351" i="5"/>
  <c r="E379" i="5"/>
  <c r="E11" i="5"/>
  <c r="E77" i="5"/>
  <c r="E133" i="5"/>
  <c r="E170" i="5"/>
  <c r="E212" i="5"/>
  <c r="E286" i="5"/>
  <c r="E322" i="5"/>
  <c r="E352" i="5"/>
  <c r="E20" i="5"/>
  <c r="E134" i="5"/>
  <c r="E173" i="5"/>
  <c r="E215" i="5"/>
  <c r="E254" i="5"/>
  <c r="E293" i="5"/>
  <c r="E323" i="5"/>
  <c r="E354" i="5"/>
  <c r="E21" i="5"/>
  <c r="E90" i="5"/>
  <c r="E137" i="5"/>
  <c r="E182" i="5"/>
  <c r="E216" i="5"/>
  <c r="E257" i="5"/>
  <c r="E294" i="5"/>
  <c r="E324" i="5"/>
  <c r="E355" i="5"/>
  <c r="E91" i="5"/>
  <c r="E183" i="5"/>
  <c r="E224" i="5"/>
  <c r="E258" i="5"/>
  <c r="E295" i="5"/>
  <c r="E327" i="5"/>
  <c r="E356" i="5"/>
  <c r="E34" i="5"/>
  <c r="E95" i="5"/>
  <c r="E184" i="5"/>
  <c r="E225" i="5"/>
  <c r="E266" i="5"/>
  <c r="E296" i="5"/>
  <c r="E328" i="5"/>
  <c r="E363" i="5"/>
  <c r="E35" i="5"/>
  <c r="E104" i="5"/>
  <c r="E142" i="5"/>
  <c r="E187" i="5"/>
  <c r="E226" i="5"/>
  <c r="E267" i="5"/>
  <c r="E299" i="5"/>
  <c r="E335" i="5"/>
  <c r="E364" i="5"/>
  <c r="E39" i="5"/>
  <c r="E105" i="5"/>
  <c r="E145" i="5"/>
  <c r="E196" i="5"/>
  <c r="E229" i="5"/>
  <c r="E268" i="5"/>
  <c r="E300" i="5"/>
  <c r="E336" i="5"/>
  <c r="E63" i="5"/>
  <c r="E120" i="5"/>
  <c r="E167" i="5"/>
  <c r="E209" i="5"/>
  <c r="E243" i="5"/>
  <c r="E281" i="5"/>
  <c r="E313" i="5"/>
  <c r="E349" i="5"/>
  <c r="E377" i="5"/>
  <c r="E253" i="5"/>
  <c r="E81" i="5"/>
  <c r="E25" i="5"/>
  <c r="E197" i="5"/>
  <c r="E341" i="5"/>
  <c r="E198" i="5"/>
  <c r="E365" i="5"/>
  <c r="E201" i="5"/>
  <c r="E366" i="5"/>
  <c r="E239" i="5"/>
  <c r="E230" i="5"/>
  <c r="E368" i="5"/>
  <c r="E48" i="5"/>
  <c r="E238" i="5"/>
  <c r="E369" i="5"/>
  <c r="E49" i="5"/>
  <c r="E53" i="5"/>
  <c r="E271" i="5"/>
  <c r="E106" i="5"/>
  <c r="E272" i="5"/>
  <c r="E109" i="5"/>
  <c r="E279" i="5"/>
  <c r="E118" i="5"/>
  <c r="E307" i="5"/>
  <c r="E308" i="5"/>
  <c r="E154" i="5"/>
  <c r="E309" i="5"/>
  <c r="E155" i="5"/>
  <c r="E337" i="5"/>
  <c r="E156" i="5"/>
  <c r="E338" i="5"/>
  <c r="D6" i="5"/>
  <c r="D13" i="5"/>
  <c r="D20" i="5"/>
  <c r="D27" i="5"/>
  <c r="D34" i="5"/>
  <c r="D41" i="5"/>
  <c r="D48" i="5"/>
  <c r="D55" i="5"/>
  <c r="D62" i="5"/>
  <c r="D69" i="5"/>
  <c r="D76" i="5"/>
  <c r="D83" i="5"/>
  <c r="D90" i="5"/>
  <c r="D97" i="5"/>
  <c r="D104" i="5"/>
  <c r="D111" i="5"/>
  <c r="D118" i="5"/>
  <c r="D125" i="5"/>
  <c r="D132" i="5"/>
  <c r="D139" i="5"/>
  <c r="D146" i="5"/>
  <c r="D153" i="5"/>
  <c r="D160" i="5"/>
  <c r="D167" i="5"/>
  <c r="D174" i="5"/>
  <c r="D181" i="5"/>
  <c r="D188" i="5"/>
  <c r="D195" i="5"/>
  <c r="D202" i="5"/>
  <c r="D209" i="5"/>
  <c r="D216" i="5"/>
  <c r="D223" i="5"/>
  <c r="D230" i="5"/>
  <c r="D237" i="5"/>
  <c r="C10" i="5"/>
  <c r="C17" i="5"/>
  <c r="C24" i="5"/>
  <c r="C31" i="5"/>
  <c r="C38" i="5"/>
  <c r="C45" i="5"/>
  <c r="C52" i="5"/>
  <c r="C59" i="5"/>
  <c r="C66" i="5"/>
  <c r="C73" i="5"/>
  <c r="C80" i="5"/>
  <c r="C87" i="5"/>
  <c r="C94" i="5"/>
  <c r="C101" i="5"/>
  <c r="C108" i="5"/>
  <c r="C115" i="5"/>
  <c r="C122" i="5"/>
  <c r="C129" i="5"/>
  <c r="C136" i="5"/>
  <c r="C143" i="5"/>
  <c r="C150" i="5"/>
  <c r="C157" i="5"/>
  <c r="C164" i="5"/>
  <c r="C171" i="5"/>
  <c r="C178" i="5"/>
  <c r="C185" i="5"/>
  <c r="C192" i="5"/>
  <c r="C199" i="5"/>
  <c r="C206" i="5"/>
  <c r="C213" i="5"/>
  <c r="C220" i="5"/>
  <c r="C227" i="5"/>
  <c r="C234" i="5"/>
  <c r="C6" i="5"/>
  <c r="C35" i="5"/>
  <c r="C39" i="5"/>
  <c r="C43" i="5"/>
  <c r="C47" i="5"/>
  <c r="C51" i="5"/>
  <c r="C55" i="5"/>
  <c r="C84" i="5"/>
  <c r="C88" i="5"/>
  <c r="C92" i="5"/>
  <c r="C96" i="5"/>
  <c r="C100" i="5"/>
  <c r="C104" i="5"/>
  <c r="C133" i="5"/>
  <c r="C137" i="5"/>
  <c r="C141" i="5"/>
  <c r="C145" i="5"/>
  <c r="C149" i="5"/>
  <c r="C153" i="5"/>
  <c r="C182" i="5"/>
  <c r="C186" i="5"/>
  <c r="C190" i="5"/>
  <c r="C194" i="5"/>
  <c r="C198" i="5"/>
  <c r="C202" i="5"/>
  <c r="C231" i="5"/>
  <c r="C235" i="5"/>
  <c r="C239" i="5"/>
  <c r="C246" i="5"/>
  <c r="C253" i="5"/>
  <c r="D31" i="5"/>
  <c r="D35" i="5"/>
  <c r="D39" i="5"/>
  <c r="D43" i="5"/>
  <c r="D47" i="5"/>
  <c r="D51" i="5"/>
  <c r="D80" i="5"/>
  <c r="D84" i="5"/>
  <c r="D88" i="5"/>
  <c r="D92" i="5"/>
  <c r="D96" i="5"/>
  <c r="D100" i="5"/>
  <c r="D129" i="5"/>
  <c r="D133" i="5"/>
  <c r="D137" i="5"/>
  <c r="D141" i="5"/>
  <c r="D145" i="5"/>
  <c r="D149" i="5"/>
  <c r="D178" i="5"/>
  <c r="D182" i="5"/>
  <c r="D186" i="5"/>
  <c r="D190" i="5"/>
  <c r="D194" i="5"/>
  <c r="D198" i="5"/>
  <c r="D227" i="5"/>
  <c r="D231" i="5"/>
  <c r="D235" i="5"/>
  <c r="D239" i="5"/>
  <c r="D246" i="5"/>
  <c r="D253" i="5"/>
  <c r="D7" i="5"/>
  <c r="D11" i="5"/>
  <c r="D15" i="5"/>
  <c r="D19" i="5"/>
  <c r="D23" i="5"/>
  <c r="D52" i="5"/>
  <c r="D56" i="5"/>
  <c r="D60" i="5"/>
  <c r="D64" i="5"/>
  <c r="D68" i="5"/>
  <c r="C28" i="5"/>
  <c r="C32" i="5"/>
  <c r="C36" i="5"/>
  <c r="C40" i="5"/>
  <c r="C44" i="5"/>
  <c r="C48" i="5"/>
  <c r="C77" i="5"/>
  <c r="C81" i="5"/>
  <c r="C85" i="5"/>
  <c r="C89" i="5"/>
  <c r="C93" i="5"/>
  <c r="C97" i="5"/>
  <c r="C126" i="5"/>
  <c r="C130" i="5"/>
  <c r="C134" i="5"/>
  <c r="C138" i="5"/>
  <c r="C142" i="5"/>
  <c r="C146" i="5"/>
  <c r="C175" i="5"/>
  <c r="C179" i="5"/>
  <c r="C183" i="5"/>
  <c r="C187" i="5"/>
  <c r="C191" i="5"/>
  <c r="C195" i="5"/>
  <c r="C224" i="5"/>
  <c r="C228" i="5"/>
  <c r="C232" i="5"/>
  <c r="C236" i="5"/>
  <c r="C240" i="5"/>
  <c r="C247" i="5"/>
  <c r="C254" i="5"/>
  <c r="C8" i="5"/>
  <c r="C12" i="5"/>
  <c r="C16" i="5"/>
  <c r="C20" i="5"/>
  <c r="C49" i="5"/>
  <c r="C53" i="5"/>
  <c r="C57" i="5"/>
  <c r="C61" i="5"/>
  <c r="C65" i="5"/>
  <c r="C69" i="5"/>
  <c r="C98" i="5"/>
  <c r="C102" i="5"/>
  <c r="C106" i="5"/>
  <c r="C110" i="5"/>
  <c r="C114" i="5"/>
  <c r="C118" i="5"/>
  <c r="C147" i="5"/>
  <c r="C151" i="5"/>
  <c r="C155" i="5"/>
  <c r="C159" i="5"/>
  <c r="C163" i="5"/>
  <c r="C167" i="5"/>
  <c r="C196" i="5"/>
  <c r="C200" i="5"/>
  <c r="C204" i="5"/>
  <c r="C208" i="5"/>
  <c r="C212" i="5"/>
  <c r="C216" i="5"/>
  <c r="C244" i="5"/>
  <c r="C251" i="5"/>
  <c r="D14" i="5"/>
  <c r="D21" i="5"/>
  <c r="C27" i="5"/>
  <c r="D40" i="5"/>
  <c r="D46" i="5"/>
  <c r="D53" i="5"/>
  <c r="D71" i="5"/>
  <c r="D106" i="5"/>
  <c r="D117" i="5"/>
  <c r="D123" i="5"/>
  <c r="D128" i="5"/>
  <c r="D140" i="5"/>
  <c r="D157" i="5"/>
  <c r="D163" i="5"/>
  <c r="D180" i="5"/>
  <c r="D192" i="5"/>
  <c r="D197" i="5"/>
  <c r="D203" i="5"/>
  <c r="D214" i="5"/>
  <c r="D242" i="5"/>
  <c r="D252" i="5"/>
  <c r="C41" i="5"/>
  <c r="D158" i="5"/>
  <c r="D204" i="5"/>
  <c r="D215" i="5"/>
  <c r="D226" i="5"/>
  <c r="D243" i="5"/>
  <c r="D29" i="5"/>
  <c r="C42" i="5"/>
  <c r="C67" i="5"/>
  <c r="D107" i="5"/>
  <c r="D119" i="5"/>
  <c r="D136" i="5"/>
  <c r="D170" i="5"/>
  <c r="D233" i="5"/>
  <c r="D244" i="5"/>
  <c r="D17" i="5"/>
  <c r="C15" i="5"/>
  <c r="D28" i="5"/>
  <c r="D59" i="5"/>
  <c r="D66" i="5"/>
  <c r="C72" i="5"/>
  <c r="C78" i="5"/>
  <c r="C83" i="5"/>
  <c r="D89" i="5"/>
  <c r="C95" i="5"/>
  <c r="C112" i="5"/>
  <c r="C135" i="5"/>
  <c r="C152" i="5"/>
  <c r="C158" i="5"/>
  <c r="C169" i="5"/>
  <c r="D175" i="5"/>
  <c r="C209" i="5"/>
  <c r="C215" i="5"/>
  <c r="C221" i="5"/>
  <c r="C226" i="5"/>
  <c r="D232" i="5"/>
  <c r="C238" i="5"/>
  <c r="C243" i="5"/>
  <c r="C248" i="5"/>
  <c r="D152" i="5"/>
  <c r="D169" i="5"/>
  <c r="D221" i="5"/>
  <c r="D238" i="5"/>
  <c r="D248" i="5"/>
  <c r="D22" i="5"/>
  <c r="D54" i="5"/>
  <c r="D61" i="5"/>
  <c r="D102" i="5"/>
  <c r="D113" i="5"/>
  <c r="D124" i="5"/>
  <c r="D159" i="5"/>
  <c r="D193" i="5"/>
  <c r="D210" i="5"/>
  <c r="D10" i="5"/>
  <c r="C23" i="5"/>
  <c r="C9" i="5"/>
  <c r="C34" i="5"/>
  <c r="C60" i="5"/>
  <c r="D72" i="5"/>
  <c r="D78" i="5"/>
  <c r="D95" i="5"/>
  <c r="D101" i="5"/>
  <c r="D112" i="5"/>
  <c r="D135" i="5"/>
  <c r="D147" i="5"/>
  <c r="D164" i="5"/>
  <c r="D9" i="5"/>
  <c r="D16" i="5"/>
  <c r="C22" i="5"/>
  <c r="C29" i="5"/>
  <c r="C54" i="5"/>
  <c r="D73" i="5"/>
  <c r="C90" i="5"/>
  <c r="C107" i="5"/>
  <c r="C113" i="5"/>
  <c r="C119" i="5"/>
  <c r="C124" i="5"/>
  <c r="D130" i="5"/>
  <c r="C170" i="5"/>
  <c r="C176" i="5"/>
  <c r="C181" i="5"/>
  <c r="D187" i="5"/>
  <c r="C193" i="5"/>
  <c r="C210" i="5"/>
  <c r="C233" i="5"/>
  <c r="D199" i="5"/>
  <c r="D176" i="5"/>
  <c r="D8" i="5"/>
  <c r="D42" i="5"/>
  <c r="D98" i="5"/>
  <c r="C125" i="5"/>
  <c r="D143" i="5"/>
  <c r="C160" i="5"/>
  <c r="D168" i="5"/>
  <c r="D177" i="5"/>
  <c r="C205" i="5"/>
  <c r="D213" i="5"/>
  <c r="D222" i="5"/>
  <c r="C230" i="5"/>
  <c r="D240" i="5"/>
  <c r="D37" i="5"/>
  <c r="C11" i="5"/>
  <c r="D32" i="5"/>
  <c r="C62" i="5"/>
  <c r="D151" i="5"/>
  <c r="C188" i="5"/>
  <c r="D196" i="5"/>
  <c r="D205" i="5"/>
  <c r="C223" i="5"/>
  <c r="D247" i="5"/>
  <c r="C21" i="5"/>
  <c r="C71" i="5"/>
  <c r="D81" i="5"/>
  <c r="C91" i="5"/>
  <c r="D108" i="5"/>
  <c r="C116" i="5"/>
  <c r="D126" i="5"/>
  <c r="C161" i="5"/>
  <c r="D171" i="5"/>
  <c r="C241" i="5"/>
  <c r="C249" i="5"/>
  <c r="D12" i="5"/>
  <c r="D24" i="5"/>
  <c r="C33" i="5"/>
  <c r="C63" i="5"/>
  <c r="C74" i="5"/>
  <c r="D91" i="5"/>
  <c r="C99" i="5"/>
  <c r="C109" i="5"/>
  <c r="D116" i="5"/>
  <c r="D134" i="5"/>
  <c r="C144" i="5"/>
  <c r="C154" i="5"/>
  <c r="D161" i="5"/>
  <c r="D179" i="5"/>
  <c r="C189" i="5"/>
  <c r="D206" i="5"/>
  <c r="C214" i="5"/>
  <c r="D224" i="5"/>
  <c r="D241" i="5"/>
  <c r="D249" i="5"/>
  <c r="C46" i="5"/>
  <c r="D57" i="5"/>
  <c r="D67" i="5"/>
  <c r="D75" i="5"/>
  <c r="D93" i="5"/>
  <c r="C103" i="5"/>
  <c r="C128" i="5"/>
  <c r="D138" i="5"/>
  <c r="C148" i="5"/>
  <c r="C173" i="5"/>
  <c r="D183" i="5"/>
  <c r="C218" i="5"/>
  <c r="D228" i="5"/>
  <c r="C26" i="5"/>
  <c r="D49" i="5"/>
  <c r="C68" i="5"/>
  <c r="C76" i="5"/>
  <c r="C86" i="5"/>
  <c r="D94" i="5"/>
  <c r="D103" i="5"/>
  <c r="C111" i="5"/>
  <c r="C121" i="5"/>
  <c r="C131" i="5"/>
  <c r="D148" i="5"/>
  <c r="C156" i="5"/>
  <c r="C166" i="5"/>
  <c r="D173" i="5"/>
  <c r="D191" i="5"/>
  <c r="C201" i="5"/>
  <c r="D218" i="5"/>
  <c r="D236" i="5"/>
  <c r="C245" i="5"/>
  <c r="D26" i="5"/>
  <c r="D38" i="5"/>
  <c r="D86" i="5"/>
  <c r="D121" i="5"/>
  <c r="D131" i="5"/>
  <c r="C139" i="5"/>
  <c r="D156" i="5"/>
  <c r="D166" i="5"/>
  <c r="C174" i="5"/>
  <c r="C184" i="5"/>
  <c r="D201" i="5"/>
  <c r="D211" i="5"/>
  <c r="C219" i="5"/>
  <c r="C229" i="5"/>
  <c r="D245" i="5"/>
  <c r="C252" i="5"/>
  <c r="D33" i="5"/>
  <c r="D44" i="5"/>
  <c r="D63" i="5"/>
  <c r="D74" i="5"/>
  <c r="C82" i="5"/>
  <c r="D99" i="5"/>
  <c r="D109" i="5"/>
  <c r="C117" i="5"/>
  <c r="C127" i="5"/>
  <c r="D144" i="5"/>
  <c r="D154" i="5"/>
  <c r="C162" i="5"/>
  <c r="C172" i="5"/>
  <c r="D189" i="5"/>
  <c r="C197" i="5"/>
  <c r="C207" i="5"/>
  <c r="C217" i="5"/>
  <c r="D234" i="5"/>
  <c r="C250" i="5"/>
  <c r="C25" i="5"/>
  <c r="D36" i="5"/>
  <c r="D45" i="5"/>
  <c r="C64" i="5"/>
  <c r="D82" i="5"/>
  <c r="D127" i="5"/>
  <c r="D162" i="5"/>
  <c r="D172" i="5"/>
  <c r="C180" i="5"/>
  <c r="D207" i="5"/>
  <c r="D217" i="5"/>
  <c r="C225" i="5"/>
  <c r="D250" i="5"/>
  <c r="C14" i="5"/>
  <c r="D120" i="5"/>
  <c r="D165" i="5"/>
  <c r="C211" i="5"/>
  <c r="C13" i="5"/>
  <c r="D25" i="5"/>
  <c r="C56" i="5"/>
  <c r="D110" i="5"/>
  <c r="D155" i="5"/>
  <c r="D200" i="5"/>
  <c r="D225" i="5"/>
  <c r="C242" i="5"/>
  <c r="C37" i="5"/>
  <c r="D65" i="5"/>
  <c r="C75" i="5"/>
  <c r="D85" i="5"/>
  <c r="C120" i="5"/>
  <c r="C165" i="5"/>
  <c r="D208" i="5"/>
  <c r="D251" i="5"/>
  <c r="C70" i="5"/>
  <c r="D114" i="5"/>
  <c r="D150" i="5"/>
  <c r="C237" i="5"/>
  <c r="D70" i="5"/>
  <c r="D30" i="5"/>
  <c r="C30" i="5"/>
  <c r="D77" i="5"/>
  <c r="C79" i="5"/>
  <c r="D122" i="5"/>
  <c r="D79" i="5"/>
  <c r="C203" i="5"/>
  <c r="C123" i="5"/>
  <c r="D87" i="5"/>
  <c r="C168" i="5"/>
  <c r="D212" i="5"/>
  <c r="D254" i="5"/>
  <c r="C50" i="5"/>
  <c r="C132" i="5"/>
  <c r="D219" i="5"/>
  <c r="C7" i="5"/>
  <c r="D50" i="5"/>
  <c r="C177" i="5"/>
  <c r="D220" i="5"/>
  <c r="C58" i="5"/>
  <c r="C140" i="5"/>
  <c r="D184" i="5"/>
  <c r="C222" i="5"/>
  <c r="C18" i="5"/>
  <c r="D58" i="5"/>
  <c r="D142" i="5"/>
  <c r="D229" i="5"/>
  <c r="D18" i="5"/>
  <c r="C105" i="5"/>
  <c r="D185" i="5"/>
  <c r="C19" i="5"/>
  <c r="D105" i="5"/>
  <c r="D115" i="5"/>
  <c r="C5" i="4"/>
  <c r="A5" i="5"/>
  <c r="L5" i="4" l="1"/>
  <c r="K5" i="4"/>
  <c r="O5" i="4"/>
  <c r="N5" i="4"/>
  <c r="E5" i="5"/>
  <c r="D5" i="5"/>
  <c r="C5" i="5"/>
  <c r="B35" i="5"/>
  <c r="B22" i="5"/>
  <c r="B47" i="5"/>
  <c r="B58" i="5"/>
  <c r="B32" i="5"/>
  <c r="B51" i="5"/>
  <c r="B19" i="5"/>
  <c r="B40" i="5"/>
  <c r="B13" i="5"/>
  <c r="B28" i="5"/>
  <c r="B33" i="5"/>
  <c r="B38" i="5"/>
  <c r="B31" i="5"/>
  <c r="B27" i="5"/>
  <c r="B52" i="5"/>
  <c r="B34" i="5"/>
  <c r="B41" i="5"/>
  <c r="B48" i="5"/>
  <c r="B57" i="5"/>
  <c r="B18" i="5"/>
  <c r="B15" i="5"/>
  <c r="B21" i="5"/>
  <c r="B26" i="5"/>
  <c r="B36" i="5"/>
  <c r="B44" i="5"/>
  <c r="B17" i="5"/>
  <c r="B54" i="5"/>
  <c r="B23" i="5"/>
  <c r="B20" i="5"/>
  <c r="B39" i="5"/>
  <c r="B43" i="5"/>
  <c r="B24" i="5"/>
  <c r="B29" i="5"/>
  <c r="B50" i="5"/>
  <c r="B42" i="5"/>
  <c r="B46" i="5"/>
  <c r="B12" i="5"/>
  <c r="B14" i="5"/>
  <c r="B56" i="5"/>
  <c r="B25" i="5"/>
  <c r="B45" i="5"/>
  <c r="B16" i="5"/>
  <c r="B37" i="5"/>
  <c r="B53" i="5"/>
  <c r="B30" i="5"/>
  <c r="B55" i="5"/>
  <c r="B49" i="5"/>
  <c r="B13" i="6" l="1"/>
  <c r="C5" i="6"/>
  <c r="C6" i="6"/>
  <c r="C7" i="6"/>
  <c r="C8" i="6"/>
  <c r="C9" i="6"/>
  <c r="C10" i="6"/>
  <c r="C11" i="6"/>
  <c r="C12" i="6"/>
  <c r="C13" i="6"/>
  <c r="C14" i="6"/>
  <c r="C15" i="6"/>
  <c r="C16" i="6"/>
  <c r="C17" i="6"/>
  <c r="C18" i="6"/>
  <c r="C19" i="6"/>
  <c r="C20" i="6"/>
  <c r="C21" i="6"/>
  <c r="B5" i="6"/>
  <c r="B6" i="6"/>
  <c r="B7" i="6"/>
  <c r="B8" i="6"/>
  <c r="B9" i="6"/>
  <c r="B10" i="6"/>
  <c r="B11" i="6"/>
  <c r="B12" i="6"/>
  <c r="B14" i="6"/>
  <c r="B15" i="6"/>
  <c r="B16" i="6"/>
  <c r="B17" i="6"/>
  <c r="B18" i="6"/>
  <c r="B19" i="6"/>
  <c r="B20" i="6"/>
  <c r="B21" i="6"/>
  <c r="C4" i="6"/>
  <c r="B4" i="6"/>
  <c r="E7" i="7"/>
  <c r="E8" i="7"/>
  <c r="E9" i="7"/>
  <c r="E10" i="7"/>
  <c r="E11" i="7"/>
  <c r="E12" i="7"/>
  <c r="E13" i="7"/>
  <c r="E14" i="7"/>
  <c r="E15" i="7"/>
  <c r="E16" i="7"/>
  <c r="E17" i="7"/>
  <c r="E18" i="7"/>
  <c r="E19" i="7"/>
  <c r="E20" i="7"/>
  <c r="E21" i="7"/>
  <c r="E22" i="7"/>
  <c r="E23" i="7"/>
  <c r="E6" i="7"/>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H230" i="3"/>
  <c r="I230" i="3"/>
  <c r="C3" i="5"/>
  <c r="H5" i="4" l="1"/>
  <c r="I5" i="4" s="1"/>
  <c r="M5" i="4"/>
  <c r="G5" i="5" s="1"/>
  <c r="J5" i="4"/>
  <c r="F5" i="5" s="1"/>
  <c r="L3" i="6"/>
  <c r="M3" i="6"/>
  <c r="F6" i="5" l="1"/>
  <c r="G6" i="5"/>
  <c r="F7" i="5" l="1"/>
  <c r="G7" i="5"/>
  <c r="B7" i="5"/>
  <c r="B5" i="5"/>
  <c r="B6" i="5"/>
  <c r="G30" i="3"/>
  <c r="I30" i="3" s="1"/>
  <c r="G31" i="3"/>
  <c r="I31" i="3" s="1"/>
  <c r="G38" i="3"/>
  <c r="I38" i="3" s="1"/>
  <c r="G25" i="3"/>
  <c r="I25" i="3" s="1"/>
  <c r="G32" i="3"/>
  <c r="I32" i="3" s="1"/>
  <c r="G26" i="3"/>
  <c r="I26" i="3" s="1"/>
  <c r="G33" i="3"/>
  <c r="I33" i="3" s="1"/>
  <c r="G27" i="3"/>
  <c r="I27" i="3" s="1"/>
  <c r="G34" i="3"/>
  <c r="I34" i="3" s="1"/>
  <c r="G21" i="3"/>
  <c r="I21" i="3" s="1"/>
  <c r="G28" i="3"/>
  <c r="I28" i="3" s="1"/>
  <c r="G35" i="3"/>
  <c r="I35" i="3" s="1"/>
  <c r="G37" i="3"/>
  <c r="I37" i="3" s="1"/>
  <c r="G22" i="3"/>
  <c r="I22" i="3" s="1"/>
  <c r="G29" i="3"/>
  <c r="I29" i="3" s="1"/>
  <c r="G36" i="3"/>
  <c r="I36" i="3" s="1"/>
  <c r="F30" i="3"/>
  <c r="H30" i="3" s="1"/>
  <c r="F37" i="3"/>
  <c r="H37" i="3" s="1"/>
  <c r="F31" i="3"/>
  <c r="H31" i="3" s="1"/>
  <c r="F38" i="3"/>
  <c r="H38" i="3" s="1"/>
  <c r="F25" i="3"/>
  <c r="H25" i="3" s="1"/>
  <c r="F32" i="3"/>
  <c r="H32" i="3" s="1"/>
  <c r="F33" i="3"/>
  <c r="H33" i="3" s="1"/>
  <c r="F21" i="3"/>
  <c r="H21" i="3" s="1"/>
  <c r="F28" i="3"/>
  <c r="H28" i="3" s="1"/>
  <c r="F27" i="3"/>
  <c r="H27" i="3" s="1"/>
  <c r="F34" i="3"/>
  <c r="H34" i="3" s="1"/>
  <c r="F35" i="3"/>
  <c r="H35" i="3" s="1"/>
  <c r="F26" i="3"/>
  <c r="H26" i="3" s="1"/>
  <c r="F22" i="3"/>
  <c r="H22" i="3" s="1"/>
  <c r="F29" i="3"/>
  <c r="H29" i="3" s="1"/>
  <c r="F36" i="3"/>
  <c r="H36" i="3" s="1"/>
  <c r="B8" i="5" l="1"/>
  <c r="B9" i="5"/>
  <c r="B10" i="5"/>
  <c r="B11" i="5"/>
  <c r="F23" i="3"/>
  <c r="H23" i="3" s="1"/>
  <c r="G23" i="3"/>
  <c r="I23" i="3" s="1"/>
  <c r="G8" i="5" l="1"/>
  <c r="G10" i="5"/>
  <c r="F8" i="5"/>
  <c r="F10" i="5"/>
  <c r="G9" i="5"/>
  <c r="F9" i="5"/>
  <c r="G24" i="3"/>
  <c r="I24" i="3" s="1"/>
  <c r="F24" i="3"/>
  <c r="H24" i="3" s="1"/>
  <c r="G11" i="5" l="1"/>
  <c r="F11" i="5"/>
  <c r="F114" i="3" l="1"/>
  <c r="F117" i="3"/>
  <c r="F113" i="3"/>
  <c r="F120" i="3"/>
  <c r="F121" i="3"/>
  <c r="F116" i="3"/>
  <c r="F118" i="3"/>
  <c r="F115" i="3"/>
  <c r="F112" i="3"/>
  <c r="F119" i="3"/>
  <c r="F111" i="3"/>
  <c r="F128" i="3"/>
  <c r="F122" i="3"/>
  <c r="G12" i="5"/>
  <c r="F12" i="5"/>
  <c r="F13" i="5" l="1"/>
  <c r="G13" i="5"/>
  <c r="F129" i="3"/>
  <c r="H129" i="3" s="1"/>
  <c r="G14" i="5" l="1"/>
  <c r="F14" i="5"/>
  <c r="F15" i="5" l="1"/>
  <c r="G15" i="5"/>
  <c r="G58" i="5" l="1"/>
  <c r="G107" i="5"/>
  <c r="G156" i="5"/>
  <c r="G205" i="5"/>
  <c r="G67" i="5"/>
  <c r="G124" i="5"/>
  <c r="G43" i="5"/>
  <c r="G145" i="5"/>
  <c r="G225" i="5"/>
  <c r="G216" i="5"/>
  <c r="G209" i="5"/>
  <c r="G21" i="5"/>
  <c r="G118" i="5"/>
  <c r="G52" i="5"/>
  <c r="G125" i="5"/>
  <c r="G133" i="5"/>
  <c r="G24" i="5"/>
  <c r="G119" i="5"/>
  <c r="G127" i="5"/>
  <c r="G239" i="5"/>
  <c r="G114" i="5"/>
  <c r="G163" i="5"/>
  <c r="G212" i="5"/>
  <c r="G18" i="5"/>
  <c r="G75" i="5"/>
  <c r="G237" i="5"/>
  <c r="G71" i="5"/>
  <c r="G242" i="5"/>
  <c r="G47" i="5"/>
  <c r="G151" i="5"/>
  <c r="G231" i="5"/>
  <c r="G221" i="5"/>
  <c r="G28" i="5"/>
  <c r="G123" i="5"/>
  <c r="G34" i="5"/>
  <c r="G19" i="5"/>
  <c r="G150" i="5"/>
  <c r="G143" i="5"/>
  <c r="G171" i="5"/>
  <c r="G251" i="5"/>
  <c r="G235" i="5"/>
  <c r="G250" i="5"/>
  <c r="G137" i="5"/>
  <c r="G148" i="5"/>
  <c r="G16" i="5"/>
  <c r="G65" i="5"/>
  <c r="G23" i="5"/>
  <c r="G72" i="5"/>
  <c r="G121" i="5"/>
  <c r="G202" i="5"/>
  <c r="G94" i="5"/>
  <c r="G174" i="5"/>
  <c r="G253" i="5"/>
  <c r="G181" i="5"/>
  <c r="G60" i="5"/>
  <c r="G61" i="5"/>
  <c r="G178" i="5"/>
  <c r="G81" i="5"/>
  <c r="G110" i="5"/>
  <c r="G57" i="5"/>
  <c r="G36" i="5"/>
  <c r="G162" i="5"/>
  <c r="G45" i="5"/>
  <c r="G172" i="5"/>
  <c r="G201" i="5"/>
  <c r="G69" i="5"/>
  <c r="G128" i="5"/>
  <c r="G177" i="5"/>
  <c r="G226" i="5"/>
  <c r="G206" i="5"/>
  <c r="G99" i="5"/>
  <c r="G66" i="5"/>
  <c r="G195" i="5"/>
  <c r="G50" i="5"/>
  <c r="G62" i="5"/>
  <c r="G188" i="5"/>
  <c r="G68" i="5"/>
  <c r="G91" i="5"/>
  <c r="G56" i="5"/>
  <c r="G182" i="5"/>
  <c r="G176" i="5"/>
  <c r="G30" i="5"/>
  <c r="G79" i="5"/>
  <c r="G37" i="5"/>
  <c r="G104" i="5"/>
  <c r="G161" i="5"/>
  <c r="G218" i="5"/>
  <c r="G147" i="5"/>
  <c r="G248" i="5"/>
  <c r="G89" i="5"/>
  <c r="G232" i="5"/>
  <c r="G243" i="5"/>
  <c r="G80" i="5"/>
  <c r="G223" i="5"/>
  <c r="G155" i="5"/>
  <c r="G241" i="5"/>
  <c r="G74" i="5"/>
  <c r="G122" i="5"/>
  <c r="G229" i="5"/>
  <c r="G93" i="5"/>
  <c r="G142" i="5"/>
  <c r="G191" i="5"/>
  <c r="G108" i="5"/>
  <c r="G165" i="5"/>
  <c r="G222" i="5"/>
  <c r="G27" i="5"/>
  <c r="G44" i="5"/>
  <c r="G55" i="5"/>
  <c r="G112" i="5"/>
  <c r="G169" i="5"/>
  <c r="G31" i="5"/>
  <c r="G208" i="5"/>
  <c r="G78" i="5"/>
  <c r="G51" i="5"/>
  <c r="G100" i="5"/>
  <c r="G149" i="5"/>
  <c r="G198" i="5"/>
  <c r="G59" i="5"/>
  <c r="G116" i="5"/>
  <c r="G173" i="5"/>
  <c r="G35" i="5"/>
  <c r="G134" i="5"/>
  <c r="G187" i="5"/>
  <c r="G33" i="5"/>
  <c r="G117" i="5"/>
  <c r="G180" i="5"/>
  <c r="G84" i="5"/>
  <c r="G106" i="5"/>
  <c r="G101" i="5"/>
  <c r="G246" i="5"/>
  <c r="G230" i="5"/>
  <c r="G190" i="5"/>
  <c r="G228" i="5"/>
  <c r="G245" i="5"/>
  <c r="G63" i="5"/>
  <c r="G120" i="5"/>
  <c r="G39" i="5"/>
  <c r="G220" i="5"/>
  <c r="G252" i="5"/>
  <c r="G204" i="5"/>
  <c r="G40" i="5"/>
  <c r="G203" i="5"/>
  <c r="G192" i="5"/>
  <c r="G95" i="5"/>
  <c r="G132" i="5"/>
  <c r="G115" i="5"/>
  <c r="G240" i="5"/>
  <c r="G200" i="5"/>
  <c r="G154" i="5"/>
  <c r="G234" i="5"/>
  <c r="G131" i="5"/>
  <c r="G77" i="5"/>
  <c r="G129" i="5"/>
  <c r="G41" i="5"/>
  <c r="G85" i="5"/>
  <c r="G175" i="5"/>
  <c r="G70" i="5"/>
  <c r="G183" i="5"/>
  <c r="G92" i="5"/>
  <c r="G168" i="5"/>
  <c r="G238" i="5"/>
  <c r="G46" i="5"/>
  <c r="G197" i="5"/>
  <c r="G102" i="5"/>
  <c r="G103" i="5"/>
  <c r="G73" i="5"/>
  <c r="G53" i="5"/>
  <c r="G164" i="5"/>
  <c r="G196" i="5"/>
  <c r="G109" i="5"/>
  <c r="G189" i="5"/>
  <c r="G167" i="5"/>
  <c r="G254" i="5"/>
  <c r="G144" i="5"/>
  <c r="G194" i="5"/>
  <c r="G184" i="5"/>
  <c r="G153" i="5"/>
  <c r="G157" i="5"/>
  <c r="G249" i="5"/>
  <c r="G185" i="5"/>
  <c r="G98" i="5"/>
  <c r="G211" i="5"/>
  <c r="G141" i="5"/>
  <c r="G25" i="5"/>
  <c r="G76" i="5"/>
  <c r="G217" i="5"/>
  <c r="G233" i="5"/>
  <c r="G214" i="5"/>
  <c r="G130" i="5"/>
  <c r="G227" i="5"/>
  <c r="G170" i="5"/>
  <c r="G215" i="5"/>
  <c r="G179" i="5"/>
  <c r="G166" i="5"/>
  <c r="G160" i="5"/>
  <c r="G224" i="5"/>
  <c r="G136" i="5"/>
  <c r="G207" i="5"/>
  <c r="G96" i="5"/>
  <c r="G83" i="5"/>
  <c r="G17" i="5"/>
  <c r="G87" i="5"/>
  <c r="G140" i="5"/>
  <c r="G152" i="5"/>
  <c r="G82" i="5"/>
  <c r="G146" i="5"/>
  <c r="G158" i="5"/>
  <c r="G139" i="5"/>
  <c r="G88" i="5"/>
  <c r="G22" i="5"/>
  <c r="G244" i="5"/>
  <c r="G236" i="5"/>
  <c r="G97" i="5"/>
  <c r="G213" i="5"/>
  <c r="G159" i="5"/>
  <c r="G49" i="5"/>
  <c r="G54" i="5"/>
  <c r="G38" i="5"/>
  <c r="G86" i="5"/>
  <c r="G32" i="5"/>
  <c r="G29" i="5"/>
  <c r="G42" i="5"/>
  <c r="G135" i="5"/>
  <c r="G219" i="5"/>
  <c r="G90" i="5"/>
  <c r="G111" i="5"/>
  <c r="G64" i="5"/>
  <c r="G210" i="5"/>
  <c r="G247" i="5"/>
  <c r="G126" i="5"/>
  <c r="G138" i="5"/>
  <c r="G199" i="5"/>
  <c r="G26" i="5"/>
  <c r="G105" i="5"/>
  <c r="G20" i="5"/>
  <c r="G113" i="5"/>
  <c r="G193" i="5"/>
  <c r="G186" i="5"/>
  <c r="G48" i="5"/>
  <c r="F30" i="5"/>
  <c r="F20" i="5"/>
  <c r="F69" i="5"/>
  <c r="F118" i="5"/>
  <c r="F167" i="5"/>
  <c r="F216" i="5"/>
  <c r="F206" i="5"/>
  <c r="F150" i="5"/>
  <c r="F207" i="5"/>
  <c r="F126" i="5"/>
  <c r="F183" i="5"/>
  <c r="F240" i="5"/>
  <c r="F65" i="5"/>
  <c r="F16" i="5"/>
  <c r="F46" i="5"/>
  <c r="F129" i="5"/>
  <c r="F148" i="5"/>
  <c r="F208" i="5"/>
  <c r="F86" i="5"/>
  <c r="F176" i="5"/>
  <c r="F27" i="5"/>
  <c r="F76" i="5"/>
  <c r="F125" i="5"/>
  <c r="F174" i="5"/>
  <c r="F223" i="5"/>
  <c r="F214" i="5"/>
  <c r="F77" i="5"/>
  <c r="F134" i="5"/>
  <c r="F247" i="5"/>
  <c r="F31" i="5"/>
  <c r="F210" i="5"/>
  <c r="F154" i="5"/>
  <c r="F211" i="5"/>
  <c r="F73" i="5"/>
  <c r="F130" i="5"/>
  <c r="F187" i="5"/>
  <c r="F53" i="5"/>
  <c r="F198" i="5"/>
  <c r="F133" i="5"/>
  <c r="F127" i="5"/>
  <c r="F94" i="5"/>
  <c r="F38" i="5"/>
  <c r="F212" i="5"/>
  <c r="F161" i="5"/>
  <c r="F112" i="5"/>
  <c r="F169" i="5"/>
  <c r="F226" i="5"/>
  <c r="F56" i="5"/>
  <c r="F113" i="5"/>
  <c r="F170" i="5"/>
  <c r="F32" i="5"/>
  <c r="F89" i="5"/>
  <c r="F141" i="5"/>
  <c r="F221" i="5"/>
  <c r="F185" i="5"/>
  <c r="F42" i="5"/>
  <c r="F168" i="5"/>
  <c r="F51" i="5"/>
  <c r="F193" i="5"/>
  <c r="F49" i="5"/>
  <c r="F41" i="5"/>
  <c r="F90" i="5"/>
  <c r="F139" i="5"/>
  <c r="F188" i="5"/>
  <c r="F237" i="5"/>
  <c r="F59" i="5"/>
  <c r="F116" i="5"/>
  <c r="F173" i="5"/>
  <c r="F60" i="5"/>
  <c r="F117" i="5"/>
  <c r="F36" i="5"/>
  <c r="F93" i="5"/>
  <c r="F163" i="5"/>
  <c r="F35" i="5"/>
  <c r="F147" i="5"/>
  <c r="F227" i="5"/>
  <c r="F70" i="5"/>
  <c r="F178" i="5"/>
  <c r="F37" i="5"/>
  <c r="F45" i="5"/>
  <c r="F172" i="5"/>
  <c r="F194" i="5"/>
  <c r="F245" i="5"/>
  <c r="F63" i="5"/>
  <c r="F71" i="5"/>
  <c r="F128" i="5"/>
  <c r="F242" i="5"/>
  <c r="F72" i="5"/>
  <c r="F243" i="5"/>
  <c r="F220" i="5"/>
  <c r="F33" i="5"/>
  <c r="F100" i="5"/>
  <c r="F180" i="5"/>
  <c r="F66" i="5"/>
  <c r="F84" i="5"/>
  <c r="F164" i="5"/>
  <c r="F103" i="5"/>
  <c r="F119" i="5"/>
  <c r="F114" i="5"/>
  <c r="F55" i="5"/>
  <c r="F104" i="5"/>
  <c r="F153" i="5"/>
  <c r="F202" i="5"/>
  <c r="F18" i="5"/>
  <c r="F75" i="5"/>
  <c r="F19" i="5"/>
  <c r="F22" i="5"/>
  <c r="F79" i="5"/>
  <c r="F249" i="5"/>
  <c r="F23" i="5"/>
  <c r="F250" i="5"/>
  <c r="F171" i="5"/>
  <c r="F228" i="5"/>
  <c r="F192" i="5"/>
  <c r="F95" i="5"/>
  <c r="F62" i="5"/>
  <c r="F111" i="5"/>
  <c r="F160" i="5"/>
  <c r="F209" i="5"/>
  <c r="F26" i="5"/>
  <c r="F199" i="5"/>
  <c r="F175" i="5"/>
  <c r="F232" i="5"/>
  <c r="F197" i="5"/>
  <c r="F107" i="5"/>
  <c r="F136" i="5"/>
  <c r="F144" i="5"/>
  <c r="F102" i="5"/>
  <c r="F110" i="5"/>
  <c r="F235" i="5"/>
  <c r="F87" i="5"/>
  <c r="F159" i="5"/>
  <c r="F203" i="5"/>
  <c r="F122" i="5"/>
  <c r="F179" i="5"/>
  <c r="F236" i="5"/>
  <c r="F58" i="5"/>
  <c r="F123" i="5"/>
  <c r="F196" i="5"/>
  <c r="F244" i="5"/>
  <c r="F156" i="5"/>
  <c r="F39" i="5"/>
  <c r="F61" i="5"/>
  <c r="F201" i="5"/>
  <c r="F157" i="5"/>
  <c r="F101" i="5"/>
  <c r="F158" i="5"/>
  <c r="F215" i="5"/>
  <c r="F191" i="5"/>
  <c r="F140" i="5"/>
  <c r="F204" i="5"/>
  <c r="F143" i="5"/>
  <c r="F151" i="5"/>
  <c r="F43" i="5"/>
  <c r="F97" i="5"/>
  <c r="F120" i="5"/>
  <c r="F81" i="5"/>
  <c r="F238" i="5"/>
  <c r="F57" i="5"/>
  <c r="F54" i="5"/>
  <c r="F248" i="5"/>
  <c r="F88" i="5"/>
  <c r="F99" i="5"/>
  <c r="F182" i="5"/>
  <c r="F106" i="5"/>
  <c r="F253" i="5"/>
  <c r="F98" i="5"/>
  <c r="F115" i="5"/>
  <c r="F137" i="5"/>
  <c r="F181" i="5"/>
  <c r="F124" i="5"/>
  <c r="F85" i="5"/>
  <c r="F34" i="5"/>
  <c r="F218" i="5"/>
  <c r="F222" i="5"/>
  <c r="F105" i="5"/>
  <c r="F135" i="5"/>
  <c r="F145" i="5"/>
  <c r="F184" i="5"/>
  <c r="F233" i="5"/>
  <c r="F190" i="5"/>
  <c r="F131" i="5"/>
  <c r="F177" i="5"/>
  <c r="F142" i="5"/>
  <c r="F82" i="5"/>
  <c r="F186" i="5"/>
  <c r="F254" i="5"/>
  <c r="F162" i="5"/>
  <c r="F234" i="5"/>
  <c r="F195" i="5"/>
  <c r="F109" i="5"/>
  <c r="F24" i="5"/>
  <c r="F29" i="5"/>
  <c r="F152" i="5"/>
  <c r="F91" i="5"/>
  <c r="F155" i="5"/>
  <c r="F239" i="5"/>
  <c r="F246" i="5"/>
  <c r="F78" i="5"/>
  <c r="F83" i="5"/>
  <c r="F74" i="5"/>
  <c r="F48" i="5"/>
  <c r="F121" i="5"/>
  <c r="F28" i="5"/>
  <c r="F252" i="5"/>
  <c r="F217" i="5"/>
  <c r="F219" i="5"/>
  <c r="F40" i="5"/>
  <c r="F241" i="5"/>
  <c r="F229" i="5"/>
  <c r="F64" i="5"/>
  <c r="F205" i="5"/>
  <c r="F25" i="5"/>
  <c r="F230" i="5"/>
  <c r="F68" i="5"/>
  <c r="F225" i="5"/>
  <c r="F17" i="5"/>
  <c r="F149" i="5"/>
  <c r="F96" i="5"/>
  <c r="F132" i="5"/>
  <c r="F67" i="5"/>
  <c r="F44" i="5"/>
  <c r="F21" i="5"/>
  <c r="F47" i="5"/>
  <c r="F50" i="5"/>
  <c r="F200" i="5"/>
  <c r="F165" i="5"/>
  <c r="F52" i="5"/>
  <c r="F138" i="5"/>
  <c r="F224" i="5"/>
  <c r="F80" i="5"/>
  <c r="F213" i="5"/>
  <c r="F189" i="5"/>
  <c r="F146" i="5"/>
  <c r="F251" i="5"/>
  <c r="F92" i="5"/>
  <c r="F231" i="5"/>
  <c r="F108" i="5"/>
  <c r="F166" i="5"/>
  <c r="E22" i="6" l="1"/>
  <c r="D22" i="6"/>
  <c r="G22" i="6" l="1"/>
  <c r="F22" i="6" l="1"/>
  <c r="E25" i="6" l="1"/>
  <c r="D25" i="6"/>
  <c r="F25" i="6" l="1"/>
  <c r="G25" i="6"/>
  <c r="E28" i="6" l="1"/>
  <c r="D28" i="6"/>
  <c r="E29" i="6" l="1"/>
  <c r="D29" i="6"/>
  <c r="F28" i="6" l="1"/>
  <c r="G29" i="6"/>
  <c r="G28" i="6"/>
  <c r="E30" i="6"/>
  <c r="D30" i="6"/>
  <c r="F29" i="6" l="1"/>
  <c r="G30" i="6"/>
  <c r="D31" i="6"/>
  <c r="F30" i="6" l="1"/>
  <c r="G31" i="6"/>
  <c r="E32" i="6"/>
  <c r="D32" i="6"/>
  <c r="F31" i="6" l="1"/>
  <c r="E33" i="6"/>
  <c r="D33" i="6"/>
  <c r="G32" i="6" l="1"/>
  <c r="F32" i="6"/>
  <c r="E34" i="6"/>
  <c r="D34" i="6"/>
  <c r="G33" i="6" l="1"/>
  <c r="F33" i="6"/>
  <c r="E35" i="6"/>
  <c r="D35" i="6"/>
  <c r="G34" i="6" l="1"/>
  <c r="F34" i="6"/>
  <c r="D36" i="6"/>
  <c r="E36" i="6"/>
  <c r="F35" i="6" l="1"/>
  <c r="G35" i="6"/>
  <c r="E37" i="6"/>
  <c r="D37" i="6"/>
  <c r="F36" i="6" l="1"/>
  <c r="G36" i="6"/>
  <c r="E38" i="6"/>
  <c r="D38" i="6"/>
  <c r="G37" i="6" l="1"/>
  <c r="F37" i="6"/>
  <c r="E39" i="6"/>
  <c r="D39" i="6"/>
  <c r="G38" i="6" l="1"/>
  <c r="F38" i="6"/>
  <c r="E40" i="6"/>
  <c r="D40" i="6"/>
  <c r="F39" i="6" l="1"/>
  <c r="F40" i="6"/>
  <c r="G39" i="6"/>
  <c r="D41" i="6"/>
  <c r="E41" i="6"/>
  <c r="F41" i="6" l="1"/>
  <c r="G40" i="6"/>
  <c r="E42" i="6"/>
  <c r="D42" i="6"/>
  <c r="G41" i="6" l="1"/>
  <c r="G42" i="6"/>
  <c r="E43" i="6"/>
  <c r="D43" i="6"/>
  <c r="F42" i="6" l="1"/>
  <c r="E44" i="6"/>
  <c r="D44" i="6"/>
  <c r="G43" i="6" l="1"/>
  <c r="F43" i="6"/>
  <c r="F44" i="6"/>
  <c r="E45" i="6"/>
  <c r="D45" i="6"/>
  <c r="G44" i="6" l="1"/>
  <c r="E46" i="6"/>
  <c r="D46" i="6"/>
  <c r="G45" i="6" l="1"/>
  <c r="G46" i="6"/>
  <c r="F45" i="6"/>
  <c r="E47" i="6"/>
  <c r="D47" i="6"/>
  <c r="F46" i="6" l="1"/>
  <c r="E48" i="6"/>
  <c r="D48" i="6"/>
  <c r="F47" i="6" l="1"/>
  <c r="G47" i="6"/>
  <c r="E49" i="6"/>
  <c r="D49" i="6"/>
  <c r="G48" i="6" l="1"/>
  <c r="F48" i="6"/>
  <c r="G49" i="6"/>
  <c r="E50" i="6"/>
  <c r="D50" i="6"/>
  <c r="F49" i="6" l="1"/>
  <c r="G50" i="6"/>
  <c r="E51" i="6"/>
  <c r="D51" i="6"/>
  <c r="F50" i="6" l="1"/>
  <c r="E52" i="6"/>
  <c r="D52" i="6"/>
  <c r="G51" i="6" l="1"/>
  <c r="F51" i="6"/>
  <c r="E53" i="6"/>
  <c r="D53" i="6"/>
  <c r="F52" i="6" l="1"/>
  <c r="G53" i="6"/>
  <c r="G52" i="6"/>
  <c r="E54" i="6"/>
  <c r="D54" i="6"/>
  <c r="F53" i="6" l="1"/>
  <c r="D55" i="6"/>
  <c r="E55" i="6"/>
  <c r="F54" i="6" l="1"/>
  <c r="G54" i="6"/>
  <c r="E56" i="6"/>
  <c r="D56" i="6"/>
  <c r="F55" i="6" l="1"/>
  <c r="G55" i="6"/>
  <c r="E57" i="6"/>
  <c r="D57" i="6"/>
  <c r="G56" i="6" l="1"/>
  <c r="F56" i="6"/>
  <c r="F57" i="6"/>
  <c r="G57" i="6"/>
  <c r="E58" i="6"/>
  <c r="D58" i="6"/>
  <c r="G58" i="6" l="1"/>
  <c r="E59" i="6"/>
  <c r="D59" i="6"/>
  <c r="F58" i="6" l="1"/>
  <c r="F59" i="6"/>
  <c r="F79" i="3"/>
  <c r="H79" i="3" s="1"/>
  <c r="G91" i="3"/>
  <c r="I91" i="3" s="1"/>
  <c r="F51" i="3"/>
  <c r="H51" i="3" s="1"/>
  <c r="G224" i="3"/>
  <c r="F220" i="3"/>
  <c r="G118" i="3"/>
  <c r="I118" i="3" s="1"/>
  <c r="F226" i="3"/>
  <c r="G54" i="3"/>
  <c r="I54" i="3" s="1"/>
  <c r="F158" i="3"/>
  <c r="H158" i="3" s="1"/>
  <c r="H117" i="3"/>
  <c r="F159" i="3"/>
  <c r="H159" i="3" s="1"/>
  <c r="G185" i="3"/>
  <c r="G174" i="3"/>
  <c r="I174" i="3" s="1"/>
  <c r="F181" i="3"/>
  <c r="H181" i="3" s="1"/>
  <c r="F178" i="3"/>
  <c r="H178" i="3" s="1"/>
  <c r="G77" i="3"/>
  <c r="I77" i="3" s="1"/>
  <c r="F165" i="3"/>
  <c r="H165" i="3" s="1"/>
  <c r="F40" i="3"/>
  <c r="H40" i="3" s="1"/>
  <c r="G169" i="3"/>
  <c r="I169" i="3" s="1"/>
  <c r="G176" i="3"/>
  <c r="I176" i="3" s="1"/>
  <c r="G107" i="3"/>
  <c r="I107" i="3" s="1"/>
  <c r="F104" i="3"/>
  <c r="H104" i="3" s="1"/>
  <c r="F187" i="3"/>
  <c r="F153" i="3"/>
  <c r="H153" i="3" s="1"/>
  <c r="G89" i="3"/>
  <c r="I89" i="3" s="1"/>
  <c r="H114" i="3"/>
  <c r="F197" i="3"/>
  <c r="F160" i="3"/>
  <c r="H160" i="3" s="1"/>
  <c r="G191" i="3"/>
  <c r="F174" i="3"/>
  <c r="H174" i="3" s="1"/>
  <c r="G104" i="3"/>
  <c r="I104" i="3" s="1"/>
  <c r="F164" i="3"/>
  <c r="H164" i="3" s="1"/>
  <c r="F61" i="3"/>
  <c r="H61" i="3" s="1"/>
  <c r="G143" i="3"/>
  <c r="I143" i="3" s="1"/>
  <c r="F110" i="3"/>
  <c r="H110" i="3" s="1"/>
  <c r="G103" i="3"/>
  <c r="I103" i="3" s="1"/>
  <c r="F127" i="3"/>
  <c r="H127" i="3" s="1"/>
  <c r="F169" i="3"/>
  <c r="H169" i="3" s="1"/>
  <c r="G75" i="3"/>
  <c r="I75" i="3" s="1"/>
  <c r="G66" i="3"/>
  <c r="I66" i="3" s="1"/>
  <c r="F161" i="3"/>
  <c r="H161" i="3" s="1"/>
  <c r="F55" i="3"/>
  <c r="H55" i="3" s="1"/>
  <c r="G47" i="3"/>
  <c r="I47" i="3" s="1"/>
  <c r="F230" i="3"/>
  <c r="G147" i="3"/>
  <c r="I147" i="3" s="1"/>
  <c r="G128" i="3"/>
  <c r="I128" i="3" s="1"/>
  <c r="F52" i="3"/>
  <c r="H52" i="3" s="1"/>
  <c r="G101" i="3"/>
  <c r="I101" i="3" s="1"/>
  <c r="G113" i="3"/>
  <c r="I113" i="3" s="1"/>
  <c r="G100" i="3"/>
  <c r="I100" i="3" s="1"/>
  <c r="F94" i="3"/>
  <c r="H94" i="3" s="1"/>
  <c r="G125" i="3"/>
  <c r="I125" i="3" s="1"/>
  <c r="F45" i="3"/>
  <c r="H45" i="3" s="1"/>
  <c r="F124" i="3"/>
  <c r="H124" i="3" s="1"/>
  <c r="F142" i="3"/>
  <c r="H142" i="3" s="1"/>
  <c r="G228" i="3"/>
  <c r="G141" i="3"/>
  <c r="I141" i="3" s="1"/>
  <c r="H116" i="3"/>
  <c r="G201" i="3"/>
  <c r="F138" i="3"/>
  <c r="H138" i="3" s="1"/>
  <c r="F154" i="3"/>
  <c r="H154" i="3" s="1"/>
  <c r="G155" i="3"/>
  <c r="I155" i="3" s="1"/>
  <c r="F72" i="3"/>
  <c r="H72" i="3" s="1"/>
  <c r="F76" i="3"/>
  <c r="H76" i="3" s="1"/>
  <c r="F68" i="3"/>
  <c r="H68" i="3" s="1"/>
  <c r="F91" i="3"/>
  <c r="H91" i="3" s="1"/>
  <c r="G218" i="3"/>
  <c r="F85" i="3"/>
  <c r="H85" i="3" s="1"/>
  <c r="F135" i="3"/>
  <c r="H135" i="3" s="1"/>
  <c r="F64" i="3"/>
  <c r="H64" i="3" s="1"/>
  <c r="G204" i="3"/>
  <c r="F148" i="3"/>
  <c r="H148" i="3" s="1"/>
  <c r="F179" i="3"/>
  <c r="H179" i="3" s="1"/>
  <c r="G60" i="3"/>
  <c r="I60" i="3" s="1"/>
  <c r="G178" i="3"/>
  <c r="I178" i="3" s="1"/>
  <c r="F196" i="3"/>
  <c r="F207" i="3"/>
  <c r="G158" i="3"/>
  <c r="I158" i="3" s="1"/>
  <c r="F50" i="3"/>
  <c r="H50" i="3" s="1"/>
  <c r="G194" i="3"/>
  <c r="F202" i="3"/>
  <c r="G70" i="3"/>
  <c r="I70" i="3" s="1"/>
  <c r="G61" i="3"/>
  <c r="I61" i="3" s="1"/>
  <c r="G187" i="3"/>
  <c r="F183" i="3"/>
  <c r="F224" i="3"/>
  <c r="F78" i="3"/>
  <c r="H78" i="3" s="1"/>
  <c r="G115" i="3"/>
  <c r="I115" i="3" s="1"/>
  <c r="G42" i="3"/>
  <c r="I42" i="3" s="1"/>
  <c r="G52" i="3"/>
  <c r="I52" i="3" s="1"/>
  <c r="G114" i="3"/>
  <c r="I114" i="3" s="1"/>
  <c r="F125" i="3"/>
  <c r="H125" i="3" s="1"/>
  <c r="G197" i="3"/>
  <c r="G184" i="3"/>
  <c r="F204" i="3"/>
  <c r="G181" i="3"/>
  <c r="I181" i="3" s="1"/>
  <c r="G40" i="3"/>
  <c r="I40" i="3" s="1"/>
  <c r="F227" i="3"/>
  <c r="F173" i="3"/>
  <c r="H173" i="3" s="1"/>
  <c r="F90" i="3"/>
  <c r="H90" i="3" s="1"/>
  <c r="G110" i="3"/>
  <c r="I110" i="3" s="1"/>
  <c r="G157" i="3"/>
  <c r="I157" i="3" s="1"/>
  <c r="G214" i="3"/>
  <c r="G151" i="3"/>
  <c r="I151" i="3" s="1"/>
  <c r="G215" i="3"/>
  <c r="G189" i="3"/>
  <c r="F56" i="3"/>
  <c r="H56" i="3" s="1"/>
  <c r="G137" i="3"/>
  <c r="I137" i="3" s="1"/>
  <c r="F87" i="3"/>
  <c r="H87" i="3" s="1"/>
  <c r="F71" i="3"/>
  <c r="H71" i="3" s="1"/>
  <c r="F205" i="3"/>
  <c r="G139" i="3"/>
  <c r="I139" i="3" s="1"/>
  <c r="F217" i="3"/>
  <c r="F41" i="3"/>
  <c r="H41" i="3" s="1"/>
  <c r="G82" i="3"/>
  <c r="I82" i="3" s="1"/>
  <c r="F81" i="3"/>
  <c r="H81" i="3" s="1"/>
  <c r="G162" i="3"/>
  <c r="I162" i="3" s="1"/>
  <c r="F170" i="3"/>
  <c r="H170" i="3" s="1"/>
  <c r="G164" i="3"/>
  <c r="I164" i="3" s="1"/>
  <c r="G220" i="3"/>
  <c r="G48" i="3"/>
  <c r="I48" i="3" s="1"/>
  <c r="F89" i="3"/>
  <c r="H89" i="3" s="1"/>
  <c r="G131" i="3"/>
  <c r="I131" i="3" s="1"/>
  <c r="G168" i="3"/>
  <c r="I168" i="3" s="1"/>
  <c r="F62" i="3"/>
  <c r="H62" i="3" s="1"/>
  <c r="G192" i="3"/>
  <c r="F141" i="3"/>
  <c r="H141" i="3" s="1"/>
  <c r="G186" i="3"/>
  <c r="F151" i="3"/>
  <c r="H151" i="3" s="1"/>
  <c r="F228" i="3"/>
  <c r="F166" i="3"/>
  <c r="H166" i="3" s="1"/>
  <c r="F60" i="3"/>
  <c r="H60" i="3" s="1"/>
  <c r="G166" i="3"/>
  <c r="I166" i="3" s="1"/>
  <c r="G78" i="3"/>
  <c r="I78" i="3" s="1"/>
  <c r="G230" i="3"/>
  <c r="G112" i="3"/>
  <c r="I112" i="3" s="1"/>
  <c r="F66" i="3"/>
  <c r="H66" i="3" s="1"/>
  <c r="G43" i="3"/>
  <c r="I43" i="3" s="1"/>
  <c r="G170" i="3"/>
  <c r="I170" i="3" s="1"/>
  <c r="F163" i="3"/>
  <c r="H163" i="3" s="1"/>
  <c r="G67" i="3"/>
  <c r="I67" i="3" s="1"/>
  <c r="G63" i="3"/>
  <c r="I63" i="3" s="1"/>
  <c r="G117" i="3"/>
  <c r="I117" i="3" s="1"/>
  <c r="G209" i="3"/>
  <c r="G146" i="3"/>
  <c r="I146" i="3" s="1"/>
  <c r="G71" i="3"/>
  <c r="I71" i="3" s="1"/>
  <c r="G121" i="3"/>
  <c r="I121" i="3" s="1"/>
  <c r="F131" i="3"/>
  <c r="H131" i="3" s="1"/>
  <c r="F184" i="3"/>
  <c r="F92" i="3"/>
  <c r="H92" i="3" s="1"/>
  <c r="F48" i="3"/>
  <c r="H48" i="3" s="1"/>
  <c r="F157" i="3"/>
  <c r="H157" i="3" s="1"/>
  <c r="F130" i="3"/>
  <c r="H130" i="3" s="1"/>
  <c r="F211" i="3"/>
  <c r="G193" i="3"/>
  <c r="F222" i="3"/>
  <c r="G200" i="3"/>
  <c r="G41" i="3"/>
  <c r="I41" i="3" s="1"/>
  <c r="G210" i="3"/>
  <c r="G105" i="3"/>
  <c r="I105" i="3" s="1"/>
  <c r="G86" i="3"/>
  <c r="I86" i="3" s="1"/>
  <c r="G97" i="3"/>
  <c r="I97" i="3" s="1"/>
  <c r="F105" i="3"/>
  <c r="H105" i="3" s="1"/>
  <c r="F149" i="3"/>
  <c r="H149" i="3" s="1"/>
  <c r="F74" i="3"/>
  <c r="H74" i="3" s="1"/>
  <c r="G98" i="3"/>
  <c r="I98" i="3" s="1"/>
  <c r="G180" i="3"/>
  <c r="I180" i="3" s="1"/>
  <c r="F82" i="3"/>
  <c r="H82" i="3" s="1"/>
  <c r="H115" i="3"/>
  <c r="H128" i="3"/>
  <c r="F107" i="3"/>
  <c r="H107" i="3" s="1"/>
  <c r="G154" i="3"/>
  <c r="I154" i="3" s="1"/>
  <c r="G90" i="3"/>
  <c r="I90" i="3" s="1"/>
  <c r="G211" i="3"/>
  <c r="F83" i="3"/>
  <c r="H83" i="3" s="1"/>
  <c r="F177" i="3"/>
  <c r="H177" i="3" s="1"/>
  <c r="G132" i="3"/>
  <c r="I132" i="3" s="1"/>
  <c r="F146" i="3"/>
  <c r="H146" i="3" s="1"/>
  <c r="F42" i="3"/>
  <c r="H42" i="3" s="1"/>
  <c r="F185" i="3"/>
  <c r="G227" i="3"/>
  <c r="G106" i="3"/>
  <c r="I106" i="3" s="1"/>
  <c r="F47" i="3"/>
  <c r="H47" i="3" s="1"/>
  <c r="G152" i="3"/>
  <c r="I152" i="3" s="1"/>
  <c r="F189" i="3"/>
  <c r="F193" i="3"/>
  <c r="G80" i="3"/>
  <c r="I80" i="3" s="1"/>
  <c r="F133" i="3"/>
  <c r="H133" i="3" s="1"/>
  <c r="G109" i="3"/>
  <c r="I109" i="3" s="1"/>
  <c r="F213" i="3"/>
  <c r="G85" i="3"/>
  <c r="I85" i="3" s="1"/>
  <c r="F80" i="3"/>
  <c r="H80" i="3" s="1"/>
  <c r="F182" i="3"/>
  <c r="H182" i="3" s="1"/>
  <c r="G221" i="3"/>
  <c r="F168" i="3"/>
  <c r="H168" i="3" s="1"/>
  <c r="F75" i="3"/>
  <c r="H75" i="3" s="1"/>
  <c r="G179" i="3"/>
  <c r="I179" i="3" s="1"/>
  <c r="F218" i="3"/>
  <c r="G188" i="3"/>
  <c r="G219" i="3"/>
  <c r="F67" i="3"/>
  <c r="H67" i="3" s="1"/>
  <c r="G111" i="3"/>
  <c r="I111" i="3" s="1"/>
  <c r="F223" i="3"/>
  <c r="G88" i="3"/>
  <c r="I88" i="3" s="1"/>
  <c r="G120" i="3"/>
  <c r="I120" i="3" s="1"/>
  <c r="G223" i="3"/>
  <c r="G229" i="3"/>
  <c r="F200" i="3"/>
  <c r="F77" i="3"/>
  <c r="H77" i="3" s="1"/>
  <c r="G96" i="3"/>
  <c r="I96" i="3" s="1"/>
  <c r="F144" i="3"/>
  <c r="H144" i="3" s="1"/>
  <c r="G87" i="3"/>
  <c r="I87" i="3" s="1"/>
  <c r="F162" i="3"/>
  <c r="H162" i="3" s="1"/>
  <c r="F171" i="3"/>
  <c r="H171" i="3" s="1"/>
  <c r="F98" i="3"/>
  <c r="H98" i="3" s="1"/>
  <c r="G212" i="3"/>
  <c r="G153" i="3"/>
  <c r="I153" i="3" s="1"/>
  <c r="H111" i="3"/>
  <c r="H113" i="3"/>
  <c r="G203" i="3"/>
  <c r="F136" i="3"/>
  <c r="H136" i="3" s="1"/>
  <c r="G190" i="3"/>
  <c r="G64" i="3"/>
  <c r="I64" i="3" s="1"/>
  <c r="G213" i="3"/>
  <c r="F209" i="3"/>
  <c r="G172" i="3"/>
  <c r="I172" i="3" s="1"/>
  <c r="G56" i="3"/>
  <c r="I56" i="3" s="1"/>
  <c r="G94" i="3"/>
  <c r="I94" i="3" s="1"/>
  <c r="F156" i="3"/>
  <c r="H156" i="3" s="1"/>
  <c r="G99" i="3"/>
  <c r="I99" i="3" s="1"/>
  <c r="H121" i="3"/>
  <c r="F97" i="3"/>
  <c r="H97" i="3" s="1"/>
  <c r="F88" i="3"/>
  <c r="H88" i="3" s="1"/>
  <c r="G205" i="3"/>
  <c r="G44" i="3"/>
  <c r="I44" i="3" s="1"/>
  <c r="F54" i="3"/>
  <c r="H54" i="3" s="1"/>
  <c r="F84" i="3"/>
  <c r="H84" i="3" s="1"/>
  <c r="G135" i="3"/>
  <c r="I135" i="3" s="1"/>
  <c r="G79" i="3"/>
  <c r="I79" i="3" s="1"/>
  <c r="G68" i="3"/>
  <c r="I68" i="3" s="1"/>
  <c r="F46" i="3"/>
  <c r="H46" i="3" s="1"/>
  <c r="F199" i="3"/>
  <c r="F147" i="3"/>
  <c r="H147" i="3" s="1"/>
  <c r="F225" i="3"/>
  <c r="G127" i="3"/>
  <c r="I127" i="3" s="1"/>
  <c r="F186" i="3"/>
  <c r="G53" i="3"/>
  <c r="I53" i="3" s="1"/>
  <c r="G217" i="3"/>
  <c r="F93" i="3"/>
  <c r="H93" i="3" s="1"/>
  <c r="G74" i="3"/>
  <c r="I74" i="3" s="1"/>
  <c r="G95" i="3"/>
  <c r="I95" i="3" s="1"/>
  <c r="G122" i="3"/>
  <c r="I122" i="3" s="1"/>
  <c r="F216" i="3"/>
  <c r="H119" i="3"/>
  <c r="G126" i="3"/>
  <c r="I126" i="3" s="1"/>
  <c r="G116" i="3"/>
  <c r="I116" i="3" s="1"/>
  <c r="G138" i="3"/>
  <c r="I138" i="3" s="1"/>
  <c r="G46" i="3"/>
  <c r="I46" i="3" s="1"/>
  <c r="G134" i="3"/>
  <c r="I134" i="3" s="1"/>
  <c r="F102" i="3"/>
  <c r="H102" i="3" s="1"/>
  <c r="G58" i="3"/>
  <c r="I58" i="3" s="1"/>
  <c r="G123" i="3"/>
  <c r="I123" i="3" s="1"/>
  <c r="F188" i="3"/>
  <c r="F176" i="3"/>
  <c r="H176" i="3" s="1"/>
  <c r="G163" i="3"/>
  <c r="I163" i="3" s="1"/>
  <c r="G183" i="3"/>
  <c r="G130" i="3"/>
  <c r="I130" i="3" s="1"/>
  <c r="G199" i="3"/>
  <c r="F198" i="3"/>
  <c r="G51" i="3"/>
  <c r="I51" i="3" s="1"/>
  <c r="G173" i="3"/>
  <c r="I173" i="3" s="1"/>
  <c r="F73" i="3"/>
  <c r="H73" i="3" s="1"/>
  <c r="G195" i="3"/>
  <c r="H118" i="3"/>
  <c r="G196" i="3"/>
  <c r="G140" i="3"/>
  <c r="I140" i="3" s="1"/>
  <c r="G108" i="3"/>
  <c r="I108" i="3" s="1"/>
  <c r="F95" i="3"/>
  <c r="H95" i="3" s="1"/>
  <c r="G39" i="3"/>
  <c r="I39" i="3" s="1"/>
  <c r="F145" i="3"/>
  <c r="H145" i="3" s="1"/>
  <c r="F99" i="3"/>
  <c r="H99" i="3" s="1"/>
  <c r="G142" i="3"/>
  <c r="I142" i="3" s="1"/>
  <c r="G57" i="3"/>
  <c r="I57" i="3" s="1"/>
  <c r="F63" i="3"/>
  <c r="H63" i="3" s="1"/>
  <c r="G175" i="3"/>
  <c r="I175" i="3" s="1"/>
  <c r="G129" i="3"/>
  <c r="I129" i="3" s="1"/>
  <c r="G69" i="3"/>
  <c r="I69" i="3" s="1"/>
  <c r="F70" i="3"/>
  <c r="H70" i="3" s="1"/>
  <c r="G216" i="3"/>
  <c r="G165" i="3"/>
  <c r="I165" i="3" s="1"/>
  <c r="F208" i="3"/>
  <c r="G144" i="3"/>
  <c r="I144" i="3" s="1"/>
  <c r="G50" i="3"/>
  <c r="I50" i="3" s="1"/>
  <c r="G76" i="3"/>
  <c r="I76" i="3" s="1"/>
  <c r="F150" i="3"/>
  <c r="H150" i="3" s="1"/>
  <c r="G84" i="3"/>
  <c r="I84" i="3" s="1"/>
  <c r="F86" i="3"/>
  <c r="H86" i="3" s="1"/>
  <c r="F172" i="3"/>
  <c r="H172" i="3" s="1"/>
  <c r="F206" i="3"/>
  <c r="G92" i="3"/>
  <c r="I92" i="3" s="1"/>
  <c r="G182" i="3"/>
  <c r="I182" i="3" s="1"/>
  <c r="F103" i="3"/>
  <c r="H103" i="3" s="1"/>
  <c r="G208" i="3"/>
  <c r="F100" i="3"/>
  <c r="H100" i="3" s="1"/>
  <c r="G156" i="3"/>
  <c r="I156" i="3" s="1"/>
  <c r="F195" i="3"/>
  <c r="F203" i="3"/>
  <c r="F65" i="3"/>
  <c r="H65" i="3" s="1"/>
  <c r="G145" i="3"/>
  <c r="I145" i="3" s="1"/>
  <c r="F175" i="3"/>
  <c r="H175" i="3" s="1"/>
  <c r="F152" i="3"/>
  <c r="H152" i="3" s="1"/>
  <c r="G225" i="3"/>
  <c r="G59" i="3"/>
  <c r="I59" i="3" s="1"/>
  <c r="H122" i="3"/>
  <c r="F192" i="3"/>
  <c r="F143" i="3"/>
  <c r="H143" i="3" s="1"/>
  <c r="F134" i="3"/>
  <c r="H134" i="3" s="1"/>
  <c r="G148" i="3"/>
  <c r="I148" i="3" s="1"/>
  <c r="F57" i="3"/>
  <c r="H57" i="3" s="1"/>
  <c r="F123" i="3"/>
  <c r="H123" i="3" s="1"/>
  <c r="G93" i="3"/>
  <c r="I93" i="3" s="1"/>
  <c r="G202" i="3"/>
  <c r="F101" i="3"/>
  <c r="H101" i="3" s="1"/>
  <c r="G207" i="3"/>
  <c r="F49" i="3"/>
  <c r="H49" i="3" s="1"/>
  <c r="G55" i="3"/>
  <c r="I55" i="3" s="1"/>
  <c r="F126" i="3"/>
  <c r="H126" i="3" s="1"/>
  <c r="G167" i="3"/>
  <c r="I167" i="3" s="1"/>
  <c r="F215" i="3"/>
  <c r="G150" i="3"/>
  <c r="I150" i="3" s="1"/>
  <c r="G65" i="3"/>
  <c r="I65" i="3" s="1"/>
  <c r="F221" i="3"/>
  <c r="G159" i="3"/>
  <c r="I159" i="3" s="1"/>
  <c r="F39" i="3"/>
  <c r="H39" i="3" s="1"/>
  <c r="G83" i="3"/>
  <c r="I83" i="3" s="1"/>
  <c r="F214" i="3"/>
  <c r="G206" i="3"/>
  <c r="F109" i="3"/>
  <c r="H109" i="3" s="1"/>
  <c r="F229" i="3"/>
  <c r="G177" i="3"/>
  <c r="I177" i="3" s="1"/>
  <c r="F58" i="3"/>
  <c r="H58" i="3" s="1"/>
  <c r="F155" i="3"/>
  <c r="H155" i="3" s="1"/>
  <c r="F194" i="3"/>
  <c r="G72" i="3"/>
  <c r="I72" i="3" s="1"/>
  <c r="F106" i="3"/>
  <c r="H106" i="3" s="1"/>
  <c r="F167" i="3"/>
  <c r="H167" i="3" s="1"/>
  <c r="F201" i="3"/>
  <c r="G222" i="3"/>
  <c r="G73" i="3"/>
  <c r="I73" i="3" s="1"/>
  <c r="G133" i="3"/>
  <c r="I133" i="3" s="1"/>
  <c r="F219" i="3"/>
  <c r="F44" i="3"/>
  <c r="H44" i="3" s="1"/>
  <c r="F59" i="3"/>
  <c r="H59" i="3" s="1"/>
  <c r="G149" i="3"/>
  <c r="I149" i="3" s="1"/>
  <c r="G124" i="3"/>
  <c r="I124" i="3" s="1"/>
  <c r="H120" i="3"/>
  <c r="G119" i="3"/>
  <c r="I119" i="3" s="1"/>
  <c r="F180" i="3"/>
  <c r="H180" i="3" s="1"/>
  <c r="G226" i="3"/>
  <c r="H112" i="3"/>
  <c r="F69" i="3"/>
  <c r="H69" i="3" s="1"/>
  <c r="F53" i="3"/>
  <c r="H53" i="3" s="1"/>
  <c r="F210" i="3"/>
  <c r="G102" i="3"/>
  <c r="I102" i="3" s="1"/>
  <c r="F43" i="3"/>
  <c r="H43" i="3" s="1"/>
  <c r="F190" i="3"/>
  <c r="F139" i="3"/>
  <c r="H139" i="3" s="1"/>
  <c r="G171" i="3"/>
  <c r="I171" i="3" s="1"/>
  <c r="G161" i="3"/>
  <c r="I161" i="3" s="1"/>
  <c r="F212" i="3"/>
  <c r="F137" i="3"/>
  <c r="H137" i="3" s="1"/>
  <c r="G81" i="3"/>
  <c r="I81" i="3" s="1"/>
  <c r="F132" i="3"/>
  <c r="H132" i="3" s="1"/>
  <c r="G49" i="3"/>
  <c r="I49" i="3" s="1"/>
  <c r="F140" i="3"/>
  <c r="H140" i="3" s="1"/>
  <c r="G160" i="3"/>
  <c r="I160" i="3" s="1"/>
  <c r="F191" i="3"/>
  <c r="F96" i="3"/>
  <c r="H96" i="3" s="1"/>
  <c r="G136" i="3"/>
  <c r="I136" i="3" s="1"/>
  <c r="F108" i="3"/>
  <c r="H108" i="3" s="1"/>
  <c r="G45" i="3"/>
  <c r="I45" i="3" s="1"/>
  <c r="G198" i="3"/>
  <c r="G62" i="3"/>
  <c r="I62" i="3" s="1"/>
  <c r="E60" i="6"/>
  <c r="D60" i="6"/>
  <c r="G59" i="6" l="1"/>
  <c r="G60" i="6"/>
  <c r="F60" i="6"/>
  <c r="D11" i="6"/>
  <c r="H11" i="6" s="1"/>
  <c r="E11" i="6"/>
  <c r="I11" i="6" s="1"/>
  <c r="G11" i="6"/>
  <c r="F11" i="6"/>
  <c r="F12" i="3" l="1"/>
  <c r="H12" i="3" s="1"/>
  <c r="F13" i="6" s="1"/>
  <c r="F5" i="3"/>
  <c r="H5" i="3" s="1"/>
  <c r="G15" i="3"/>
  <c r="I15" i="3" s="1"/>
  <c r="E16" i="6" s="1"/>
  <c r="I16" i="6" s="1"/>
  <c r="G7" i="3"/>
  <c r="I7" i="3" s="1"/>
  <c r="F8" i="3"/>
  <c r="H8" i="3" s="1"/>
  <c r="F8" i="6" s="1"/>
  <c r="G14" i="3"/>
  <c r="I14" i="3" s="1"/>
  <c r="G6" i="3"/>
  <c r="I6" i="3" s="1"/>
  <c r="E6" i="6" s="1"/>
  <c r="I6" i="6" s="1"/>
  <c r="F20" i="3"/>
  <c r="H20" i="3" s="1"/>
  <c r="F14" i="3"/>
  <c r="H14" i="3" s="1"/>
  <c r="F9" i="3"/>
  <c r="H9" i="3" s="1"/>
  <c r="F13" i="3"/>
  <c r="H13" i="3" s="1"/>
  <c r="F11" i="3"/>
  <c r="H11" i="3" s="1"/>
  <c r="G20" i="3"/>
  <c r="I20" i="3" s="1"/>
  <c r="F5" i="6" l="1"/>
  <c r="D5" i="6"/>
  <c r="H5" i="6" s="1"/>
  <c r="F9" i="6"/>
  <c r="D9" i="6"/>
  <c r="H9" i="6" s="1"/>
  <c r="D15" i="6"/>
  <c r="H15" i="6" s="1"/>
  <c r="F15" i="6"/>
  <c r="G15" i="6"/>
  <c r="E15" i="6"/>
  <c r="I15" i="6" s="1"/>
  <c r="D14" i="6"/>
  <c r="H14" i="6" s="1"/>
  <c r="F14" i="6"/>
  <c r="D13" i="6"/>
  <c r="H13" i="6" s="1"/>
  <c r="D8" i="6"/>
  <c r="H8" i="6" s="1"/>
  <c r="D21" i="6"/>
  <c r="H21" i="6" s="1"/>
  <c r="F21" i="6"/>
  <c r="G7" i="6"/>
  <c r="E7" i="6"/>
  <c r="I7" i="6" s="1"/>
  <c r="G21" i="6"/>
  <c r="E21" i="6"/>
  <c r="I21" i="6" s="1"/>
  <c r="F12" i="6"/>
  <c r="D12" i="6"/>
  <c r="H12" i="6" s="1"/>
  <c r="F7" i="3"/>
  <c r="H7" i="3" s="1"/>
  <c r="G11" i="3"/>
  <c r="I11" i="3" s="1"/>
  <c r="G9" i="3"/>
  <c r="I9" i="3" s="1"/>
  <c r="F17" i="3"/>
  <c r="H17" i="3" s="1"/>
  <c r="G12" i="3"/>
  <c r="I12" i="3" s="1"/>
  <c r="G6" i="6"/>
  <c r="G16" i="6"/>
  <c r="F4" i="3"/>
  <c r="H4" i="3" s="1"/>
  <c r="G13" i="3"/>
  <c r="I13" i="3" s="1"/>
  <c r="F10" i="3"/>
  <c r="H10" i="3" s="1"/>
  <c r="G8" i="3"/>
  <c r="I8" i="3" s="1"/>
  <c r="F15" i="3"/>
  <c r="H15" i="3" s="1"/>
  <c r="F16" i="3"/>
  <c r="H16" i="3" s="1"/>
  <c r="G4" i="3"/>
  <c r="I4" i="3" s="1"/>
  <c r="G10" i="3"/>
  <c r="I10" i="3" s="1"/>
  <c r="F18" i="3"/>
  <c r="H18" i="3" s="1"/>
  <c r="G5" i="3"/>
  <c r="I5" i="3" s="1"/>
  <c r="F6" i="3"/>
  <c r="H6" i="3" s="1"/>
  <c r="F19" i="3"/>
  <c r="H19" i="3" s="1"/>
  <c r="G16" i="3"/>
  <c r="I16" i="3" s="1"/>
  <c r="G18" i="3"/>
  <c r="I18" i="3" s="1"/>
  <c r="G19" i="3"/>
  <c r="I19" i="3" s="1"/>
  <c r="G17" i="3"/>
  <c r="I17" i="3" s="1"/>
  <c r="G8" i="6" l="1"/>
  <c r="E8" i="6"/>
  <c r="I8" i="6" s="1"/>
  <c r="D10" i="6"/>
  <c r="H10" i="6" s="1"/>
  <c r="F10" i="6"/>
  <c r="E18" i="6"/>
  <c r="I18" i="6" s="1"/>
  <c r="G18" i="6"/>
  <c r="E14" i="6"/>
  <c r="I14" i="6" s="1"/>
  <c r="G14" i="6"/>
  <c r="G20" i="6"/>
  <c r="E20" i="6"/>
  <c r="I20" i="6" s="1"/>
  <c r="D4" i="6"/>
  <c r="H4" i="6" s="1"/>
  <c r="F4" i="6"/>
  <c r="E19" i="6"/>
  <c r="I19" i="6" s="1"/>
  <c r="G19" i="6"/>
  <c r="F20" i="6"/>
  <c r="D20" i="6"/>
  <c r="H20" i="6" s="1"/>
  <c r="G13" i="6"/>
  <c r="E13" i="6"/>
  <c r="I13" i="6" s="1"/>
  <c r="F6" i="6"/>
  <c r="D6" i="6"/>
  <c r="H6" i="6" s="1"/>
  <c r="F18" i="6"/>
  <c r="D18" i="6"/>
  <c r="H18" i="6" s="1"/>
  <c r="E5" i="6"/>
  <c r="I5" i="6" s="1"/>
  <c r="G5" i="6"/>
  <c r="G9" i="6"/>
  <c r="E9" i="6"/>
  <c r="I9" i="6" s="1"/>
  <c r="D19" i="6"/>
  <c r="H19" i="6" s="1"/>
  <c r="F19" i="6"/>
  <c r="G10" i="6"/>
  <c r="E10" i="6"/>
  <c r="I10" i="6" s="1"/>
  <c r="G12" i="6"/>
  <c r="E12" i="6"/>
  <c r="I12" i="6" s="1"/>
  <c r="G4" i="6"/>
  <c r="E4" i="6"/>
  <c r="I4" i="6" s="1"/>
  <c r="F7" i="6"/>
  <c r="D7" i="6"/>
  <c r="H7" i="6" s="1"/>
  <c r="F17" i="6"/>
  <c r="D17" i="6"/>
  <c r="H17" i="6" s="1"/>
  <c r="E17" i="6"/>
  <c r="I17" i="6" s="1"/>
  <c r="G17" i="6"/>
  <c r="F16" i="6"/>
  <c r="D16" i="6"/>
  <c r="H16"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3"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I3" authorId="0" shapeId="0" xr:uid="{8E60DEDE-77CE-4EFC-938B-79127B17ED08}">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3" authorId="0" shapeId="0" xr:uid="{A41BEE3B-D7B3-4DDB-B8EF-E45580EEC489}">
      <text>
        <r>
          <rPr>
            <b/>
            <sz val="9"/>
            <color indexed="81"/>
            <rFont val="Tahoma"/>
            <family val="2"/>
          </rPr>
          <t>Daniel Newby:</t>
        </r>
        <r>
          <rPr>
            <sz val="9"/>
            <color indexed="81"/>
            <rFont val="Tahoma"/>
            <family val="2"/>
          </rPr>
          <t xml:space="preserve">
See table on 'Daily' sheet for label explanation.</t>
        </r>
      </text>
    </comment>
    <comment ref="I3" authorId="0" shapeId="0" xr:uid="{95DAFA1D-9276-419C-B818-2D83BE9221DC}">
      <text>
        <r>
          <rPr>
            <b/>
            <sz val="9"/>
            <color indexed="81"/>
            <rFont val="Tahoma"/>
            <family val="2"/>
          </rPr>
          <t>Daniel Newby:</t>
        </r>
        <r>
          <rPr>
            <sz val="9"/>
            <color indexed="81"/>
            <rFont val="Tahoma"/>
            <family val="2"/>
          </rPr>
          <t xml:space="preserve">
Represents how well you covered volume with wand waves.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3" authorId="0" shapeId="0" xr:uid="{40473417-FD1F-468A-9045-DA99F6C40B5D}">
      <text>
        <r>
          <rPr>
            <b/>
            <sz val="9"/>
            <color indexed="81"/>
            <rFont val="Tahoma"/>
            <family val="2"/>
          </rPr>
          <t>Daniel Newby:</t>
        </r>
        <r>
          <rPr>
            <sz val="9"/>
            <color indexed="81"/>
            <rFont val="Tahoma"/>
            <family val="2"/>
          </rPr>
          <t xml:space="preserve">
See table on 'Daily' sheet for label explanation.</t>
        </r>
      </text>
    </comment>
    <comment ref="I3" authorId="0" shapeId="0" xr:uid="{37102744-949C-4A9A-810A-7CDC62907A96}">
      <text>
        <r>
          <rPr>
            <b/>
            <sz val="9"/>
            <color indexed="81"/>
            <rFont val="Tahoma"/>
            <family val="2"/>
          </rPr>
          <t>Daniel Newby:</t>
        </r>
        <r>
          <rPr>
            <sz val="9"/>
            <color indexed="81"/>
            <rFont val="Tahoma"/>
            <family val="2"/>
          </rPr>
          <t xml:space="preserve">
Represents how well you covered volume with wand waves.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E3" authorId="0" shapeId="0" xr:uid="{3D84CD02-263D-46BC-A5B1-FACF5596397F}">
      <text>
        <r>
          <rPr>
            <b/>
            <sz val="9"/>
            <color indexed="81"/>
            <rFont val="Tahoma"/>
            <family val="2"/>
          </rPr>
          <t>Daniel Newby:</t>
        </r>
        <r>
          <rPr>
            <sz val="9"/>
            <color indexed="81"/>
            <rFont val="Tahoma"/>
            <family val="2"/>
          </rPr>
          <t xml:space="preserve">
Number of Camera Wand Count Frames / Daily 'Auto-Stop at this many frames' - Represents how well the camera tracked the wand during calibration.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I6"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<sst xmlns="http://schemas.openxmlformats.org/spreadsheetml/2006/main" count="2506" uniqueCount="201">
  <si>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</si>
  <si>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</si>
  <si>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</si>
  <si>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</si>
  <si>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</si>
  <si>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</si>
  <si>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</si>
  <si>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</si>
  <si>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</si>
  <si>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</si>
  <si>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</si>
  <si>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</si>
  <si>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</si>
  <si>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</si>
  <si>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</si>
  <si>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</si>
  <si>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</si>
  <si>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</si>
  <si>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</si>
  <si>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</si>
  <si>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</si>
  <si>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</si>
  <si>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</si>
  <si>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</si>
  <si>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</si>
  <si>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</si>
  <si>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</si>
  <si>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</si>
  <si>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</si>
  <si>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</si>
  <si>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</si>
  <si>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</si>
  <si>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</si>
  <si>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</si>
  <si>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</si>
  <si>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Avg Wand Count</t>
  </si>
  <si>
    <t>Select camera:</t>
  </si>
  <si>
    <t>Camera Error (This Day)</t>
  </si>
  <si>
    <t>World Error (Avg.)</t>
  </si>
  <si>
    <t>Image Error (Avg.)</t>
  </si>
  <si>
    <t>Add new rows below the table - one per camera, each day.</t>
  </si>
  <si>
    <t>Beats average?</t>
  </si>
  <si>
    <t>World</t>
  </si>
  <si>
    <t>Image</t>
  </si>
  <si>
    <t>#8 (Vero v2.2)</t>
  </si>
  <si>
    <t>Evaluation</t>
  </si>
  <si>
    <t>For future reference, if this is ever corrected - the files here will need to be corrected</t>
  </si>
  <si>
    <t>Cameras in the INB Robotics/Vicon lab are labelled differently to the Nexus software, I've recorded the differences here</t>
  </si>
  <si>
    <t>Match</t>
  </si>
  <si>
    <t>Camera Name</t>
  </si>
  <si>
    <t>Physical Label</t>
  </si>
  <si>
    <t>Nexus Software ID</t>
  </si>
  <si>
    <t xml:space="preserve"> </t>
  </si>
  <si>
    <t>AVERAGE CAMERA ERRORS</t>
  </si>
  <si>
    <t>Average Errors (This Day)</t>
  </si>
  <si>
    <t>GLOBAL AVERAGE OF ERROR</t>
  </si>
  <si>
    <t>Notes on daily calibration attempt</t>
  </si>
  <si>
    <t>Did not create a box with markers, scattered randomly, adjusted auto detect tolerance for set volume down to 2mm</t>
  </si>
  <si>
    <t>Starting Temperature</t>
  </si>
  <si>
    <t>Starting Time</t>
  </si>
  <si>
    <t>LOSS RATE (vs average)</t>
  </si>
  <si>
    <t>WIN RATE (vs average)</t>
  </si>
  <si>
    <t>WIN RATE as Percentage</t>
  </si>
  <si>
    <t>% of total days camera beats the average</t>
  </si>
  <si>
    <t>How many days camera is worse than avg.</t>
  </si>
  <si>
    <t>How many days is camera better than avg.</t>
  </si>
  <si>
    <t>Marked red if worse than global average</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</si>
  <si>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</si>
  <si>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</si>
  <si>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</si>
  <si>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</si>
  <si>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No swish/figure 8, instead followed guidance from active wand v4 docs which suggested keeping wand away from body due to occlusion, and facing cameras. Waved in mostly large (sometimes small) circles</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</si>
  <si>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</si>
  <si>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</si>
  <si>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Key</t>
  </si>
  <si>
    <t>Min Wand Count Setting</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</si>
  <si>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</si>
  <si>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</si>
  <si>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</si>
  <si>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</si>
  <si>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</si>
  <si>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ALL TIME AVERAGES</t>
  </si>
  <si>
    <t>ALL TIME CAMERA ERRORS</t>
  </si>
  <si>
    <t>PERFORMANCE</t>
  </si>
  <si>
    <t>Camera by ID</t>
  </si>
  <si>
    <t>KEY</t>
  </si>
  <si>
    <t>Auto-stop straggler</t>
  </si>
  <si>
    <t>x</t>
  </si>
  <si>
    <t>Camera Bumping Error Count</t>
  </si>
  <si>
    <t>Relative position calibration error</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</si>
  <si>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</si>
  <si>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</si>
  <si>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</si>
  <si>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</si>
  <si>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</si>
  <si>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</si>
  <si>
    <t>Wand Techniques</t>
  </si>
  <si>
    <t>A</t>
  </si>
  <si>
    <t>B</t>
  </si>
  <si>
    <t>Wand Technique</t>
  </si>
  <si>
    <t>C</t>
  </si>
  <si>
    <t xml:space="preserve">Scattered markers randomly in the volume, completely reset calibration and masking beforehand, manually masked reflective pipe in camera 5. </t>
  </si>
  <si>
    <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</si>
  <si>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t>No box; markers were in a rough isoclees triangle shape outline, of 4x clusters of 3 markers, no issue</t>
  </si>
  <si>
    <t>Conversely - cameras with high scores should be highlighted for tracking targets!</t>
  </si>
  <si>
    <t>Cameras marked like this are high error (&gt;=70%) cameras.</t>
  </si>
  <si>
    <r>
      <t xml:space="preserve">Daily log tracker is for the successful daily calibrations (for baselines) - </t>
    </r>
    <r>
      <rPr>
        <sz val="11"/>
        <color theme="1"/>
        <rFont val="Arial"/>
        <family val="2"/>
      </rPr>
      <t xml:space="preserve">everything else goes in secondary log tracker and is categorised </t>
    </r>
    <r>
      <rPr>
        <b/>
        <sz val="11"/>
        <color theme="1"/>
        <rFont val="Arial"/>
        <family val="2"/>
      </rPr>
      <t>(todo - combine?)</t>
    </r>
  </si>
  <si>
    <t>Daily</t>
  </si>
  <si>
    <t>Error</t>
  </si>
  <si>
    <t>UPDATE THIS TAB</t>
  </si>
  <si>
    <t>VERY OUT OF DATE</t>
  </si>
  <si>
    <t>Key 1</t>
  </si>
  <si>
    <r>
      <t xml:space="preserve">Key 1
</t>
    </r>
    <r>
      <rPr>
        <sz val="10"/>
        <color rgb="FFFFFFFF"/>
        <rFont val="Arial"/>
        <family val="2"/>
      </rPr>
      <t>(Category)</t>
    </r>
  </si>
  <si>
    <t>Key Category</t>
  </si>
  <si>
    <r>
      <t xml:space="preserve">Key 2
</t>
    </r>
    <r>
      <rPr>
        <sz val="10"/>
        <color rgb="FFFFFFFF"/>
        <rFont val="Arial"/>
        <family val="2"/>
      </rPr>
      <t>(Precision)</t>
    </r>
  </si>
  <si>
    <t>Trial</t>
  </si>
  <si>
    <t>Key 2</t>
  </si>
  <si>
    <t>n/a</t>
  </si>
  <si>
    <t>Average Errors (This Set)</t>
  </si>
  <si>
    <t>Error (Camera Entry)</t>
  </si>
  <si>
    <t>Averages (Set)</t>
  </si>
  <si>
    <t>Calibration health metric - pixel error in tracking</t>
  </si>
  <si>
    <t>Image error modified by camera distance</t>
  </si>
  <si>
    <t>Frames tracking wand during calibration</t>
  </si>
  <si>
    <t>Identity for camera</t>
  </si>
  <si>
    <t>Day calibration data was recorded</t>
  </si>
  <si>
    <t>Whether log refers to an bugged calibration, daily baselines, or a calibration experiment.</t>
  </si>
  <si>
    <t>For errors/experiments multiple may be in one day - sets should have max 1 of each camera</t>
  </si>
  <si>
    <t>Data should be input in this column.</t>
  </si>
  <si>
    <r>
      <rPr>
        <b/>
        <sz val="8"/>
        <color theme="1"/>
        <rFont val="Calibri"/>
        <family val="2"/>
      </rPr>
      <t>Automatic formula</t>
    </r>
    <r>
      <rPr>
        <sz val="8"/>
        <color theme="1"/>
        <rFont val="Calibri"/>
        <family val="2"/>
      </rPr>
      <t xml:space="preserve"> - do not modify this column.</t>
    </r>
  </si>
  <si>
    <t>HEADER COLOURS</t>
  </si>
  <si>
    <t>HEADER NAMES</t>
  </si>
  <si>
    <t>Header Key Tables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</si>
  <si>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</si>
  <si>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Cross-referencing all entries under key1+2 w/date, averages the world &amp; image error
Formatted green if error lower than avg. &amp; formatted bkg red if error is higher than avg.</t>
  </si>
  <si>
    <t>HIDDEN SHEETS</t>
  </si>
  <si>
    <t>Data-Lists</t>
  </si>
  <si>
    <t>Sheets</t>
  </si>
  <si>
    <t>Labelling</t>
  </si>
  <si>
    <t>Log</t>
  </si>
  <si>
    <t>Recap Pages</t>
  </si>
  <si>
    <t>Daily, Trial, Error</t>
  </si>
  <si>
    <t>Daily Trends</t>
  </si>
  <si>
    <t>Daily Performance</t>
  </si>
  <si>
    <t>Daily Error Rates</t>
  </si>
  <si>
    <t>Problem Cameras</t>
  </si>
  <si>
    <t>Sheets should have own to-dos</t>
  </si>
  <si>
    <r>
      <t>See '</t>
    </r>
    <r>
      <rPr>
        <b/>
        <sz val="10"/>
        <color theme="0"/>
        <rFont val="Arial"/>
        <family val="2"/>
      </rPr>
      <t>Wand</t>
    </r>
    <r>
      <rPr>
        <sz val="10"/>
        <color theme="0"/>
        <rFont val="Arial"/>
        <family val="2"/>
      </rPr>
      <t xml:space="preserve"> </t>
    </r>
    <r>
      <rPr>
        <b/>
        <sz val="10"/>
        <color theme="0"/>
        <rFont val="Arial"/>
        <family val="2"/>
      </rPr>
      <t>Techniques</t>
    </r>
    <r>
      <rPr>
        <sz val="10"/>
        <color theme="0"/>
        <rFont val="Arial"/>
        <family val="2"/>
      </rPr>
      <t>' table for column value explanation - various wand strategies were attempted during baseline categorisation.</t>
    </r>
  </si>
  <si>
    <r>
      <t xml:space="preserve">Wand Count
</t>
    </r>
    <r>
      <rPr>
        <sz val="10"/>
        <color rgb="FFFFFFFF"/>
        <rFont val="Arial"/>
        <family val="2"/>
      </rPr>
      <t>(% of Auto-Stop)</t>
    </r>
  </si>
  <si>
    <t>Average</t>
  </si>
  <si>
    <t>Lowest</t>
  </si>
  <si>
    <t>Highest</t>
  </si>
  <si>
    <t>What was the error or what caused it?</t>
  </si>
  <si>
    <r>
      <t>How was the calibration attempted?</t>
    </r>
    <r>
      <rPr>
        <sz val="10"/>
        <color rgb="FFFFFFFF"/>
        <rFont val="Arial"/>
        <family val="2"/>
      </rPr>
      <t xml:space="preserve">
Marker placement, wand technique, etc.</t>
    </r>
  </si>
  <si>
    <t>Dates auto-populate from data-lists tab (apply to all daily sheets). Data keys &amp; config settings must be manually entered. Other data will automatically populate by formula and apply conditional formatting.</t>
  </si>
  <si>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</si>
  <si>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</si>
  <si>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r>
      <rPr>
        <b/>
        <sz val="8"/>
        <color theme="1"/>
        <rFont val="Arial"/>
        <family val="2"/>
      </rPr>
      <t>Guidance from active wand v4</t>
    </r>
    <r>
      <rPr>
        <sz val="8"/>
        <color theme="1"/>
        <rFont val="Arial"/>
        <family val="2"/>
      </rPr>
      <t xml:space="preserve"> (away from body, large circles, facing camera, no turning wand keep parallel to yourself, watch for objects)</t>
    </r>
  </si>
  <si>
    <r>
      <rPr>
        <b/>
        <sz val="8"/>
        <color theme="1"/>
        <rFont val="Arial"/>
        <family val="2"/>
      </rPr>
      <t>Waving in figure 8</t>
    </r>
    <r>
      <rPr>
        <sz val="8"/>
        <color theme="1"/>
        <rFont val="Arial"/>
        <family val="2"/>
      </rPr>
      <t>, slowly - as though you're pushing water - whilst walking around the room in a square</t>
    </r>
  </si>
  <si>
    <r>
      <t xml:space="preserve">Wand Techniques
</t>
    </r>
    <r>
      <rPr>
        <sz val="8"/>
        <color theme="0"/>
        <rFont val="Arial"/>
        <family val="2"/>
      </rPr>
      <t>(to be documented by motion capture)</t>
    </r>
  </si>
  <si>
    <t>See wand techniques info-box on 'Daily' sheet.</t>
  </si>
  <si>
    <t>What is the experiment goal?</t>
  </si>
  <si>
    <t>Daily Average</t>
  </si>
  <si>
    <r>
      <t xml:space="preserve">Daily Trends (by Camera) </t>
    </r>
    <r>
      <rPr>
        <sz val="10"/>
        <color theme="0"/>
        <rFont val="Calibri"/>
        <family val="2"/>
      </rPr>
      <t>- Select camera in dropdown cell to view data on that specific camera. Errors marked red if worse than daily average, green if better. Does not consider error or trial sets.</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</si>
  <si>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</si>
  <si>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</si>
  <si>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</si>
  <si>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</si>
  <si>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Errors document calibration errors, not floor plane errors. When recording ensure error and calibration technique are documented.</t>
  </si>
  <si>
    <t>todo - check calibration data for camera relativity</t>
  </si>
  <si>
    <t>Wand Count %</t>
  </si>
  <si>
    <r>
      <t xml:space="preserve">Key 2
</t>
    </r>
    <r>
      <rPr>
        <sz val="8"/>
        <color rgb="FFFFFFFF"/>
        <rFont val="Arial"/>
        <family val="2"/>
      </rPr>
      <t>(Precision)</t>
    </r>
  </si>
  <si>
    <t>shelf-baseline</t>
  </si>
  <si>
    <t>shelf-trial</t>
  </si>
  <si>
    <t>31/07-error1</t>
  </si>
  <si>
    <t>31/07-error2</t>
  </si>
  <si>
    <t>03/08-error1</t>
  </si>
  <si>
    <t>03/08-error2</t>
  </si>
  <si>
    <t>Select keys &amp; dates from drop-down. Data keys &amp; config settings must be manually entered. Other data will automatically populate by formula and apply conditional formatting.</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</si>
  <si>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</si>
  <si>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</si>
  <si>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r>
      <rPr>
        <b/>
        <sz val="11"/>
        <color theme="1"/>
        <rFont val="Arial"/>
        <family val="2"/>
      </rPr>
      <t>Lookup</t>
    </r>
    <r>
      <rPr>
        <sz val="11"/>
        <color theme="1"/>
        <rFont val="Arial"/>
        <family val="2"/>
      </rPr>
      <t xml:space="preserve"> </t>
    </r>
    <r>
      <rPr>
        <b/>
        <sz val="11"/>
        <color theme="1"/>
        <rFont val="Arial"/>
        <family val="2"/>
      </rPr>
      <t>values</t>
    </r>
    <r>
      <rPr>
        <sz val="11"/>
        <color theme="1"/>
        <rFont val="Arial"/>
        <family val="2"/>
      </rPr>
      <t xml:space="preserve"> - will break the spreadsheet if removed. Dates are populated by entries on the log sheet.</t>
    </r>
  </si>
  <si>
    <t>Determine the calibration impact of the reflective metal shelving at the edge of the volume space</t>
  </si>
  <si>
    <t>Figure 8 waving, no floor plane setting as just interested in calibration data</t>
  </si>
  <si>
    <t>Calibration Experiment Summary</t>
  </si>
  <si>
    <t>Calibration Error Summary</t>
  </si>
  <si>
    <t>Daily Calibrations</t>
  </si>
  <si>
    <t>Using as experiment base-set (duplicated for auto-stop-base) as immediately before so maintaining '3 clusters of markers in each corner (4 sets)' and wave technique A as controls</t>
  </si>
  <si>
    <t>Experiment initial findings?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</si>
  <si>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</si>
  <si>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</si>
  <si>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</si>
  <si>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</si>
  <si>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</si>
  <si>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Select keys &amp; dates from drop-down. Data keys &amp; config settings must be manually entered. Other data will automatically populate by formula. Conditional formatting ranges must be manually applied per experiment group.</t>
  </si>
  <si>
    <t>Ensure error and calibration technique are documented. Leave an empty line to visually separate calibration health conditional formatting.</t>
  </si>
  <si>
    <t>Spending disproportionate time on problem cameras in 2000 frame calibration</t>
  </si>
  <si>
    <t>auto-stop-1500-v1</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</si>
  <si>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t>
  </si>
  <si>
    <t>auto-stop-1500-v2</t>
  </si>
  <si>
    <t>auto-stop-1000-v2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</si>
</sst>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
    <numFmt numFmtId="165" formatCode="0.000"/>
    <numFmt numFmtId="166" formatCode="0.0\°\ \(\C\)"/>
    <numFmt numFmtId="167" formatCode="hh:mm:ss;@"/>
  </numFmts>
  <fonts count="60"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
      <sz val="11"/>
      <color rgb="FFFF0000"/>
      <name val="Calibri"/>
      <family val="2"/>
      <charset val="1"/>
    </font>
    <font>
      <b/>
      <sz val="12"/>
      <color theme="0"/>
      <name val="Arial"/>
      <family val="2"/>
    </font>
    <font>
      <sz val="11"/>
      <color theme="1" tint="0.249977111117893"/>
      <name val="Calibri"/>
      <family val="2"/>
      <charset val="1"/>
    </font>
    <font>
      <i/>
      <sz val="11"/>
      <name val="Calibri"/>
      <family val="2"/>
    </font>
    <font>
      <sz val="11"/>
      <name val="Calibri"/>
      <family val="2"/>
    </font>
    <font>
      <b/>
      <u/>
      <sz val="11"/>
      <name val="Calibri"/>
      <family val="2"/>
    </font>
    <font>
      <b/>
      <sz val="10"/>
      <color theme="0"/>
      <name val="Calibri"/>
      <family val="2"/>
    </font>
    <font>
      <b/>
      <sz val="24"/>
      <color rgb="FFFF0000"/>
      <name val="Calibri"/>
      <family val="2"/>
    </font>
    <font>
      <sz val="8"/>
      <color rgb="FFFFFFFF"/>
      <name val="Arial"/>
      <family val="2"/>
    </font>
    <font>
      <sz val="10"/>
      <name val="Arial"/>
      <family val="2"/>
    </font>
    <font>
      <sz val="10"/>
      <color theme="0"/>
      <name val="Arial"/>
      <family val="2"/>
    </font>
    <font>
      <sz val="8"/>
      <color theme="1"/>
      <name val="Calibri"/>
      <family val="2"/>
      <charset val="1"/>
    </font>
    <font>
      <b/>
      <sz val="12"/>
      <color theme="0"/>
      <name val="Calibri"/>
      <family val="2"/>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b/>
      <u/>
      <sz val="14"/>
      <color theme="0"/>
      <name val="Calibri"/>
      <family val="2"/>
    </font>
    <font>
      <sz val="8"/>
      <color theme="1"/>
      <name val="Arial"/>
      <family val="2"/>
    </font>
    <font>
      <b/>
      <sz val="8"/>
      <color theme="1"/>
      <name val="Arial"/>
      <family val="2"/>
    </font>
    <font>
      <b/>
      <sz val="14"/>
      <color theme="1"/>
      <name val="Arial"/>
      <family val="2"/>
    </font>
    <font>
      <sz val="10"/>
      <color theme="0"/>
      <name val="Calibri"/>
      <family val="2"/>
    </font>
    <font>
      <b/>
      <sz val="8"/>
      <color rgb="FFFFFFFF"/>
      <name val="Arial"/>
      <family val="2"/>
    </font>
    <font>
      <sz val="8"/>
      <name val="Calibri"/>
      <family val="2"/>
      <charset val="1"/>
    </font>
  </fonts>
  <fills count="49">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rgb="FF003366"/>
      </patternFill>
    </fill>
    <fill>
      <patternFill patternType="solid">
        <fgColor rgb="FFFF0000"/>
        <bgColor rgb="FF003366"/>
      </patternFill>
    </fill>
    <fill>
      <patternFill patternType="solid">
        <fgColor rgb="FF669900"/>
        <bgColor indexed="64"/>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69240"/>
        <bgColor rgb="FF003366"/>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
      <patternFill patternType="solid">
        <fgColor theme="6" tint="0.39997558519241921"/>
        <bgColor indexed="64"/>
      </patternFill>
    </fill>
    <fill>
      <patternFill patternType="solid">
        <fgColor theme="3"/>
        <bgColor indexed="64"/>
      </patternFill>
    </fill>
    <fill>
      <patternFill patternType="solid">
        <fgColor theme="6" tint="0.59999389629810485"/>
        <bgColor indexed="64"/>
      </patternFill>
    </fill>
    <fill>
      <patternFill patternType="solid">
        <fgColor rgb="FFE26B0A"/>
        <bgColor rgb="FF003366"/>
      </patternFill>
    </fill>
    <fill>
      <patternFill patternType="solid">
        <fgColor rgb="FFE26B0A"/>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rgb="FFFDE9D9"/>
        <bgColor indexed="64"/>
      </patternFill>
    </fill>
    <fill>
      <patternFill patternType="solid">
        <fgColor rgb="FFC5D9F1"/>
        <bgColor indexed="64"/>
      </patternFill>
    </fill>
    <fill>
      <patternFill patternType="solid">
        <fgColor rgb="FFFFFF00"/>
        <bgColor rgb="FFFFFFFF"/>
      </patternFill>
    </fill>
    <fill>
      <patternFill patternType="solid">
        <fgColor theme="3" tint="0.39997558519241921"/>
        <bgColor indexed="64"/>
      </patternFill>
    </fill>
    <fill>
      <patternFill patternType="solid">
        <fgColor theme="3" tint="0.39997558519241921"/>
        <bgColor rgb="FF003366"/>
      </patternFill>
    </fill>
    <fill>
      <patternFill patternType="solid">
        <fgColor rgb="FF00B050"/>
        <bgColor rgb="FF003366"/>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s>
  <cellStyleXfs count="1">
    <xf numFmtId="0" fontId="0" fillId="0" borderId="0"/>
  </cellStyleXfs>
  <cellXfs count="318">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9" fillId="2"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2" fillId="0" borderId="0" xfId="0" applyFont="1" applyAlignment="1">
      <alignment horizontal="center" vertical="center"/>
    </xf>
    <xf numFmtId="3" fontId="2" fillId="0" borderId="0" xfId="0" applyNumberFormat="1" applyFont="1" applyAlignment="1">
      <alignment horizontal="center" vertical="center"/>
    </xf>
    <xf numFmtId="0" fontId="8"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8"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4" xfId="0" applyNumberFormat="1" applyFont="1" applyBorder="1" applyAlignment="1">
      <alignment horizontal="center" vertical="center"/>
    </xf>
    <xf numFmtId="1" fontId="2" fillId="0" borderId="2" xfId="0" applyNumberFormat="1" applyFont="1" applyBorder="1" applyAlignment="1">
      <alignment horizontal="center" vertical="center"/>
    </xf>
    <xf numFmtId="1" fontId="2" fillId="0" borderId="3"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5" borderId="0" xfId="0" applyFill="1"/>
    <xf numFmtId="14" fontId="2" fillId="0" borderId="5" xfId="0" applyNumberFormat="1" applyFont="1" applyBorder="1" applyAlignment="1">
      <alignment horizontal="center" vertical="center"/>
    </xf>
    <xf numFmtId="14" fontId="2" fillId="15" borderId="5" xfId="0" applyNumberFormat="1" applyFont="1" applyFill="1" applyBorder="1" applyAlignment="1">
      <alignment horizontal="center" vertical="center"/>
    </xf>
    <xf numFmtId="14" fontId="6" fillId="15" borderId="5" xfId="0" applyNumberFormat="1" applyFont="1" applyFill="1" applyBorder="1" applyAlignment="1">
      <alignment horizontal="center" vertical="center"/>
    </xf>
    <xf numFmtId="14" fontId="2" fillId="15" borderId="2" xfId="0" applyNumberFormat="1" applyFont="1" applyFill="1" applyBorder="1" applyAlignment="1">
      <alignment horizontal="center" vertical="center"/>
    </xf>
    <xf numFmtId="0" fontId="0" fillId="0" borderId="9" xfId="0" applyBorder="1"/>
    <xf numFmtId="0" fontId="0" fillId="0" borderId="10" xfId="0" applyBorder="1"/>
    <xf numFmtId="0" fontId="4" fillId="14" borderId="1" xfId="0" applyFont="1" applyFill="1" applyBorder="1" applyAlignment="1">
      <alignment horizontal="center" vertical="center"/>
    </xf>
    <xf numFmtId="0" fontId="0" fillId="0" borderId="0" xfId="0" applyAlignment="1">
      <alignment horizontal="center" vertical="center" wrapText="1"/>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0" fillId="0" borderId="1" xfId="0" applyNumberFormat="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5" borderId="0" xfId="0" applyFill="1" applyAlignment="1">
      <alignment horizontal="center" vertical="center"/>
    </xf>
    <xf numFmtId="0" fontId="11" fillId="15" borderId="0" xfId="0" applyFont="1" applyFill="1" applyAlignment="1">
      <alignment horizontal="left" vertical="center"/>
    </xf>
    <xf numFmtId="0" fontId="0" fillId="15" borderId="0" xfId="0" applyFill="1" applyAlignment="1">
      <alignment horizontal="left" vertical="center"/>
    </xf>
    <xf numFmtId="0" fontId="13" fillId="18" borderId="1" xfId="0" applyFont="1" applyFill="1" applyBorder="1" applyAlignment="1">
      <alignment horizontal="center" vertical="center" wrapText="1"/>
    </xf>
    <xf numFmtId="0" fontId="13" fillId="18" borderId="1" xfId="0" applyFont="1" applyFill="1" applyBorder="1" applyAlignment="1">
      <alignment horizontal="center" vertical="center"/>
    </xf>
    <xf numFmtId="0" fontId="11" fillId="18" borderId="1" xfId="0" applyFont="1" applyFill="1" applyBorder="1" applyAlignment="1">
      <alignment horizontal="center" vertical="center"/>
    </xf>
    <xf numFmtId="0" fontId="0" fillId="18"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10" fontId="0" fillId="0" borderId="5" xfId="0" applyNumberFormat="1" applyBorder="1" applyAlignment="1">
      <alignment horizontal="center" vertical="center"/>
    </xf>
    <xf numFmtId="10" fontId="0" fillId="0" borderId="0" xfId="0" applyNumberFormat="1"/>
    <xf numFmtId="0" fontId="0" fillId="0" borderId="0" xfId="0" applyAlignment="1">
      <alignment wrapText="1"/>
    </xf>
    <xf numFmtId="0" fontId="7" fillId="17" borderId="1" xfId="0" applyFont="1" applyFill="1" applyBorder="1" applyAlignment="1">
      <alignment horizontal="center" vertical="center" wrapText="1"/>
    </xf>
    <xf numFmtId="0" fontId="4" fillId="17"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11" borderId="1" xfId="0" applyFont="1" applyFill="1" applyBorder="1" applyAlignment="1">
      <alignment horizontal="center" vertical="center" wrapText="1"/>
    </xf>
    <xf numFmtId="0" fontId="4" fillId="14" borderId="1" xfId="0" applyFont="1" applyFill="1" applyBorder="1" applyAlignment="1">
      <alignment horizontal="center" vertical="center" wrapText="1"/>
    </xf>
    <xf numFmtId="0" fontId="15" fillId="0" borderId="0" xfId="0" applyFont="1"/>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14" fontId="21" fillId="0" borderId="0" xfId="0" applyNumberFormat="1" applyFont="1" applyAlignment="1">
      <alignment horizontal="center" vertical="center"/>
    </xf>
    <xf numFmtId="0" fontId="21" fillId="0" borderId="0" xfId="0" applyFont="1" applyAlignment="1">
      <alignment horizontal="center" vertical="center"/>
    </xf>
    <xf numFmtId="166" fontId="21" fillId="0" borderId="0" xfId="0" applyNumberFormat="1" applyFont="1" applyAlignment="1">
      <alignment horizontal="center" vertical="center"/>
    </xf>
    <xf numFmtId="0" fontId="11" fillId="0" borderId="0" xfId="0" applyFont="1" applyAlignment="1">
      <alignment horizontal="center" vertical="center" wrapText="1"/>
    </xf>
    <xf numFmtId="0" fontId="21" fillId="0" borderId="0" xfId="0" applyFont="1"/>
    <xf numFmtId="0" fontId="21" fillId="8" borderId="5" xfId="0" applyFont="1" applyFill="1" applyBorder="1" applyAlignment="1">
      <alignment horizontal="center" vertical="center"/>
    </xf>
    <xf numFmtId="0" fontId="21" fillId="8" borderId="4" xfId="0" applyFont="1" applyFill="1" applyBorder="1" applyAlignment="1">
      <alignment horizontal="center" vertical="center"/>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21" fillId="0" borderId="4" xfId="0" applyFont="1" applyBorder="1" applyAlignment="1">
      <alignment horizontal="center" vertical="center"/>
    </xf>
    <xf numFmtId="0" fontId="23" fillId="0" borderId="0" xfId="0" applyFont="1" applyAlignment="1">
      <alignment horizontal="center" vertical="center" wrapText="1"/>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 fontId="21" fillId="0" borderId="0" xfId="0" applyNumberFormat="1" applyFont="1" applyAlignment="1">
      <alignment horizontal="center" vertical="center"/>
    </xf>
    <xf numFmtId="10" fontId="21" fillId="0" borderId="0" xfId="0" applyNumberFormat="1" applyFont="1" applyAlignment="1">
      <alignment horizontal="center" vertical="center"/>
    </xf>
    <xf numFmtId="0" fontId="26" fillId="26" borderId="1" xfId="0" applyFont="1" applyFill="1" applyBorder="1" applyAlignment="1">
      <alignment horizontal="center" vertical="center" wrapText="1"/>
    </xf>
    <xf numFmtId="0" fontId="27" fillId="25" borderId="1" xfId="0" applyFont="1" applyFill="1" applyBorder="1" applyAlignment="1">
      <alignment horizontal="center" vertical="center" wrapText="1"/>
    </xf>
    <xf numFmtId="0" fontId="11" fillId="0" borderId="0" xfId="0" applyFont="1"/>
    <xf numFmtId="0" fontId="25" fillId="0" borderId="0" xfId="0" applyFont="1"/>
    <xf numFmtId="0" fontId="29" fillId="0" borderId="0" xfId="0" applyFont="1"/>
    <xf numFmtId="0" fontId="31" fillId="0" borderId="0" xfId="0" applyFont="1"/>
    <xf numFmtId="0" fontId="31" fillId="0" borderId="0" xfId="0" applyFont="1" applyAlignment="1">
      <alignment horizontal="center" vertical="center" wrapText="1"/>
    </xf>
    <xf numFmtId="0" fontId="25" fillId="0" borderId="0" xfId="0" applyFont="1" applyAlignment="1">
      <alignment horizontal="center" vertical="center"/>
    </xf>
    <xf numFmtId="0" fontId="27" fillId="21" borderId="1" xfId="0" applyFont="1" applyFill="1" applyBorder="1" applyAlignment="1">
      <alignment horizontal="center" vertical="center" wrapText="1"/>
    </xf>
    <xf numFmtId="0" fontId="31" fillId="27" borderId="0" xfId="0" applyFont="1" applyFill="1" applyAlignment="1">
      <alignment horizontal="center" vertical="center" wrapText="1"/>
    </xf>
    <xf numFmtId="0" fontId="10" fillId="27" borderId="0" xfId="0" applyFont="1" applyFill="1" applyAlignment="1">
      <alignment horizontal="center" vertical="center" wrapText="1"/>
    </xf>
    <xf numFmtId="0" fontId="10" fillId="28" borderId="11" xfId="0" applyFont="1" applyFill="1" applyBorder="1" applyAlignment="1">
      <alignment horizontal="left" indent="1"/>
    </xf>
    <xf numFmtId="0" fontId="25" fillId="27" borderId="1" xfId="0" applyFont="1" applyFill="1" applyBorder="1" applyAlignment="1">
      <alignment horizontal="center" vertical="center"/>
    </xf>
    <xf numFmtId="0" fontId="25" fillId="21" borderId="1" xfId="0" applyFont="1" applyFill="1" applyBorder="1" applyAlignment="1">
      <alignment horizontal="center" vertical="center"/>
    </xf>
    <xf numFmtId="14" fontId="32" fillId="19" borderId="16" xfId="0" applyNumberFormat="1" applyFont="1" applyFill="1" applyBorder="1" applyAlignment="1">
      <alignment horizontal="left" vertical="center" indent="1"/>
    </xf>
    <xf numFmtId="0" fontId="25" fillId="19" borderId="16" xfId="0" applyFont="1" applyFill="1" applyBorder="1" applyAlignment="1">
      <alignment horizontal="left" indent="1"/>
    </xf>
    <xf numFmtId="0" fontId="25" fillId="19" borderId="16" xfId="0" applyFont="1" applyFill="1" applyBorder="1" applyAlignment="1">
      <alignment horizontal="left" vertical="center" indent="1"/>
    </xf>
    <xf numFmtId="0" fontId="31" fillId="29" borderId="10" xfId="0" applyFont="1" applyFill="1" applyBorder="1" applyAlignment="1">
      <alignment horizontal="center" vertical="center" wrapText="1"/>
    </xf>
    <xf numFmtId="0" fontId="11" fillId="0" borderId="0" xfId="0" applyFont="1" applyAlignment="1">
      <alignment horizontal="left" indent="1"/>
    </xf>
    <xf numFmtId="0" fontId="33" fillId="0" borderId="0" xfId="0" applyFont="1" applyAlignment="1">
      <alignment horizontal="center" vertical="center" wrapText="1"/>
    </xf>
    <xf numFmtId="0" fontId="29" fillId="0" borderId="0" xfId="0" applyFont="1" applyAlignment="1">
      <alignment horizontal="center" vertical="center" wrapText="1"/>
    </xf>
    <xf numFmtId="0" fontId="27" fillId="31" borderId="10" xfId="0" applyFont="1" applyFill="1" applyBorder="1" applyAlignment="1">
      <alignment horizontal="center" vertical="center" wrapText="1"/>
    </xf>
    <xf numFmtId="0" fontId="11" fillId="31" borderId="10" xfId="0" applyFont="1" applyFill="1" applyBorder="1" applyAlignment="1">
      <alignment horizontal="center" vertical="center" wrapText="1"/>
    </xf>
    <xf numFmtId="0" fontId="29" fillId="5" borderId="1" xfId="0" applyFont="1" applyFill="1" applyBorder="1" applyAlignment="1">
      <alignment horizontal="left" indent="1"/>
    </xf>
    <xf numFmtId="0" fontId="29" fillId="30" borderId="1" xfId="0" applyFont="1" applyFill="1" applyBorder="1"/>
    <xf numFmtId="0" fontId="29" fillId="0" borderId="1" xfId="0" applyFont="1" applyBorder="1"/>
    <xf numFmtId="14" fontId="21" fillId="0" borderId="15" xfId="0" applyNumberFormat="1" applyFont="1" applyBorder="1" applyAlignment="1">
      <alignment horizontal="right" vertical="center" indent="1"/>
    </xf>
    <xf numFmtId="14" fontId="21" fillId="0" borderId="0" xfId="0" applyNumberFormat="1" applyFont="1" applyAlignment="1">
      <alignment horizontal="right" vertical="center" indent="1"/>
    </xf>
    <xf numFmtId="14" fontId="0" fillId="0" borderId="0" xfId="0" applyNumberFormat="1" applyAlignment="1">
      <alignment horizontal="right" indent="1"/>
    </xf>
    <xf numFmtId="0" fontId="30" fillId="0" borderId="1" xfId="0" applyFont="1" applyBorder="1" applyAlignment="1">
      <alignment horizontal="left" indent="1"/>
    </xf>
    <xf numFmtId="14" fontId="0" fillId="19" borderId="1" xfId="0" applyNumberFormat="1" applyFill="1" applyBorder="1" applyAlignment="1">
      <alignment horizontal="left" indent="1"/>
    </xf>
    <xf numFmtId="0" fontId="10" fillId="32" borderId="1" xfId="0" applyFont="1" applyFill="1" applyBorder="1" applyAlignment="1">
      <alignment horizontal="right"/>
    </xf>
    <xf numFmtId="0" fontId="22" fillId="6" borderId="12" xfId="0" applyFont="1" applyFill="1" applyBorder="1" applyAlignment="1">
      <alignment horizontal="center" vertical="center" wrapText="1"/>
    </xf>
    <xf numFmtId="0" fontId="22" fillId="6" borderId="3"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2" borderId="14" xfId="0"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166" fontId="4" fillId="2" borderId="14" xfId="0" applyNumberFormat="1" applyFont="1" applyFill="1" applyBorder="1" applyAlignment="1">
      <alignment horizontal="center" vertical="center" wrapText="1"/>
    </xf>
    <xf numFmtId="1" fontId="4" fillId="2" borderId="1" xfId="0" applyNumberFormat="1" applyFont="1" applyFill="1" applyBorder="1" applyAlignment="1">
      <alignment horizontal="center" vertical="center" wrapText="1"/>
    </xf>
    <xf numFmtId="1" fontId="4" fillId="2" borderId="14" xfId="0" applyNumberFormat="1" applyFont="1" applyFill="1" applyBorder="1" applyAlignment="1">
      <alignment horizontal="center" vertical="center" wrapText="1"/>
    </xf>
    <xf numFmtId="0" fontId="4" fillId="4" borderId="1" xfId="0" applyFont="1" applyFill="1" applyBorder="1" applyAlignment="1">
      <alignment horizontal="center" vertical="center"/>
    </xf>
    <xf numFmtId="0" fontId="4" fillId="2" borderId="1" xfId="0" applyFont="1" applyFill="1" applyBorder="1" applyAlignment="1">
      <alignment horizontal="center" vertical="center"/>
    </xf>
    <xf numFmtId="0" fontId="7" fillId="2" borderId="0" xfId="0" applyFont="1" applyFill="1" applyAlignment="1">
      <alignment horizontal="center" vertical="center"/>
    </xf>
    <xf numFmtId="0" fontId="7" fillId="2" borderId="12" xfId="0" applyFont="1" applyFill="1" applyBorder="1" applyAlignment="1">
      <alignment horizontal="center" vertical="center"/>
    </xf>
    <xf numFmtId="0" fontId="14" fillId="19" borderId="1" xfId="0" applyFont="1" applyFill="1" applyBorder="1" applyAlignment="1">
      <alignment horizontal="center" vertical="center" wrapText="1"/>
    </xf>
    <xf numFmtId="0" fontId="4" fillId="12" borderId="1" xfId="0" applyFont="1" applyFill="1" applyBorder="1" applyAlignment="1">
      <alignment horizontal="center" vertical="center"/>
    </xf>
    <xf numFmtId="0" fontId="12" fillId="13" borderId="1" xfId="0" applyFont="1" applyFill="1" applyBorder="1" applyAlignment="1">
      <alignment horizontal="center" vertical="center"/>
    </xf>
    <xf numFmtId="0" fontId="7" fillId="7" borderId="1" xfId="0" applyFont="1" applyFill="1" applyBorder="1" applyAlignment="1">
      <alignment horizontal="center" vertical="center"/>
    </xf>
    <xf numFmtId="0" fontId="4" fillId="7" borderId="1" xfId="0" applyFont="1" applyFill="1" applyBorder="1" applyAlignment="1">
      <alignment horizontal="center" vertical="center"/>
    </xf>
    <xf numFmtId="0" fontId="12" fillId="13" borderId="6" xfId="0" applyFont="1" applyFill="1" applyBorder="1" applyAlignment="1">
      <alignment horizontal="center" vertical="center" wrapText="1"/>
    </xf>
    <xf numFmtId="0" fontId="12" fillId="13" borderId="7" xfId="0" applyFont="1" applyFill="1" applyBorder="1" applyAlignment="1">
      <alignment horizontal="center" vertical="center" wrapText="1"/>
    </xf>
    <xf numFmtId="0" fontId="10" fillId="16" borderId="11" xfId="0" applyFont="1" applyFill="1" applyBorder="1" applyAlignment="1">
      <alignment horizontal="center" vertical="center"/>
    </xf>
    <xf numFmtId="0" fontId="10" fillId="16" borderId="9" xfId="0" applyFont="1" applyFill="1" applyBorder="1" applyAlignment="1">
      <alignment horizontal="center" vertical="center"/>
    </xf>
    <xf numFmtId="0" fontId="30" fillId="0" borderId="6" xfId="0" applyFont="1" applyBorder="1" applyAlignment="1">
      <alignment horizontal="left" indent="1"/>
    </xf>
    <xf numFmtId="0" fontId="30" fillId="0" borderId="8" xfId="0" applyFont="1" applyBorder="1" applyAlignment="1">
      <alignment horizontal="left" indent="1"/>
    </xf>
    <xf numFmtId="0" fontId="30" fillId="0" borderId="7" xfId="0" applyFont="1" applyBorder="1" applyAlignment="1">
      <alignment horizontal="left" indent="1"/>
    </xf>
    <xf numFmtId="0" fontId="28" fillId="20" borderId="2" xfId="0" applyFont="1" applyFill="1" applyBorder="1" applyAlignment="1">
      <alignment horizontal="center" vertical="center" wrapText="1"/>
    </xf>
    <xf numFmtId="0" fontId="28" fillId="20" borderId="3" xfId="0" applyFont="1" applyFill="1" applyBorder="1" applyAlignment="1">
      <alignment horizontal="center" vertical="center" wrapText="1"/>
    </xf>
    <xf numFmtId="0" fontId="4" fillId="20" borderId="1" xfId="0" applyFont="1" applyFill="1" applyBorder="1" applyAlignment="1">
      <alignment horizontal="center" vertical="center" wrapText="1"/>
    </xf>
    <xf numFmtId="0" fontId="34" fillId="0" borderId="0" xfId="0" applyFont="1" applyAlignment="1">
      <alignment horizontal="center" vertical="center"/>
    </xf>
    <xf numFmtId="0" fontId="24" fillId="0" borderId="0" xfId="0" applyFont="1" applyAlignment="1">
      <alignment horizontal="center" vertical="center"/>
    </xf>
    <xf numFmtId="0" fontId="24" fillId="34" borderId="1" xfId="0" applyFont="1" applyFill="1" applyBorder="1" applyAlignment="1">
      <alignment horizontal="center" vertical="center"/>
    </xf>
    <xf numFmtId="0" fontId="12" fillId="35" borderId="1" xfId="0" applyFont="1" applyFill="1" applyBorder="1" applyAlignment="1">
      <alignment horizontal="center" vertical="center"/>
    </xf>
    <xf numFmtId="0" fontId="26" fillId="0" borderId="0" xfId="0" applyFont="1" applyAlignment="1">
      <alignment horizontal="center" vertical="center" wrapText="1"/>
    </xf>
    <xf numFmtId="0" fontId="8" fillId="10" borderId="1" xfId="0" applyFont="1" applyFill="1" applyBorder="1" applyAlignment="1">
      <alignment horizontal="center" vertical="center" wrapText="1"/>
    </xf>
    <xf numFmtId="0" fontId="8" fillId="10" borderId="14" xfId="0" applyFont="1" applyFill="1" applyBorder="1" applyAlignment="1">
      <alignment horizontal="center" vertical="center" wrapText="1"/>
    </xf>
    <xf numFmtId="0" fontId="12" fillId="2" borderId="1" xfId="0" applyFont="1" applyFill="1" applyBorder="1" applyAlignment="1">
      <alignment horizontal="center" vertical="center" wrapText="1"/>
    </xf>
    <xf numFmtId="14" fontId="32" fillId="19" borderId="16" xfId="0" applyNumberFormat="1" applyFont="1" applyFill="1" applyBorder="1" applyAlignment="1">
      <alignment horizontal="center" vertical="center"/>
    </xf>
    <xf numFmtId="0" fontId="13" fillId="31" borderId="1" xfId="0" applyFont="1" applyFill="1" applyBorder="1" applyAlignment="1">
      <alignment horizontal="center" vertical="center" wrapText="1"/>
    </xf>
    <xf numFmtId="0" fontId="35" fillId="2" borderId="1" xfId="0" applyFont="1" applyFill="1" applyBorder="1" applyAlignment="1">
      <alignment horizontal="center" vertical="center" wrapText="1"/>
    </xf>
    <xf numFmtId="14" fontId="10" fillId="33" borderId="6" xfId="0" applyNumberFormat="1" applyFont="1" applyFill="1" applyBorder="1" applyAlignment="1">
      <alignment horizontal="right" indent="2"/>
    </xf>
    <xf numFmtId="0" fontId="36" fillId="0" borderId="0" xfId="0" applyFont="1"/>
    <xf numFmtId="0" fontId="38" fillId="0" borderId="0" xfId="0" applyFont="1" applyAlignment="1">
      <alignment horizontal="center" vertical="center"/>
    </xf>
    <xf numFmtId="0" fontId="37" fillId="0" borderId="0" xfId="0" applyFont="1" applyAlignment="1">
      <alignment vertical="center"/>
    </xf>
    <xf numFmtId="0" fontId="39" fillId="19" borderId="1" xfId="0" applyFont="1" applyFill="1" applyBorder="1" applyAlignment="1">
      <alignment horizontal="center" vertical="center"/>
    </xf>
    <xf numFmtId="14" fontId="16" fillId="36" borderId="1" xfId="0" applyNumberFormat="1" applyFont="1" applyFill="1" applyBorder="1" applyAlignment="1">
      <alignment horizontal="center" vertical="center" wrapText="1"/>
    </xf>
    <xf numFmtId="14" fontId="35" fillId="33" borderId="1" xfId="0" applyNumberFormat="1" applyFont="1" applyFill="1" applyBorder="1" applyAlignment="1">
      <alignment horizontal="center" vertical="center" wrapText="1"/>
    </xf>
    <xf numFmtId="9" fontId="33" fillId="0" borderId="1" xfId="0" applyNumberFormat="1" applyFont="1" applyBorder="1" applyAlignment="1">
      <alignment horizontal="center" vertical="center" wrapText="1"/>
    </xf>
    <xf numFmtId="0" fontId="11" fillId="15" borderId="2" xfId="0" applyFont="1" applyFill="1" applyBorder="1"/>
    <xf numFmtId="0" fontId="40" fillId="33" borderId="1" xfId="0" applyFont="1" applyFill="1" applyBorder="1" applyAlignment="1">
      <alignment horizontal="center" vertical="center" wrapText="1"/>
    </xf>
    <xf numFmtId="0" fontId="11" fillId="15" borderId="12" xfId="0" applyFont="1" applyFill="1" applyBorder="1" applyAlignment="1">
      <alignment horizontal="right"/>
    </xf>
    <xf numFmtId="0" fontId="0" fillId="15" borderId="3" xfId="0" applyFill="1" applyBorder="1" applyAlignment="1">
      <alignment horizontal="left"/>
    </xf>
    <xf numFmtId="0" fontId="8" fillId="2" borderId="10" xfId="0" applyFont="1" applyFill="1" applyBorder="1" applyAlignment="1">
      <alignment horizontal="center" vertical="center"/>
    </xf>
    <xf numFmtId="0" fontId="8" fillId="7" borderId="10" xfId="0" applyFont="1" applyFill="1" applyBorder="1" applyAlignment="1">
      <alignment horizontal="center" vertical="center"/>
    </xf>
    <xf numFmtId="0" fontId="24" fillId="6" borderId="1" xfId="0" applyFont="1" applyFill="1" applyBorder="1" applyAlignment="1">
      <alignment horizontal="center" vertical="center"/>
    </xf>
    <xf numFmtId="0" fontId="21" fillId="6" borderId="1" xfId="0" applyFont="1" applyFill="1" applyBorder="1" applyAlignment="1">
      <alignment horizontal="center" vertical="center"/>
    </xf>
    <xf numFmtId="0" fontId="9" fillId="37" borderId="1" xfId="0" applyFont="1" applyFill="1" applyBorder="1" applyAlignment="1">
      <alignment horizontal="center" vertical="center" wrapText="1"/>
    </xf>
    <xf numFmtId="0" fontId="12" fillId="38" borderId="10" xfId="0" applyFont="1" applyFill="1" applyBorder="1" applyAlignment="1">
      <alignment horizontal="center" vertical="center" wrapText="1"/>
    </xf>
    <xf numFmtId="0" fontId="12" fillId="38" borderId="1" xfId="0" applyFont="1" applyFill="1" applyBorder="1" applyAlignment="1">
      <alignment horizontal="center" vertical="center"/>
    </xf>
    <xf numFmtId="0" fontId="41" fillId="0" borderId="0" xfId="0" applyFont="1"/>
    <xf numFmtId="0" fontId="0" fillId="0" borderId="0" xfId="0" applyAlignment="1">
      <alignment vertical="center"/>
    </xf>
    <xf numFmtId="0" fontId="28" fillId="38" borderId="1" xfId="0" applyFont="1" applyFill="1" applyBorder="1" applyAlignment="1">
      <alignment horizontal="center" vertical="center"/>
    </xf>
    <xf numFmtId="0" fontId="23" fillId="0" borderId="5" xfId="0" applyFont="1" applyBorder="1" applyAlignment="1">
      <alignment horizontal="center" vertical="center"/>
    </xf>
    <xf numFmtId="0" fontId="23" fillId="0" borderId="9" xfId="0" applyFont="1" applyBorder="1" applyAlignment="1">
      <alignment horizontal="center" vertical="center"/>
    </xf>
    <xf numFmtId="0" fontId="23" fillId="0" borderId="4" xfId="0" applyFont="1" applyBorder="1" applyAlignment="1">
      <alignment horizontal="center" vertical="center"/>
    </xf>
    <xf numFmtId="0" fontId="35" fillId="38" borderId="1" xfId="0" applyFont="1" applyFill="1" applyBorder="1" applyAlignment="1">
      <alignment horizontal="center" vertical="center" wrapText="1"/>
    </xf>
    <xf numFmtId="0" fontId="45" fillId="19" borderId="1" xfId="0" applyFont="1" applyFill="1" applyBorder="1" applyAlignment="1">
      <alignment horizontal="left" indent="1"/>
    </xf>
    <xf numFmtId="0" fontId="23" fillId="18" borderId="5" xfId="0" applyFont="1" applyFill="1" applyBorder="1" applyAlignment="1">
      <alignment horizontal="center" vertical="center"/>
    </xf>
    <xf numFmtId="0" fontId="23" fillId="18" borderId="4" xfId="0" applyFont="1" applyFill="1" applyBorder="1" applyAlignment="1">
      <alignment horizontal="center" vertical="center"/>
    </xf>
    <xf numFmtId="0" fontId="8" fillId="40" borderId="1" xfId="0" applyFont="1" applyFill="1" applyBorder="1" applyAlignment="1">
      <alignment horizontal="center" vertical="center"/>
    </xf>
    <xf numFmtId="0" fontId="9" fillId="40" borderId="1" xfId="0" applyFont="1" applyFill="1" applyBorder="1" applyAlignment="1">
      <alignment horizontal="center" vertical="center" wrapText="1"/>
    </xf>
    <xf numFmtId="0" fontId="47" fillId="39" borderId="1" xfId="0" applyFont="1" applyFill="1" applyBorder="1" applyAlignment="1">
      <alignment horizontal="left" indent="1"/>
    </xf>
    <xf numFmtId="1" fontId="43" fillId="0" borderId="0" xfId="0" applyNumberFormat="1" applyFont="1" applyFill="1" applyAlignment="1">
      <alignment horizontal="center" vertical="center"/>
    </xf>
    <xf numFmtId="14" fontId="43" fillId="0" borderId="0" xfId="0" applyNumberFormat="1" applyFont="1" applyFill="1" applyAlignment="1">
      <alignment horizontal="center" vertical="center"/>
    </xf>
    <xf numFmtId="0" fontId="43" fillId="0" borderId="9" xfId="0" applyFont="1" applyFill="1" applyBorder="1" applyAlignment="1">
      <alignment horizontal="center" vertical="center"/>
    </xf>
    <xf numFmtId="0" fontId="43" fillId="0" borderId="0" xfId="0" applyFont="1" applyFill="1" applyAlignment="1">
      <alignment horizontal="center" vertical="center"/>
    </xf>
    <xf numFmtId="164" fontId="43" fillId="0" borderId="5" xfId="0" applyNumberFormat="1" applyFont="1" applyFill="1" applyBorder="1" applyAlignment="1">
      <alignment horizontal="center" vertical="center"/>
    </xf>
    <xf numFmtId="164" fontId="43" fillId="0" borderId="4" xfId="0" applyNumberFormat="1" applyFont="1" applyFill="1" applyBorder="1" applyAlignment="1">
      <alignment horizontal="center" vertical="center"/>
    </xf>
    <xf numFmtId="0" fontId="23" fillId="0" borderId="9" xfId="0" applyFont="1" applyFill="1" applyBorder="1" applyAlignment="1">
      <alignment horizontal="center" vertical="center"/>
    </xf>
    <xf numFmtId="0" fontId="23" fillId="0" borderId="0" xfId="0" applyFont="1" applyFill="1" applyAlignment="1">
      <alignment horizontal="center" vertical="center"/>
    </xf>
    <xf numFmtId="0" fontId="23" fillId="0" borderId="5" xfId="0" applyFont="1" applyFill="1" applyBorder="1" applyAlignment="1">
      <alignment horizontal="center" vertical="center"/>
    </xf>
    <xf numFmtId="0" fontId="23" fillId="0" borderId="4" xfId="0" applyFont="1" applyFill="1" applyBorder="1" applyAlignment="1">
      <alignment horizontal="center" vertical="center"/>
    </xf>
    <xf numFmtId="1" fontId="23" fillId="0" borderId="0" xfId="0" applyNumberFormat="1" applyFont="1" applyFill="1" applyAlignment="1">
      <alignment horizontal="center" vertical="center"/>
    </xf>
    <xf numFmtId="14" fontId="35" fillId="42" borderId="6" xfId="0" applyNumberFormat="1" applyFont="1" applyFill="1" applyBorder="1" applyAlignment="1">
      <alignment horizontal="center" vertical="center" wrapText="1"/>
    </xf>
    <xf numFmtId="0" fontId="8" fillId="42" borderId="1" xfId="0" applyFont="1" applyFill="1" applyBorder="1" applyAlignment="1">
      <alignment horizontal="center" vertical="center" wrapText="1"/>
    </xf>
    <xf numFmtId="0" fontId="8" fillId="42" borderId="8" xfId="0" applyFont="1" applyFill="1" applyBorder="1" applyAlignment="1">
      <alignment horizontal="center" vertical="center" wrapText="1"/>
    </xf>
    <xf numFmtId="0" fontId="9" fillId="42" borderId="1" xfId="0" applyFont="1" applyFill="1" applyBorder="1" applyAlignment="1">
      <alignment horizontal="center" vertical="center" wrapText="1"/>
    </xf>
    <xf numFmtId="0" fontId="8" fillId="42" borderId="1" xfId="0" applyFont="1" applyFill="1" applyBorder="1" applyAlignment="1">
      <alignment horizontal="center" vertical="center"/>
    </xf>
    <xf numFmtId="0" fontId="50" fillId="16" borderId="12" xfId="0" applyFont="1" applyFill="1" applyBorder="1" applyAlignment="1">
      <alignment horizontal="left" vertical="center" wrapText="1" indent="1"/>
    </xf>
    <xf numFmtId="0" fontId="44" fillId="16" borderId="12" xfId="0" applyFont="1" applyFill="1" applyBorder="1" applyAlignment="1">
      <alignment horizontal="left" vertical="center" wrapText="1" indent="1"/>
    </xf>
    <xf numFmtId="0" fontId="44" fillId="16" borderId="3" xfId="0" applyFont="1" applyFill="1" applyBorder="1" applyAlignment="1">
      <alignment horizontal="left" vertical="center" wrapText="1" indent="1"/>
    </xf>
    <xf numFmtId="0" fontId="45" fillId="19" borderId="6" xfId="0" applyFont="1" applyFill="1" applyBorder="1" applyAlignment="1">
      <alignment horizontal="left" indent="1"/>
    </xf>
    <xf numFmtId="0" fontId="45" fillId="19" borderId="8" xfId="0" applyFont="1" applyFill="1" applyBorder="1" applyAlignment="1">
      <alignment horizontal="left" indent="1"/>
    </xf>
    <xf numFmtId="0" fontId="45" fillId="19" borderId="7" xfId="0" applyFont="1" applyFill="1" applyBorder="1" applyAlignment="1">
      <alignment horizontal="left" indent="1"/>
    </xf>
    <xf numFmtId="0" fontId="40" fillId="41" borderId="6" xfId="0" applyFont="1" applyFill="1" applyBorder="1" applyAlignment="1">
      <alignment horizontal="center" vertical="center"/>
    </xf>
    <xf numFmtId="0" fontId="40" fillId="41" borderId="7" xfId="0" applyFont="1" applyFill="1" applyBorder="1" applyAlignment="1">
      <alignment horizontal="center" vertical="center"/>
    </xf>
    <xf numFmtId="0" fontId="40" fillId="41" borderId="1" xfId="0" applyFont="1" applyFill="1" applyBorder="1" applyAlignment="1">
      <alignment horizontal="center" vertical="center"/>
    </xf>
    <xf numFmtId="0" fontId="40" fillId="24" borderId="6" xfId="0" applyFont="1" applyFill="1" applyBorder="1" applyAlignment="1">
      <alignment horizontal="right" vertical="center" indent="1"/>
    </xf>
    <xf numFmtId="0" fontId="40" fillId="24" borderId="7" xfId="0" applyFont="1" applyFill="1" applyBorder="1" applyAlignment="1">
      <alignment horizontal="right" vertical="center" indent="1"/>
    </xf>
    <xf numFmtId="0" fontId="40" fillId="24" borderId="1" xfId="0" applyFont="1" applyFill="1" applyBorder="1" applyAlignment="1">
      <alignment horizontal="right" vertical="center" indent="1"/>
    </xf>
    <xf numFmtId="0" fontId="29" fillId="0" borderId="0" xfId="0" applyFont="1" applyAlignment="1">
      <alignment horizontal="right" vertical="center" indent="1"/>
    </xf>
    <xf numFmtId="0" fontId="0" fillId="42" borderId="1" xfId="0" applyFill="1" applyBorder="1" applyAlignment="1">
      <alignment horizontal="right" vertical="center" indent="1"/>
    </xf>
    <xf numFmtId="0" fontId="0" fillId="24" borderId="1" xfId="0" applyFill="1" applyBorder="1" applyAlignment="1">
      <alignment horizontal="right" vertical="center" indent="1"/>
    </xf>
    <xf numFmtId="0" fontId="53" fillId="16" borderId="1" xfId="0" applyFont="1" applyFill="1" applyBorder="1" applyAlignment="1">
      <alignment horizontal="center" vertical="center"/>
    </xf>
    <xf numFmtId="0" fontId="45" fillId="19" borderId="1" xfId="0" applyFont="1" applyFill="1" applyBorder="1" applyAlignment="1">
      <alignment horizontal="left" vertical="center" wrapText="1" indent="1"/>
    </xf>
    <xf numFmtId="0" fontId="40" fillId="24" borderId="15" xfId="0" applyFont="1" applyFill="1" applyBorder="1" applyAlignment="1">
      <alignment horizontal="right" vertical="center" indent="1"/>
    </xf>
    <xf numFmtId="0" fontId="40" fillId="24" borderId="13" xfId="0" applyFont="1" applyFill="1" applyBorder="1" applyAlignment="1">
      <alignment horizontal="right" vertical="center" indent="1"/>
    </xf>
    <xf numFmtId="0" fontId="40" fillId="24" borderId="0" xfId="0" applyFont="1" applyFill="1" applyBorder="1" applyAlignment="1">
      <alignment horizontal="right" vertical="center" indent="1"/>
    </xf>
    <xf numFmtId="0" fontId="40" fillId="24" borderId="4" xfId="0" applyFont="1" applyFill="1" applyBorder="1" applyAlignment="1">
      <alignment horizontal="right" vertical="center" indent="1"/>
    </xf>
    <xf numFmtId="0" fontId="44" fillId="32" borderId="1" xfId="0" applyFont="1" applyFill="1" applyBorder="1" applyAlignment="1">
      <alignment horizontal="left" vertical="center" indent="1"/>
    </xf>
    <xf numFmtId="0" fontId="44" fillId="32" borderId="6" xfId="0" applyFont="1" applyFill="1" applyBorder="1" applyAlignment="1">
      <alignment horizontal="left" vertical="center" indent="1"/>
    </xf>
    <xf numFmtId="0" fontId="44" fillId="32" borderId="8" xfId="0" applyFont="1" applyFill="1" applyBorder="1" applyAlignment="1">
      <alignment horizontal="left" vertical="center" indent="1"/>
    </xf>
    <xf numFmtId="0" fontId="21" fillId="0" borderId="0" xfId="0" applyFont="1" applyFill="1" applyBorder="1" applyAlignment="1">
      <alignment horizontal="center" vertical="center"/>
    </xf>
    <xf numFmtId="0" fontId="21" fillId="0" borderId="0" xfId="0" applyFont="1" applyFill="1" applyBorder="1" applyAlignment="1">
      <alignment horizontal="center" vertical="center" wrapText="1"/>
    </xf>
    <xf numFmtId="0" fontId="28" fillId="32" borderId="1" xfId="0" applyFont="1" applyFill="1" applyBorder="1" applyAlignment="1">
      <alignment horizontal="left" vertical="center" indent="1"/>
    </xf>
    <xf numFmtId="0" fontId="54" fillId="0" borderId="1" xfId="0" applyFont="1" applyBorder="1" applyAlignment="1">
      <alignment horizontal="left" vertical="center" wrapText="1" indent="1"/>
    </xf>
    <xf numFmtId="0" fontId="0" fillId="42" borderId="1" xfId="0" applyFill="1" applyBorder="1" applyAlignment="1">
      <alignment horizontal="left" vertical="center" indent="1"/>
    </xf>
    <xf numFmtId="0" fontId="47" fillId="39" borderId="1" xfId="0" applyFont="1" applyFill="1" applyBorder="1" applyAlignment="1">
      <alignment horizontal="left" vertical="center" indent="1"/>
    </xf>
    <xf numFmtId="0" fontId="47" fillId="39" borderId="1" xfId="0" applyFont="1" applyFill="1" applyBorder="1" applyAlignment="1">
      <alignment horizontal="left" vertical="center" indent="1"/>
    </xf>
    <xf numFmtId="1" fontId="8" fillId="42" borderId="11" xfId="0" applyNumberFormat="1" applyFont="1" applyFill="1" applyBorder="1" applyAlignment="1">
      <alignment horizontal="center" vertical="center" wrapText="1"/>
    </xf>
    <xf numFmtId="1" fontId="8" fillId="42" borderId="10" xfId="0" applyNumberFormat="1" applyFont="1" applyFill="1" applyBorder="1" applyAlignment="1">
      <alignment horizontal="center" vertical="center" wrapText="1"/>
    </xf>
    <xf numFmtId="0" fontId="12" fillId="42" borderId="1" xfId="0" applyFont="1" applyFill="1" applyBorder="1" applyAlignment="1">
      <alignment horizontal="center" vertical="center" wrapText="1"/>
    </xf>
    <xf numFmtId="0" fontId="12" fillId="42" borderId="14" xfId="0" applyFont="1" applyFill="1" applyBorder="1" applyAlignment="1">
      <alignment horizontal="center" vertical="center" wrapText="1"/>
    </xf>
    <xf numFmtId="0" fontId="4" fillId="40" borderId="1" xfId="0" applyFont="1" applyFill="1" applyBorder="1" applyAlignment="1">
      <alignment horizontal="center" vertical="center" wrapText="1"/>
    </xf>
    <xf numFmtId="10" fontId="4" fillId="40" borderId="1" xfId="0" applyNumberFormat="1" applyFont="1" applyFill="1" applyBorder="1" applyAlignment="1">
      <alignment horizontal="center" vertical="center" wrapText="1"/>
    </xf>
    <xf numFmtId="0" fontId="4" fillId="40" borderId="14" xfId="0" applyFont="1" applyFill="1" applyBorder="1" applyAlignment="1">
      <alignment horizontal="center" vertical="center" wrapText="1"/>
    </xf>
    <xf numFmtId="10" fontId="4" fillId="40" borderId="14" xfId="0" applyNumberFormat="1" applyFont="1" applyFill="1" applyBorder="1" applyAlignment="1">
      <alignment horizontal="center" vertical="center" wrapText="1"/>
    </xf>
    <xf numFmtId="0" fontId="8" fillId="40" borderId="1" xfId="0" applyFont="1" applyFill="1" applyBorder="1" applyAlignment="1">
      <alignment horizontal="center" vertical="center" wrapText="1"/>
    </xf>
    <xf numFmtId="0" fontId="9" fillId="40" borderId="14" xfId="0" applyFont="1" applyFill="1" applyBorder="1" applyAlignment="1">
      <alignment horizontal="center" vertical="center" wrapText="1"/>
    </xf>
    <xf numFmtId="1" fontId="2" fillId="19" borderId="0" xfId="0" applyNumberFormat="1" applyFont="1" applyFill="1" applyAlignment="1">
      <alignment horizontal="center" vertical="center"/>
    </xf>
    <xf numFmtId="0" fontId="4" fillId="20" borderId="11" xfId="0" applyFont="1" applyFill="1" applyBorder="1" applyAlignment="1">
      <alignment horizontal="center" vertical="center" wrapText="1"/>
    </xf>
    <xf numFmtId="0" fontId="35" fillId="24" borderId="1" xfId="0" applyFont="1" applyFill="1" applyBorder="1" applyAlignment="1">
      <alignment horizontal="center" vertical="center"/>
    </xf>
    <xf numFmtId="0" fontId="21" fillId="19" borderId="1" xfId="0" applyFont="1" applyFill="1" applyBorder="1" applyAlignment="1">
      <alignment horizontal="left" vertical="center" indent="1"/>
    </xf>
    <xf numFmtId="0" fontId="12" fillId="35" borderId="1" xfId="0" applyFont="1" applyFill="1" applyBorder="1" applyAlignment="1">
      <alignment horizontal="center" vertical="center" wrapText="1"/>
    </xf>
    <xf numFmtId="0" fontId="22" fillId="34" borderId="6" xfId="0" applyFont="1" applyFill="1" applyBorder="1" applyAlignment="1">
      <alignment horizontal="left" vertical="center" indent="1"/>
    </xf>
    <xf numFmtId="0" fontId="22" fillId="34" borderId="8" xfId="0" applyFont="1" applyFill="1" applyBorder="1" applyAlignment="1">
      <alignment horizontal="left" vertical="center" indent="1"/>
    </xf>
    <xf numFmtId="0" fontId="22" fillId="34" borderId="7" xfId="0" applyFont="1" applyFill="1" applyBorder="1" applyAlignment="1">
      <alignment horizontal="left" vertical="center" indent="1"/>
    </xf>
    <xf numFmtId="0" fontId="56" fillId="43" borderId="1" xfId="0" applyFont="1" applyFill="1" applyBorder="1" applyAlignment="1">
      <alignment horizontal="center" vertical="center"/>
    </xf>
    <xf numFmtId="0" fontId="56" fillId="39" borderId="0" xfId="0" applyFont="1" applyFill="1" applyBorder="1" applyAlignment="1">
      <alignment horizontal="center" vertical="center"/>
    </xf>
    <xf numFmtId="0" fontId="56" fillId="39" borderId="4" xfId="0" applyFont="1" applyFill="1" applyBorder="1" applyAlignment="1">
      <alignment horizontal="center" vertical="center"/>
    </xf>
    <xf numFmtId="0" fontId="56" fillId="39" borderId="12" xfId="0" applyFont="1" applyFill="1" applyBorder="1" applyAlignment="1">
      <alignment horizontal="center" vertical="center"/>
    </xf>
    <xf numFmtId="0" fontId="56" fillId="39" borderId="3" xfId="0" applyFont="1" applyFill="1" applyBorder="1" applyAlignment="1">
      <alignment horizontal="center" vertical="center"/>
    </xf>
    <xf numFmtId="0" fontId="56" fillId="44" borderId="0" xfId="0" applyFont="1" applyFill="1" applyBorder="1" applyAlignment="1">
      <alignment horizontal="center" vertical="center"/>
    </xf>
    <xf numFmtId="0" fontId="56" fillId="44" borderId="4" xfId="0" applyFont="1" applyFill="1" applyBorder="1" applyAlignment="1">
      <alignment horizontal="center" vertical="center"/>
    </xf>
    <xf numFmtId="0" fontId="56" fillId="44" borderId="12" xfId="0" applyFont="1" applyFill="1" applyBorder="1" applyAlignment="1">
      <alignment horizontal="center" vertical="center"/>
    </xf>
    <xf numFmtId="0" fontId="56" fillId="44" borderId="3" xfId="0" applyFont="1" applyFill="1" applyBorder="1" applyAlignment="1">
      <alignment horizontal="center" vertical="center"/>
    </xf>
    <xf numFmtId="0" fontId="49" fillId="0" borderId="0" xfId="0" applyNumberFormat="1" applyFont="1" applyAlignment="1">
      <alignment horizontal="center" vertical="center"/>
    </xf>
    <xf numFmtId="0" fontId="54" fillId="0" borderId="0" xfId="0" applyNumberFormat="1" applyFont="1" applyAlignment="1">
      <alignment horizontal="center" vertical="center"/>
    </xf>
    <xf numFmtId="1" fontId="2" fillId="15" borderId="0" xfId="0" applyNumberFormat="1" applyFont="1" applyFill="1" applyAlignment="1">
      <alignment horizontal="center" vertical="center"/>
    </xf>
    <xf numFmtId="0" fontId="46" fillId="16" borderId="0" xfId="0" applyFont="1" applyFill="1" applyAlignment="1">
      <alignment horizontal="left" vertical="center" indent="1"/>
    </xf>
    <xf numFmtId="0" fontId="3" fillId="0" borderId="1" xfId="0" applyFont="1" applyBorder="1" applyAlignment="1">
      <alignment horizontal="center" vertical="center"/>
    </xf>
    <xf numFmtId="164" fontId="23" fillId="0" borderId="0" xfId="0" applyNumberFormat="1" applyFont="1" applyAlignment="1">
      <alignment horizontal="center" vertical="center" wrapText="1"/>
    </xf>
    <xf numFmtId="164" fontId="0" fillId="0" borderId="0" xfId="0" applyNumberFormat="1" applyAlignment="1">
      <alignment horizontal="center"/>
    </xf>
    <xf numFmtId="0" fontId="4" fillId="40" borderId="1" xfId="0" applyFont="1" applyFill="1" applyBorder="1" applyAlignment="1">
      <alignment horizontal="center" vertical="center"/>
    </xf>
    <xf numFmtId="164" fontId="8" fillId="40" borderId="1" xfId="0" applyNumberFormat="1" applyFont="1" applyFill="1" applyBorder="1" applyAlignment="1">
      <alignment horizontal="center" vertical="center"/>
    </xf>
    <xf numFmtId="0" fontId="4" fillId="40" borderId="11" xfId="0" applyFont="1" applyFill="1" applyBorder="1" applyAlignment="1">
      <alignment horizontal="center" vertical="center" wrapText="1"/>
    </xf>
    <xf numFmtId="0" fontId="0" fillId="0" borderId="0" xfId="0" applyBorder="1"/>
    <xf numFmtId="0" fontId="4" fillId="40" borderId="14" xfId="0" applyFont="1" applyFill="1" applyBorder="1" applyAlignment="1">
      <alignment horizontal="center" vertical="center"/>
    </xf>
    <xf numFmtId="0" fontId="4" fillId="2" borderId="14" xfId="0" applyFont="1" applyFill="1" applyBorder="1" applyAlignment="1">
      <alignment horizontal="center" vertical="center"/>
    </xf>
    <xf numFmtId="0" fontId="0" fillId="22" borderId="14" xfId="0" applyFill="1" applyBorder="1" applyAlignment="1">
      <alignment horizontal="center" vertical="center"/>
    </xf>
    <xf numFmtId="0" fontId="25" fillId="23" borderId="14" xfId="0" applyFont="1" applyFill="1" applyBorder="1" applyAlignment="1">
      <alignment horizontal="center" vertical="center"/>
    </xf>
    <xf numFmtId="10" fontId="11" fillId="24" borderId="14" xfId="0" applyNumberFormat="1" applyFont="1" applyFill="1" applyBorder="1" applyAlignment="1">
      <alignment horizontal="center" vertical="center"/>
    </xf>
    <xf numFmtId="0" fontId="0" fillId="24" borderId="14" xfId="0" applyFill="1" applyBorder="1" applyAlignment="1">
      <alignment horizontal="left" vertical="center" indent="1"/>
    </xf>
    <xf numFmtId="0" fontId="47" fillId="39" borderId="14" xfId="0" applyFont="1" applyFill="1" applyBorder="1" applyAlignment="1">
      <alignment horizontal="left" vertical="center" indent="1"/>
    </xf>
    <xf numFmtId="0" fontId="3" fillId="45" borderId="2" xfId="0" applyFont="1" applyFill="1" applyBorder="1" applyAlignment="1">
      <alignment horizontal="center" vertical="center"/>
    </xf>
    <xf numFmtId="0" fontId="3" fillId="45" borderId="12" xfId="0" applyFont="1" applyFill="1" applyBorder="1" applyAlignment="1">
      <alignment horizontal="center" vertical="center"/>
    </xf>
    <xf numFmtId="14" fontId="23" fillId="0" borderId="0" xfId="0" applyNumberFormat="1" applyFont="1" applyAlignment="1">
      <alignment horizontal="center" vertical="center" wrapText="1"/>
    </xf>
    <xf numFmtId="10" fontId="2" fillId="0" borderId="0" xfId="0" applyNumberFormat="1" applyFont="1" applyAlignment="1">
      <alignment horizontal="center" vertical="center" wrapText="1"/>
    </xf>
    <xf numFmtId="0" fontId="9" fillId="40" borderId="14" xfId="0" applyFont="1" applyFill="1" applyBorder="1" applyAlignment="1">
      <alignment horizontal="center" vertical="center"/>
    </xf>
    <xf numFmtId="164" fontId="9" fillId="40" borderId="14" xfId="0" applyNumberFormat="1" applyFont="1" applyFill="1" applyBorder="1" applyAlignment="1">
      <alignment horizontal="center" vertical="center"/>
    </xf>
    <xf numFmtId="0" fontId="58" fillId="42" borderId="6" xfId="0" applyNumberFormat="1" applyFont="1" applyFill="1" applyBorder="1" applyAlignment="1">
      <alignment horizontal="center" vertical="center" wrapText="1"/>
    </xf>
    <xf numFmtId="0" fontId="49" fillId="0" borderId="0" xfId="0" applyNumberFormat="1" applyFont="1" applyFill="1" applyAlignment="1">
      <alignment horizontal="center" vertical="center"/>
    </xf>
    <xf numFmtId="0" fontId="54" fillId="0" borderId="0" xfId="0" applyNumberFormat="1" applyFont="1" applyFill="1" applyAlignment="1">
      <alignment horizontal="center" vertical="center"/>
    </xf>
    <xf numFmtId="1" fontId="8" fillId="46" borderId="11" xfId="0" applyNumberFormat="1" applyFont="1" applyFill="1" applyBorder="1" applyAlignment="1">
      <alignment horizontal="center" vertical="center" wrapText="1"/>
    </xf>
    <xf numFmtId="0" fontId="8" fillId="46" borderId="11" xfId="0" applyNumberFormat="1" applyFont="1" applyFill="1" applyBorder="1" applyAlignment="1">
      <alignment horizontal="center" vertical="center" wrapText="1"/>
    </xf>
    <xf numFmtId="0" fontId="4" fillId="47" borderId="1" xfId="0" applyFont="1" applyFill="1" applyBorder="1" applyAlignment="1">
      <alignment horizontal="center" vertical="center" wrapText="1"/>
    </xf>
    <xf numFmtId="0" fontId="4" fillId="47" borderId="14" xfId="0" applyFont="1" applyFill="1" applyBorder="1" applyAlignment="1">
      <alignment horizontal="center" vertical="center" wrapText="1"/>
    </xf>
    <xf numFmtId="1" fontId="8" fillId="46" borderId="1" xfId="0" applyNumberFormat="1" applyFont="1" applyFill="1" applyBorder="1" applyAlignment="1">
      <alignment horizontal="center" vertical="center" wrapText="1"/>
    </xf>
    <xf numFmtId="0" fontId="8" fillId="46" borderId="1" xfId="0" applyNumberFormat="1" applyFont="1" applyFill="1" applyBorder="1" applyAlignment="1">
      <alignment horizontal="center" vertical="center" wrapText="1"/>
    </xf>
    <xf numFmtId="0" fontId="40" fillId="41" borderId="10" xfId="0" applyFont="1" applyFill="1" applyBorder="1" applyAlignment="1">
      <alignment horizontal="center" vertical="center"/>
    </xf>
    <xf numFmtId="1" fontId="8" fillId="46" borderId="14" xfId="0" applyNumberFormat="1" applyFont="1" applyFill="1" applyBorder="1" applyAlignment="1">
      <alignment horizontal="center" vertical="center" wrapText="1"/>
    </xf>
    <xf numFmtId="0" fontId="8" fillId="46" borderId="14" xfId="0" applyNumberFormat="1" applyFont="1" applyFill="1" applyBorder="1" applyAlignment="1">
      <alignment horizontal="center" vertical="center" wrapText="1"/>
    </xf>
    <xf numFmtId="0" fontId="4" fillId="20" borderId="14" xfId="0" applyFont="1" applyFill="1" applyBorder="1" applyAlignment="1">
      <alignment horizontal="center" vertical="center" wrapText="1"/>
    </xf>
    <xf numFmtId="0" fontId="0" fillId="46" borderId="1" xfId="0" applyFill="1" applyBorder="1" applyAlignment="1">
      <alignment horizontal="left" vertical="center" indent="1"/>
    </xf>
    <xf numFmtId="0" fontId="0" fillId="24" borderId="6" xfId="0" applyFill="1" applyBorder="1" applyAlignment="1">
      <alignment horizontal="center" vertical="center"/>
    </xf>
    <xf numFmtId="0" fontId="0" fillId="24" borderId="7" xfId="0" applyFill="1" applyBorder="1" applyAlignment="1">
      <alignment horizontal="center" vertical="center"/>
    </xf>
    <xf numFmtId="0" fontId="12" fillId="35" borderId="6" xfId="0" applyFont="1" applyFill="1" applyBorder="1" applyAlignment="1">
      <alignment horizontal="left" vertical="center" wrapText="1" indent="1"/>
    </xf>
    <xf numFmtId="0" fontId="12" fillId="35" borderId="8" xfId="0" applyFont="1" applyFill="1" applyBorder="1" applyAlignment="1">
      <alignment horizontal="left" vertical="center" wrapText="1" indent="1"/>
    </xf>
    <xf numFmtId="0" fontId="12" fillId="35" borderId="7" xfId="0" applyFont="1" applyFill="1" applyBorder="1" applyAlignment="1">
      <alignment horizontal="left" vertical="center" wrapText="1" indent="1"/>
    </xf>
    <xf numFmtId="0" fontId="21" fillId="0" borderId="0" xfId="0" applyFont="1" applyAlignment="1">
      <alignment horizontal="left" vertical="center" indent="1"/>
    </xf>
    <xf numFmtId="1" fontId="8" fillId="46" borderId="6" xfId="0" applyNumberFormat="1" applyFont="1" applyFill="1" applyBorder="1" applyAlignment="1">
      <alignment horizontal="center" vertical="center" wrapText="1"/>
    </xf>
    <xf numFmtId="0" fontId="0" fillId="0" borderId="0" xfId="0" applyAlignment="1">
      <alignment horizontal="center" vertical="center" wrapText="1"/>
    </xf>
    <xf numFmtId="0" fontId="9" fillId="40" borderId="11" xfId="0" applyFont="1" applyFill="1" applyBorder="1" applyAlignment="1">
      <alignment horizontal="center" vertical="center" wrapText="1"/>
    </xf>
    <xf numFmtId="0" fontId="4" fillId="48" borderId="1" xfId="0" applyFont="1" applyFill="1" applyBorder="1" applyAlignment="1">
      <alignment horizontal="center" vertical="center" wrapText="1"/>
    </xf>
    <xf numFmtId="0" fontId="0" fillId="42" borderId="11" xfId="0" applyFill="1" applyBorder="1" applyAlignment="1">
      <alignment horizontal="left" vertical="center" indent="1"/>
    </xf>
    <xf numFmtId="0" fontId="47" fillId="39" borderId="11" xfId="0" applyFont="1" applyFill="1" applyBorder="1" applyAlignment="1">
      <alignment horizontal="left" vertical="center" indent="1"/>
    </xf>
    <xf numFmtId="0" fontId="0" fillId="46" borderId="10" xfId="0" applyFill="1" applyBorder="1" applyAlignment="1">
      <alignment horizontal="left" vertical="center" indent="1"/>
    </xf>
    <xf numFmtId="0" fontId="47" fillId="39" borderId="10" xfId="0" applyFont="1" applyFill="1" applyBorder="1" applyAlignment="1">
      <alignment horizontal="left" vertical="center" indent="1"/>
    </xf>
    <xf numFmtId="1" fontId="8" fillId="46" borderId="9" xfId="0" applyNumberFormat="1" applyFont="1" applyFill="1" applyBorder="1" applyAlignment="1">
      <alignment horizontal="center" vertical="center" wrapText="1"/>
    </xf>
    <xf numFmtId="0" fontId="8" fillId="46" borderId="9" xfId="0" applyNumberFormat="1" applyFont="1" applyFill="1" applyBorder="1" applyAlignment="1">
      <alignment horizontal="center" vertical="center" wrapText="1"/>
    </xf>
    <xf numFmtId="0" fontId="4" fillId="47" borderId="11" xfId="0" applyFont="1" applyFill="1" applyBorder="1" applyAlignment="1">
      <alignment horizontal="center" vertical="center" wrapText="1"/>
    </xf>
    <xf numFmtId="166" fontId="4" fillId="2" borderId="11" xfId="0" applyNumberFormat="1" applyFont="1" applyFill="1" applyBorder="1" applyAlignment="1">
      <alignment horizontal="center" vertical="center" wrapText="1"/>
    </xf>
    <xf numFmtId="0" fontId="12" fillId="42" borderId="11" xfId="0" applyFont="1" applyFill="1" applyBorder="1" applyAlignment="1">
      <alignment horizontal="center" vertical="center" wrapText="1"/>
    </xf>
    <xf numFmtId="1" fontId="4" fillId="2" borderId="11" xfId="0" applyNumberFormat="1" applyFont="1" applyFill="1" applyBorder="1" applyAlignment="1">
      <alignment horizontal="center" vertical="center" wrapText="1"/>
    </xf>
    <xf numFmtId="10" fontId="4" fillId="40" borderId="11" xfId="0" applyNumberFormat="1" applyFont="1" applyFill="1" applyBorder="1" applyAlignment="1">
      <alignment horizontal="center" vertical="center" wrapText="1"/>
    </xf>
    <xf numFmtId="0" fontId="4" fillId="48" borderId="11" xfId="0" applyFont="1" applyFill="1" applyBorder="1" applyAlignment="1">
      <alignment horizontal="center" vertical="center" wrapText="1"/>
    </xf>
    <xf numFmtId="0" fontId="8" fillId="10" borderId="11" xfId="0" applyFont="1" applyFill="1" applyBorder="1" applyAlignment="1">
      <alignment horizontal="center" vertical="center" wrapText="1"/>
    </xf>
    <xf numFmtId="0" fontId="0" fillId="0" borderId="0" xfId="0" applyBorder="1" applyAlignment="1">
      <alignment horizontal="center" vertical="center" wrapText="1"/>
    </xf>
  </cellXfs>
  <cellStyles count="1">
    <cellStyle name="Normal" xfId="0" builtinId="0"/>
  </cellStyles>
  <dxfs count="49">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patternType="none">
          <bgColor auto="1"/>
        </patternFill>
      </fill>
    </dxf>
    <dxf>
      <font>
        <color theme="9"/>
      </font>
      <fill>
        <patternFill>
          <bgColor theme="9"/>
        </patternFill>
      </fill>
    </dxf>
    <dxf>
      <font>
        <color rgb="FFFF0000"/>
      </font>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92D050"/>
        </patternFill>
      </fill>
    </dxf>
    <dxf>
      <font>
        <b/>
        <i val="0"/>
        <color theme="0" tint="-4.9989318521683403E-2"/>
      </font>
      <fill>
        <patternFill>
          <bgColor rgb="FFFF0000"/>
        </patternFill>
      </fill>
    </dxf>
    <dxf>
      <fill>
        <patternFill>
          <bgColor rgb="FF92D050"/>
        </patternFill>
      </fill>
    </dxf>
    <dxf>
      <font>
        <b/>
        <i val="0"/>
        <color theme="0" tint="-4.9989318521683403E-2"/>
      </font>
      <fill>
        <patternFill>
          <bgColor rgb="FFFF0000"/>
        </patternFill>
      </fill>
    </dxf>
    <dxf>
      <fill>
        <patternFill>
          <bgColor rgb="FFC5D9F1"/>
        </patternFill>
      </fill>
    </dxf>
    <dxf>
      <fill>
        <patternFill>
          <bgColor rgb="FFFFCCCC"/>
        </patternFill>
      </fill>
    </dxf>
    <dxf>
      <fill>
        <patternFill>
          <bgColor rgb="FFFDE9D9"/>
        </patternFill>
      </fill>
    </dxf>
    <dxf>
      <fill>
        <patternFill>
          <bgColor rgb="FF92D050"/>
        </patternFill>
      </fill>
    </dxf>
    <dxf>
      <fill>
        <patternFill>
          <bgColor rgb="FFFF4F4F"/>
        </patternFill>
      </fill>
    </dxf>
    <dxf>
      <fill>
        <patternFill>
          <bgColor rgb="FF92D050"/>
        </patternFill>
      </fill>
    </dxf>
    <dxf>
      <fill>
        <patternFill>
          <bgColor rgb="FFFF4F4F"/>
        </patternFill>
      </fill>
    </dxf>
    <dxf>
      <fill>
        <patternFill>
          <bgColor rgb="FFFF9797"/>
        </patternFill>
      </fill>
    </dxf>
    <dxf>
      <font>
        <b val="0"/>
        <i val="0"/>
        <strike val="0"/>
        <outline val="0"/>
        <shadow val="0"/>
        <u val="none"/>
        <vertAlign val="baseline"/>
        <sz val="10"/>
        <name val="Arial"/>
        <family val="2"/>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
      <alignment horizontal="center" vertical="center" textRotation="0" wrapText="0" indent="0" justifyLastLine="0" shrinkToFit="0" readingOrder="0"/>
    </dxf>
    <dxf>
      <font>
        <strike val="0"/>
        <outline val="0"/>
        <shadow val="0"/>
        <u val="none"/>
        <vertAlign val="baseline"/>
        <name val="Arial"/>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fill>
        <patternFill patternType="solid">
          <fgColor rgb="FFFFFFFF"/>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sz val="10"/>
        <color rgb="FFFFFFFF"/>
        <name val="Arial"/>
        <family val="2"/>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7128"/>
      <color rgb="FFFFEF9C"/>
      <color rgb="FFFFFF00"/>
      <color rgb="FFC5D9F1"/>
      <color rgb="FFFFCCCC"/>
      <color rgb="FFFDE9D9"/>
      <color rgb="FFFF9999"/>
      <color rgb="FF1F4E78"/>
      <color rgb="FFFFF9DB"/>
      <color rgb="FFE26B0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Error Over Time - Selected Camera </a:t>
            </a:r>
            <a:r>
              <a:rPr lang="en-GB" sz="1000" b="0" i="1" strike="noStrike" spc="-1">
                <a:solidFill>
                  <a:srgbClr val="000000"/>
                </a:solidFill>
                <a:latin typeface="Calibri"/>
              </a:rPr>
              <a:t>(from Camera Error Trend)</a:t>
            </a:r>
          </a:p>
          <a:p>
            <a:pPr algn="l">
              <a:defRPr sz="1800" b="1" strike="noStrike" spc="-1">
                <a:solidFill>
                  <a:srgbClr val="000000"/>
                </a:solidFill>
                <a:latin typeface="Calibri"/>
              </a:defRPr>
            </a:pPr>
            <a:r>
              <a:rPr lang="en-GB" sz="1000" b="0" i="1" strike="noStrike" spc="-1">
                <a:solidFill>
                  <a:srgbClr val="000000"/>
                </a:solidFill>
                <a:latin typeface="Calibri"/>
              </a:rPr>
              <a:t>when</a:t>
            </a:r>
            <a:r>
              <a:rPr lang="en-GB" sz="1000" b="0" i="1" strike="noStrike" spc="-1" baseline="0">
                <a:solidFill>
                  <a:srgbClr val="000000"/>
                </a:solidFill>
                <a:latin typeface="Calibri"/>
              </a:rPr>
              <a:t> new day is added ensure data selection is updated</a:t>
            </a:r>
            <a:endParaRPr lang="en-GB" sz="1000" b="0" i="1" strike="noStrike" spc="-1">
              <a:solidFill>
                <a:srgbClr val="000000"/>
              </a:solidFill>
              <a:latin typeface="Calibri"/>
            </a:endParaRPr>
          </a:p>
        </c:rich>
      </c:tx>
      <c:layout>
        <c:manualLayout>
          <c:xMode val="edge"/>
          <c:yMode val="edge"/>
          <c:x val="0.12925204181269065"/>
          <c:y val="3.9294949593397827E-2"/>
        </c:manualLayout>
      </c:layout>
      <c:overlay val="0"/>
      <c:spPr>
        <a:noFill/>
        <a:ln w="0">
          <a:noFill/>
        </a:ln>
      </c:spPr>
    </c:title>
    <c:autoTitleDeleted val="0"/>
    <c:plotArea>
      <c:layout/>
      <c:lineChart>
        <c:grouping val="standard"/>
        <c:varyColors val="0"/>
        <c:ser>
          <c:idx val="0"/>
          <c:order val="0"/>
          <c:tx>
            <c:strRef>
              <c:f>'Daily Trends'!$C$4</c:f>
              <c:strCache>
                <c:ptCount val="1"/>
                <c:pt idx="0">
                  <c:v>World Error</c:v>
                </c:pt>
              </c:strCache>
            </c:strRef>
          </c:tx>
          <c:spPr>
            <a:ln w="47520">
              <a:solidFill>
                <a:srgbClr val="4A7EBB"/>
              </a:solidFill>
              <a:round/>
            </a:ln>
          </c:spPr>
          <c:marker>
            <c:symbol val="none"/>
          </c:marker>
          <c:cat>
            <c:numRef>
              <c:f>'Daily Trends'!$A$5:$A$15</c:f>
              <c:numCache>
                <c:formatCode>m/d/yyyy</c:formatCode>
                <c:ptCount val="11"/>
                <c:pt idx="0">
                  <c:v>46228</c:v>
                </c:pt>
                <c:pt idx="1">
                  <c:v>46230</c:v>
                </c:pt>
                <c:pt idx="2">
                  <c:v>46231</c:v>
                </c:pt>
                <c:pt idx="3">
                  <c:v>46232</c:v>
                </c:pt>
                <c:pt idx="4">
                  <c:v>46233</c:v>
                </c:pt>
                <c:pt idx="5">
                  <c:v>46234</c:v>
                </c:pt>
                <c:pt idx="6">
                  <c:v>46235</c:v>
                </c:pt>
                <c:pt idx="7">
                  <c:v>46237</c:v>
                </c:pt>
                <c:pt idx="8">
                  <c:v>46238</c:v>
                </c:pt>
                <c:pt idx="9">
                  <c:v>46239</c:v>
                </c:pt>
                <c:pt idx="10">
                  <c:v>46240</c:v>
                </c:pt>
              </c:numCache>
            </c:numRef>
          </c:cat>
          <c:val>
            <c:numRef>
              <c:f>'Daily Trends'!$C$5:$C$60</c:f>
              <c:numCache>
                <c:formatCode>0.000000</c:formatCode>
                <c:ptCount val="56"/>
                <c:pt idx="0">
                  <c:v>0.62003600000000003</c:v>
                </c:pt>
                <c:pt idx="1">
                  <c:v>0.610344</c:v>
                </c:pt>
                <c:pt idx="2">
                  <c:v>0.55386500000000005</c:v>
                </c:pt>
                <c:pt idx="3">
                  <c:v>0.56917399999999996</c:v>
                </c:pt>
                <c:pt idx="4">
                  <c:v>0.45406200000000002</c:v>
                </c:pt>
                <c:pt idx="5">
                  <c:v>0.53664000000000001</c:v>
                </c:pt>
                <c:pt idx="6">
                  <c:v>0.47246100000000002</c:v>
                </c:pt>
                <c:pt idx="7">
                  <c:v>0.44384499999999999</c:v>
                </c:pt>
                <c:pt idx="8">
                  <c:v>0.57407399999999997</c:v>
                </c:pt>
                <c:pt idx="9">
                  <c:v>0.58760599999999996</c:v>
                </c:pt>
                <c:pt idx="10">
                  <c:v>0.52784600000000004</c:v>
                </c:pt>
                <c:pt idx="11">
                  <c:v>0.54024799999999995</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numCache>
            </c:numRef>
          </c:val>
          <c:smooth val="0"/>
          <c:extLst>
            <c:ext xmlns:c16="http://schemas.microsoft.com/office/drawing/2014/chart" uri="{C3380CC4-5D6E-409C-BE32-E72D297353CC}">
              <c16:uniqueId val="{00000000-4263-4C18-B27D-4E5EBC9D822E}"/>
            </c:ext>
          </c:extLst>
        </c:ser>
        <c:ser>
          <c:idx val="1"/>
          <c:order val="1"/>
          <c:tx>
            <c:strRef>
              <c:f>'Daily Trends'!$D$4</c:f>
              <c:strCache>
                <c:ptCount val="1"/>
                <c:pt idx="0">
                  <c:v>Image Error</c:v>
                </c:pt>
              </c:strCache>
            </c:strRef>
          </c:tx>
          <c:spPr>
            <a:ln w="47520">
              <a:solidFill>
                <a:srgbClr val="BE4B48"/>
              </a:solidFill>
              <a:round/>
            </a:ln>
          </c:spPr>
          <c:marker>
            <c:symbol val="none"/>
          </c:marker>
          <c:cat>
            <c:numRef>
              <c:f>'Daily Trends'!$A$5:$A$15</c:f>
              <c:numCache>
                <c:formatCode>m/d/yyyy</c:formatCode>
                <c:ptCount val="11"/>
                <c:pt idx="0">
                  <c:v>46228</c:v>
                </c:pt>
                <c:pt idx="1">
                  <c:v>46230</c:v>
                </c:pt>
                <c:pt idx="2">
                  <c:v>46231</c:v>
                </c:pt>
                <c:pt idx="3">
                  <c:v>46232</c:v>
                </c:pt>
                <c:pt idx="4">
                  <c:v>46233</c:v>
                </c:pt>
                <c:pt idx="5">
                  <c:v>46234</c:v>
                </c:pt>
                <c:pt idx="6">
                  <c:v>46235</c:v>
                </c:pt>
                <c:pt idx="7">
                  <c:v>46237</c:v>
                </c:pt>
                <c:pt idx="8">
                  <c:v>46238</c:v>
                </c:pt>
                <c:pt idx="9">
                  <c:v>46239</c:v>
                </c:pt>
                <c:pt idx="10">
                  <c:v>46240</c:v>
                </c:pt>
              </c:numCache>
            </c:numRef>
          </c:cat>
          <c:val>
            <c:numRef>
              <c:f>'Daily Trends'!$D$5:$D$60</c:f>
              <c:numCache>
                <c:formatCode>0.000000</c:formatCode>
                <c:ptCount val="56"/>
                <c:pt idx="0">
                  <c:v>0.12157900000000001</c:v>
                </c:pt>
                <c:pt idx="1">
                  <c:v>0.120907</c:v>
                </c:pt>
                <c:pt idx="2">
                  <c:v>0.109685</c:v>
                </c:pt>
                <c:pt idx="3">
                  <c:v>0.112651</c:v>
                </c:pt>
                <c:pt idx="4">
                  <c:v>8.9885099999999996E-2</c:v>
                </c:pt>
                <c:pt idx="5">
                  <c:v>0.106142</c:v>
                </c:pt>
                <c:pt idx="6">
                  <c:v>9.3412599999999998E-2</c:v>
                </c:pt>
                <c:pt idx="7">
                  <c:v>9.0625700000000003E-2</c:v>
                </c:pt>
                <c:pt idx="8">
                  <c:v>0.113594</c:v>
                </c:pt>
                <c:pt idx="9">
                  <c:v>0.11620800000000001</c:v>
                </c:pt>
                <c:pt idx="10">
                  <c:v>0.10437299999999999</c:v>
                </c:pt>
                <c:pt idx="11">
                  <c:v>0.11029799999999999</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numCache>
            </c:numRef>
          </c:val>
          <c:smooth val="0"/>
          <c:extLst>
            <c:ext xmlns:c16="http://schemas.microsoft.com/office/drawing/2014/chart" uri="{C3380CC4-5D6E-409C-BE32-E72D297353CC}">
              <c16:uniqueId val="{00000001-4263-4C18-B27D-4E5EBC9D822E}"/>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2"/>
          <c:tx>
            <c:strRef>
              <c:f>'Daily Trends'!$E$3:$E$4</c:f>
              <c:strCache>
                <c:ptCount val="2"/>
                <c:pt idx="0">
                  <c:v>Wand Count %</c:v>
                </c:pt>
              </c:strCache>
            </c:strRef>
          </c:tx>
          <c:spPr>
            <a:ln>
              <a:solidFill>
                <a:srgbClr val="FF7128"/>
              </a:solidFill>
            </a:ln>
          </c:spPr>
          <c:marker>
            <c:symbol val="none"/>
          </c:marker>
          <c:cat>
            <c:numRef>
              <c:f>'Daily Trends'!$A$5:$A$15</c:f>
              <c:numCache>
                <c:formatCode>m/d/yyyy</c:formatCode>
                <c:ptCount val="11"/>
                <c:pt idx="0">
                  <c:v>46228</c:v>
                </c:pt>
                <c:pt idx="1">
                  <c:v>46230</c:v>
                </c:pt>
                <c:pt idx="2">
                  <c:v>46231</c:v>
                </c:pt>
                <c:pt idx="3">
                  <c:v>46232</c:v>
                </c:pt>
                <c:pt idx="4">
                  <c:v>46233</c:v>
                </c:pt>
                <c:pt idx="5">
                  <c:v>46234</c:v>
                </c:pt>
                <c:pt idx="6">
                  <c:v>46235</c:v>
                </c:pt>
                <c:pt idx="7">
                  <c:v>46237</c:v>
                </c:pt>
                <c:pt idx="8">
                  <c:v>46238</c:v>
                </c:pt>
                <c:pt idx="9">
                  <c:v>46239</c:v>
                </c:pt>
                <c:pt idx="10">
                  <c:v>46240</c:v>
                </c:pt>
              </c:numCache>
            </c:numRef>
          </c:cat>
          <c:val>
            <c:numRef>
              <c:f>'Daily Trends'!$E$5:$E$15</c:f>
              <c:numCache>
                <c:formatCode>0.00%</c:formatCode>
                <c:ptCount val="11"/>
                <c:pt idx="0">
                  <c:v>2.2770000000000001</c:v>
                </c:pt>
                <c:pt idx="1">
                  <c:v>1.819</c:v>
                </c:pt>
                <c:pt idx="2">
                  <c:v>2.081</c:v>
                </c:pt>
                <c:pt idx="3">
                  <c:v>2.3809999999999998</c:v>
                </c:pt>
                <c:pt idx="4">
                  <c:v>2.0990000000000002</c:v>
                </c:pt>
                <c:pt idx="5">
                  <c:v>1.5846666666666667</c:v>
                </c:pt>
                <c:pt idx="6">
                  <c:v>1.5680000000000001</c:v>
                </c:pt>
                <c:pt idx="7">
                  <c:v>2.3420000000000001</c:v>
                </c:pt>
                <c:pt idx="8">
                  <c:v>2.407</c:v>
                </c:pt>
                <c:pt idx="9">
                  <c:v>2.0230000000000001</c:v>
                </c:pt>
                <c:pt idx="10">
                  <c:v>2.105</c:v>
                </c:pt>
              </c:numCache>
            </c:numRef>
          </c:val>
          <c:smooth val="0"/>
          <c:extLst>
            <c:ext xmlns:c16="http://schemas.microsoft.com/office/drawing/2014/chart" uri="{C3380CC4-5D6E-409C-BE32-E72D297353CC}">
              <c16:uniqueId val="{00000004-76F3-4EFD-8E72-A1B9689C2D8F}"/>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7821446"/>
        <c:crosses val="autoZero"/>
        <c:auto val="1"/>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 val="autoZero"/>
        <c:crossBetween val="between"/>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auto val="1"/>
        <c:lblOffset val="100"/>
        <c:baseTimeUnit val="days"/>
      </c:date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when new day is added ensure data selection is updated</a:t>
            </a:r>
          </a:p>
        </c:rich>
      </c:tx>
      <c:layout>
        <c:manualLayout>
          <c:xMode val="edge"/>
          <c:yMode val="edge"/>
          <c:x val="0.1256257158714012"/>
          <c:y val="2.9198042428357506E-2"/>
        </c:manualLayout>
      </c:layout>
      <c:overlay val="0"/>
      <c:spPr>
        <a:noFill/>
        <a:ln w="0">
          <a:noFill/>
        </a:ln>
      </c:spPr>
    </c:title>
    <c:autoTitleDeleted val="0"/>
    <c:plotArea>
      <c:layout/>
      <c:lineChart>
        <c:grouping val="standard"/>
        <c:varyColors val="0"/>
        <c:ser>
          <c:idx val="0"/>
          <c:order val="0"/>
          <c:tx>
            <c:strRef>
              <c:f>Daily!$J$4</c:f>
              <c:strCache>
                <c:ptCount val="1"/>
                <c:pt idx="0">
                  <c:v>Average</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Daily!$C$5:$C$15</c:f>
              <c:numCache>
                <c:formatCode>m/d/yyyy</c:formatCode>
                <c:ptCount val="11"/>
                <c:pt idx="0">
                  <c:v>46228</c:v>
                </c:pt>
                <c:pt idx="1">
                  <c:v>46230</c:v>
                </c:pt>
                <c:pt idx="2">
                  <c:v>46231</c:v>
                </c:pt>
                <c:pt idx="3">
                  <c:v>46232</c:v>
                </c:pt>
                <c:pt idx="4">
                  <c:v>46233</c:v>
                </c:pt>
                <c:pt idx="5">
                  <c:v>46234</c:v>
                </c:pt>
                <c:pt idx="6">
                  <c:v>46235</c:v>
                </c:pt>
                <c:pt idx="7">
                  <c:v>46237</c:v>
                </c:pt>
                <c:pt idx="8">
                  <c:v>46238</c:v>
                </c:pt>
                <c:pt idx="9">
                  <c:v>46239</c:v>
                </c:pt>
                <c:pt idx="10">
                  <c:v>46240</c:v>
                </c:pt>
              </c:numCache>
            </c:numRef>
          </c:cat>
          <c:val>
            <c:numRef>
              <c:f>Daily!$J$5:$J$58</c:f>
              <c:numCache>
                <c:formatCode>0.000000</c:formatCode>
                <c:ptCount val="54"/>
                <c:pt idx="0">
                  <c:v>0.3911837647058824</c:v>
                </c:pt>
                <c:pt idx="1">
                  <c:v>0.38041772222222209</c:v>
                </c:pt>
                <c:pt idx="2">
                  <c:v>0.35087827777777769</c:v>
                </c:pt>
                <c:pt idx="3">
                  <c:v>0.36980916666666652</c:v>
                </c:pt>
                <c:pt idx="4">
                  <c:v>0.3276797777777779</c:v>
                </c:pt>
                <c:pt idx="5">
                  <c:v>0.39170800000000017</c:v>
                </c:pt>
                <c:pt idx="6">
                  <c:v>0.55296411111111099</c:v>
                </c:pt>
                <c:pt idx="7">
                  <c:v>0.3760028333333334</c:v>
                </c:pt>
                <c:pt idx="8">
                  <c:v>0.40401527777777785</c:v>
                </c:pt>
                <c:pt idx="9">
                  <c:v>0.37193638888888891</c:v>
                </c:pt>
                <c:pt idx="10">
                  <c:v>0.37121238888888891</c:v>
                </c:pt>
                <c:pt idx="11">
                  <c:v>0.38615661111111099</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val>
          <c:smooth val="0"/>
          <c:extLst>
            <c:ext xmlns:c16="http://schemas.microsoft.com/office/drawing/2014/chart" uri="{C3380CC4-5D6E-409C-BE32-E72D297353CC}">
              <c16:uniqueId val="{00000000-61CB-403B-9C9E-64C59F521EE9}"/>
            </c:ext>
          </c:extLst>
        </c:ser>
        <c:ser>
          <c:idx val="1"/>
          <c:order val="1"/>
          <c:tx>
            <c:strRef>
              <c:f>Daily!$M$4</c:f>
              <c:strCache>
                <c:ptCount val="1"/>
                <c:pt idx="0">
                  <c:v>Average</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Daily!$C$5:$C$15</c:f>
              <c:numCache>
                <c:formatCode>m/d/yyyy</c:formatCode>
                <c:ptCount val="11"/>
                <c:pt idx="0">
                  <c:v>46228</c:v>
                </c:pt>
                <c:pt idx="1">
                  <c:v>46230</c:v>
                </c:pt>
                <c:pt idx="2">
                  <c:v>46231</c:v>
                </c:pt>
                <c:pt idx="3">
                  <c:v>46232</c:v>
                </c:pt>
                <c:pt idx="4">
                  <c:v>46233</c:v>
                </c:pt>
                <c:pt idx="5">
                  <c:v>46234</c:v>
                </c:pt>
                <c:pt idx="6">
                  <c:v>46235</c:v>
                </c:pt>
                <c:pt idx="7">
                  <c:v>46237</c:v>
                </c:pt>
                <c:pt idx="8">
                  <c:v>46238</c:v>
                </c:pt>
                <c:pt idx="9">
                  <c:v>46239</c:v>
                </c:pt>
                <c:pt idx="10">
                  <c:v>46240</c:v>
                </c:pt>
              </c:numCache>
            </c:numRef>
          </c:cat>
          <c:val>
            <c:numRef>
              <c:f>Daily!$M$5:$M$58</c:f>
              <c:numCache>
                <c:formatCode>0.000000</c:formatCode>
                <c:ptCount val="54"/>
                <c:pt idx="0">
                  <c:v>9.2278499999999986E-2</c:v>
                </c:pt>
                <c:pt idx="1">
                  <c:v>9.1966633333333339E-2</c:v>
                </c:pt>
                <c:pt idx="2">
                  <c:v>8.4730411111111126E-2</c:v>
                </c:pt>
                <c:pt idx="3">
                  <c:v>8.8881683333333295E-2</c:v>
                </c:pt>
                <c:pt idx="4">
                  <c:v>7.9198327777777744E-2</c:v>
                </c:pt>
                <c:pt idx="5">
                  <c:v>9.6186150000000026E-2</c:v>
                </c:pt>
                <c:pt idx="6">
                  <c:v>0.12669717222222227</c:v>
                </c:pt>
                <c:pt idx="7">
                  <c:v>9.0346500000000052E-2</c:v>
                </c:pt>
                <c:pt idx="8">
                  <c:v>9.6629455555555563E-2</c:v>
                </c:pt>
                <c:pt idx="9">
                  <c:v>8.8825327777777754E-2</c:v>
                </c:pt>
                <c:pt idx="10">
                  <c:v>8.8747716666666643E-2</c:v>
                </c:pt>
                <c:pt idx="11">
                  <c:v>9.2878877777777799E-2</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val>
          <c:smooth val="0"/>
          <c:extLst>
            <c:ext xmlns:c16="http://schemas.microsoft.com/office/drawing/2014/chart" uri="{C3380CC4-5D6E-409C-BE32-E72D297353CC}">
              <c16:uniqueId val="{00000001-61CB-403B-9C9E-64C59F521EE9}"/>
            </c:ext>
          </c:extLst>
        </c:ser>
        <c:dLbls>
          <c:showLegendKey val="0"/>
          <c:showVal val="0"/>
          <c:showCatName val="0"/>
          <c:showSerName val="0"/>
          <c:showPercent val="0"/>
          <c:showBubbleSize val="0"/>
        </c:dLbls>
        <c:hiLowLines>
          <c:spPr>
            <a:ln w="0">
              <a:noFill/>
            </a:ln>
          </c:spPr>
        </c:hiLowLines>
        <c:marker val="1"/>
        <c:smooth val="0"/>
        <c:axId val="49816524"/>
        <c:axId val="23224881"/>
      </c:lineChart>
      <c:lineChart>
        <c:grouping val="standard"/>
        <c:varyColors val="0"/>
        <c:ser>
          <c:idx val="2"/>
          <c:order val="2"/>
          <c:tx>
            <c:strRef>
              <c:f>Daily!$I$3:$I$4</c:f>
              <c:strCache>
                <c:ptCount val="2"/>
                <c:pt idx="0">
                  <c:v>Wand Count %</c:v>
                </c:pt>
              </c:strCache>
            </c:strRef>
          </c:tx>
          <c:spPr>
            <a:ln>
              <a:solidFill>
                <a:srgbClr val="FF7128"/>
              </a:solidFill>
            </a:ln>
          </c:spPr>
          <c:marker>
            <c:symbol val="none"/>
          </c:marker>
          <c:cat>
            <c:numRef>
              <c:f>Daily!$C$5:$C$15</c:f>
              <c:numCache>
                <c:formatCode>m/d/yyyy</c:formatCode>
                <c:ptCount val="11"/>
                <c:pt idx="0">
                  <c:v>46228</c:v>
                </c:pt>
                <c:pt idx="1">
                  <c:v>46230</c:v>
                </c:pt>
                <c:pt idx="2">
                  <c:v>46231</c:v>
                </c:pt>
                <c:pt idx="3">
                  <c:v>46232</c:v>
                </c:pt>
                <c:pt idx="4">
                  <c:v>46233</c:v>
                </c:pt>
                <c:pt idx="5">
                  <c:v>46234</c:v>
                </c:pt>
                <c:pt idx="6">
                  <c:v>46235</c:v>
                </c:pt>
                <c:pt idx="7">
                  <c:v>46237</c:v>
                </c:pt>
                <c:pt idx="8">
                  <c:v>46238</c:v>
                </c:pt>
                <c:pt idx="9">
                  <c:v>46239</c:v>
                </c:pt>
                <c:pt idx="10">
                  <c:v>46240</c:v>
                </c:pt>
              </c:numCache>
            </c:numRef>
          </c:cat>
          <c:val>
            <c:numRef>
              <c:f>Daily!$I$5:$I$15</c:f>
              <c:numCache>
                <c:formatCode>0.00%</c:formatCode>
                <c:ptCount val="11"/>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numCache>
            </c:numRef>
          </c:val>
          <c:smooth val="0"/>
          <c:extLst>
            <c:ext xmlns:c16="http://schemas.microsoft.com/office/drawing/2014/chart" uri="{C3380CC4-5D6E-409C-BE32-E72D297353CC}">
              <c16:uniqueId val="{00000001-6C79-441D-B46B-1A434A62148E}"/>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00%" sourceLinked="1"/>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81824340774514037"/>
          <c:y val="2.1204956320517398E-2"/>
          <c:w val="0.16830455970715538"/>
          <c:h val="0.38078500584727204"/>
        </c:manualLayout>
      </c:layout>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7</xdr:col>
      <xdr:colOff>331344</xdr:colOff>
      <xdr:row>5</xdr:row>
      <xdr:rowOff>35425</xdr:rowOff>
    </xdr:from>
    <xdr:to>
      <xdr:col>15</xdr:col>
      <xdr:colOff>48712</xdr:colOff>
      <xdr:row>19</xdr:row>
      <xdr:rowOff>60679</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331345</xdr:colOff>
      <xdr:row>20</xdr:row>
      <xdr:rowOff>2999</xdr:rowOff>
    </xdr:from>
    <xdr:to>
      <xdr:col>15</xdr:col>
      <xdr:colOff>48711</xdr:colOff>
      <xdr:row>34</xdr:row>
      <xdr:rowOff>52443</xdr:rowOff>
    </xdr:to>
    <xdr:graphicFrame macro="">
      <xdr:nvGraphicFramePr>
        <xdr:cNvPr id="3" name="Chart 2">
          <a:extLst>
            <a:ext uri="{FF2B5EF4-FFF2-40B4-BE49-F238E27FC236}">
              <a16:creationId xmlns:a16="http://schemas.microsoft.com/office/drawing/2014/main" id="{A8A6B187-103A-4109-9A28-04DDD86838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Private%20Files/Work%20Hours%20Tracker.xlsx" TargetMode="External"/><Relationship Id="rId2" Type="http://schemas.openxmlformats.org/officeDocument/2006/relationships/externalLinkPath" Target="file:///C:\Users\newwb\Documents\brain\professional\university\LCAS\EPSURIS%20Internship%20(Vicon)\Private%20Files\Work%20Hours%20Tracker.xlsx" TargetMode="External"/><Relationship Id="rId1" Type="http://schemas.openxmlformats.org/officeDocument/2006/relationships/externalLinkPath" Target="/Users/newwb/Documents/brain/professional/university/LCAS/EPSURIS%20Internship%20(Vicon)/Private%20Files/Work%20Hours%20Track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urs Tracker"/>
      <sheetName val="Expected Gross Pay"/>
    </sheet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3:F230" totalsRowShown="0" headerRowDxfId="48" dataDxfId="47">
  <autoFilter ref="A3:F230" xr:uid="{00000000-0009-0000-0100-000001000000}"/>
  <tableColumns count="6">
    <tableColumn id="1" xr3:uid="{00000000-0010-0000-0000-000001000000}" name="Date" dataDxfId="46"/>
    <tableColumn id="2" xr3:uid="{00000000-0010-0000-0000-000002000000}" name="Camera" dataDxfId="45"/>
    <tableColumn id="3" xr3:uid="{00000000-0010-0000-0000-000003000000}" name="Wand Count" dataDxfId="44"/>
    <tableColumn id="4" xr3:uid="{00000000-0010-0000-0000-000004000000}" name="World Error" dataDxfId="43"/>
    <tableColumn id="5" xr3:uid="{00000000-0010-0000-0000-000005000000}" name="Image Error" dataDxfId="42"/>
    <tableColumn id="6" xr3:uid="{F2EEE9A3-6808-4A55-87D5-1A79EE123A0F}" name="World Error (Avg.)" dataDxfId="41">
      <calculatedColumnFormula>_xlfn.XLOOKUP(CalibrationLog[[#This Row],[Date]], Daily!C:C, Daily!J:J,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A93095-3E9E-4B8A-B90D-1F29E23012BE}" name="CalibrationLog3" displayName="CalibrationLog3" ref="C2:H570" totalsRowShown="0" headerRowDxfId="39" dataDxfId="40">
  <autoFilter ref="C2:H570" xr:uid="{00000000-0009-0000-0100-000001000000}"/>
  <tableColumns count="6">
    <tableColumn id="1" xr3:uid="{51B67423-B1B1-4A16-BBCC-834944FAE191}" name="Date" dataDxfId="38"/>
    <tableColumn id="2" xr3:uid="{FABEBB3C-66EB-4956-95C9-CBB40C9E32E4}" name="Camera" dataDxfId="37"/>
    <tableColumn id="3" xr3:uid="{766E62E6-E8D6-460F-BDF5-449F20A2F47C}" name="Wand Count" dataDxfId="36"/>
    <tableColumn id="4" xr3:uid="{132E3B4C-B94B-4FD9-BB91-C8476EF47049}" name="World Error" dataDxfId="35"/>
    <tableColumn id="5" xr3:uid="{9AE105E3-C1BC-4C8A-A3F2-7EACB47F9196}" name="Image Error" dataDxfId="34"/>
    <tableColumn id="6" xr3:uid="{0CE6588A-9807-4091-8B8E-16270637A441}" name="World Error (Avg.)" dataDxfId="33">
      <calculatedColumnFormula>IFERROR(AVERAGEIFS($F:$F, $A:$A, $A3, $B:$B,$B3, $C:$C,$C3),"")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169" t="s">
        <v>109</v>
      </c>
    </row>
    <row r="4" spans="1:5" ht="31.2" x14ac:dyDescent="0.6">
      <c r="A4" s="2" t="s">
        <v>2</v>
      </c>
      <c r="C4" s="169" t="s">
        <v>110</v>
      </c>
    </row>
    <row r="5" spans="1:5" x14ac:dyDescent="0.3">
      <c r="A5" s="2" t="s">
        <v>3</v>
      </c>
    </row>
    <row r="6" spans="1:5" x14ac:dyDescent="0.3">
      <c r="A6" s="2" t="s">
        <v>4</v>
      </c>
      <c r="D6" t="s">
        <v>135</v>
      </c>
    </row>
    <row r="7" spans="1:5" x14ac:dyDescent="0.3">
      <c r="A7" s="2"/>
      <c r="D7" t="s">
        <v>136</v>
      </c>
    </row>
    <row r="8" spans="1:5" x14ac:dyDescent="0.3">
      <c r="A8" s="3" t="s">
        <v>5</v>
      </c>
    </row>
    <row r="9" spans="1:5" ht="41.4" x14ac:dyDescent="0.3">
      <c r="A9" s="2" t="s">
        <v>6</v>
      </c>
      <c r="D9" t="s">
        <v>137</v>
      </c>
    </row>
    <row r="10" spans="1:5" x14ac:dyDescent="0.3">
      <c r="A10" s="2" t="s">
        <v>7</v>
      </c>
      <c r="D10" t="s">
        <v>138</v>
      </c>
    </row>
    <row r="11" spans="1:5" x14ac:dyDescent="0.3">
      <c r="A11" s="2"/>
      <c r="D11" t="s">
        <v>139</v>
      </c>
    </row>
    <row r="12" spans="1:5" x14ac:dyDescent="0.3">
      <c r="A12" s="3" t="s">
        <v>8</v>
      </c>
      <c r="D12" t="s">
        <v>140</v>
      </c>
      <c r="E12" t="s">
        <v>141</v>
      </c>
    </row>
    <row r="13" spans="1:5" ht="27.6" x14ac:dyDescent="0.3">
      <c r="A13" s="2" t="s">
        <v>9</v>
      </c>
      <c r="D13" t="s">
        <v>142</v>
      </c>
    </row>
    <row r="14" spans="1:5" x14ac:dyDescent="0.3">
      <c r="A14" s="2"/>
      <c r="D14" t="s">
        <v>143</v>
      </c>
    </row>
    <row r="15" spans="1:5" x14ac:dyDescent="0.3">
      <c r="A15" s="3" t="s">
        <v>10</v>
      </c>
      <c r="D15" t="s">
        <v>144</v>
      </c>
    </row>
    <row r="16" spans="1:5" ht="27.6" x14ac:dyDescent="0.3">
      <c r="A16" s="2" t="s">
        <v>11</v>
      </c>
      <c r="D16" t="s">
        <v>145</v>
      </c>
    </row>
    <row r="17" spans="1:4" x14ac:dyDescent="0.3">
      <c r="A17" s="2"/>
    </row>
    <row r="18" spans="1:4" ht="27.6" x14ac:dyDescent="0.3">
      <c r="A18" s="3" t="s">
        <v>12</v>
      </c>
      <c r="D18" s="82" t="s">
        <v>146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20"/>
  <sheetViews>
    <sheetView zoomScaleNormal="100" workbookViewId="0">
      <selection activeCell="E4" sqref="E4"/>
    </sheetView>
  </sheetViews>
  <sheetFormatPr defaultColWidth="8.6640625" defaultRowHeight="13.8" x14ac:dyDescent="0.3"/>
  <cols>
    <col min="1" max="5" width="25.77734375" style="66" customWidth="1"/>
    <col min="6" max="16384" width="8.6640625" style="66"/>
  </cols>
  <sheetData>
    <row r="1" spans="1:14" x14ac:dyDescent="0.3">
      <c r="A1" s="242" t="s">
        <v>181</v>
      </c>
      <c r="B1" s="242"/>
      <c r="C1" s="242"/>
      <c r="D1" s="242"/>
      <c r="E1" s="242"/>
      <c r="F1" s="242"/>
      <c r="G1" s="242"/>
      <c r="H1" s="242"/>
      <c r="I1" s="242"/>
      <c r="J1" s="242"/>
      <c r="K1" s="242"/>
      <c r="L1" s="242"/>
      <c r="M1" s="242"/>
      <c r="N1" s="242"/>
    </row>
    <row r="2" spans="1:14" ht="15.6" x14ac:dyDescent="0.3">
      <c r="A2" s="241" t="s">
        <v>13</v>
      </c>
      <c r="B2" s="241" t="s">
        <v>155</v>
      </c>
      <c r="C2" s="241" t="s">
        <v>113</v>
      </c>
      <c r="D2" s="241" t="str">
        <f>CONCATENATE("Subkeys (", $C$4, ")")</f>
        <v>Subkeys (Error)</v>
      </c>
      <c r="E2" s="241" t="str">
        <f>CONCATENATE("Subkeys (", $C$5, ")")</f>
        <v>Subkeys (Trial)</v>
      </c>
    </row>
    <row r="3" spans="1:14" x14ac:dyDescent="0.3">
      <c r="A3" s="13" t="s">
        <v>14</v>
      </c>
      <c r="B3" s="8" cm="1">
        <f t="array" ref="B3:B14">_xlfn._xlws.SORT(_xlfn.UNIQUE(_xlfn._xlws.FILTER(Log!$C3:$C9983, (Log!$C3:$C9983&lt;&gt;0))))</f>
        <v>46228</v>
      </c>
      <c r="C3" s="66" t="s">
        <v>107</v>
      </c>
      <c r="D3" s="66" t="str" cm="1">
        <f t="array" ref="D3:D6">_xlfn._xlws.SORT(_xlfn.UNIQUE(_xlfn._xlws.FILTER(Log!B3:B9983, Log!A3:A9983=C4)))</f>
        <v>03/08-error1</v>
      </c>
      <c r="E3" s="66" t="str" cm="1">
        <f t="array" ref="E3:E10">_xlfn._xlws.SORT(_xlfn.UNIQUE(_xlfn._xlws.FILTER(Log!B3:B9983, Log!A3:A9983=C5)))</f>
        <v>auto-stop-1000-base</v>
      </c>
    </row>
    <row r="4" spans="1:14" x14ac:dyDescent="0.3">
      <c r="A4" s="13" t="s">
        <v>15</v>
      </c>
      <c r="B4" s="8">
        <v>46230</v>
      </c>
      <c r="C4" s="66" t="s">
        <v>108</v>
      </c>
      <c r="D4" s="66" t="str">
        <v>03/08-error2</v>
      </c>
      <c r="E4" s="66" t="str">
        <v>auto-stop-1000-v2</v>
      </c>
    </row>
    <row r="5" spans="1:14" x14ac:dyDescent="0.3">
      <c r="A5" s="13" t="s">
        <v>16</v>
      </c>
      <c r="B5" s="8">
        <v>46231</v>
      </c>
      <c r="C5" s="66" t="s">
        <v>115</v>
      </c>
      <c r="D5" s="66" t="str">
        <v>31/07-error1</v>
      </c>
      <c r="E5" s="66" t="str">
        <v>auto-stop-1500-v1</v>
      </c>
    </row>
    <row r="6" spans="1:14" x14ac:dyDescent="0.3">
      <c r="A6" s="13" t="s">
        <v>17</v>
      </c>
      <c r="B6" s="8">
        <v>46232</v>
      </c>
      <c r="D6" s="66" t="str">
        <v>31/07-error2</v>
      </c>
      <c r="E6" s="66" t="str">
        <v>auto-stop-1500-v2</v>
      </c>
    </row>
    <row r="7" spans="1:14" x14ac:dyDescent="0.3">
      <c r="A7" s="13" t="s">
        <v>18</v>
      </c>
      <c r="B7" s="8">
        <v>46233</v>
      </c>
      <c r="E7" s="66" t="str">
        <v>auto-stop-2000-v1</v>
      </c>
    </row>
    <row r="8" spans="1:14" x14ac:dyDescent="0.3">
      <c r="A8" s="13" t="s">
        <v>19</v>
      </c>
      <c r="B8" s="8">
        <v>46234</v>
      </c>
      <c r="E8" s="66" t="str">
        <v>auto-stop-2000-v2</v>
      </c>
    </row>
    <row r="9" spans="1:14" x14ac:dyDescent="0.3">
      <c r="A9" s="13" t="s">
        <v>20</v>
      </c>
      <c r="B9" s="8">
        <v>46235</v>
      </c>
      <c r="E9" s="66" t="str">
        <v>shelf-baseline</v>
      </c>
    </row>
    <row r="10" spans="1:14" x14ac:dyDescent="0.3">
      <c r="A10" s="13" t="s">
        <v>44</v>
      </c>
      <c r="B10" s="8">
        <v>46237</v>
      </c>
      <c r="E10" s="66" t="str">
        <v>shelf-trial</v>
      </c>
    </row>
    <row r="11" spans="1:14" x14ac:dyDescent="0.3">
      <c r="A11" s="13" t="s">
        <v>21</v>
      </c>
      <c r="B11" s="8">
        <v>46238</v>
      </c>
    </row>
    <row r="12" spans="1:14" x14ac:dyDescent="0.3">
      <c r="A12" s="13" t="s">
        <v>22</v>
      </c>
      <c r="B12" s="8">
        <v>46239</v>
      </c>
    </row>
    <row r="13" spans="1:14" x14ac:dyDescent="0.3">
      <c r="A13" s="13" t="s">
        <v>23</v>
      </c>
      <c r="B13" s="8">
        <v>46240</v>
      </c>
    </row>
    <row r="14" spans="1:14" x14ac:dyDescent="0.3">
      <c r="A14" s="13" t="s">
        <v>24</v>
      </c>
      <c r="B14" s="66">
        <v>46242</v>
      </c>
    </row>
    <row r="15" spans="1:14" x14ac:dyDescent="0.3">
      <c r="A15" s="13" t="s">
        <v>25</v>
      </c>
    </row>
    <row r="16" spans="1:14" x14ac:dyDescent="0.3">
      <c r="A16" s="13" t="s">
        <v>26</v>
      </c>
    </row>
    <row r="17" spans="1:1" x14ac:dyDescent="0.3">
      <c r="A17" s="13" t="s">
        <v>27</v>
      </c>
    </row>
    <row r="18" spans="1:1" x14ac:dyDescent="0.3">
      <c r="A18" s="13" t="s">
        <v>28</v>
      </c>
    </row>
    <row r="19" spans="1:1" x14ac:dyDescent="0.3">
      <c r="A19" s="13" t="s">
        <v>29</v>
      </c>
    </row>
    <row r="20" spans="1:1" x14ac:dyDescent="0.3">
      <c r="A20" s="13" t="s">
        <v>30</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G25"/>
  <sheetViews>
    <sheetView workbookViewId="0">
      <selection activeCell="G14" sqref="G14"/>
    </sheetView>
  </sheetViews>
  <sheetFormatPr defaultColWidth="0" defaultRowHeight="14.4" zeroHeight="1" x14ac:dyDescent="0.3"/>
  <cols>
    <col min="1" max="1" width="8.88671875" customWidth="1"/>
    <col min="2" max="5" width="20.44140625" style="7" customWidth="1"/>
    <col min="6" max="6" width="8.88671875" customWidth="1"/>
    <col min="7" max="7" width="27.44140625" customWidth="1"/>
    <col min="8" max="16384" width="8.88671875" hidden="1"/>
  </cols>
  <sheetData>
    <row r="1" spans="1:7" x14ac:dyDescent="0.3">
      <c r="A1" s="28"/>
      <c r="B1" s="44"/>
      <c r="C1" s="44"/>
      <c r="D1" s="44"/>
      <c r="E1" s="44"/>
      <c r="F1" s="28"/>
      <c r="G1" s="28"/>
    </row>
    <row r="2" spans="1:7" x14ac:dyDescent="0.3">
      <c r="A2" s="28"/>
      <c r="B2" s="45" t="s">
        <v>47</v>
      </c>
      <c r="C2" s="44"/>
      <c r="D2" s="44"/>
      <c r="E2" s="44"/>
      <c r="F2" s="28"/>
      <c r="G2" s="28"/>
    </row>
    <row r="3" spans="1:7" x14ac:dyDescent="0.3">
      <c r="A3" s="28"/>
      <c r="B3" s="46" t="s">
        <v>46</v>
      </c>
      <c r="C3" s="44"/>
      <c r="D3" s="44"/>
      <c r="E3" s="44"/>
      <c r="F3" s="28"/>
      <c r="G3" s="28"/>
    </row>
    <row r="4" spans="1:7" x14ac:dyDescent="0.3">
      <c r="A4" s="28"/>
      <c r="B4" s="44"/>
      <c r="C4" s="44"/>
      <c r="D4" s="44"/>
      <c r="E4" s="44"/>
      <c r="F4" s="28"/>
      <c r="G4" s="28"/>
    </row>
    <row r="5" spans="1:7" ht="15.6" x14ac:dyDescent="0.3">
      <c r="A5" s="28"/>
      <c r="B5" s="47" t="s">
        <v>49</v>
      </c>
      <c r="C5" s="47" t="s">
        <v>51</v>
      </c>
      <c r="D5" s="47" t="s">
        <v>50</v>
      </c>
      <c r="E5" s="48" t="s">
        <v>48</v>
      </c>
      <c r="F5" s="28"/>
      <c r="G5" s="28"/>
    </row>
    <row r="6" spans="1:7" x14ac:dyDescent="0.3">
      <c r="A6" s="28"/>
      <c r="B6" s="49" t="s">
        <v>14</v>
      </c>
      <c r="C6" s="50">
        <v>1</v>
      </c>
      <c r="D6" s="50">
        <v>1</v>
      </c>
      <c r="E6" s="50" t="str">
        <f>IF(C6=D6, "Yes", "No")</f>
        <v>Yes</v>
      </c>
      <c r="F6" s="28"/>
      <c r="G6" s="28"/>
    </row>
    <row r="7" spans="1:7" x14ac:dyDescent="0.3">
      <c r="A7" s="28"/>
      <c r="B7" s="49" t="s">
        <v>15</v>
      </c>
      <c r="C7" s="50">
        <v>2</v>
      </c>
      <c r="D7" s="50">
        <v>2</v>
      </c>
      <c r="E7" s="50" t="str">
        <f t="shared" ref="E7:E23" si="0">IF(C7=D7, "Yes", "No")</f>
        <v>Yes</v>
      </c>
      <c r="F7" s="28"/>
      <c r="G7" s="28"/>
    </row>
    <row r="8" spans="1:7" x14ac:dyDescent="0.3">
      <c r="A8" s="28"/>
      <c r="B8" s="49" t="s">
        <v>16</v>
      </c>
      <c r="C8" s="50">
        <v>3</v>
      </c>
      <c r="D8" s="50">
        <v>4</v>
      </c>
      <c r="E8" s="50" t="str">
        <f t="shared" si="0"/>
        <v>No</v>
      </c>
      <c r="F8" s="28"/>
      <c r="G8" s="28"/>
    </row>
    <row r="9" spans="1:7" x14ac:dyDescent="0.3">
      <c r="A9" s="28"/>
      <c r="B9" s="49" t="s">
        <v>17</v>
      </c>
      <c r="C9" s="50">
        <v>4</v>
      </c>
      <c r="D9" s="50">
        <v>18</v>
      </c>
      <c r="E9" s="50" t="str">
        <f t="shared" si="0"/>
        <v>No</v>
      </c>
      <c r="F9" s="28"/>
      <c r="G9" s="28"/>
    </row>
    <row r="10" spans="1:7" x14ac:dyDescent="0.3">
      <c r="A10" s="28"/>
      <c r="B10" s="49" t="s">
        <v>18</v>
      </c>
      <c r="C10" s="50">
        <v>5</v>
      </c>
      <c r="D10" s="50">
        <v>5</v>
      </c>
      <c r="E10" s="50" t="str">
        <f t="shared" si="0"/>
        <v>Yes</v>
      </c>
      <c r="F10" s="28"/>
      <c r="G10" s="28"/>
    </row>
    <row r="11" spans="1:7" x14ac:dyDescent="0.3">
      <c r="A11" s="28"/>
      <c r="B11" s="49" t="s">
        <v>19</v>
      </c>
      <c r="C11" s="50">
        <v>6</v>
      </c>
      <c r="D11" s="50">
        <v>6</v>
      </c>
      <c r="E11" s="50" t="str">
        <f t="shared" si="0"/>
        <v>Yes</v>
      </c>
      <c r="F11" s="28"/>
      <c r="G11" s="28"/>
    </row>
    <row r="12" spans="1:7" x14ac:dyDescent="0.3">
      <c r="A12" s="28"/>
      <c r="B12" s="49" t="s">
        <v>20</v>
      </c>
      <c r="C12" s="50">
        <v>7</v>
      </c>
      <c r="D12" s="50">
        <v>7</v>
      </c>
      <c r="E12" s="50" t="str">
        <f t="shared" si="0"/>
        <v>Yes</v>
      </c>
      <c r="F12" s="28"/>
      <c r="G12" s="28"/>
    </row>
    <row r="13" spans="1:7" x14ac:dyDescent="0.3">
      <c r="A13" s="28"/>
      <c r="B13" s="49" t="s">
        <v>44</v>
      </c>
      <c r="C13" s="50">
        <v>8</v>
      </c>
      <c r="D13" s="50">
        <v>8</v>
      </c>
      <c r="E13" s="50" t="str">
        <f t="shared" si="0"/>
        <v>Yes</v>
      </c>
      <c r="F13" s="28"/>
      <c r="G13" s="28"/>
    </row>
    <row r="14" spans="1:7" x14ac:dyDescent="0.3">
      <c r="A14" s="28"/>
      <c r="B14" s="49" t="s">
        <v>21</v>
      </c>
      <c r="C14" s="50">
        <v>9</v>
      </c>
      <c r="D14" s="50">
        <v>14</v>
      </c>
      <c r="E14" s="50" t="str">
        <f t="shared" si="0"/>
        <v>No</v>
      </c>
      <c r="F14" s="28"/>
      <c r="G14" s="28"/>
    </row>
    <row r="15" spans="1:7" x14ac:dyDescent="0.3">
      <c r="A15" s="28"/>
      <c r="B15" s="49" t="s">
        <v>22</v>
      </c>
      <c r="C15" s="50">
        <v>10</v>
      </c>
      <c r="D15" s="50">
        <v>10</v>
      </c>
      <c r="E15" s="50" t="str">
        <f t="shared" si="0"/>
        <v>Yes</v>
      </c>
      <c r="F15" s="28"/>
      <c r="G15" s="28"/>
    </row>
    <row r="16" spans="1:7" x14ac:dyDescent="0.3">
      <c r="A16" s="28"/>
      <c r="B16" s="49" t="s">
        <v>23</v>
      </c>
      <c r="C16" s="50">
        <v>11</v>
      </c>
      <c r="D16" s="50">
        <v>11</v>
      </c>
      <c r="E16" s="50" t="str">
        <f t="shared" si="0"/>
        <v>Yes</v>
      </c>
      <c r="F16" s="28"/>
      <c r="G16" s="28"/>
    </row>
    <row r="17" spans="1:7" x14ac:dyDescent="0.3">
      <c r="A17" s="28"/>
      <c r="B17" s="49" t="s">
        <v>24</v>
      </c>
      <c r="C17" s="50">
        <v>12</v>
      </c>
      <c r="D17" s="50">
        <v>12</v>
      </c>
      <c r="E17" s="50" t="str">
        <f t="shared" si="0"/>
        <v>Yes</v>
      </c>
      <c r="F17" s="28"/>
      <c r="G17" s="28"/>
    </row>
    <row r="18" spans="1:7" x14ac:dyDescent="0.3">
      <c r="A18" s="28"/>
      <c r="B18" s="49" t="s">
        <v>25</v>
      </c>
      <c r="C18" s="50">
        <v>13</v>
      </c>
      <c r="D18" s="50">
        <v>13</v>
      </c>
      <c r="E18" s="50" t="str">
        <f t="shared" si="0"/>
        <v>Yes</v>
      </c>
      <c r="F18" s="28"/>
      <c r="G18" s="28"/>
    </row>
    <row r="19" spans="1:7" x14ac:dyDescent="0.3">
      <c r="A19" s="28"/>
      <c r="B19" s="49" t="s">
        <v>26</v>
      </c>
      <c r="C19" s="50">
        <v>14</v>
      </c>
      <c r="D19" s="50">
        <v>14</v>
      </c>
      <c r="E19" s="50" t="str">
        <f t="shared" si="0"/>
        <v>Yes</v>
      </c>
      <c r="F19" s="28"/>
      <c r="G19" s="28"/>
    </row>
    <row r="20" spans="1:7" x14ac:dyDescent="0.3">
      <c r="A20" s="28"/>
      <c r="B20" s="49" t="s">
        <v>27</v>
      </c>
      <c r="C20" s="50">
        <v>15</v>
      </c>
      <c r="D20" s="50">
        <v>15</v>
      </c>
      <c r="E20" s="50" t="str">
        <f t="shared" si="0"/>
        <v>Yes</v>
      </c>
      <c r="F20" s="28"/>
      <c r="G20" s="28"/>
    </row>
    <row r="21" spans="1:7" x14ac:dyDescent="0.3">
      <c r="A21" s="28"/>
      <c r="B21" s="49" t="s">
        <v>28</v>
      </c>
      <c r="C21" s="50">
        <v>16</v>
      </c>
      <c r="D21" s="50">
        <v>16</v>
      </c>
      <c r="E21" s="50" t="str">
        <f t="shared" si="0"/>
        <v>Yes</v>
      </c>
      <c r="F21" s="28"/>
      <c r="G21" s="28"/>
    </row>
    <row r="22" spans="1:7" x14ac:dyDescent="0.3">
      <c r="A22" s="28"/>
      <c r="B22" s="49" t="s">
        <v>29</v>
      </c>
      <c r="C22" s="50">
        <v>17</v>
      </c>
      <c r="D22" s="50">
        <v>3</v>
      </c>
      <c r="E22" s="50" t="str">
        <f t="shared" si="0"/>
        <v>No</v>
      </c>
      <c r="F22" s="28"/>
      <c r="G22" s="28"/>
    </row>
    <row r="23" spans="1:7" x14ac:dyDescent="0.3">
      <c r="A23" s="28"/>
      <c r="B23" s="49" t="s">
        <v>30</v>
      </c>
      <c r="C23" s="50">
        <v>18</v>
      </c>
      <c r="D23" s="50">
        <v>17</v>
      </c>
      <c r="E23" s="50" t="str">
        <f t="shared" si="0"/>
        <v>No</v>
      </c>
      <c r="F23" s="28"/>
      <c r="G23" s="28"/>
    </row>
    <row r="24" spans="1:7" x14ac:dyDescent="0.3">
      <c r="A24" s="28"/>
      <c r="B24" s="44"/>
      <c r="C24" s="44"/>
      <c r="D24" s="44"/>
      <c r="E24" s="44"/>
      <c r="F24" s="28"/>
      <c r="G24" s="28"/>
    </row>
    <row r="25" spans="1:7" x14ac:dyDescent="0.3">
      <c r="A25" s="28"/>
      <c r="B25" s="44"/>
      <c r="C25" s="44"/>
      <c r="D25" s="44"/>
      <c r="E25" s="44"/>
      <c r="F25" s="28"/>
      <c r="G25" s="28"/>
    </row>
  </sheetData>
  <sheetProtection sheet="1" objects="1" scenarios="1" selectLockedCells="1" selectUnlockedCells="1"/>
  <conditionalFormatting sqref="B6:E23">
    <cfRule type="expression" dxfId="32" priority="1">
      <formula>$E6="No"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249977111117893"/>
  </sheetPr>
  <dimension ref="A1:I232"/>
  <sheetViews>
    <sheetView showZeros="0" zoomScale="85" zoomScaleNormal="85" workbookViewId="0">
      <pane ySplit="3" topLeftCell="A157" activePane="bottomLeft" state="frozen"/>
      <selection pane="bottomLeft" activeCell="A165" sqref="A165:E182"/>
    </sheetView>
  </sheetViews>
  <sheetFormatPr defaultColWidth="8.6640625" defaultRowHeight="13.8" x14ac:dyDescent="0.25"/>
  <cols>
    <col min="1" max="1" width="17.109375" style="66" customWidth="1"/>
    <col min="2" max="2" width="19.33203125" style="73" customWidth="1"/>
    <col min="3" max="3" width="17.44140625" style="66" customWidth="1"/>
    <col min="4" max="4" width="17.44140625" style="72" customWidth="1"/>
    <col min="5" max="5" width="17.44140625" style="74" customWidth="1"/>
    <col min="6" max="6" width="18.77734375" style="72" customWidth="1"/>
    <col min="7" max="7" width="18.77734375" style="74" customWidth="1"/>
    <col min="8" max="8" width="18.77734375" style="72" customWidth="1"/>
    <col min="9" max="9" width="18.77734375" style="74" customWidth="1"/>
    <col min="10" max="16384" width="8.6640625" style="69"/>
  </cols>
  <sheetData>
    <row r="1" spans="1:9" x14ac:dyDescent="0.25">
      <c r="A1" s="164" t="s">
        <v>106</v>
      </c>
      <c r="B1" s="165"/>
      <c r="C1" s="165"/>
      <c r="D1" s="165"/>
      <c r="E1" s="165"/>
      <c r="F1" s="165"/>
      <c r="G1" s="165"/>
      <c r="H1" s="165"/>
      <c r="I1" s="165"/>
    </row>
    <row r="2" spans="1:9" ht="15.6" customHeight="1" x14ac:dyDescent="0.25">
      <c r="A2" s="112" t="s">
        <v>40</v>
      </c>
      <c r="B2" s="112"/>
      <c r="C2" s="113"/>
      <c r="D2" s="162" t="s">
        <v>37</v>
      </c>
      <c r="E2" s="162"/>
      <c r="F2" s="163" t="s">
        <v>54</v>
      </c>
      <c r="G2" s="163"/>
      <c r="H2" s="167" t="s">
        <v>41</v>
      </c>
      <c r="I2" s="167"/>
    </row>
    <row r="3" spans="1:9" ht="25.05" customHeight="1" x14ac:dyDescent="0.25">
      <c r="A3" s="15" t="s">
        <v>31</v>
      </c>
      <c r="B3" s="12" t="s">
        <v>13</v>
      </c>
      <c r="C3" s="18" t="s">
        <v>32</v>
      </c>
      <c r="D3" s="10" t="s">
        <v>33</v>
      </c>
      <c r="E3" s="10" t="s">
        <v>34</v>
      </c>
      <c r="F3" s="166" t="s">
        <v>38</v>
      </c>
      <c r="G3" s="11" t="s">
        <v>39</v>
      </c>
      <c r="H3" s="168" t="s">
        <v>42</v>
      </c>
      <c r="I3" s="168" t="s">
        <v>43</v>
      </c>
    </row>
    <row r="4" spans="1:9" x14ac:dyDescent="0.25">
      <c r="A4" s="4">
        <v>46228</v>
      </c>
      <c r="B4" s="19" t="s">
        <v>14</v>
      </c>
      <c r="C4" s="5">
        <v>2306</v>
      </c>
      <c r="D4" s="16">
        <v>0.274982</v>
      </c>
      <c r="E4" s="17">
        <v>7.9356800000000005E-2</v>
      </c>
      <c r="F4" s="70">
        <f>_xlfn.XLOOKUP(CalibrationLog[[#This Row],[Date]], Daily!C:C, Daily!J:J, "n/a")</f>
        <v>0.3911837647058824</v>
      </c>
      <c r="G4" s="71">
        <f>_xlfn.XLOOKUP(CalibrationLog[[#This Row],[Date]], Daily!C:C, Daily!M:M, "n/a")</f>
        <v>9.2278499999999986E-2</v>
      </c>
      <c r="H4" s="72" t="str">
        <f>IF(CalibrationLog[[#This Row],[Date]]="", "", IF(CalibrationLog[[#This Row],[World Error]]&lt;CalibrationLog[[#This Row],[World Error (Avg.)]], "Yes", "No"))</f>
        <v>Yes</v>
      </c>
      <c r="I4" s="73" t="str">
        <f>IF(CalibrationLog[[#This Row],[Date]]="", "", IF(CalibrationLog[[#This Row],[Image Error]]&lt;G4, "Yes", "No"))</f>
        <v>Yes</v>
      </c>
    </row>
    <row r="5" spans="1:9" x14ac:dyDescent="0.25">
      <c r="A5" s="4">
        <v>46228</v>
      </c>
      <c r="B5" s="19" t="s">
        <v>15</v>
      </c>
      <c r="C5" s="5">
        <v>2392</v>
      </c>
      <c r="D5" s="16">
        <v>0.42184300000000002</v>
      </c>
      <c r="E5" s="17">
        <v>0.112306</v>
      </c>
      <c r="F5" s="70">
        <f>_xlfn.XLOOKUP(CalibrationLog[[#This Row],[Date]], Daily!C:C, Daily!J:J, "n/a")</f>
        <v>0.3911837647058824</v>
      </c>
      <c r="G5" s="71">
        <f>_xlfn.XLOOKUP(CalibrationLog[[#This Row],[Date]], Daily!C:C, Daily!M:M, "n/a")</f>
        <v>9.2278499999999986E-2</v>
      </c>
      <c r="H5" s="72" t="str">
        <f>IF(CalibrationLog[[#This Row],[Date]]="", "", IF(CalibrationLog[[#This Row],[World Error]]&lt;CalibrationLog[[#This Row],[World Error (Avg.)]], "Yes", "No"))</f>
        <v>No</v>
      </c>
      <c r="I5" s="73" t="str">
        <f>IF(CalibrationLog[[#This Row],[Date]]="", "", IF(CalibrationLog[[#This Row],[Image Error]]&lt;G5, "Yes", "No"))</f>
        <v>No</v>
      </c>
    </row>
    <row r="6" spans="1:9" x14ac:dyDescent="0.25">
      <c r="A6" s="4">
        <v>46228</v>
      </c>
      <c r="B6" s="19" t="s">
        <v>16</v>
      </c>
      <c r="C6" s="5">
        <v>1810</v>
      </c>
      <c r="D6" s="16">
        <v>0.39858399999999999</v>
      </c>
      <c r="E6" s="17">
        <v>9.2427499999999996E-2</v>
      </c>
      <c r="F6" s="70">
        <f>_xlfn.XLOOKUP(CalibrationLog[[#This Row],[Date]], Daily!C:C, Daily!J:J, "n/a")</f>
        <v>0.3911837647058824</v>
      </c>
      <c r="G6" s="71">
        <f>_xlfn.XLOOKUP(CalibrationLog[[#This Row],[Date]], Daily!C:C, Daily!M:M, "n/a")</f>
        <v>9.2278499999999986E-2</v>
      </c>
      <c r="H6" s="72" t="str">
        <f>IF(CalibrationLog[[#This Row],[Date]]="", "", IF(CalibrationLog[[#This Row],[World Error]]&lt;CalibrationLog[[#This Row],[World Error (Avg.)]], "Yes", "No"))</f>
        <v>No</v>
      </c>
      <c r="I6" s="73" t="str">
        <f>IF(CalibrationLog[[#This Row],[Date]]="", "", IF(CalibrationLog[[#This Row],[Image Error]]&lt;G6, "Yes", "No"))</f>
        <v>No</v>
      </c>
    </row>
    <row r="7" spans="1:9" x14ac:dyDescent="0.25">
      <c r="A7" s="4">
        <v>46228</v>
      </c>
      <c r="B7" s="19" t="s">
        <v>17</v>
      </c>
      <c r="C7" s="5">
        <v>2277</v>
      </c>
      <c r="D7" s="16">
        <v>0.62003600000000003</v>
      </c>
      <c r="E7" s="17">
        <v>0.12157900000000001</v>
      </c>
      <c r="F7" s="70">
        <f>_xlfn.XLOOKUP(CalibrationLog[[#This Row],[Date]], Daily!C:C, Daily!J:J, "n/a")</f>
        <v>0.3911837647058824</v>
      </c>
      <c r="G7" s="71">
        <f>_xlfn.XLOOKUP(CalibrationLog[[#This Row],[Date]], Daily!C:C, Daily!M:M, "n/a")</f>
        <v>9.2278499999999986E-2</v>
      </c>
      <c r="H7" s="72" t="str">
        <f>IF(CalibrationLog[[#This Row],[Date]]="", "", IF(CalibrationLog[[#This Row],[World Error]]&lt;CalibrationLog[[#This Row],[World Error (Avg.)]], "Yes", "No"))</f>
        <v>No</v>
      </c>
      <c r="I7" s="73" t="str">
        <f>IF(CalibrationLog[[#This Row],[Date]]="", "", IF(CalibrationLog[[#This Row],[Image Error]]&lt;G7, "Yes", "No"))</f>
        <v>No</v>
      </c>
    </row>
    <row r="8" spans="1:9" x14ac:dyDescent="0.25">
      <c r="A8" s="4">
        <v>46228</v>
      </c>
      <c r="B8" s="19" t="s">
        <v>18</v>
      </c>
      <c r="C8" s="5">
        <v>2240</v>
      </c>
      <c r="D8" s="16">
        <v>0.19189300000000001</v>
      </c>
      <c r="E8" s="17">
        <v>4.4366900000000001E-2</v>
      </c>
      <c r="F8" s="70">
        <f>_xlfn.XLOOKUP(CalibrationLog[[#This Row],[Date]], Daily!C:C, Daily!J:J, "n/a")</f>
        <v>0.3911837647058824</v>
      </c>
      <c r="G8" s="71">
        <f>_xlfn.XLOOKUP(CalibrationLog[[#This Row],[Date]], Daily!C:C, Daily!M:M, "n/a")</f>
        <v>9.2278499999999986E-2</v>
      </c>
      <c r="H8" s="72" t="str">
        <f>IF(CalibrationLog[[#This Row],[Date]]="", "", IF(CalibrationLog[[#This Row],[World Error]]&lt;CalibrationLog[[#This Row],[World Error (Avg.)]], "Yes", "No"))</f>
        <v>Yes</v>
      </c>
      <c r="I8" s="73" t="str">
        <f>IF(CalibrationLog[[#This Row],[Date]]="", "", IF(CalibrationLog[[#This Row],[Image Error]]&lt;G8, "Yes", "No"))</f>
        <v>Yes</v>
      </c>
    </row>
    <row r="9" spans="1:9" x14ac:dyDescent="0.25">
      <c r="A9" s="4">
        <v>46228</v>
      </c>
      <c r="B9" s="19" t="s">
        <v>19</v>
      </c>
      <c r="C9" s="5">
        <v>2754</v>
      </c>
      <c r="D9" s="16">
        <v>0.44223499999999999</v>
      </c>
      <c r="E9" s="17">
        <v>8.9975399999999997E-2</v>
      </c>
      <c r="F9" s="70">
        <f>_xlfn.XLOOKUP(CalibrationLog[[#This Row],[Date]], Daily!C:C, Daily!J:J, "n/a")</f>
        <v>0.3911837647058824</v>
      </c>
      <c r="G9" s="71">
        <f>_xlfn.XLOOKUP(CalibrationLog[[#This Row],[Date]], Daily!C:C, Daily!M:M, "n/a")</f>
        <v>9.2278499999999986E-2</v>
      </c>
      <c r="H9" s="72" t="str">
        <f>IF(CalibrationLog[[#This Row],[Date]]="", "", IF(CalibrationLog[[#This Row],[World Error]]&lt;CalibrationLog[[#This Row],[World Error (Avg.)]], "Yes", "No"))</f>
        <v>No</v>
      </c>
      <c r="I9" s="73" t="str">
        <f>IF(CalibrationLog[[#This Row],[Date]]="", "", IF(CalibrationLog[[#This Row],[Image Error]]&lt;G9, "Yes", "No"))</f>
        <v>Yes</v>
      </c>
    </row>
    <row r="10" spans="1:9" x14ac:dyDescent="0.25">
      <c r="A10" s="4">
        <v>46228</v>
      </c>
      <c r="B10" s="19" t="s">
        <v>20</v>
      </c>
      <c r="C10" s="5">
        <v>3007</v>
      </c>
      <c r="D10" s="16">
        <v>0.50989600000000002</v>
      </c>
      <c r="E10" s="17">
        <v>0.102799</v>
      </c>
      <c r="F10" s="70">
        <f>_xlfn.XLOOKUP(CalibrationLog[[#This Row],[Date]], Daily!C:C, Daily!J:J, "n/a")</f>
        <v>0.3911837647058824</v>
      </c>
      <c r="G10" s="71">
        <f>_xlfn.XLOOKUP(CalibrationLog[[#This Row],[Date]], Daily!C:C, Daily!M:M, "n/a")</f>
        <v>9.2278499999999986E-2</v>
      </c>
      <c r="H10" s="72" t="str">
        <f>IF(CalibrationLog[[#This Row],[Date]]="", "", IF(CalibrationLog[[#This Row],[World Error]]&lt;CalibrationLog[[#This Row],[World Error (Avg.)]], "Yes", "No"))</f>
        <v>No</v>
      </c>
      <c r="I10" s="73" t="str">
        <f>IF(CalibrationLog[[#This Row],[Date]]="", "", IF(CalibrationLog[[#This Row],[Image Error]]&lt;G10, "Yes", "No"))</f>
        <v>No</v>
      </c>
    </row>
    <row r="11" spans="1:9" x14ac:dyDescent="0.25">
      <c r="A11" s="4">
        <v>46228</v>
      </c>
      <c r="B11" s="19" t="s">
        <v>21</v>
      </c>
      <c r="C11" s="5">
        <v>2832</v>
      </c>
      <c r="D11" s="16">
        <v>0.39593499999999998</v>
      </c>
      <c r="E11" s="17">
        <v>7.95796E-2</v>
      </c>
      <c r="F11" s="70">
        <f>_xlfn.XLOOKUP(CalibrationLog[[#This Row],[Date]], Daily!C:C, Daily!J:J, "n/a")</f>
        <v>0.3911837647058824</v>
      </c>
      <c r="G11" s="71">
        <f>_xlfn.XLOOKUP(CalibrationLog[[#This Row],[Date]], Daily!C:C, Daily!M:M, "n/a")</f>
        <v>9.2278499999999986E-2</v>
      </c>
      <c r="H11" s="72" t="str">
        <f>IF(CalibrationLog[[#This Row],[Date]]="", "", IF(CalibrationLog[[#This Row],[World Error]]&lt;CalibrationLog[[#This Row],[World Error (Avg.)]], "Yes", "No"))</f>
        <v>No</v>
      </c>
      <c r="I11" s="73" t="str">
        <f>IF(CalibrationLog[[#This Row],[Date]]="", "", IF(CalibrationLog[[#This Row],[Image Error]]&lt;G11, "Yes", "No"))</f>
        <v>Yes</v>
      </c>
    </row>
    <row r="12" spans="1:9" x14ac:dyDescent="0.25">
      <c r="A12" s="4">
        <v>46228</v>
      </c>
      <c r="B12" s="19" t="s">
        <v>22</v>
      </c>
      <c r="C12" s="5">
        <v>2120</v>
      </c>
      <c r="D12" s="16">
        <v>0.49960599999999999</v>
      </c>
      <c r="E12" s="17">
        <v>0.13203699999999999</v>
      </c>
      <c r="F12" s="70">
        <f>_xlfn.XLOOKUP(CalibrationLog[[#This Row],[Date]], Daily!C:C, Daily!J:J, "n/a")</f>
        <v>0.3911837647058824</v>
      </c>
      <c r="G12" s="71">
        <f>_xlfn.XLOOKUP(CalibrationLog[[#This Row],[Date]], Daily!C:C, Daily!M:M, "n/a")</f>
        <v>9.2278499999999986E-2</v>
      </c>
      <c r="H12" s="72" t="str">
        <f>IF(CalibrationLog[[#This Row],[Date]]="", "", IF(CalibrationLog[[#This Row],[World Error]]&lt;CalibrationLog[[#This Row],[World Error (Avg.)]], "Yes", "No"))</f>
        <v>No</v>
      </c>
      <c r="I12" s="73" t="str">
        <f>IF(CalibrationLog[[#This Row],[Date]]="", "", IF(CalibrationLog[[#This Row],[Image Error]]&lt;G12, "Yes", "No"))</f>
        <v>No</v>
      </c>
    </row>
    <row r="13" spans="1:9" x14ac:dyDescent="0.25">
      <c r="A13" s="4">
        <v>46228</v>
      </c>
      <c r="B13" s="19" t="s">
        <v>23</v>
      </c>
      <c r="C13" s="5">
        <v>1471</v>
      </c>
      <c r="D13" s="16">
        <v>0.13059299999999999</v>
      </c>
      <c r="E13" s="17">
        <v>4.5056100000000002E-2</v>
      </c>
      <c r="F13" s="70">
        <f>_xlfn.XLOOKUP(CalibrationLog[[#This Row],[Date]], Daily!C:C, Daily!J:J, "n/a")</f>
        <v>0.3911837647058824</v>
      </c>
      <c r="G13" s="71">
        <f>_xlfn.XLOOKUP(CalibrationLog[[#This Row],[Date]], Daily!C:C, Daily!M:M, "n/a")</f>
        <v>9.2278499999999986E-2</v>
      </c>
      <c r="H13" s="72" t="str">
        <f>IF(CalibrationLog[[#This Row],[Date]]="", "", IF(CalibrationLog[[#This Row],[World Error]]&lt;CalibrationLog[[#This Row],[World Error (Avg.)]], "Yes", "No"))</f>
        <v>Yes</v>
      </c>
      <c r="I13" s="73" t="str">
        <f>IF(CalibrationLog[[#This Row],[Date]]="", "", IF(CalibrationLog[[#This Row],[Image Error]]&lt;G13, "Yes", "No"))</f>
        <v>Yes</v>
      </c>
    </row>
    <row r="14" spans="1:9" x14ac:dyDescent="0.25">
      <c r="A14" s="4">
        <v>46228</v>
      </c>
      <c r="B14" s="19" t="s">
        <v>24</v>
      </c>
      <c r="C14" s="5">
        <v>1657</v>
      </c>
      <c r="D14" s="16">
        <v>0.428371</v>
      </c>
      <c r="E14" s="17">
        <v>0.14066300000000001</v>
      </c>
      <c r="F14" s="70">
        <f>_xlfn.XLOOKUP(CalibrationLog[[#This Row],[Date]], Daily!C:C, Daily!J:J, "n/a")</f>
        <v>0.3911837647058824</v>
      </c>
      <c r="G14" s="71">
        <f>_xlfn.XLOOKUP(CalibrationLog[[#This Row],[Date]], Daily!C:C, Daily!M:M, "n/a")</f>
        <v>9.2278499999999986E-2</v>
      </c>
      <c r="H14" s="72" t="str">
        <f>IF(CalibrationLog[[#This Row],[Date]]="", "", IF(CalibrationLog[[#This Row],[World Error]]&lt;CalibrationLog[[#This Row],[World Error (Avg.)]], "Yes", "No"))</f>
        <v>No</v>
      </c>
      <c r="I14" s="73" t="str">
        <f>IF(CalibrationLog[[#This Row],[Date]]="", "", IF(CalibrationLog[[#This Row],[Image Error]]&lt;G14, "Yes", "No"))</f>
        <v>No</v>
      </c>
    </row>
    <row r="15" spans="1:9" x14ac:dyDescent="0.25">
      <c r="A15" s="4">
        <v>46228</v>
      </c>
      <c r="B15" s="19" t="s">
        <v>25</v>
      </c>
      <c r="C15" s="5">
        <v>1007</v>
      </c>
      <c r="D15" s="16">
        <v>0.16838600000000001</v>
      </c>
      <c r="E15" s="17">
        <v>4.2415799999999997E-2</v>
      </c>
      <c r="F15" s="70">
        <f>_xlfn.XLOOKUP(CalibrationLog[[#This Row],[Date]], Daily!C:C, Daily!J:J, "n/a")</f>
        <v>0.3911837647058824</v>
      </c>
      <c r="G15" s="71">
        <f>_xlfn.XLOOKUP(CalibrationLog[[#This Row],[Date]], Daily!C:C, Daily!M:M, "n/a")</f>
        <v>9.2278499999999986E-2</v>
      </c>
      <c r="H15" s="72" t="str">
        <f>IF(CalibrationLog[[#This Row],[Date]]="", "", IF(CalibrationLog[[#This Row],[World Error]]&lt;CalibrationLog[[#This Row],[World Error (Avg.)]], "Yes", "No"))</f>
        <v>Yes</v>
      </c>
      <c r="I15" s="73" t="str">
        <f>IF(CalibrationLog[[#This Row],[Date]]="", "", IF(CalibrationLog[[#This Row],[Image Error]]&lt;G15, "Yes", "No"))</f>
        <v>Yes</v>
      </c>
    </row>
    <row r="16" spans="1:9" x14ac:dyDescent="0.25">
      <c r="A16" s="4">
        <v>46228</v>
      </c>
      <c r="B16" s="19" t="s">
        <v>26</v>
      </c>
      <c r="C16" s="5">
        <v>2022</v>
      </c>
      <c r="D16" s="16">
        <v>0.160743</v>
      </c>
      <c r="E16" s="17">
        <v>4.9050299999999998E-2</v>
      </c>
      <c r="F16" s="70">
        <f>_xlfn.XLOOKUP(CalibrationLog[[#This Row],[Date]], Daily!C:C, Daily!J:J, "n/a")</f>
        <v>0.3911837647058824</v>
      </c>
      <c r="G16" s="71">
        <f>_xlfn.XLOOKUP(CalibrationLog[[#This Row],[Date]], Daily!C:C, Daily!M:M, "n/a")</f>
        <v>9.2278499999999986E-2</v>
      </c>
      <c r="H16" s="72" t="str">
        <f>IF(CalibrationLog[[#This Row],[Date]]="", "", IF(CalibrationLog[[#This Row],[World Error]]&lt;CalibrationLog[[#This Row],[World Error (Avg.)]], "Yes", "No"))</f>
        <v>Yes</v>
      </c>
      <c r="I16" s="73" t="str">
        <f>IF(CalibrationLog[[#This Row],[Date]]="", "", IF(CalibrationLog[[#This Row],[Image Error]]&lt;G16, "Yes", "No"))</f>
        <v>Yes</v>
      </c>
    </row>
    <row r="17" spans="1:9" x14ac:dyDescent="0.25">
      <c r="A17" s="4">
        <v>46228</v>
      </c>
      <c r="B17" s="19" t="s">
        <v>27</v>
      </c>
      <c r="C17" s="5">
        <v>1985</v>
      </c>
      <c r="D17" s="16">
        <v>0.43960500000000002</v>
      </c>
      <c r="E17" s="17">
        <v>0.10267900000000001</v>
      </c>
      <c r="F17" s="70">
        <f>_xlfn.XLOOKUP(CalibrationLog[[#This Row],[Date]], Daily!C:C, Daily!J:J, "n/a")</f>
        <v>0.3911837647058824</v>
      </c>
      <c r="G17" s="71">
        <f>_xlfn.XLOOKUP(CalibrationLog[[#This Row],[Date]], Daily!C:C, Daily!M:M, "n/a")</f>
        <v>9.2278499999999986E-2</v>
      </c>
      <c r="H17" s="72" t="str">
        <f>IF(CalibrationLog[[#This Row],[Date]]="", "", IF(CalibrationLog[[#This Row],[World Error]]&lt;CalibrationLog[[#This Row],[World Error (Avg.)]], "Yes", "No"))</f>
        <v>No</v>
      </c>
      <c r="I17" s="73" t="str">
        <f>IF(CalibrationLog[[#This Row],[Date]]="", "", IF(CalibrationLog[[#This Row],[Image Error]]&lt;G17, "Yes", "No"))</f>
        <v>No</v>
      </c>
    </row>
    <row r="18" spans="1:9" x14ac:dyDescent="0.25">
      <c r="A18" s="4">
        <v>46228</v>
      </c>
      <c r="B18" s="19" t="s">
        <v>28</v>
      </c>
      <c r="C18" s="5">
        <v>1540</v>
      </c>
      <c r="D18" s="16">
        <v>0.64795899999999995</v>
      </c>
      <c r="E18" s="17">
        <v>0.147318</v>
      </c>
      <c r="F18" s="70">
        <f>_xlfn.XLOOKUP(CalibrationLog[[#This Row],[Date]], Daily!C:C, Daily!J:J, "n/a")</f>
        <v>0.3911837647058824</v>
      </c>
      <c r="G18" s="71">
        <f>_xlfn.XLOOKUP(CalibrationLog[[#This Row],[Date]], Daily!C:C, Daily!M:M, "n/a")</f>
        <v>9.2278499999999986E-2</v>
      </c>
      <c r="H18" s="72" t="str">
        <f>IF(CalibrationLog[[#This Row],[Date]]="", "", IF(CalibrationLog[[#This Row],[World Error]]&lt;CalibrationLog[[#This Row],[World Error (Avg.)]], "Yes", "No"))</f>
        <v>No</v>
      </c>
      <c r="I18" s="73" t="str">
        <f>IF(CalibrationLog[[#This Row],[Date]]="", "", IF(CalibrationLog[[#This Row],[Image Error]]&lt;G18, "Yes", "No"))</f>
        <v>No</v>
      </c>
    </row>
    <row r="19" spans="1:9" x14ac:dyDescent="0.25">
      <c r="A19" s="4">
        <v>46228</v>
      </c>
      <c r="B19" s="19" t="s">
        <v>29</v>
      </c>
      <c r="C19" s="5">
        <v>1892</v>
      </c>
      <c r="D19" s="16">
        <v>0.37152299999999999</v>
      </c>
      <c r="E19" s="17">
        <v>7.7194100000000002E-2</v>
      </c>
      <c r="F19" s="70">
        <f>_xlfn.XLOOKUP(CalibrationLog[[#This Row],[Date]], Daily!C:C, Daily!J:J, "n/a")</f>
        <v>0.3911837647058824</v>
      </c>
      <c r="G19" s="71">
        <f>_xlfn.XLOOKUP(CalibrationLog[[#This Row],[Date]], Daily!C:C, Daily!M:M, "n/a")</f>
        <v>9.2278499999999986E-2</v>
      </c>
      <c r="H19" s="72" t="str">
        <f>IF(CalibrationLog[[#This Row],[Date]]="", "", IF(CalibrationLog[[#This Row],[World Error]]&lt;CalibrationLog[[#This Row],[World Error (Avg.)]], "Yes", "No"))</f>
        <v>Yes</v>
      </c>
      <c r="I19" s="73" t="str">
        <f>IF(CalibrationLog[[#This Row],[Date]]="", "", IF(CalibrationLog[[#This Row],[Image Error]]&lt;G19, "Yes", "No"))</f>
        <v>Yes</v>
      </c>
    </row>
    <row r="20" spans="1:9" x14ac:dyDescent="0.25">
      <c r="A20" s="4">
        <v>46228</v>
      </c>
      <c r="B20" s="19" t="s">
        <v>30</v>
      </c>
      <c r="C20" s="5">
        <v>1460</v>
      </c>
      <c r="D20" s="16">
        <v>0.54793400000000003</v>
      </c>
      <c r="E20" s="17">
        <v>0.109931</v>
      </c>
      <c r="F20" s="70">
        <f>_xlfn.XLOOKUP(CalibrationLog[[#This Row],[Date]], Daily!C:C, Daily!J:J, "n/a")</f>
        <v>0.3911837647058824</v>
      </c>
      <c r="G20" s="71">
        <f>_xlfn.XLOOKUP(CalibrationLog[[#This Row],[Date]], Daily!C:C, Daily!M:M, "n/a")</f>
        <v>9.2278499999999986E-2</v>
      </c>
      <c r="H20" s="72" t="str">
        <f>IF(CalibrationLog[[#This Row],[Date]]="", "", IF(CalibrationLog[[#This Row],[World Error]]&lt;CalibrationLog[[#This Row],[World Error (Avg.)]], "Yes", "No"))</f>
        <v>No</v>
      </c>
      <c r="I20" s="73" t="str">
        <f>IF(CalibrationLog[[#This Row],[Date]]="", "", IF(CalibrationLog[[#This Row],[Image Error]]&lt;G20, "Yes", "No"))</f>
        <v>No</v>
      </c>
    </row>
    <row r="21" spans="1:9" x14ac:dyDescent="0.25">
      <c r="A21" s="4">
        <v>46230</v>
      </c>
      <c r="B21" s="19" t="s">
        <v>14</v>
      </c>
      <c r="C21" s="5">
        <v>1939</v>
      </c>
      <c r="D21" s="16">
        <v>0.38631799999999999</v>
      </c>
      <c r="E21" s="17">
        <v>0.10861</v>
      </c>
      <c r="F21" s="70">
        <f>_xlfn.XLOOKUP(CalibrationLog[[#This Row],[Date]], Daily!C:C, Daily!J:J, "n/a")</f>
        <v>0.38041772222222209</v>
      </c>
      <c r="G21" s="71">
        <f>_xlfn.XLOOKUP(CalibrationLog[[#This Row],[Date]], Daily!C:C, Daily!M:M, "n/a")</f>
        <v>9.1966633333333339E-2</v>
      </c>
      <c r="H21" s="72" t="str">
        <f>IF(CalibrationLog[[#This Row],[Date]]="", "", IF(CalibrationLog[[#This Row],[World Error]]&lt;CalibrationLog[[#This Row],[World Error (Avg.)]], "Yes", "No"))</f>
        <v>No</v>
      </c>
      <c r="I21" s="73" t="str">
        <f>IF(CalibrationLog[[#This Row],[Date]]="", "", IF(CalibrationLog[[#This Row],[Image Error]]&lt;G21, "Yes", "No"))</f>
        <v>No</v>
      </c>
    </row>
    <row r="22" spans="1:9" x14ac:dyDescent="0.25">
      <c r="A22" s="4">
        <v>46230</v>
      </c>
      <c r="B22" s="19" t="s">
        <v>15</v>
      </c>
      <c r="C22" s="5">
        <v>2172</v>
      </c>
      <c r="D22" s="16">
        <v>0.40509299999999998</v>
      </c>
      <c r="E22" s="17">
        <v>0.10678</v>
      </c>
      <c r="F22" s="70">
        <f>_xlfn.XLOOKUP(CalibrationLog[[#This Row],[Date]], Daily!C:C, Daily!J:J, "n/a")</f>
        <v>0.38041772222222209</v>
      </c>
      <c r="G22" s="71">
        <f>_xlfn.XLOOKUP(CalibrationLog[[#This Row],[Date]], Daily!C:C, Daily!M:M, "n/a")</f>
        <v>9.1966633333333339E-2</v>
      </c>
      <c r="H22" s="72" t="str">
        <f>IF(CalibrationLog[[#This Row],[Date]]="", "", IF(CalibrationLog[[#This Row],[World Error]]&lt;CalibrationLog[[#This Row],[World Error (Avg.)]], "Yes", "No"))</f>
        <v>No</v>
      </c>
      <c r="I22" s="73" t="str">
        <f>IF(CalibrationLog[[#This Row],[Date]]="", "", IF(CalibrationLog[[#This Row],[Image Error]]&lt;G22, "Yes", "No"))</f>
        <v>No</v>
      </c>
    </row>
    <row r="23" spans="1:9" x14ac:dyDescent="0.25">
      <c r="A23" s="4">
        <v>46230</v>
      </c>
      <c r="B23" s="19" t="s">
        <v>16</v>
      </c>
      <c r="C23" s="5">
        <v>1359</v>
      </c>
      <c r="D23" s="16">
        <v>0.42063299999999998</v>
      </c>
      <c r="E23" s="17">
        <v>9.8741200000000001E-2</v>
      </c>
      <c r="F23" s="70">
        <f>_xlfn.XLOOKUP(CalibrationLog[[#This Row],[Date]], Daily!C:C, Daily!J:J, "n/a")</f>
        <v>0.38041772222222209</v>
      </c>
      <c r="G23" s="71">
        <f>_xlfn.XLOOKUP(CalibrationLog[[#This Row],[Date]], Daily!C:C, Daily!M:M, "n/a")</f>
        <v>9.1966633333333339E-2</v>
      </c>
      <c r="H23" s="72" t="str">
        <f>IF(CalibrationLog[[#This Row],[Date]]="", "", IF(CalibrationLog[[#This Row],[World Error]]&lt;CalibrationLog[[#This Row],[World Error (Avg.)]], "Yes", "No"))</f>
        <v>No</v>
      </c>
      <c r="I23" s="73" t="str">
        <f>IF(CalibrationLog[[#This Row],[Date]]="", "", IF(CalibrationLog[[#This Row],[Image Error]]&lt;G23, "Yes", "No"))</f>
        <v>No</v>
      </c>
    </row>
    <row r="24" spans="1:9" x14ac:dyDescent="0.25">
      <c r="A24" s="4">
        <v>46230</v>
      </c>
      <c r="B24" s="19" t="s">
        <v>17</v>
      </c>
      <c r="C24" s="5">
        <v>1819</v>
      </c>
      <c r="D24" s="16">
        <v>0.610344</v>
      </c>
      <c r="E24" s="17">
        <v>0.120907</v>
      </c>
      <c r="F24" s="70">
        <f>_xlfn.XLOOKUP(CalibrationLog[[#This Row],[Date]], Daily!C:C, Daily!J:J, "n/a")</f>
        <v>0.38041772222222209</v>
      </c>
      <c r="G24" s="71">
        <f>_xlfn.XLOOKUP(CalibrationLog[[#This Row],[Date]], Daily!C:C, Daily!M:M, "n/a")</f>
        <v>9.1966633333333339E-2</v>
      </c>
      <c r="H24" s="72" t="str">
        <f>IF(CalibrationLog[[#This Row],[Date]]="", "", IF(CalibrationLog[[#This Row],[World Error]]&lt;CalibrationLog[[#This Row],[World Error (Avg.)]], "Yes", "No"))</f>
        <v>No</v>
      </c>
      <c r="I24" s="73" t="str">
        <f>IF(CalibrationLog[[#This Row],[Date]]="", "", IF(CalibrationLog[[#This Row],[Image Error]]&lt;G24, "Yes", "No"))</f>
        <v>No</v>
      </c>
    </row>
    <row r="25" spans="1:9" x14ac:dyDescent="0.25">
      <c r="A25" s="4">
        <v>46230</v>
      </c>
      <c r="B25" s="19" t="s">
        <v>18</v>
      </c>
      <c r="C25" s="5">
        <v>1541</v>
      </c>
      <c r="D25" s="16">
        <v>0.28196100000000002</v>
      </c>
      <c r="E25" s="17">
        <v>6.7092299999999994E-2</v>
      </c>
      <c r="F25" s="70">
        <f>_xlfn.XLOOKUP(CalibrationLog[[#This Row],[Date]], Daily!C:C, Daily!J:J, "n/a")</f>
        <v>0.38041772222222209</v>
      </c>
      <c r="G25" s="71">
        <f>_xlfn.XLOOKUP(CalibrationLog[[#This Row],[Date]], Daily!C:C, Daily!M:M, "n/a")</f>
        <v>9.1966633333333339E-2</v>
      </c>
      <c r="H25" s="72" t="str">
        <f>IF(CalibrationLog[[#This Row],[Date]]="", "", IF(CalibrationLog[[#This Row],[World Error]]&lt;CalibrationLog[[#This Row],[World Error (Avg.)]], "Yes", "No"))</f>
        <v>Yes</v>
      </c>
      <c r="I25" s="73" t="str">
        <f>IF(CalibrationLog[[#This Row],[Date]]="", "", IF(CalibrationLog[[#This Row],[Image Error]]&lt;G25, "Yes", "No"))</f>
        <v>Yes</v>
      </c>
    </row>
    <row r="26" spans="1:9" x14ac:dyDescent="0.25">
      <c r="A26" s="4">
        <v>46230</v>
      </c>
      <c r="B26" s="19" t="s">
        <v>19</v>
      </c>
      <c r="C26" s="5">
        <v>1296</v>
      </c>
      <c r="D26" s="16">
        <v>0.35003099999999998</v>
      </c>
      <c r="E26" s="17">
        <v>7.3608499999999993E-2</v>
      </c>
      <c r="F26" s="70">
        <f>_xlfn.XLOOKUP(CalibrationLog[[#This Row],[Date]], Daily!C:C, Daily!J:J, "n/a")</f>
        <v>0.38041772222222209</v>
      </c>
      <c r="G26" s="71">
        <f>_xlfn.XLOOKUP(CalibrationLog[[#This Row],[Date]], Daily!C:C, Daily!M:M, "n/a")</f>
        <v>9.1966633333333339E-2</v>
      </c>
      <c r="H26" s="72" t="str">
        <f>IF(CalibrationLog[[#This Row],[Date]]="", "", IF(CalibrationLog[[#This Row],[World Error]]&lt;CalibrationLog[[#This Row],[World Error (Avg.)]], "Yes", "No"))</f>
        <v>Yes</v>
      </c>
      <c r="I26" s="73" t="str">
        <f>IF(CalibrationLog[[#This Row],[Date]]="", "", IF(CalibrationLog[[#This Row],[Image Error]]&lt;G26, "Yes", "No"))</f>
        <v>Yes</v>
      </c>
    </row>
    <row r="27" spans="1:9" x14ac:dyDescent="0.25">
      <c r="A27" s="4">
        <v>46230</v>
      </c>
      <c r="B27" s="19" t="s">
        <v>20</v>
      </c>
      <c r="C27" s="5">
        <v>1470</v>
      </c>
      <c r="D27" s="16">
        <v>0.36660399999999999</v>
      </c>
      <c r="E27" s="17">
        <v>7.6716000000000006E-2</v>
      </c>
      <c r="F27" s="70">
        <f>_xlfn.XLOOKUP(CalibrationLog[[#This Row],[Date]], Daily!C:C, Daily!J:J, "n/a")</f>
        <v>0.38041772222222209</v>
      </c>
      <c r="G27" s="71">
        <f>_xlfn.XLOOKUP(CalibrationLog[[#This Row],[Date]], Daily!C:C, Daily!M:M, "n/a")</f>
        <v>9.1966633333333339E-2</v>
      </c>
      <c r="H27" s="72" t="str">
        <f>IF(CalibrationLog[[#This Row],[Date]]="", "", IF(CalibrationLog[[#This Row],[World Error]]&lt;CalibrationLog[[#This Row],[World Error (Avg.)]], "Yes", "No"))</f>
        <v>Yes</v>
      </c>
      <c r="I27" s="73" t="str">
        <f>IF(CalibrationLog[[#This Row],[Date]]="", "", IF(CalibrationLog[[#This Row],[Image Error]]&lt;G27, "Yes", "No"))</f>
        <v>Yes</v>
      </c>
    </row>
    <row r="28" spans="1:9" x14ac:dyDescent="0.25">
      <c r="A28" s="4">
        <v>46230</v>
      </c>
      <c r="B28" s="19" t="s">
        <v>44</v>
      </c>
      <c r="C28" s="5">
        <v>1162</v>
      </c>
      <c r="D28" s="16">
        <v>0.162101</v>
      </c>
      <c r="E28" s="17">
        <v>4.9118500000000002E-2</v>
      </c>
      <c r="F28" s="70">
        <f>_xlfn.XLOOKUP(CalibrationLog[[#This Row],[Date]], Daily!C:C, Daily!J:J, "n/a")</f>
        <v>0.38041772222222209</v>
      </c>
      <c r="G28" s="71">
        <f>_xlfn.XLOOKUP(CalibrationLog[[#This Row],[Date]], Daily!C:C, Daily!M:M, "n/a")</f>
        <v>9.1966633333333339E-2</v>
      </c>
      <c r="H28" s="72" t="str">
        <f>IF(CalibrationLog[[#This Row],[Date]]="", "", IF(CalibrationLog[[#This Row],[World Error]]&lt;CalibrationLog[[#This Row],[World Error (Avg.)]], "Yes", "No"))</f>
        <v>Yes</v>
      </c>
      <c r="I28" s="73" t="str">
        <f>IF(CalibrationLog[[#This Row],[Date]]="", "", IF(CalibrationLog[[#This Row],[Image Error]]&lt;G28, "Yes", "No"))</f>
        <v>Yes</v>
      </c>
    </row>
    <row r="29" spans="1:9" x14ac:dyDescent="0.25">
      <c r="A29" s="4">
        <v>46230</v>
      </c>
      <c r="B29" s="19" t="s">
        <v>21</v>
      </c>
      <c r="C29" s="5">
        <v>2611</v>
      </c>
      <c r="D29" s="16">
        <v>0.42067700000000002</v>
      </c>
      <c r="E29" s="17">
        <v>8.1860199999999994E-2</v>
      </c>
      <c r="F29" s="70">
        <f>_xlfn.XLOOKUP(CalibrationLog[[#This Row],[Date]], Daily!C:C, Daily!J:J, "n/a")</f>
        <v>0.38041772222222209</v>
      </c>
      <c r="G29" s="71">
        <f>_xlfn.XLOOKUP(CalibrationLog[[#This Row],[Date]], Daily!C:C, Daily!M:M, "n/a")</f>
        <v>9.1966633333333339E-2</v>
      </c>
      <c r="H29" s="72" t="str">
        <f>IF(CalibrationLog[[#This Row],[Date]]="", "", IF(CalibrationLog[[#This Row],[World Error]]&lt;CalibrationLog[[#This Row],[World Error (Avg.)]], "Yes", "No"))</f>
        <v>No</v>
      </c>
      <c r="I29" s="73" t="str">
        <f>IF(CalibrationLog[[#This Row],[Date]]="", "", IF(CalibrationLog[[#This Row],[Image Error]]&lt;G29, "Yes", "No"))</f>
        <v>Yes</v>
      </c>
    </row>
    <row r="30" spans="1:9" x14ac:dyDescent="0.25">
      <c r="A30" s="4">
        <v>46230</v>
      </c>
      <c r="B30" s="19" t="s">
        <v>22</v>
      </c>
      <c r="C30" s="5">
        <v>1449</v>
      </c>
      <c r="D30" s="16">
        <v>0.45557700000000001</v>
      </c>
      <c r="E30" s="17">
        <v>0.123795</v>
      </c>
      <c r="F30" s="70">
        <f>_xlfn.XLOOKUP(CalibrationLog[[#This Row],[Date]], Daily!C:C, Daily!J:J, "n/a")</f>
        <v>0.38041772222222209</v>
      </c>
      <c r="G30" s="71">
        <f>_xlfn.XLOOKUP(CalibrationLog[[#This Row],[Date]], Daily!C:C, Daily!M:M, "n/a")</f>
        <v>9.1966633333333339E-2</v>
      </c>
      <c r="H30" s="72" t="str">
        <f>IF(CalibrationLog[[#This Row],[Date]]="", "", IF(CalibrationLog[[#This Row],[World Error]]&lt;CalibrationLog[[#This Row],[World Error (Avg.)]], "Yes", "No"))</f>
        <v>No</v>
      </c>
      <c r="I30" s="73" t="str">
        <f>IF(CalibrationLog[[#This Row],[Date]]="", "", IF(CalibrationLog[[#This Row],[Image Error]]&lt;G30, "Yes", "No"))</f>
        <v>No</v>
      </c>
    </row>
    <row r="31" spans="1:9" x14ac:dyDescent="0.25">
      <c r="A31" s="4">
        <v>46230</v>
      </c>
      <c r="B31" s="19" t="s">
        <v>23</v>
      </c>
      <c r="C31" s="5">
        <v>1005</v>
      </c>
      <c r="D31" s="16">
        <v>0.43718499999999999</v>
      </c>
      <c r="E31" s="17">
        <v>0.14344199999999999</v>
      </c>
      <c r="F31" s="70">
        <f>_xlfn.XLOOKUP(CalibrationLog[[#This Row],[Date]], Daily!C:C, Daily!J:J, "n/a")</f>
        <v>0.38041772222222209</v>
      </c>
      <c r="G31" s="71">
        <f>_xlfn.XLOOKUP(CalibrationLog[[#This Row],[Date]], Daily!C:C, Daily!M:M, "n/a")</f>
        <v>9.1966633333333339E-2</v>
      </c>
      <c r="H31" s="72" t="str">
        <f>IF(CalibrationLog[[#This Row],[Date]]="", "", IF(CalibrationLog[[#This Row],[World Error]]&lt;CalibrationLog[[#This Row],[World Error (Avg.)]], "Yes", "No"))</f>
        <v>No</v>
      </c>
      <c r="I31" s="73" t="str">
        <f>IF(CalibrationLog[[#This Row],[Date]]="", "", IF(CalibrationLog[[#This Row],[Image Error]]&lt;G31, "Yes", "No"))</f>
        <v>No</v>
      </c>
    </row>
    <row r="32" spans="1:9" x14ac:dyDescent="0.25">
      <c r="A32" s="4">
        <v>46230</v>
      </c>
      <c r="B32" s="19" t="s">
        <v>24</v>
      </c>
      <c r="C32" s="5">
        <v>2076</v>
      </c>
      <c r="D32" s="16">
        <v>0.30209799999999998</v>
      </c>
      <c r="E32" s="17">
        <v>9.3080999999999997E-2</v>
      </c>
      <c r="F32" s="70">
        <f>_xlfn.XLOOKUP(CalibrationLog[[#This Row],[Date]], Daily!C:C, Daily!J:J, "n/a")</f>
        <v>0.38041772222222209</v>
      </c>
      <c r="G32" s="71">
        <f>_xlfn.XLOOKUP(CalibrationLog[[#This Row],[Date]], Daily!C:C, Daily!M:M, "n/a")</f>
        <v>9.1966633333333339E-2</v>
      </c>
      <c r="H32" s="72" t="str">
        <f>IF(CalibrationLog[[#This Row],[Date]]="", "", IF(CalibrationLog[[#This Row],[World Error]]&lt;CalibrationLog[[#This Row],[World Error (Avg.)]], "Yes", "No"))</f>
        <v>Yes</v>
      </c>
      <c r="I32" s="73" t="str">
        <f>IF(CalibrationLog[[#This Row],[Date]]="", "", IF(CalibrationLog[[#This Row],[Image Error]]&lt;G32, "Yes", "No"))</f>
        <v>No</v>
      </c>
    </row>
    <row r="33" spans="1:9" x14ac:dyDescent="0.25">
      <c r="A33" s="4">
        <v>46230</v>
      </c>
      <c r="B33" s="19" t="s">
        <v>25</v>
      </c>
      <c r="C33" s="5">
        <v>1159</v>
      </c>
      <c r="D33" s="16">
        <v>0.18565499999999999</v>
      </c>
      <c r="E33" s="17">
        <v>4.46854E-2</v>
      </c>
      <c r="F33" s="70">
        <f>_xlfn.XLOOKUP(CalibrationLog[[#This Row],[Date]], Daily!C:C, Daily!J:J, "n/a")</f>
        <v>0.38041772222222209</v>
      </c>
      <c r="G33" s="71">
        <f>_xlfn.XLOOKUP(CalibrationLog[[#This Row],[Date]], Daily!C:C, Daily!M:M, "n/a")</f>
        <v>9.1966633333333339E-2</v>
      </c>
      <c r="H33" s="72" t="str">
        <f>IF(CalibrationLog[[#This Row],[Date]]="", "", IF(CalibrationLog[[#This Row],[World Error]]&lt;CalibrationLog[[#This Row],[World Error (Avg.)]], "Yes", "No"))</f>
        <v>Yes</v>
      </c>
      <c r="I33" s="73" t="str">
        <f>IF(CalibrationLog[[#This Row],[Date]]="", "", IF(CalibrationLog[[#This Row],[Image Error]]&lt;G33, "Yes", "No"))</f>
        <v>Yes</v>
      </c>
    </row>
    <row r="34" spans="1:9" x14ac:dyDescent="0.25">
      <c r="A34" s="4">
        <v>46230</v>
      </c>
      <c r="B34" s="19" t="s">
        <v>26</v>
      </c>
      <c r="C34" s="5">
        <v>1409</v>
      </c>
      <c r="D34" s="16">
        <v>0.21656300000000001</v>
      </c>
      <c r="E34" s="17">
        <v>6.9651900000000003E-2</v>
      </c>
      <c r="F34" s="70">
        <f>_xlfn.XLOOKUP(CalibrationLog[[#This Row],[Date]], Daily!C:C, Daily!J:J, "n/a")</f>
        <v>0.38041772222222209</v>
      </c>
      <c r="G34" s="71">
        <f>_xlfn.XLOOKUP(CalibrationLog[[#This Row],[Date]], Daily!C:C, Daily!M:M, "n/a")</f>
        <v>9.1966633333333339E-2</v>
      </c>
      <c r="H34" s="72" t="str">
        <f>IF(CalibrationLog[[#This Row],[Date]]="", "", IF(CalibrationLog[[#This Row],[World Error]]&lt;CalibrationLog[[#This Row],[World Error (Avg.)]], "Yes", "No"))</f>
        <v>Yes</v>
      </c>
      <c r="I34" s="73" t="str">
        <f>IF(CalibrationLog[[#This Row],[Date]]="", "", IF(CalibrationLog[[#This Row],[Image Error]]&lt;G34, "Yes", "No"))</f>
        <v>Yes</v>
      </c>
    </row>
    <row r="35" spans="1:9" x14ac:dyDescent="0.25">
      <c r="A35" s="4">
        <v>46230</v>
      </c>
      <c r="B35" s="19" t="s">
        <v>27</v>
      </c>
      <c r="C35" s="5">
        <v>1914</v>
      </c>
      <c r="D35" s="16">
        <v>0.46116299999999999</v>
      </c>
      <c r="E35" s="17">
        <v>0.104768</v>
      </c>
      <c r="F35" s="70">
        <f>_xlfn.XLOOKUP(CalibrationLog[[#This Row],[Date]], Daily!C:C, Daily!J:J, "n/a")</f>
        <v>0.38041772222222209</v>
      </c>
      <c r="G35" s="71">
        <f>_xlfn.XLOOKUP(CalibrationLog[[#This Row],[Date]], Daily!C:C, Daily!M:M, "n/a")</f>
        <v>9.1966633333333339E-2</v>
      </c>
      <c r="H35" s="72" t="str">
        <f>IF(CalibrationLog[[#This Row],[Date]]="", "", IF(CalibrationLog[[#This Row],[World Error]]&lt;CalibrationLog[[#This Row],[World Error (Avg.)]], "Yes", "No"))</f>
        <v>No</v>
      </c>
      <c r="I35" s="73" t="str">
        <f>IF(CalibrationLog[[#This Row],[Date]]="", "", IF(CalibrationLog[[#This Row],[Image Error]]&lt;G35, "Yes", "No"))</f>
        <v>No</v>
      </c>
    </row>
    <row r="36" spans="1:9" x14ac:dyDescent="0.25">
      <c r="A36" s="4">
        <v>46230</v>
      </c>
      <c r="B36" s="19" t="s">
        <v>28</v>
      </c>
      <c r="C36" s="5">
        <v>1154</v>
      </c>
      <c r="D36" s="16">
        <v>0.49668299999999999</v>
      </c>
      <c r="E36" s="17">
        <v>0.111633</v>
      </c>
      <c r="F36" s="70">
        <f>_xlfn.XLOOKUP(CalibrationLog[[#This Row],[Date]], Daily!C:C, Daily!J:J, "n/a")</f>
        <v>0.38041772222222209</v>
      </c>
      <c r="G36" s="71">
        <f>_xlfn.XLOOKUP(CalibrationLog[[#This Row],[Date]], Daily!C:C, Daily!M:M, "n/a")</f>
        <v>9.1966633333333339E-2</v>
      </c>
      <c r="H36" s="72" t="str">
        <f>IF(CalibrationLog[[#This Row],[Date]]="", "", IF(CalibrationLog[[#This Row],[World Error]]&lt;CalibrationLog[[#This Row],[World Error (Avg.)]], "Yes", "No"))</f>
        <v>No</v>
      </c>
      <c r="I36" s="73" t="str">
        <f>IF(CalibrationLog[[#This Row],[Date]]="", "", IF(CalibrationLog[[#This Row],[Image Error]]&lt;G36, "Yes", "No"))</f>
        <v>No</v>
      </c>
    </row>
    <row r="37" spans="1:9" x14ac:dyDescent="0.25">
      <c r="A37" s="4">
        <v>46230</v>
      </c>
      <c r="B37" s="19" t="s">
        <v>29</v>
      </c>
      <c r="C37" s="5">
        <v>1614</v>
      </c>
      <c r="D37" s="16">
        <v>0.32052799999999998</v>
      </c>
      <c r="E37" s="17">
        <v>6.6401399999999999E-2</v>
      </c>
      <c r="F37" s="70">
        <f>_xlfn.XLOOKUP(CalibrationLog[[#This Row],[Date]], Daily!C:C, Daily!J:J, "n/a")</f>
        <v>0.38041772222222209</v>
      </c>
      <c r="G37" s="71">
        <f>_xlfn.XLOOKUP(CalibrationLog[[#This Row],[Date]], Daily!C:C, Daily!M:M, "n/a")</f>
        <v>9.1966633333333339E-2</v>
      </c>
      <c r="H37" s="72" t="str">
        <f>IF(CalibrationLog[[#This Row],[Date]]="", "", IF(CalibrationLog[[#This Row],[World Error]]&lt;CalibrationLog[[#This Row],[World Error (Avg.)]], "Yes", "No"))</f>
        <v>Yes</v>
      </c>
      <c r="I37" s="73" t="str">
        <f>IF(CalibrationLog[[#This Row],[Date]]="", "", IF(CalibrationLog[[#This Row],[Image Error]]&lt;G37, "Yes", "No"))</f>
        <v>Yes</v>
      </c>
    </row>
    <row r="38" spans="1:9" x14ac:dyDescent="0.25">
      <c r="A38" s="4">
        <v>46230</v>
      </c>
      <c r="B38" s="19" t="s">
        <v>30</v>
      </c>
      <c r="C38" s="5">
        <v>1342</v>
      </c>
      <c r="D38" s="16">
        <v>0.56830499999999995</v>
      </c>
      <c r="E38" s="17">
        <v>0.114508</v>
      </c>
      <c r="F38" s="70">
        <f>_xlfn.XLOOKUP(CalibrationLog[[#This Row],[Date]], Daily!C:C, Daily!J:J, "n/a")</f>
        <v>0.38041772222222209</v>
      </c>
      <c r="G38" s="71">
        <f>_xlfn.XLOOKUP(CalibrationLog[[#This Row],[Date]], Daily!C:C, Daily!M:M, "n/a")</f>
        <v>9.1966633333333339E-2</v>
      </c>
      <c r="H38" s="72" t="str">
        <f>IF(CalibrationLog[[#This Row],[Date]]="", "", IF(CalibrationLog[[#This Row],[World Error]]&lt;CalibrationLog[[#This Row],[World Error (Avg.)]], "Yes", "No"))</f>
        <v>No</v>
      </c>
      <c r="I38" s="73" t="str">
        <f>IF(CalibrationLog[[#This Row],[Date]]="", "", IF(CalibrationLog[[#This Row],[Image Error]]&lt;G38, "Yes", "No"))</f>
        <v>No</v>
      </c>
    </row>
    <row r="39" spans="1:9" x14ac:dyDescent="0.25">
      <c r="A39" s="4">
        <v>46231</v>
      </c>
      <c r="B39" s="19" t="s">
        <v>14</v>
      </c>
      <c r="C39" s="5">
        <v>2192</v>
      </c>
      <c r="D39" s="16">
        <v>0.32684800000000003</v>
      </c>
      <c r="E39" s="17">
        <v>9.1957899999999995E-2</v>
      </c>
      <c r="F39" s="70">
        <f>_xlfn.XLOOKUP(CalibrationLog[[#This Row],[Date]], Daily!C:C, Daily!J:J, "n/a")</f>
        <v>0.35087827777777769</v>
      </c>
      <c r="G39" s="71">
        <f>_xlfn.XLOOKUP(CalibrationLog[[#This Row],[Date]], Daily!C:C, Daily!M:M, "n/a")</f>
        <v>8.4730411111111126E-2</v>
      </c>
      <c r="H39" s="72" t="str">
        <f>IF(CalibrationLog[[#This Row],[Date]]="", "", IF(CalibrationLog[[#This Row],[World Error]]&lt;CalibrationLog[[#This Row],[World Error (Avg.)]], "Yes", "No"))</f>
        <v>Yes</v>
      </c>
      <c r="I39" s="73" t="str">
        <f>IF(CalibrationLog[[#This Row],[Date]]="", "", IF(CalibrationLog[[#This Row],[Image Error]]&lt;G39, "Yes", "No"))</f>
        <v>No</v>
      </c>
    </row>
    <row r="40" spans="1:9" x14ac:dyDescent="0.25">
      <c r="A40" s="4">
        <v>46231</v>
      </c>
      <c r="B40" s="19" t="s">
        <v>15</v>
      </c>
      <c r="C40" s="5">
        <v>2430</v>
      </c>
      <c r="D40" s="16">
        <v>0.55680700000000005</v>
      </c>
      <c r="E40" s="17">
        <v>0.14671400000000001</v>
      </c>
      <c r="F40" s="70">
        <f>_xlfn.XLOOKUP(CalibrationLog[[#This Row],[Date]], Daily!C:C, Daily!J:J, "n/a")</f>
        <v>0.35087827777777769</v>
      </c>
      <c r="G40" s="71">
        <f>_xlfn.XLOOKUP(CalibrationLog[[#This Row],[Date]], Daily!C:C, Daily!M:M, "n/a")</f>
        <v>8.4730411111111126E-2</v>
      </c>
      <c r="H40" s="72" t="str">
        <f>IF(CalibrationLog[[#This Row],[Date]]="", "", IF(CalibrationLog[[#This Row],[World Error]]&lt;CalibrationLog[[#This Row],[World Error (Avg.)]], "Yes", "No"))</f>
        <v>No</v>
      </c>
      <c r="I40" s="73" t="str">
        <f>IF(CalibrationLog[[#This Row],[Date]]="", "", IF(CalibrationLog[[#This Row],[Image Error]]&lt;G40, "Yes", "No"))</f>
        <v>No</v>
      </c>
    </row>
    <row r="41" spans="1:9" x14ac:dyDescent="0.25">
      <c r="A41" s="4">
        <v>46231</v>
      </c>
      <c r="B41" s="19" t="s">
        <v>16</v>
      </c>
      <c r="C41" s="5">
        <v>1832</v>
      </c>
      <c r="D41" s="16">
        <v>0.34914299999999998</v>
      </c>
      <c r="E41" s="17">
        <v>8.1951999999999997E-2</v>
      </c>
      <c r="F41" s="70">
        <f>_xlfn.XLOOKUP(CalibrationLog[[#This Row],[Date]], Daily!C:C, Daily!J:J, "n/a")</f>
        <v>0.35087827777777769</v>
      </c>
      <c r="G41" s="71">
        <f>_xlfn.XLOOKUP(CalibrationLog[[#This Row],[Date]], Daily!C:C, Daily!M:M, "n/a")</f>
        <v>8.4730411111111126E-2</v>
      </c>
      <c r="H41" s="72" t="str">
        <f>IF(CalibrationLog[[#This Row],[Date]]="", "", IF(CalibrationLog[[#This Row],[World Error]]&lt;CalibrationLog[[#This Row],[World Error (Avg.)]], "Yes", "No"))</f>
        <v>Yes</v>
      </c>
      <c r="I41" s="73" t="str">
        <f>IF(CalibrationLog[[#This Row],[Date]]="", "", IF(CalibrationLog[[#This Row],[Image Error]]&lt;G41, "Yes", "No"))</f>
        <v>Yes</v>
      </c>
    </row>
    <row r="42" spans="1:9" x14ac:dyDescent="0.25">
      <c r="A42" s="4">
        <v>46231</v>
      </c>
      <c r="B42" s="19" t="s">
        <v>17</v>
      </c>
      <c r="C42" s="5">
        <v>2081</v>
      </c>
      <c r="D42" s="16">
        <v>0.55386500000000005</v>
      </c>
      <c r="E42" s="17">
        <v>0.109685</v>
      </c>
      <c r="F42" s="70">
        <f>_xlfn.XLOOKUP(CalibrationLog[[#This Row],[Date]], Daily!C:C, Daily!J:J, "n/a")</f>
        <v>0.35087827777777769</v>
      </c>
      <c r="G42" s="71">
        <f>_xlfn.XLOOKUP(CalibrationLog[[#This Row],[Date]], Daily!C:C, Daily!M:M, "n/a")</f>
        <v>8.4730411111111126E-2</v>
      </c>
      <c r="H42" s="72" t="str">
        <f>IF(CalibrationLog[[#This Row],[Date]]="", "", IF(CalibrationLog[[#This Row],[World Error]]&lt;CalibrationLog[[#This Row],[World Error (Avg.)]], "Yes", "No"))</f>
        <v>No</v>
      </c>
      <c r="I42" s="73" t="str">
        <f>IF(CalibrationLog[[#This Row],[Date]]="", "", IF(CalibrationLog[[#This Row],[Image Error]]&lt;G42, "Yes", "No"))</f>
        <v>No</v>
      </c>
    </row>
    <row r="43" spans="1:9" x14ac:dyDescent="0.25">
      <c r="A43" s="4">
        <v>46231</v>
      </c>
      <c r="B43" s="19" t="s">
        <v>18</v>
      </c>
      <c r="C43" s="5">
        <v>2109</v>
      </c>
      <c r="D43" s="16">
        <v>0.32659700000000003</v>
      </c>
      <c r="E43" s="17">
        <v>7.7769500000000005E-2</v>
      </c>
      <c r="F43" s="70">
        <f>_xlfn.XLOOKUP(CalibrationLog[[#This Row],[Date]], Daily!C:C, Daily!J:J, "n/a")</f>
        <v>0.35087827777777769</v>
      </c>
      <c r="G43" s="71">
        <f>_xlfn.XLOOKUP(CalibrationLog[[#This Row],[Date]], Daily!C:C, Daily!M:M, "n/a")</f>
        <v>8.4730411111111126E-2</v>
      </c>
      <c r="H43" s="72" t="str">
        <f>IF(CalibrationLog[[#This Row],[Date]]="", "", IF(CalibrationLog[[#This Row],[World Error]]&lt;CalibrationLog[[#This Row],[World Error (Avg.)]], "Yes", "No"))</f>
        <v>Yes</v>
      </c>
      <c r="I43" s="73" t="str">
        <f>IF(CalibrationLog[[#This Row],[Date]]="", "", IF(CalibrationLog[[#This Row],[Image Error]]&lt;G43, "Yes", "No"))</f>
        <v>Yes</v>
      </c>
    </row>
    <row r="44" spans="1:9" x14ac:dyDescent="0.25">
      <c r="A44" s="4">
        <v>46231</v>
      </c>
      <c r="B44" s="19" t="s">
        <v>19</v>
      </c>
      <c r="C44" s="5">
        <v>2103</v>
      </c>
      <c r="D44" s="16">
        <v>0.39977800000000002</v>
      </c>
      <c r="E44" s="17">
        <v>8.4118100000000001E-2</v>
      </c>
      <c r="F44" s="70">
        <f>_xlfn.XLOOKUP(CalibrationLog[[#This Row],[Date]], Daily!C:C, Daily!J:J, "n/a")</f>
        <v>0.35087827777777769</v>
      </c>
      <c r="G44" s="71">
        <f>_xlfn.XLOOKUP(CalibrationLog[[#This Row],[Date]], Daily!C:C, Daily!M:M, "n/a")</f>
        <v>8.4730411111111126E-2</v>
      </c>
      <c r="H44" s="72" t="str">
        <f>IF(CalibrationLog[[#This Row],[Date]]="", "", IF(CalibrationLog[[#This Row],[World Error]]&lt;CalibrationLog[[#This Row],[World Error (Avg.)]], "Yes", "No"))</f>
        <v>No</v>
      </c>
      <c r="I44" s="73" t="str">
        <f>IF(CalibrationLog[[#This Row],[Date]]="", "", IF(CalibrationLog[[#This Row],[Image Error]]&lt;G44, "Yes", "No"))</f>
        <v>Yes</v>
      </c>
    </row>
    <row r="45" spans="1:9" x14ac:dyDescent="0.25">
      <c r="A45" s="4">
        <v>46231</v>
      </c>
      <c r="B45" s="19" t="s">
        <v>20</v>
      </c>
      <c r="C45" s="5">
        <v>2171</v>
      </c>
      <c r="D45" s="16">
        <v>0.42612899999999998</v>
      </c>
      <c r="E45" s="17">
        <v>8.9207099999999998E-2</v>
      </c>
      <c r="F45" s="70">
        <f>_xlfn.XLOOKUP(CalibrationLog[[#This Row],[Date]], Daily!C:C, Daily!J:J, "n/a")</f>
        <v>0.35087827777777769</v>
      </c>
      <c r="G45" s="71">
        <f>_xlfn.XLOOKUP(CalibrationLog[[#This Row],[Date]], Daily!C:C, Daily!M:M, "n/a")</f>
        <v>8.4730411111111126E-2</v>
      </c>
      <c r="H45" s="72" t="str">
        <f>IF(CalibrationLog[[#This Row],[Date]]="", "", IF(CalibrationLog[[#This Row],[World Error]]&lt;CalibrationLog[[#This Row],[World Error (Avg.)]], "Yes", "No"))</f>
        <v>No</v>
      </c>
      <c r="I45" s="73" t="str">
        <f>IF(CalibrationLog[[#This Row],[Date]]="", "", IF(CalibrationLog[[#This Row],[Image Error]]&lt;G45, "Yes", "No"))</f>
        <v>No</v>
      </c>
    </row>
    <row r="46" spans="1:9" x14ac:dyDescent="0.25">
      <c r="A46" s="4">
        <v>46231</v>
      </c>
      <c r="B46" s="19" t="s">
        <v>44</v>
      </c>
      <c r="C46" s="5">
        <v>1004</v>
      </c>
      <c r="D46" s="16">
        <v>0.157855</v>
      </c>
      <c r="E46" s="17">
        <v>4.7859600000000002E-2</v>
      </c>
      <c r="F46" s="70">
        <f>_xlfn.XLOOKUP(CalibrationLog[[#This Row],[Date]], Daily!C:C, Daily!J:J, "n/a")</f>
        <v>0.35087827777777769</v>
      </c>
      <c r="G46" s="71">
        <f>_xlfn.XLOOKUP(CalibrationLog[[#This Row],[Date]], Daily!C:C, Daily!M:M, "n/a")</f>
        <v>8.4730411111111126E-2</v>
      </c>
      <c r="H46" s="72" t="str">
        <f>IF(CalibrationLog[[#This Row],[Date]]="", "", IF(CalibrationLog[[#This Row],[World Error]]&lt;CalibrationLog[[#This Row],[World Error (Avg.)]], "Yes", "No"))</f>
        <v>Yes</v>
      </c>
      <c r="I46" s="73" t="str">
        <f>IF(CalibrationLog[[#This Row],[Date]]="", "", IF(CalibrationLog[[#This Row],[Image Error]]&lt;G46, "Yes", "No"))</f>
        <v>Yes</v>
      </c>
    </row>
    <row r="47" spans="1:9" x14ac:dyDescent="0.25">
      <c r="A47" s="4">
        <v>46231</v>
      </c>
      <c r="B47" s="19" t="s">
        <v>21</v>
      </c>
      <c r="C47" s="5">
        <v>2717</v>
      </c>
      <c r="D47" s="16">
        <v>0.35114800000000002</v>
      </c>
      <c r="E47" s="17">
        <v>6.8267099999999997E-2</v>
      </c>
      <c r="F47" s="70">
        <f>_xlfn.XLOOKUP(CalibrationLog[[#This Row],[Date]], Daily!C:C, Daily!J:J, "n/a")</f>
        <v>0.35087827777777769</v>
      </c>
      <c r="G47" s="71">
        <f>_xlfn.XLOOKUP(CalibrationLog[[#This Row],[Date]], Daily!C:C, Daily!M:M, "n/a")</f>
        <v>8.4730411111111126E-2</v>
      </c>
      <c r="H47" s="72" t="str">
        <f>IF(CalibrationLog[[#This Row],[Date]]="", "", IF(CalibrationLog[[#This Row],[World Error]]&lt;CalibrationLog[[#This Row],[World Error (Avg.)]], "Yes", "No"))</f>
        <v>No</v>
      </c>
      <c r="I47" s="73" t="str">
        <f>IF(CalibrationLog[[#This Row],[Date]]="", "", IF(CalibrationLog[[#This Row],[Image Error]]&lt;G47, "Yes", "No"))</f>
        <v>Yes</v>
      </c>
    </row>
    <row r="48" spans="1:9" x14ac:dyDescent="0.25">
      <c r="A48" s="4">
        <v>46231</v>
      </c>
      <c r="B48" s="19" t="s">
        <v>22</v>
      </c>
      <c r="C48" s="5">
        <v>1748</v>
      </c>
      <c r="D48" s="16">
        <v>0.508247</v>
      </c>
      <c r="E48" s="17">
        <v>0.13811000000000001</v>
      </c>
      <c r="F48" s="70">
        <f>_xlfn.XLOOKUP(CalibrationLog[[#This Row],[Date]], Daily!C:C, Daily!J:J, "n/a")</f>
        <v>0.35087827777777769</v>
      </c>
      <c r="G48" s="71">
        <f>_xlfn.XLOOKUP(CalibrationLog[[#This Row],[Date]], Daily!C:C, Daily!M:M, "n/a")</f>
        <v>8.4730411111111126E-2</v>
      </c>
      <c r="H48" s="72" t="str">
        <f>IF(CalibrationLog[[#This Row],[Date]]="", "", IF(CalibrationLog[[#This Row],[World Error]]&lt;CalibrationLog[[#This Row],[World Error (Avg.)]], "Yes", "No"))</f>
        <v>No</v>
      </c>
      <c r="I48" s="73" t="str">
        <f>IF(CalibrationLog[[#This Row],[Date]]="", "", IF(CalibrationLog[[#This Row],[Image Error]]&lt;G48, "Yes", "No"))</f>
        <v>No</v>
      </c>
    </row>
    <row r="49" spans="1:9" x14ac:dyDescent="0.25">
      <c r="A49" s="4">
        <v>46231</v>
      </c>
      <c r="B49" s="19" t="s">
        <v>23</v>
      </c>
      <c r="C49" s="5">
        <v>1329</v>
      </c>
      <c r="D49" s="16">
        <v>0.36122100000000001</v>
      </c>
      <c r="E49" s="17">
        <v>0.118642</v>
      </c>
      <c r="F49" s="70">
        <f>_xlfn.XLOOKUP(CalibrationLog[[#This Row],[Date]], Daily!C:C, Daily!J:J, "n/a")</f>
        <v>0.35087827777777769</v>
      </c>
      <c r="G49" s="71">
        <f>_xlfn.XLOOKUP(CalibrationLog[[#This Row],[Date]], Daily!C:C, Daily!M:M, "n/a")</f>
        <v>8.4730411111111126E-2</v>
      </c>
      <c r="H49" s="72" t="str">
        <f>IF(CalibrationLog[[#This Row],[Date]]="", "", IF(CalibrationLog[[#This Row],[World Error]]&lt;CalibrationLog[[#This Row],[World Error (Avg.)]], "Yes", "No"))</f>
        <v>No</v>
      </c>
      <c r="I49" s="73" t="str">
        <f>IF(CalibrationLog[[#This Row],[Date]]="", "", IF(CalibrationLog[[#This Row],[Image Error]]&lt;G49, "Yes", "No"))</f>
        <v>No</v>
      </c>
    </row>
    <row r="50" spans="1:9" x14ac:dyDescent="0.25">
      <c r="A50" s="4">
        <v>46231</v>
      </c>
      <c r="B50" s="19" t="s">
        <v>24</v>
      </c>
      <c r="C50" s="5">
        <v>1653</v>
      </c>
      <c r="D50" s="16">
        <v>0.19215299999999999</v>
      </c>
      <c r="E50" s="17">
        <v>5.9232199999999999E-2</v>
      </c>
      <c r="F50" s="70">
        <f>_xlfn.XLOOKUP(CalibrationLog[[#This Row],[Date]], Daily!C:C, Daily!J:J, "n/a")</f>
        <v>0.35087827777777769</v>
      </c>
      <c r="G50" s="71">
        <f>_xlfn.XLOOKUP(CalibrationLog[[#This Row],[Date]], Daily!C:C, Daily!M:M, "n/a")</f>
        <v>8.4730411111111126E-2</v>
      </c>
      <c r="H50" s="72" t="str">
        <f>IF(CalibrationLog[[#This Row],[Date]]="", "", IF(CalibrationLog[[#This Row],[World Error]]&lt;CalibrationLog[[#This Row],[World Error (Avg.)]], "Yes", "No"))</f>
        <v>Yes</v>
      </c>
      <c r="I50" s="73" t="str">
        <f>IF(CalibrationLog[[#This Row],[Date]]="", "", IF(CalibrationLog[[#This Row],[Image Error]]&lt;G50, "Yes", "No"))</f>
        <v>Yes</v>
      </c>
    </row>
    <row r="51" spans="1:9" x14ac:dyDescent="0.25">
      <c r="A51" s="4">
        <v>46231</v>
      </c>
      <c r="B51" s="19" t="s">
        <v>25</v>
      </c>
      <c r="C51" s="5">
        <v>1260</v>
      </c>
      <c r="D51" s="16">
        <v>0.220161</v>
      </c>
      <c r="E51" s="17">
        <v>5.2973800000000001E-2</v>
      </c>
      <c r="F51" s="70">
        <f>_xlfn.XLOOKUP(CalibrationLog[[#This Row],[Date]], Daily!C:C, Daily!J:J, "n/a")</f>
        <v>0.35087827777777769</v>
      </c>
      <c r="G51" s="71">
        <f>_xlfn.XLOOKUP(CalibrationLog[[#This Row],[Date]], Daily!C:C, Daily!M:M, "n/a")</f>
        <v>8.4730411111111126E-2</v>
      </c>
      <c r="H51" s="72" t="str">
        <f>IF(CalibrationLog[[#This Row],[Date]]="", "", IF(CalibrationLog[[#This Row],[World Error]]&lt;CalibrationLog[[#This Row],[World Error (Avg.)]], "Yes", "No"))</f>
        <v>Yes</v>
      </c>
      <c r="I51" s="73" t="str">
        <f>IF(CalibrationLog[[#This Row],[Date]]="", "", IF(CalibrationLog[[#This Row],[Image Error]]&lt;G51, "Yes", "No"))</f>
        <v>Yes</v>
      </c>
    </row>
    <row r="52" spans="1:9" x14ac:dyDescent="0.25">
      <c r="A52" s="4">
        <v>46231</v>
      </c>
      <c r="B52" s="19" t="s">
        <v>26</v>
      </c>
      <c r="C52" s="5">
        <v>1442</v>
      </c>
      <c r="D52" s="16">
        <v>0.19145999999999999</v>
      </c>
      <c r="E52" s="17">
        <v>6.1579000000000002E-2</v>
      </c>
      <c r="F52" s="70">
        <f>_xlfn.XLOOKUP(CalibrationLog[[#This Row],[Date]], Daily!C:C, Daily!J:J, "n/a")</f>
        <v>0.35087827777777769</v>
      </c>
      <c r="G52" s="71">
        <f>_xlfn.XLOOKUP(CalibrationLog[[#This Row],[Date]], Daily!C:C, Daily!M:M, "n/a")</f>
        <v>8.4730411111111126E-2</v>
      </c>
      <c r="H52" s="72" t="str">
        <f>IF(CalibrationLog[[#This Row],[Date]]="", "", IF(CalibrationLog[[#This Row],[World Error]]&lt;CalibrationLog[[#This Row],[World Error (Avg.)]], "Yes", "No"))</f>
        <v>Yes</v>
      </c>
      <c r="I52" s="73" t="str">
        <f>IF(CalibrationLog[[#This Row],[Date]]="", "", IF(CalibrationLog[[#This Row],[Image Error]]&lt;G52, "Yes", "No"))</f>
        <v>Yes</v>
      </c>
    </row>
    <row r="53" spans="1:9" x14ac:dyDescent="0.25">
      <c r="A53" s="4">
        <v>46231</v>
      </c>
      <c r="B53" s="19" t="s">
        <v>27</v>
      </c>
      <c r="C53" s="5">
        <v>1990</v>
      </c>
      <c r="D53" s="16">
        <v>0.29572300000000001</v>
      </c>
      <c r="E53" s="17">
        <v>6.7059099999999996E-2</v>
      </c>
      <c r="F53" s="70">
        <f>_xlfn.XLOOKUP(CalibrationLog[[#This Row],[Date]], Daily!C:C, Daily!J:J, "n/a")</f>
        <v>0.35087827777777769</v>
      </c>
      <c r="G53" s="71">
        <f>_xlfn.XLOOKUP(CalibrationLog[[#This Row],[Date]], Daily!C:C, Daily!M:M, "n/a")</f>
        <v>8.4730411111111126E-2</v>
      </c>
      <c r="H53" s="72" t="str">
        <f>IF(CalibrationLog[[#This Row],[Date]]="", "", IF(CalibrationLog[[#This Row],[World Error]]&lt;CalibrationLog[[#This Row],[World Error (Avg.)]], "Yes", "No"))</f>
        <v>Yes</v>
      </c>
      <c r="I53" s="73" t="str">
        <f>IF(CalibrationLog[[#This Row],[Date]]="", "", IF(CalibrationLog[[#This Row],[Image Error]]&lt;G53, "Yes", "No"))</f>
        <v>Yes</v>
      </c>
    </row>
    <row r="54" spans="1:9" x14ac:dyDescent="0.25">
      <c r="A54" s="4">
        <v>46231</v>
      </c>
      <c r="B54" s="19" t="s">
        <v>28</v>
      </c>
      <c r="C54" s="5">
        <v>1384</v>
      </c>
      <c r="D54" s="16">
        <v>0.29070200000000002</v>
      </c>
      <c r="E54" s="17">
        <v>6.5277500000000002E-2</v>
      </c>
      <c r="F54" s="70">
        <f>_xlfn.XLOOKUP(CalibrationLog[[#This Row],[Date]], Daily!C:C, Daily!J:J, "n/a")</f>
        <v>0.35087827777777769</v>
      </c>
      <c r="G54" s="71">
        <f>_xlfn.XLOOKUP(CalibrationLog[[#This Row],[Date]], Daily!C:C, Daily!M:M, "n/a")</f>
        <v>8.4730411111111126E-2</v>
      </c>
      <c r="H54" s="72" t="str">
        <f>IF(CalibrationLog[[#This Row],[Date]]="", "", IF(CalibrationLog[[#This Row],[World Error]]&lt;CalibrationLog[[#This Row],[World Error (Avg.)]], "Yes", "No"))</f>
        <v>Yes</v>
      </c>
      <c r="I54" s="73" t="str">
        <f>IF(CalibrationLog[[#This Row],[Date]]="", "", IF(CalibrationLog[[#This Row],[Image Error]]&lt;G54, "Yes", "No"))</f>
        <v>Yes</v>
      </c>
    </row>
    <row r="55" spans="1:9" x14ac:dyDescent="0.25">
      <c r="A55" s="4">
        <v>46231</v>
      </c>
      <c r="B55" s="19" t="s">
        <v>29</v>
      </c>
      <c r="C55" s="5">
        <v>2118</v>
      </c>
      <c r="D55" s="16">
        <v>0.33533099999999999</v>
      </c>
      <c r="E55" s="17">
        <v>6.9472199999999998E-2</v>
      </c>
      <c r="F55" s="70">
        <f>_xlfn.XLOOKUP(CalibrationLog[[#This Row],[Date]], Daily!C:C, Daily!J:J, "n/a")</f>
        <v>0.35087827777777769</v>
      </c>
      <c r="G55" s="71">
        <f>_xlfn.XLOOKUP(CalibrationLog[[#This Row],[Date]], Daily!C:C, Daily!M:M, "n/a")</f>
        <v>8.4730411111111126E-2</v>
      </c>
      <c r="H55" s="72" t="str">
        <f>IF(CalibrationLog[[#This Row],[Date]]="", "", IF(CalibrationLog[[#This Row],[World Error]]&lt;CalibrationLog[[#This Row],[World Error (Avg.)]], "Yes", "No"))</f>
        <v>Yes</v>
      </c>
      <c r="I55" s="73" t="str">
        <f>IF(CalibrationLog[[#This Row],[Date]]="", "", IF(CalibrationLog[[#This Row],[Image Error]]&lt;G55, "Yes", "No"))</f>
        <v>Yes</v>
      </c>
    </row>
    <row r="56" spans="1:9" x14ac:dyDescent="0.25">
      <c r="A56" s="4">
        <v>46231</v>
      </c>
      <c r="B56" s="19" t="s">
        <v>30</v>
      </c>
      <c r="C56" s="5">
        <v>1432</v>
      </c>
      <c r="D56" s="16">
        <v>0.47264099999999998</v>
      </c>
      <c r="E56" s="17">
        <v>9.5271300000000003E-2</v>
      </c>
      <c r="F56" s="70">
        <f>_xlfn.XLOOKUP(CalibrationLog[[#This Row],[Date]], Daily!C:C, Daily!J:J, "n/a")</f>
        <v>0.35087827777777769</v>
      </c>
      <c r="G56" s="71">
        <f>_xlfn.XLOOKUP(CalibrationLog[[#This Row],[Date]], Daily!C:C, Daily!M:M, "n/a")</f>
        <v>8.4730411111111126E-2</v>
      </c>
      <c r="H56" s="72" t="str">
        <f>IF(CalibrationLog[[#This Row],[Date]]="", "", IF(CalibrationLog[[#This Row],[World Error]]&lt;CalibrationLog[[#This Row],[World Error (Avg.)]], "Yes", "No"))</f>
        <v>No</v>
      </c>
      <c r="I56" s="73" t="str">
        <f>IF(CalibrationLog[[#This Row],[Date]]="", "", IF(CalibrationLog[[#This Row],[Image Error]]&lt;G56, "Yes", "No"))</f>
        <v>No</v>
      </c>
    </row>
    <row r="57" spans="1:9" x14ac:dyDescent="0.25">
      <c r="A57" s="4">
        <v>46232</v>
      </c>
      <c r="B57" s="19" t="s">
        <v>14</v>
      </c>
      <c r="C57" s="5">
        <v>2734</v>
      </c>
      <c r="D57" s="16">
        <v>0.28613699999999997</v>
      </c>
      <c r="E57" s="17">
        <v>8.0479400000000006E-2</v>
      </c>
      <c r="F57" s="70">
        <f>_xlfn.XLOOKUP(CalibrationLog[[#This Row],[Date]], Daily!C:C, Daily!J:J, "n/a")</f>
        <v>0.36980916666666652</v>
      </c>
      <c r="G57" s="71">
        <f>_xlfn.XLOOKUP(CalibrationLog[[#This Row],[Date]], Daily!C:C, Daily!M:M, "n/a")</f>
        <v>8.8881683333333295E-2</v>
      </c>
      <c r="H57" s="72" t="str">
        <f>IF(CalibrationLog[[#This Row],[Date]]="", "", IF(CalibrationLog[[#This Row],[World Error]]&lt;CalibrationLog[[#This Row],[World Error (Avg.)]], "Yes", "No"))</f>
        <v>Yes</v>
      </c>
      <c r="I57" s="73" t="str">
        <f>IF(CalibrationLog[[#This Row],[Date]]="", "", IF(CalibrationLog[[#This Row],[Image Error]]&lt;G57, "Yes", "No"))</f>
        <v>Yes</v>
      </c>
    </row>
    <row r="58" spans="1:9" x14ac:dyDescent="0.25">
      <c r="A58" s="4">
        <v>46232</v>
      </c>
      <c r="B58" s="19" t="s">
        <v>15</v>
      </c>
      <c r="C58" s="5">
        <v>2228</v>
      </c>
      <c r="D58" s="16">
        <v>0.39689600000000003</v>
      </c>
      <c r="E58" s="17">
        <v>0.104628</v>
      </c>
      <c r="F58" s="70">
        <f>_xlfn.XLOOKUP(CalibrationLog[[#This Row],[Date]], Daily!C:C, Daily!J:J, "n/a")</f>
        <v>0.36980916666666652</v>
      </c>
      <c r="G58" s="71">
        <f>_xlfn.XLOOKUP(CalibrationLog[[#This Row],[Date]], Daily!C:C, Daily!M:M, "n/a")</f>
        <v>8.8881683333333295E-2</v>
      </c>
      <c r="H58" s="72" t="str">
        <f>IF(CalibrationLog[[#This Row],[Date]]="", "", IF(CalibrationLog[[#This Row],[World Error]]&lt;CalibrationLog[[#This Row],[World Error (Avg.)]], "Yes", "No"))</f>
        <v>No</v>
      </c>
      <c r="I58" s="73" t="str">
        <f>IF(CalibrationLog[[#This Row],[Date]]="", "", IF(CalibrationLog[[#This Row],[Image Error]]&lt;G58, "Yes", "No"))</f>
        <v>No</v>
      </c>
    </row>
    <row r="59" spans="1:9" x14ac:dyDescent="0.25">
      <c r="A59" s="4">
        <v>46232</v>
      </c>
      <c r="B59" s="19" t="s">
        <v>16</v>
      </c>
      <c r="C59" s="5">
        <v>1998</v>
      </c>
      <c r="D59" s="16">
        <v>0.45231500000000002</v>
      </c>
      <c r="E59" s="17">
        <v>0.106193</v>
      </c>
      <c r="F59" s="70">
        <f>_xlfn.XLOOKUP(CalibrationLog[[#This Row],[Date]], Daily!C:C, Daily!J:J, "n/a")</f>
        <v>0.36980916666666652</v>
      </c>
      <c r="G59" s="71">
        <f>_xlfn.XLOOKUP(CalibrationLog[[#This Row],[Date]], Daily!C:C, Daily!M:M, "n/a")</f>
        <v>8.8881683333333295E-2</v>
      </c>
      <c r="H59" s="72" t="str">
        <f>IF(CalibrationLog[[#This Row],[Date]]="", "", IF(CalibrationLog[[#This Row],[World Error]]&lt;CalibrationLog[[#This Row],[World Error (Avg.)]], "Yes", "No"))</f>
        <v>No</v>
      </c>
      <c r="I59" s="73" t="str">
        <f>IF(CalibrationLog[[#This Row],[Date]]="", "", IF(CalibrationLog[[#This Row],[Image Error]]&lt;G59, "Yes", "No"))</f>
        <v>No</v>
      </c>
    </row>
    <row r="60" spans="1:9" x14ac:dyDescent="0.25">
      <c r="A60" s="4">
        <v>46232</v>
      </c>
      <c r="B60" s="19" t="s">
        <v>17</v>
      </c>
      <c r="C60" s="5">
        <v>2381</v>
      </c>
      <c r="D60" s="16">
        <v>0.56917399999999996</v>
      </c>
      <c r="E60" s="17">
        <v>0.112651</v>
      </c>
      <c r="F60" s="70">
        <f>_xlfn.XLOOKUP(CalibrationLog[[#This Row],[Date]], Daily!C:C, Daily!J:J, "n/a")</f>
        <v>0.36980916666666652</v>
      </c>
      <c r="G60" s="71">
        <f>_xlfn.XLOOKUP(CalibrationLog[[#This Row],[Date]], Daily!C:C, Daily!M:M, "n/a")</f>
        <v>8.8881683333333295E-2</v>
      </c>
      <c r="H60" s="72" t="str">
        <f>IF(CalibrationLog[[#This Row],[Date]]="", "", IF(CalibrationLog[[#This Row],[World Error]]&lt;CalibrationLog[[#This Row],[World Error (Avg.)]], "Yes", "No"))</f>
        <v>No</v>
      </c>
      <c r="I60" s="73" t="str">
        <f>IF(CalibrationLog[[#This Row],[Date]]="", "", IF(CalibrationLog[[#This Row],[Image Error]]&lt;G60, "Yes", "No"))</f>
        <v>No</v>
      </c>
    </row>
    <row r="61" spans="1:9" x14ac:dyDescent="0.25">
      <c r="A61" s="4">
        <v>46232</v>
      </c>
      <c r="B61" s="19" t="s">
        <v>18</v>
      </c>
      <c r="C61" s="5">
        <v>1925</v>
      </c>
      <c r="D61" s="16">
        <v>0.27124799999999999</v>
      </c>
      <c r="E61" s="17">
        <v>6.4562400000000006E-2</v>
      </c>
      <c r="F61" s="70">
        <f>_xlfn.XLOOKUP(CalibrationLog[[#This Row],[Date]], Daily!C:C, Daily!J:J, "n/a")</f>
        <v>0.36980916666666652</v>
      </c>
      <c r="G61" s="71">
        <f>_xlfn.XLOOKUP(CalibrationLog[[#This Row],[Date]], Daily!C:C, Daily!M:M, "n/a")</f>
        <v>8.8881683333333295E-2</v>
      </c>
      <c r="H61" s="72" t="str">
        <f>IF(CalibrationLog[[#This Row],[Date]]="", "", IF(CalibrationLog[[#This Row],[World Error]]&lt;CalibrationLog[[#This Row],[World Error (Avg.)]], "Yes", "No"))</f>
        <v>Yes</v>
      </c>
      <c r="I61" s="73" t="str">
        <f>IF(CalibrationLog[[#This Row],[Date]]="", "", IF(CalibrationLog[[#This Row],[Image Error]]&lt;G61, "Yes", "No"))</f>
        <v>Yes</v>
      </c>
    </row>
    <row r="62" spans="1:9" x14ac:dyDescent="0.25">
      <c r="A62" s="4">
        <v>46232</v>
      </c>
      <c r="B62" s="19" t="s">
        <v>19</v>
      </c>
      <c r="C62" s="5">
        <v>1532</v>
      </c>
      <c r="D62" s="16">
        <v>0.38306699999999999</v>
      </c>
      <c r="E62" s="17">
        <v>8.06085E-2</v>
      </c>
      <c r="F62" s="70">
        <f>_xlfn.XLOOKUP(CalibrationLog[[#This Row],[Date]], Daily!C:C, Daily!J:J, "n/a")</f>
        <v>0.36980916666666652</v>
      </c>
      <c r="G62" s="71">
        <f>_xlfn.XLOOKUP(CalibrationLog[[#This Row],[Date]], Daily!C:C, Daily!M:M, "n/a")</f>
        <v>8.8881683333333295E-2</v>
      </c>
      <c r="H62" s="72" t="str">
        <f>IF(CalibrationLog[[#This Row],[Date]]="", "", IF(CalibrationLog[[#This Row],[World Error]]&lt;CalibrationLog[[#This Row],[World Error (Avg.)]], "Yes", "No"))</f>
        <v>No</v>
      </c>
      <c r="I62" s="73" t="str">
        <f>IF(CalibrationLog[[#This Row],[Date]]="", "", IF(CalibrationLog[[#This Row],[Image Error]]&lt;G62, "Yes", "No"))</f>
        <v>Yes</v>
      </c>
    </row>
    <row r="63" spans="1:9" x14ac:dyDescent="0.25">
      <c r="A63" s="4">
        <v>46232</v>
      </c>
      <c r="B63" s="19" t="s">
        <v>20</v>
      </c>
      <c r="C63" s="5">
        <v>1844</v>
      </c>
      <c r="D63" s="16">
        <v>0.39710200000000001</v>
      </c>
      <c r="E63" s="17">
        <v>8.3112099999999994E-2</v>
      </c>
      <c r="F63" s="70">
        <f>_xlfn.XLOOKUP(CalibrationLog[[#This Row],[Date]], Daily!C:C, Daily!J:J, "n/a")</f>
        <v>0.36980916666666652</v>
      </c>
      <c r="G63" s="71">
        <f>_xlfn.XLOOKUP(CalibrationLog[[#This Row],[Date]], Daily!C:C, Daily!M:M, "n/a")</f>
        <v>8.8881683333333295E-2</v>
      </c>
      <c r="H63" s="72" t="str">
        <f>IF(CalibrationLog[[#This Row],[Date]]="", "", IF(CalibrationLog[[#This Row],[World Error]]&lt;CalibrationLog[[#This Row],[World Error (Avg.)]], "Yes", "No"))</f>
        <v>No</v>
      </c>
      <c r="I63" s="73" t="str">
        <f>IF(CalibrationLog[[#This Row],[Date]]="", "", IF(CalibrationLog[[#This Row],[Image Error]]&lt;G63, "Yes", "No"))</f>
        <v>Yes</v>
      </c>
    </row>
    <row r="64" spans="1:9" x14ac:dyDescent="0.25">
      <c r="A64" s="4">
        <v>46232</v>
      </c>
      <c r="B64" s="19" t="s">
        <v>44</v>
      </c>
      <c r="C64" s="5">
        <v>1024</v>
      </c>
      <c r="D64" s="16">
        <v>0.228356</v>
      </c>
      <c r="E64" s="17">
        <v>6.9231899999999999E-2</v>
      </c>
      <c r="F64" s="70">
        <f>_xlfn.XLOOKUP(CalibrationLog[[#This Row],[Date]], Daily!C:C, Daily!J:J, "n/a")</f>
        <v>0.36980916666666652</v>
      </c>
      <c r="G64" s="71">
        <f>_xlfn.XLOOKUP(CalibrationLog[[#This Row],[Date]], Daily!C:C, Daily!M:M, "n/a")</f>
        <v>8.8881683333333295E-2</v>
      </c>
      <c r="H64" s="72" t="str">
        <f>IF(CalibrationLog[[#This Row],[Date]]="", "", IF(CalibrationLog[[#This Row],[World Error]]&lt;CalibrationLog[[#This Row],[World Error (Avg.)]], "Yes", "No"))</f>
        <v>Yes</v>
      </c>
      <c r="I64" s="73" t="str">
        <f>IF(CalibrationLog[[#This Row],[Date]]="", "", IF(CalibrationLog[[#This Row],[Image Error]]&lt;G64, "Yes", "No"))</f>
        <v>Yes</v>
      </c>
    </row>
    <row r="65" spans="1:9" x14ac:dyDescent="0.25">
      <c r="A65" s="4">
        <v>46232</v>
      </c>
      <c r="B65" s="19" t="s">
        <v>21</v>
      </c>
      <c r="C65" s="5">
        <v>3094</v>
      </c>
      <c r="D65" s="16">
        <v>0.439106</v>
      </c>
      <c r="E65" s="17">
        <v>8.5488999999999996E-2</v>
      </c>
      <c r="F65" s="70">
        <f>_xlfn.XLOOKUP(CalibrationLog[[#This Row],[Date]], Daily!C:C, Daily!J:J, "n/a")</f>
        <v>0.36980916666666652</v>
      </c>
      <c r="G65" s="71">
        <f>_xlfn.XLOOKUP(CalibrationLog[[#This Row],[Date]], Daily!C:C, Daily!M:M, "n/a")</f>
        <v>8.8881683333333295E-2</v>
      </c>
      <c r="H65" s="72" t="str">
        <f>IF(CalibrationLog[[#This Row],[Date]]="", "", IF(CalibrationLog[[#This Row],[World Error]]&lt;CalibrationLog[[#This Row],[World Error (Avg.)]], "Yes", "No"))</f>
        <v>No</v>
      </c>
      <c r="I65" s="73" t="str">
        <f>IF(CalibrationLog[[#This Row],[Date]]="", "", IF(CalibrationLog[[#This Row],[Image Error]]&lt;G65, "Yes", "No"))</f>
        <v>Yes</v>
      </c>
    </row>
    <row r="66" spans="1:9" x14ac:dyDescent="0.25">
      <c r="A66" s="4">
        <v>46232</v>
      </c>
      <c r="B66" s="19" t="s">
        <v>22</v>
      </c>
      <c r="C66" s="5">
        <v>2382</v>
      </c>
      <c r="D66" s="16">
        <v>0.50203399999999998</v>
      </c>
      <c r="E66" s="17">
        <v>0.136459</v>
      </c>
      <c r="F66" s="70">
        <f>_xlfn.XLOOKUP(CalibrationLog[[#This Row],[Date]], Daily!C:C, Daily!J:J, "n/a")</f>
        <v>0.36980916666666652</v>
      </c>
      <c r="G66" s="71">
        <f>_xlfn.XLOOKUP(CalibrationLog[[#This Row],[Date]], Daily!C:C, Daily!M:M, "n/a")</f>
        <v>8.8881683333333295E-2</v>
      </c>
      <c r="H66" s="72" t="str">
        <f>IF(CalibrationLog[[#This Row],[Date]]="", "", IF(CalibrationLog[[#This Row],[World Error]]&lt;CalibrationLog[[#This Row],[World Error (Avg.)]], "Yes", "No"))</f>
        <v>No</v>
      </c>
      <c r="I66" s="73" t="str">
        <f>IF(CalibrationLog[[#This Row],[Date]]="", "", IF(CalibrationLog[[#This Row],[Image Error]]&lt;G66, "Yes", "No"))</f>
        <v>No</v>
      </c>
    </row>
    <row r="67" spans="1:9" x14ac:dyDescent="0.25">
      <c r="A67" s="4">
        <v>46232</v>
      </c>
      <c r="B67" s="19" t="s">
        <v>23</v>
      </c>
      <c r="C67" s="5">
        <v>1548</v>
      </c>
      <c r="D67" s="16">
        <v>0.40054099999999998</v>
      </c>
      <c r="E67" s="17">
        <v>0.13156499999999999</v>
      </c>
      <c r="F67" s="70">
        <f>_xlfn.XLOOKUP(CalibrationLog[[#This Row],[Date]], Daily!C:C, Daily!J:J, "n/a")</f>
        <v>0.36980916666666652</v>
      </c>
      <c r="G67" s="71">
        <f>_xlfn.XLOOKUP(CalibrationLog[[#This Row],[Date]], Daily!C:C, Daily!M:M, "n/a")</f>
        <v>8.8881683333333295E-2</v>
      </c>
      <c r="H67" s="72" t="str">
        <f>IF(CalibrationLog[[#This Row],[Date]]="", "", IF(CalibrationLog[[#This Row],[World Error]]&lt;CalibrationLog[[#This Row],[World Error (Avg.)]], "Yes", "No"))</f>
        <v>No</v>
      </c>
      <c r="I67" s="73" t="str">
        <f>IF(CalibrationLog[[#This Row],[Date]]="", "", IF(CalibrationLog[[#This Row],[Image Error]]&lt;G67, "Yes", "No"))</f>
        <v>No</v>
      </c>
    </row>
    <row r="68" spans="1:9" x14ac:dyDescent="0.25">
      <c r="A68" s="4">
        <v>46232</v>
      </c>
      <c r="B68" s="19" t="s">
        <v>24</v>
      </c>
      <c r="C68" s="5">
        <v>2980</v>
      </c>
      <c r="D68" s="16">
        <v>0.20336000000000001</v>
      </c>
      <c r="E68" s="17">
        <v>6.2631199999999998E-2</v>
      </c>
      <c r="F68" s="70">
        <f>_xlfn.XLOOKUP(CalibrationLog[[#This Row],[Date]], Daily!C:C, Daily!J:J, "n/a")</f>
        <v>0.36980916666666652</v>
      </c>
      <c r="G68" s="71">
        <f>_xlfn.XLOOKUP(CalibrationLog[[#This Row],[Date]], Daily!C:C, Daily!M:M, "n/a")</f>
        <v>8.8881683333333295E-2</v>
      </c>
      <c r="H68" s="72" t="str">
        <f>IF(CalibrationLog[[#This Row],[Date]]="", "", IF(CalibrationLog[[#This Row],[World Error]]&lt;CalibrationLog[[#This Row],[World Error (Avg.)]], "Yes", "No"))</f>
        <v>Yes</v>
      </c>
      <c r="I68" s="73" t="str">
        <f>IF(CalibrationLog[[#This Row],[Date]]="", "", IF(CalibrationLog[[#This Row],[Image Error]]&lt;G68, "Yes", "No"))</f>
        <v>Yes</v>
      </c>
    </row>
    <row r="69" spans="1:9" x14ac:dyDescent="0.25">
      <c r="A69" s="4">
        <v>46232</v>
      </c>
      <c r="B69" s="19" t="s">
        <v>25</v>
      </c>
      <c r="C69" s="5">
        <v>1004</v>
      </c>
      <c r="D69" s="16">
        <v>0.25667299999999998</v>
      </c>
      <c r="E69" s="17">
        <v>6.1802799999999998E-2</v>
      </c>
      <c r="F69" s="70">
        <f>_xlfn.XLOOKUP(CalibrationLog[[#This Row],[Date]], Daily!C:C, Daily!J:J, "n/a")</f>
        <v>0.36980916666666652</v>
      </c>
      <c r="G69" s="71">
        <f>_xlfn.XLOOKUP(CalibrationLog[[#This Row],[Date]], Daily!C:C, Daily!M:M, "n/a")</f>
        <v>8.8881683333333295E-2</v>
      </c>
      <c r="H69" s="72" t="str">
        <f>IF(CalibrationLog[[#This Row],[Date]]="", "", IF(CalibrationLog[[#This Row],[World Error]]&lt;CalibrationLog[[#This Row],[World Error (Avg.)]], "Yes", "No"))</f>
        <v>Yes</v>
      </c>
      <c r="I69" s="73" t="str">
        <f>IF(CalibrationLog[[#This Row],[Date]]="", "", IF(CalibrationLog[[#This Row],[Image Error]]&lt;G69, "Yes", "No"))</f>
        <v>Yes</v>
      </c>
    </row>
    <row r="70" spans="1:9" x14ac:dyDescent="0.25">
      <c r="A70" s="4">
        <v>46232</v>
      </c>
      <c r="B70" s="19" t="s">
        <v>26</v>
      </c>
      <c r="C70" s="5">
        <v>2309</v>
      </c>
      <c r="D70" s="16">
        <v>0.18460799999999999</v>
      </c>
      <c r="E70" s="17">
        <v>5.9381200000000002E-2</v>
      </c>
      <c r="F70" s="70">
        <f>_xlfn.XLOOKUP(CalibrationLog[[#This Row],[Date]], Daily!C:C, Daily!J:J, "n/a")</f>
        <v>0.36980916666666652</v>
      </c>
      <c r="G70" s="71">
        <f>_xlfn.XLOOKUP(CalibrationLog[[#This Row],[Date]], Daily!C:C, Daily!M:M, "n/a")</f>
        <v>8.8881683333333295E-2</v>
      </c>
      <c r="H70" s="72" t="str">
        <f>IF(CalibrationLog[[#This Row],[Date]]="", "", IF(CalibrationLog[[#This Row],[World Error]]&lt;CalibrationLog[[#This Row],[World Error (Avg.)]], "Yes", "No"))</f>
        <v>Yes</v>
      </c>
      <c r="I70" s="73" t="str">
        <f>IF(CalibrationLog[[#This Row],[Date]]="", "", IF(CalibrationLog[[#This Row],[Image Error]]&lt;G70, "Yes", "No"))</f>
        <v>Yes</v>
      </c>
    </row>
    <row r="71" spans="1:9" x14ac:dyDescent="0.25">
      <c r="A71" s="4">
        <v>46232</v>
      </c>
      <c r="B71" s="19" t="s">
        <v>27</v>
      </c>
      <c r="C71" s="5">
        <v>2107</v>
      </c>
      <c r="D71" s="16">
        <v>0.437442</v>
      </c>
      <c r="E71" s="17">
        <v>9.9357200000000007E-2</v>
      </c>
      <c r="F71" s="70">
        <f>_xlfn.XLOOKUP(CalibrationLog[[#This Row],[Date]], Daily!C:C, Daily!J:J, "n/a")</f>
        <v>0.36980916666666652</v>
      </c>
      <c r="G71" s="71">
        <f>_xlfn.XLOOKUP(CalibrationLog[[#This Row],[Date]], Daily!C:C, Daily!M:M, "n/a")</f>
        <v>8.8881683333333295E-2</v>
      </c>
      <c r="H71" s="72" t="str">
        <f>IF(CalibrationLog[[#This Row],[Date]]="", "", IF(CalibrationLog[[#This Row],[World Error]]&lt;CalibrationLog[[#This Row],[World Error (Avg.)]], "Yes", "No"))</f>
        <v>No</v>
      </c>
      <c r="I71" s="73" t="str">
        <f>IF(CalibrationLog[[#This Row],[Date]]="", "", IF(CalibrationLog[[#This Row],[Image Error]]&lt;G71, "Yes", "No"))</f>
        <v>No</v>
      </c>
    </row>
    <row r="72" spans="1:9" x14ac:dyDescent="0.25">
      <c r="A72" s="4">
        <v>46232</v>
      </c>
      <c r="B72" s="19" t="s">
        <v>28</v>
      </c>
      <c r="C72" s="5">
        <v>1476</v>
      </c>
      <c r="D72" s="16">
        <v>0.355014</v>
      </c>
      <c r="E72" s="17">
        <v>7.9746600000000001E-2</v>
      </c>
      <c r="F72" s="70">
        <f>_xlfn.XLOOKUP(CalibrationLog[[#This Row],[Date]], Daily!C:C, Daily!J:J, "n/a")</f>
        <v>0.36980916666666652</v>
      </c>
      <c r="G72" s="71">
        <f>_xlfn.XLOOKUP(CalibrationLog[[#This Row],[Date]], Daily!C:C, Daily!M:M, "n/a")</f>
        <v>8.8881683333333295E-2</v>
      </c>
      <c r="H72" s="72" t="str">
        <f>IF(CalibrationLog[[#This Row],[Date]]="", "", IF(CalibrationLog[[#This Row],[World Error]]&lt;CalibrationLog[[#This Row],[World Error (Avg.)]], "Yes", "No"))</f>
        <v>Yes</v>
      </c>
      <c r="I72" s="73" t="str">
        <f>IF(CalibrationLog[[#This Row],[Date]]="", "", IF(CalibrationLog[[#This Row],[Image Error]]&lt;G72, "Yes", "No"))</f>
        <v>Yes</v>
      </c>
    </row>
    <row r="73" spans="1:9" x14ac:dyDescent="0.25">
      <c r="A73" s="4">
        <v>46232</v>
      </c>
      <c r="B73" s="19" t="s">
        <v>29</v>
      </c>
      <c r="C73" s="5">
        <v>1689</v>
      </c>
      <c r="D73" s="16">
        <v>0.354182</v>
      </c>
      <c r="E73" s="17">
        <v>7.3407E-2</v>
      </c>
      <c r="F73" s="70">
        <f>_xlfn.XLOOKUP(CalibrationLog[[#This Row],[Date]], Daily!C:C, Daily!J:J, "n/a")</f>
        <v>0.36980916666666652</v>
      </c>
      <c r="G73" s="71">
        <f>_xlfn.XLOOKUP(CalibrationLog[[#This Row],[Date]], Daily!C:C, Daily!M:M, "n/a")</f>
        <v>8.8881683333333295E-2</v>
      </c>
      <c r="H73" s="72" t="str">
        <f>IF(CalibrationLog[[#This Row],[Date]]="", "", IF(CalibrationLog[[#This Row],[World Error]]&lt;CalibrationLog[[#This Row],[World Error (Avg.)]], "Yes", "No"))</f>
        <v>Yes</v>
      </c>
      <c r="I73" s="73" t="str">
        <f>IF(CalibrationLog[[#This Row],[Date]]="", "", IF(CalibrationLog[[#This Row],[Image Error]]&lt;G73, "Yes", "No"))</f>
        <v>Yes</v>
      </c>
    </row>
    <row r="74" spans="1:9" x14ac:dyDescent="0.25">
      <c r="A74" s="4">
        <v>46232</v>
      </c>
      <c r="B74" s="19" t="s">
        <v>30</v>
      </c>
      <c r="C74" s="5">
        <v>2001</v>
      </c>
      <c r="D74" s="16">
        <v>0.53930999999999996</v>
      </c>
      <c r="E74" s="17">
        <v>0.10856499999999999</v>
      </c>
      <c r="F74" s="70">
        <f>_xlfn.XLOOKUP(CalibrationLog[[#This Row],[Date]], Daily!C:C, Daily!J:J, "n/a")</f>
        <v>0.36980916666666652</v>
      </c>
      <c r="G74" s="71">
        <f>_xlfn.XLOOKUP(CalibrationLog[[#This Row],[Date]], Daily!C:C, Daily!M:M, "n/a")</f>
        <v>8.8881683333333295E-2</v>
      </c>
      <c r="H74" s="72" t="str">
        <f>IF(CalibrationLog[[#This Row],[Date]]="", "", IF(CalibrationLog[[#This Row],[World Error]]&lt;CalibrationLog[[#This Row],[World Error (Avg.)]], "Yes", "No"))</f>
        <v>No</v>
      </c>
      <c r="I74" s="73" t="str">
        <f>IF(CalibrationLog[[#This Row],[Date]]="", "", IF(CalibrationLog[[#This Row],[Image Error]]&lt;G74, "Yes", "No"))</f>
        <v>No</v>
      </c>
    </row>
    <row r="75" spans="1:9" x14ac:dyDescent="0.25">
      <c r="A75" s="4">
        <v>46233</v>
      </c>
      <c r="B75" s="19" t="s">
        <v>14</v>
      </c>
      <c r="C75" s="5">
        <v>2638</v>
      </c>
      <c r="D75" s="16">
        <v>0.21954399999999999</v>
      </c>
      <c r="E75" s="17">
        <v>6.17744E-2</v>
      </c>
      <c r="F75" s="70">
        <f>_xlfn.XLOOKUP(CalibrationLog[[#This Row],[Date]], Daily!C:C, Daily!J:J, "n/a")</f>
        <v>0.3276797777777779</v>
      </c>
      <c r="G75" s="71">
        <f>_xlfn.XLOOKUP(CalibrationLog[[#This Row],[Date]], Daily!C:C, Daily!M:M, "n/a")</f>
        <v>7.9198327777777744E-2</v>
      </c>
      <c r="H75" s="72" t="str">
        <f>IF(CalibrationLog[[#This Row],[Date]]="", "", IF(CalibrationLog[[#This Row],[World Error]]&lt;CalibrationLog[[#This Row],[World Error (Avg.)]], "Yes", "No"))</f>
        <v>Yes</v>
      </c>
      <c r="I75" s="73" t="str">
        <f>IF(CalibrationLog[[#This Row],[Date]]="", "", IF(CalibrationLog[[#This Row],[Image Error]]&lt;G75, "Yes", "No"))</f>
        <v>Yes</v>
      </c>
    </row>
    <row r="76" spans="1:9" x14ac:dyDescent="0.25">
      <c r="A76" s="4">
        <v>46233</v>
      </c>
      <c r="B76" s="19" t="s">
        <v>15</v>
      </c>
      <c r="C76" s="5">
        <v>2543</v>
      </c>
      <c r="D76" s="16">
        <v>0.37991200000000003</v>
      </c>
      <c r="E76" s="17">
        <v>0.10016</v>
      </c>
      <c r="F76" s="70">
        <f>_xlfn.XLOOKUP(CalibrationLog[[#This Row],[Date]], Daily!C:C, Daily!J:J, "n/a")</f>
        <v>0.3276797777777779</v>
      </c>
      <c r="G76" s="71">
        <f>_xlfn.XLOOKUP(CalibrationLog[[#This Row],[Date]], Daily!C:C, Daily!M:M, "n/a")</f>
        <v>7.9198327777777744E-2</v>
      </c>
      <c r="H76" s="72" t="str">
        <f>IF(CalibrationLog[[#This Row],[Date]]="", "", IF(CalibrationLog[[#This Row],[World Error]]&lt;CalibrationLog[[#This Row],[World Error (Avg.)]], "Yes", "No"))</f>
        <v>No</v>
      </c>
      <c r="I76" s="73" t="str">
        <f>IF(CalibrationLog[[#This Row],[Date]]="", "", IF(CalibrationLog[[#This Row],[Image Error]]&lt;G76, "Yes", "No"))</f>
        <v>No</v>
      </c>
    </row>
    <row r="77" spans="1:9" x14ac:dyDescent="0.25">
      <c r="A77" s="4">
        <v>46233</v>
      </c>
      <c r="B77" s="19" t="s">
        <v>16</v>
      </c>
      <c r="C77" s="5">
        <v>2200</v>
      </c>
      <c r="D77" s="16">
        <v>0.43276999999999999</v>
      </c>
      <c r="E77" s="17">
        <v>0.101578</v>
      </c>
      <c r="F77" s="70">
        <f>_xlfn.XLOOKUP(CalibrationLog[[#This Row],[Date]], Daily!C:C, Daily!J:J, "n/a")</f>
        <v>0.3276797777777779</v>
      </c>
      <c r="G77" s="71">
        <f>_xlfn.XLOOKUP(CalibrationLog[[#This Row],[Date]], Daily!C:C, Daily!M:M, "n/a")</f>
        <v>7.9198327777777744E-2</v>
      </c>
      <c r="H77" s="72" t="str">
        <f>IF(CalibrationLog[[#This Row],[Date]]="", "", IF(CalibrationLog[[#This Row],[World Error]]&lt;CalibrationLog[[#This Row],[World Error (Avg.)]], "Yes", "No"))</f>
        <v>No</v>
      </c>
      <c r="I77" s="73" t="str">
        <f>IF(CalibrationLog[[#This Row],[Date]]="", "", IF(CalibrationLog[[#This Row],[Image Error]]&lt;G77, "Yes", "No"))</f>
        <v>No</v>
      </c>
    </row>
    <row r="78" spans="1:9" x14ac:dyDescent="0.25">
      <c r="A78" s="4">
        <v>46233</v>
      </c>
      <c r="B78" s="19" t="s">
        <v>17</v>
      </c>
      <c r="C78" s="5">
        <v>2099</v>
      </c>
      <c r="D78" s="16">
        <v>0.45406200000000002</v>
      </c>
      <c r="E78" s="17">
        <v>8.9885099999999996E-2</v>
      </c>
      <c r="F78" s="70">
        <f>_xlfn.XLOOKUP(CalibrationLog[[#This Row],[Date]], Daily!C:C, Daily!J:J, "n/a")</f>
        <v>0.3276797777777779</v>
      </c>
      <c r="G78" s="71">
        <f>_xlfn.XLOOKUP(CalibrationLog[[#This Row],[Date]], Daily!C:C, Daily!M:M, "n/a")</f>
        <v>7.9198327777777744E-2</v>
      </c>
      <c r="H78" s="72" t="str">
        <f>IF(CalibrationLog[[#This Row],[Date]]="", "", IF(CalibrationLog[[#This Row],[World Error]]&lt;CalibrationLog[[#This Row],[World Error (Avg.)]], "Yes", "No"))</f>
        <v>No</v>
      </c>
      <c r="I78" s="73" t="str">
        <f>IF(CalibrationLog[[#This Row],[Date]]="", "", IF(CalibrationLog[[#This Row],[Image Error]]&lt;G78, "Yes", "No"))</f>
        <v>No</v>
      </c>
    </row>
    <row r="79" spans="1:9" x14ac:dyDescent="0.25">
      <c r="A79" s="4">
        <v>46233</v>
      </c>
      <c r="B79" s="19" t="s">
        <v>18</v>
      </c>
      <c r="C79" s="5">
        <v>2275</v>
      </c>
      <c r="D79" s="16">
        <v>0.258108</v>
      </c>
      <c r="E79" s="17">
        <v>6.1423999999999999E-2</v>
      </c>
      <c r="F79" s="70">
        <f>_xlfn.XLOOKUP(CalibrationLog[[#This Row],[Date]], Daily!C:C, Daily!J:J, "n/a")</f>
        <v>0.3276797777777779</v>
      </c>
      <c r="G79" s="71">
        <f>_xlfn.XLOOKUP(CalibrationLog[[#This Row],[Date]], Daily!C:C, Daily!M:M, "n/a")</f>
        <v>7.9198327777777744E-2</v>
      </c>
      <c r="H79" s="72" t="str">
        <f>IF(CalibrationLog[[#This Row],[Date]]="", "", IF(CalibrationLog[[#This Row],[World Error]]&lt;CalibrationLog[[#This Row],[World Error (Avg.)]], "Yes", "No"))</f>
        <v>Yes</v>
      </c>
      <c r="I79" s="73" t="str">
        <f>IF(CalibrationLog[[#This Row],[Date]]="", "", IF(CalibrationLog[[#This Row],[Image Error]]&lt;G79, "Yes", "No"))</f>
        <v>Yes</v>
      </c>
    </row>
    <row r="80" spans="1:9" x14ac:dyDescent="0.25">
      <c r="A80" s="4">
        <v>46233</v>
      </c>
      <c r="B80" s="19" t="s">
        <v>19</v>
      </c>
      <c r="C80" s="5">
        <v>1741</v>
      </c>
      <c r="D80" s="16">
        <v>0.33665899999999999</v>
      </c>
      <c r="E80" s="17">
        <v>7.0834300000000003E-2</v>
      </c>
      <c r="F80" s="70">
        <f>_xlfn.XLOOKUP(CalibrationLog[[#This Row],[Date]], Daily!C:C, Daily!J:J, "n/a")</f>
        <v>0.3276797777777779</v>
      </c>
      <c r="G80" s="71">
        <f>_xlfn.XLOOKUP(CalibrationLog[[#This Row],[Date]], Daily!C:C, Daily!M:M, "n/a")</f>
        <v>7.9198327777777744E-2</v>
      </c>
      <c r="H80" s="72" t="str">
        <f>IF(CalibrationLog[[#This Row],[Date]]="", "", IF(CalibrationLog[[#This Row],[World Error]]&lt;CalibrationLog[[#This Row],[World Error (Avg.)]], "Yes", "No"))</f>
        <v>No</v>
      </c>
      <c r="I80" s="73" t="str">
        <f>IF(CalibrationLog[[#This Row],[Date]]="", "", IF(CalibrationLog[[#This Row],[Image Error]]&lt;G80, "Yes", "No"))</f>
        <v>Yes</v>
      </c>
    </row>
    <row r="81" spans="1:9" x14ac:dyDescent="0.25">
      <c r="A81" s="4">
        <v>46233</v>
      </c>
      <c r="B81" s="19" t="s">
        <v>20</v>
      </c>
      <c r="C81" s="5">
        <v>1921</v>
      </c>
      <c r="D81" s="16">
        <v>0.380859</v>
      </c>
      <c r="E81" s="17">
        <v>7.9699599999999995E-2</v>
      </c>
      <c r="F81" s="70">
        <f>_xlfn.XLOOKUP(CalibrationLog[[#This Row],[Date]], Daily!C:C, Daily!J:J, "n/a")</f>
        <v>0.3276797777777779</v>
      </c>
      <c r="G81" s="71">
        <f>_xlfn.XLOOKUP(CalibrationLog[[#This Row],[Date]], Daily!C:C, Daily!M:M, "n/a")</f>
        <v>7.9198327777777744E-2</v>
      </c>
      <c r="H81" s="72" t="str">
        <f>IF(CalibrationLog[[#This Row],[Date]]="", "", IF(CalibrationLog[[#This Row],[World Error]]&lt;CalibrationLog[[#This Row],[World Error (Avg.)]], "Yes", "No"))</f>
        <v>No</v>
      </c>
      <c r="I81" s="73" t="str">
        <f>IF(CalibrationLog[[#This Row],[Date]]="", "", IF(CalibrationLog[[#This Row],[Image Error]]&lt;G81, "Yes", "No"))</f>
        <v>No</v>
      </c>
    </row>
    <row r="82" spans="1:9" x14ac:dyDescent="0.25">
      <c r="A82" s="4">
        <v>46233</v>
      </c>
      <c r="B82" s="19" t="s">
        <v>44</v>
      </c>
      <c r="C82" s="5">
        <v>1045</v>
      </c>
      <c r="D82" s="16">
        <v>0.211755</v>
      </c>
      <c r="E82" s="17">
        <v>6.4197799999999999E-2</v>
      </c>
      <c r="F82" s="70">
        <f>_xlfn.XLOOKUP(CalibrationLog[[#This Row],[Date]], Daily!C:C, Daily!J:J, "n/a")</f>
        <v>0.3276797777777779</v>
      </c>
      <c r="G82" s="71">
        <f>_xlfn.XLOOKUP(CalibrationLog[[#This Row],[Date]], Daily!C:C, Daily!M:M, "n/a")</f>
        <v>7.9198327777777744E-2</v>
      </c>
      <c r="H82" s="72" t="str">
        <f>IF(CalibrationLog[[#This Row],[Date]]="", "", IF(CalibrationLog[[#This Row],[World Error]]&lt;CalibrationLog[[#This Row],[World Error (Avg.)]], "Yes", "No"))</f>
        <v>Yes</v>
      </c>
      <c r="I82" s="73" t="str">
        <f>IF(CalibrationLog[[#This Row],[Date]]="", "", IF(CalibrationLog[[#This Row],[Image Error]]&lt;G82, "Yes", "No"))</f>
        <v>Yes</v>
      </c>
    </row>
    <row r="83" spans="1:9" x14ac:dyDescent="0.25">
      <c r="A83" s="4">
        <v>46233</v>
      </c>
      <c r="B83" s="19" t="s">
        <v>21</v>
      </c>
      <c r="C83" s="5">
        <v>2515</v>
      </c>
      <c r="D83" s="16">
        <v>0.42335200000000001</v>
      </c>
      <c r="E83" s="17">
        <v>8.2395399999999994E-2</v>
      </c>
      <c r="F83" s="70">
        <f>_xlfn.XLOOKUP(CalibrationLog[[#This Row],[Date]], Daily!C:C, Daily!J:J, "n/a")</f>
        <v>0.3276797777777779</v>
      </c>
      <c r="G83" s="71">
        <f>_xlfn.XLOOKUP(CalibrationLog[[#This Row],[Date]], Daily!C:C, Daily!M:M, "n/a")</f>
        <v>7.9198327777777744E-2</v>
      </c>
      <c r="H83" s="72" t="str">
        <f>IF(CalibrationLog[[#This Row],[Date]]="", "", IF(CalibrationLog[[#This Row],[World Error]]&lt;CalibrationLog[[#This Row],[World Error (Avg.)]], "Yes", "No"))</f>
        <v>No</v>
      </c>
      <c r="I83" s="73" t="str">
        <f>IF(CalibrationLog[[#This Row],[Date]]="", "", IF(CalibrationLog[[#This Row],[Image Error]]&lt;G83, "Yes", "No"))</f>
        <v>No</v>
      </c>
    </row>
    <row r="84" spans="1:9" x14ac:dyDescent="0.25">
      <c r="A84" s="4">
        <v>46233</v>
      </c>
      <c r="B84" s="19" t="s">
        <v>22</v>
      </c>
      <c r="C84" s="5">
        <v>2236</v>
      </c>
      <c r="D84" s="16">
        <v>0.26177600000000001</v>
      </c>
      <c r="E84" s="17">
        <v>7.1129800000000007E-2</v>
      </c>
      <c r="F84" s="70">
        <f>_xlfn.XLOOKUP(CalibrationLog[[#This Row],[Date]], Daily!C:C, Daily!J:J, "n/a")</f>
        <v>0.3276797777777779</v>
      </c>
      <c r="G84" s="71">
        <f>_xlfn.XLOOKUP(CalibrationLog[[#This Row],[Date]], Daily!C:C, Daily!M:M, "n/a")</f>
        <v>7.9198327777777744E-2</v>
      </c>
      <c r="H84" s="72" t="str">
        <f>IF(CalibrationLog[[#This Row],[Date]]="", "", IF(CalibrationLog[[#This Row],[World Error]]&lt;CalibrationLog[[#This Row],[World Error (Avg.)]], "Yes", "No"))</f>
        <v>Yes</v>
      </c>
      <c r="I84" s="73" t="str">
        <f>IF(CalibrationLog[[#This Row],[Date]]="", "", IF(CalibrationLog[[#This Row],[Image Error]]&lt;G84, "Yes", "No"))</f>
        <v>Yes</v>
      </c>
    </row>
    <row r="85" spans="1:9" x14ac:dyDescent="0.25">
      <c r="A85" s="4">
        <v>46233</v>
      </c>
      <c r="B85" s="19" t="s">
        <v>23</v>
      </c>
      <c r="C85" s="5">
        <v>1438</v>
      </c>
      <c r="D85" s="16">
        <v>0.37280799999999997</v>
      </c>
      <c r="E85" s="17">
        <v>0.12241299999999999</v>
      </c>
      <c r="F85" s="70">
        <f>_xlfn.XLOOKUP(CalibrationLog[[#This Row],[Date]], Daily!C:C, Daily!J:J, "n/a")</f>
        <v>0.3276797777777779</v>
      </c>
      <c r="G85" s="71">
        <f>_xlfn.XLOOKUP(CalibrationLog[[#This Row],[Date]], Daily!C:C, Daily!M:M, "n/a")</f>
        <v>7.9198327777777744E-2</v>
      </c>
      <c r="H85" s="72" t="str">
        <f>IF(CalibrationLog[[#This Row],[Date]]="", "", IF(CalibrationLog[[#This Row],[World Error]]&lt;CalibrationLog[[#This Row],[World Error (Avg.)]], "Yes", "No"))</f>
        <v>No</v>
      </c>
      <c r="I85" s="73" t="str">
        <f>IF(CalibrationLog[[#This Row],[Date]]="", "", IF(CalibrationLog[[#This Row],[Image Error]]&lt;G85, "Yes", "No"))</f>
        <v>No</v>
      </c>
    </row>
    <row r="86" spans="1:9" x14ac:dyDescent="0.25">
      <c r="A86" s="4">
        <v>46233</v>
      </c>
      <c r="B86" s="19" t="s">
        <v>24</v>
      </c>
      <c r="C86" s="5">
        <v>2455</v>
      </c>
      <c r="D86" s="16">
        <v>0.27420699999999998</v>
      </c>
      <c r="E86" s="17">
        <v>8.4493100000000002E-2</v>
      </c>
      <c r="F86" s="70">
        <f>_xlfn.XLOOKUP(CalibrationLog[[#This Row],[Date]], Daily!C:C, Daily!J:J, "n/a")</f>
        <v>0.3276797777777779</v>
      </c>
      <c r="G86" s="71">
        <f>_xlfn.XLOOKUP(CalibrationLog[[#This Row],[Date]], Daily!C:C, Daily!M:M, "n/a")</f>
        <v>7.9198327777777744E-2</v>
      </c>
      <c r="H86" s="72" t="str">
        <f>IF(CalibrationLog[[#This Row],[Date]]="", "", IF(CalibrationLog[[#This Row],[World Error]]&lt;CalibrationLog[[#This Row],[World Error (Avg.)]], "Yes", "No"))</f>
        <v>Yes</v>
      </c>
      <c r="I86" s="73" t="str">
        <f>IF(CalibrationLog[[#This Row],[Date]]="", "", IF(CalibrationLog[[#This Row],[Image Error]]&lt;G86, "Yes", "No"))</f>
        <v>No</v>
      </c>
    </row>
    <row r="87" spans="1:9" x14ac:dyDescent="0.25">
      <c r="A87" s="4">
        <v>46233</v>
      </c>
      <c r="B87" s="19" t="s">
        <v>25</v>
      </c>
      <c r="C87" s="5">
        <v>1004</v>
      </c>
      <c r="D87" s="16">
        <v>0.21171599999999999</v>
      </c>
      <c r="E87" s="17">
        <v>5.0948300000000002E-2</v>
      </c>
      <c r="F87" s="70">
        <f>_xlfn.XLOOKUP(CalibrationLog[[#This Row],[Date]], Daily!C:C, Daily!J:J, "n/a")</f>
        <v>0.3276797777777779</v>
      </c>
      <c r="G87" s="71">
        <f>_xlfn.XLOOKUP(CalibrationLog[[#This Row],[Date]], Daily!C:C, Daily!M:M, "n/a")</f>
        <v>7.9198327777777744E-2</v>
      </c>
      <c r="H87" s="72" t="str">
        <f>IF(CalibrationLog[[#This Row],[Date]]="", "", IF(CalibrationLog[[#This Row],[World Error]]&lt;CalibrationLog[[#This Row],[World Error (Avg.)]], "Yes", "No"))</f>
        <v>Yes</v>
      </c>
      <c r="I87" s="73" t="str">
        <f>IF(CalibrationLog[[#This Row],[Date]]="", "", IF(CalibrationLog[[#This Row],[Image Error]]&lt;G87, "Yes", "No"))</f>
        <v>Yes</v>
      </c>
    </row>
    <row r="88" spans="1:9" x14ac:dyDescent="0.25">
      <c r="A88" s="4">
        <v>46233</v>
      </c>
      <c r="B88" s="19" t="s">
        <v>26</v>
      </c>
      <c r="C88" s="5">
        <v>1995</v>
      </c>
      <c r="D88" s="16">
        <v>0.23136799999999999</v>
      </c>
      <c r="E88" s="17">
        <v>7.4430300000000005E-2</v>
      </c>
      <c r="F88" s="70">
        <f>_xlfn.XLOOKUP(CalibrationLog[[#This Row],[Date]], Daily!C:C, Daily!J:J, "n/a")</f>
        <v>0.3276797777777779</v>
      </c>
      <c r="G88" s="71">
        <f>_xlfn.XLOOKUP(CalibrationLog[[#This Row],[Date]], Daily!C:C, Daily!M:M, "n/a")</f>
        <v>7.9198327777777744E-2</v>
      </c>
      <c r="H88" s="72" t="str">
        <f>IF(CalibrationLog[[#This Row],[Date]]="", "", IF(CalibrationLog[[#This Row],[World Error]]&lt;CalibrationLog[[#This Row],[World Error (Avg.)]], "Yes", "No"))</f>
        <v>Yes</v>
      </c>
      <c r="I88" s="73" t="str">
        <f>IF(CalibrationLog[[#This Row],[Date]]="", "", IF(CalibrationLog[[#This Row],[Image Error]]&lt;G88, "Yes", "No"))</f>
        <v>Yes</v>
      </c>
    </row>
    <row r="89" spans="1:9" x14ac:dyDescent="0.25">
      <c r="A89" s="4">
        <v>46233</v>
      </c>
      <c r="B89" s="19" t="s">
        <v>27</v>
      </c>
      <c r="C89" s="5">
        <v>1717</v>
      </c>
      <c r="D89" s="16">
        <v>0.34229399999999999</v>
      </c>
      <c r="E89" s="17">
        <v>7.7721700000000005E-2</v>
      </c>
      <c r="F89" s="70">
        <f>_xlfn.XLOOKUP(CalibrationLog[[#This Row],[Date]], Daily!C:C, Daily!J:J, "n/a")</f>
        <v>0.3276797777777779</v>
      </c>
      <c r="G89" s="71">
        <f>_xlfn.XLOOKUP(CalibrationLog[[#This Row],[Date]], Daily!C:C, Daily!M:M, "n/a")</f>
        <v>7.9198327777777744E-2</v>
      </c>
      <c r="H89" s="72" t="str">
        <f>IF(CalibrationLog[[#This Row],[Date]]="", "", IF(CalibrationLog[[#This Row],[World Error]]&lt;CalibrationLog[[#This Row],[World Error (Avg.)]], "Yes", "No"))</f>
        <v>No</v>
      </c>
      <c r="I89" s="73" t="str">
        <f>IF(CalibrationLog[[#This Row],[Date]]="", "", IF(CalibrationLog[[#This Row],[Image Error]]&lt;G89, "Yes", "No"))</f>
        <v>Yes</v>
      </c>
    </row>
    <row r="90" spans="1:9" x14ac:dyDescent="0.25">
      <c r="A90" s="4">
        <v>46233</v>
      </c>
      <c r="B90" s="19" t="s">
        <v>28</v>
      </c>
      <c r="C90" s="5">
        <v>1307</v>
      </c>
      <c r="D90" s="16">
        <v>0.328457</v>
      </c>
      <c r="E90" s="17">
        <v>7.3749300000000004E-2</v>
      </c>
      <c r="F90" s="70">
        <f>_xlfn.XLOOKUP(CalibrationLog[[#This Row],[Date]], Daily!C:C, Daily!J:J, "n/a")</f>
        <v>0.3276797777777779</v>
      </c>
      <c r="G90" s="71">
        <f>_xlfn.XLOOKUP(CalibrationLog[[#This Row],[Date]], Daily!C:C, Daily!M:M, "n/a")</f>
        <v>7.9198327777777744E-2</v>
      </c>
      <c r="H90" s="72" t="str">
        <f>IF(CalibrationLog[[#This Row],[Date]]="", "", IF(CalibrationLog[[#This Row],[World Error]]&lt;CalibrationLog[[#This Row],[World Error (Avg.)]], "Yes", "No"))</f>
        <v>No</v>
      </c>
      <c r="I90" s="73" t="str">
        <f>IF(CalibrationLog[[#This Row],[Date]]="", "", IF(CalibrationLog[[#This Row],[Image Error]]&lt;G90, "Yes", "No"))</f>
        <v>Yes</v>
      </c>
    </row>
    <row r="91" spans="1:9" x14ac:dyDescent="0.25">
      <c r="A91" s="4">
        <v>46233</v>
      </c>
      <c r="B91" s="19" t="s">
        <v>29</v>
      </c>
      <c r="C91" s="5">
        <v>2040</v>
      </c>
      <c r="D91" s="16">
        <v>0.33388400000000001</v>
      </c>
      <c r="E91" s="17">
        <v>6.9205000000000003E-2</v>
      </c>
      <c r="F91" s="70">
        <f>_xlfn.XLOOKUP(CalibrationLog[[#This Row],[Date]], Daily!C:C, Daily!J:J, "n/a")</f>
        <v>0.3276797777777779</v>
      </c>
      <c r="G91" s="71">
        <f>_xlfn.XLOOKUP(CalibrationLog[[#This Row],[Date]], Daily!C:C, Daily!M:M, "n/a")</f>
        <v>7.9198327777777744E-2</v>
      </c>
      <c r="H91" s="72" t="str">
        <f>IF(CalibrationLog[[#This Row],[Date]]="", "", IF(CalibrationLog[[#This Row],[World Error]]&lt;CalibrationLog[[#This Row],[World Error (Avg.)]], "Yes", "No"))</f>
        <v>No</v>
      </c>
      <c r="I91" s="73" t="str">
        <f>IF(CalibrationLog[[#This Row],[Date]]="", "", IF(CalibrationLog[[#This Row],[Image Error]]&lt;G91, "Yes", "No"))</f>
        <v>Yes</v>
      </c>
    </row>
    <row r="92" spans="1:9" x14ac:dyDescent="0.25">
      <c r="A92" s="4">
        <v>46233</v>
      </c>
      <c r="B92" s="19" t="s">
        <v>30</v>
      </c>
      <c r="C92" s="5">
        <v>1599</v>
      </c>
      <c r="D92" s="16">
        <v>0.44470500000000002</v>
      </c>
      <c r="E92" s="17">
        <v>8.9530799999999994E-2</v>
      </c>
      <c r="F92" s="70">
        <f>_xlfn.XLOOKUP(CalibrationLog[[#This Row],[Date]], Daily!C:C, Daily!J:J, "n/a")</f>
        <v>0.3276797777777779</v>
      </c>
      <c r="G92" s="71">
        <f>_xlfn.XLOOKUP(CalibrationLog[[#This Row],[Date]], Daily!C:C, Daily!M:M, "n/a")</f>
        <v>7.9198327777777744E-2</v>
      </c>
      <c r="H92" s="72" t="str">
        <f>IF(CalibrationLog[[#This Row],[Date]]="", "", IF(CalibrationLog[[#This Row],[World Error]]&lt;CalibrationLog[[#This Row],[World Error (Avg.)]], "Yes", "No"))</f>
        <v>No</v>
      </c>
      <c r="I92" s="73" t="str">
        <f>IF(CalibrationLog[[#This Row],[Date]]="", "", IF(CalibrationLog[[#This Row],[Image Error]]&lt;G92, "Yes", "No"))</f>
        <v>No</v>
      </c>
    </row>
    <row r="93" spans="1:9" x14ac:dyDescent="0.25">
      <c r="A93" s="4">
        <v>46234</v>
      </c>
      <c r="B93" s="19" t="s">
        <v>14</v>
      </c>
      <c r="C93" s="5">
        <v>3975</v>
      </c>
      <c r="D93" s="16">
        <v>0.52360899999999999</v>
      </c>
      <c r="E93" s="17">
        <v>0.147318</v>
      </c>
      <c r="F93" s="70">
        <f>_xlfn.XLOOKUP(CalibrationLog[[#This Row],[Date]], Daily!C:C, Daily!J:J, "n/a")</f>
        <v>0.39170800000000017</v>
      </c>
      <c r="G93" s="71">
        <f>_xlfn.XLOOKUP(CalibrationLog[[#This Row],[Date]], Daily!C:C, Daily!M:M, "n/a")</f>
        <v>9.6186150000000026E-2</v>
      </c>
      <c r="H93" s="72" t="str">
        <f>IF(CalibrationLog[[#This Row],[Date]]="", "", IF(CalibrationLog[[#This Row],[World Error]]&lt;CalibrationLog[[#This Row],[World Error (Avg.)]], "Yes", "No"))</f>
        <v>No</v>
      </c>
      <c r="I93" s="73" t="str">
        <f>IF(CalibrationLog[[#This Row],[Date]]="", "", IF(CalibrationLog[[#This Row],[Image Error]]&lt;G93, "Yes", "No"))</f>
        <v>No</v>
      </c>
    </row>
    <row r="94" spans="1:9" x14ac:dyDescent="0.25">
      <c r="A94" s="4">
        <v>46234</v>
      </c>
      <c r="B94" s="19" t="s">
        <v>15</v>
      </c>
      <c r="C94" s="5">
        <v>3665</v>
      </c>
      <c r="D94" s="16">
        <v>0.45449699999999998</v>
      </c>
      <c r="E94" s="17">
        <v>0.119767</v>
      </c>
      <c r="F94" s="70">
        <f>_xlfn.XLOOKUP(CalibrationLog[[#This Row],[Date]], Daily!C:C, Daily!J:J, "n/a")</f>
        <v>0.39170800000000017</v>
      </c>
      <c r="G94" s="71">
        <f>_xlfn.XLOOKUP(CalibrationLog[[#This Row],[Date]], Daily!C:C, Daily!M:M, "n/a")</f>
        <v>9.6186150000000026E-2</v>
      </c>
      <c r="H94" s="72" t="str">
        <f>IF(CalibrationLog[[#This Row],[Date]]="", "", IF(CalibrationLog[[#This Row],[World Error]]&lt;CalibrationLog[[#This Row],[World Error (Avg.)]], "Yes", "No"))</f>
        <v>No</v>
      </c>
      <c r="I94" s="73" t="str">
        <f>IF(CalibrationLog[[#This Row],[Date]]="", "", IF(CalibrationLog[[#This Row],[Image Error]]&lt;G94, "Yes", "No"))</f>
        <v>No</v>
      </c>
    </row>
    <row r="95" spans="1:9" x14ac:dyDescent="0.25">
      <c r="A95" s="4">
        <v>46234</v>
      </c>
      <c r="B95" s="19" t="s">
        <v>16</v>
      </c>
      <c r="C95" s="5">
        <v>2763</v>
      </c>
      <c r="D95" s="16">
        <v>0.40343299999999999</v>
      </c>
      <c r="E95" s="17">
        <v>9.4635200000000003E-2</v>
      </c>
      <c r="F95" s="70">
        <f>_xlfn.XLOOKUP(CalibrationLog[[#This Row],[Date]], Daily!C:C, Daily!J:J, "n/a")</f>
        <v>0.39170800000000017</v>
      </c>
      <c r="G95" s="71">
        <f>_xlfn.XLOOKUP(CalibrationLog[[#This Row],[Date]], Daily!C:C, Daily!M:M, "n/a")</f>
        <v>9.6186150000000026E-2</v>
      </c>
      <c r="H95" s="72" t="str">
        <f>IF(CalibrationLog[[#This Row],[Date]]="", "", IF(CalibrationLog[[#This Row],[World Error]]&lt;CalibrationLog[[#This Row],[World Error (Avg.)]], "Yes", "No"))</f>
        <v>No</v>
      </c>
      <c r="I95" s="73" t="str">
        <f>IF(CalibrationLog[[#This Row],[Date]]="", "", IF(CalibrationLog[[#This Row],[Image Error]]&lt;G95, "Yes", "No"))</f>
        <v>Yes</v>
      </c>
    </row>
    <row r="96" spans="1:9" x14ac:dyDescent="0.25">
      <c r="A96" s="4">
        <v>46234</v>
      </c>
      <c r="B96" s="19" t="s">
        <v>17</v>
      </c>
      <c r="C96" s="5">
        <v>2377</v>
      </c>
      <c r="D96" s="16">
        <v>0.53664000000000001</v>
      </c>
      <c r="E96" s="17">
        <v>0.106142</v>
      </c>
      <c r="F96" s="70">
        <f>_xlfn.XLOOKUP(CalibrationLog[[#This Row],[Date]], Daily!C:C, Daily!J:J, "n/a")</f>
        <v>0.39170800000000017</v>
      </c>
      <c r="G96" s="71">
        <f>_xlfn.XLOOKUP(CalibrationLog[[#This Row],[Date]], Daily!C:C, Daily!M:M, "n/a")</f>
        <v>9.6186150000000026E-2</v>
      </c>
      <c r="H96" s="72" t="str">
        <f>IF(CalibrationLog[[#This Row],[Date]]="", "", IF(CalibrationLog[[#This Row],[World Error]]&lt;CalibrationLog[[#This Row],[World Error (Avg.)]], "Yes", "No"))</f>
        <v>No</v>
      </c>
      <c r="I96" s="73" t="str">
        <f>IF(CalibrationLog[[#This Row],[Date]]="", "", IF(CalibrationLog[[#This Row],[Image Error]]&lt;G96, "Yes", "No"))</f>
        <v>No</v>
      </c>
    </row>
    <row r="97" spans="1:9" x14ac:dyDescent="0.25">
      <c r="A97" s="4">
        <v>46234</v>
      </c>
      <c r="B97" s="19" t="s">
        <v>18</v>
      </c>
      <c r="C97" s="5">
        <v>3135</v>
      </c>
      <c r="D97" s="16">
        <v>0.218719</v>
      </c>
      <c r="E97" s="17">
        <v>5.20276E-2</v>
      </c>
      <c r="F97" s="70">
        <f>_xlfn.XLOOKUP(CalibrationLog[[#This Row],[Date]], Daily!C:C, Daily!J:J, "n/a")</f>
        <v>0.39170800000000017</v>
      </c>
      <c r="G97" s="71">
        <f>_xlfn.XLOOKUP(CalibrationLog[[#This Row],[Date]], Daily!C:C, Daily!M:M, "n/a")</f>
        <v>9.6186150000000026E-2</v>
      </c>
      <c r="H97" s="72" t="str">
        <f>IF(CalibrationLog[[#This Row],[Date]]="", "", IF(CalibrationLog[[#This Row],[World Error]]&lt;CalibrationLog[[#This Row],[World Error (Avg.)]], "Yes", "No"))</f>
        <v>Yes</v>
      </c>
      <c r="I97" s="73" t="str">
        <f>IF(CalibrationLog[[#This Row],[Date]]="", "", IF(CalibrationLog[[#This Row],[Image Error]]&lt;G97, "Yes", "No"))</f>
        <v>Yes</v>
      </c>
    </row>
    <row r="98" spans="1:9" x14ac:dyDescent="0.25">
      <c r="A98" s="4">
        <v>46234</v>
      </c>
      <c r="B98" s="19" t="s">
        <v>19</v>
      </c>
      <c r="C98" s="5">
        <v>2511</v>
      </c>
      <c r="D98" s="16">
        <v>0.355244</v>
      </c>
      <c r="E98" s="17">
        <v>7.4700000000000003E-2</v>
      </c>
      <c r="F98" s="70">
        <f>_xlfn.XLOOKUP(CalibrationLog[[#This Row],[Date]], Daily!C:C, Daily!J:J, "n/a")</f>
        <v>0.39170800000000017</v>
      </c>
      <c r="G98" s="71">
        <f>_xlfn.XLOOKUP(CalibrationLog[[#This Row],[Date]], Daily!C:C, Daily!M:M, "n/a")</f>
        <v>9.6186150000000026E-2</v>
      </c>
      <c r="H98" s="72" t="str">
        <f>IF(CalibrationLog[[#This Row],[Date]]="", "", IF(CalibrationLog[[#This Row],[World Error]]&lt;CalibrationLog[[#This Row],[World Error (Avg.)]], "Yes", "No"))</f>
        <v>Yes</v>
      </c>
      <c r="I98" s="73" t="str">
        <f>IF(CalibrationLog[[#This Row],[Date]]="", "", IF(CalibrationLog[[#This Row],[Image Error]]&lt;G98, "Yes", "No"))</f>
        <v>Yes</v>
      </c>
    </row>
    <row r="99" spans="1:9" x14ac:dyDescent="0.25">
      <c r="A99" s="4">
        <v>46234</v>
      </c>
      <c r="B99" s="19" t="s">
        <v>20</v>
      </c>
      <c r="C99" s="5">
        <v>2587</v>
      </c>
      <c r="D99" s="16">
        <v>0.37267099999999997</v>
      </c>
      <c r="E99" s="17">
        <v>7.7942899999999996E-2</v>
      </c>
      <c r="F99" s="70">
        <f>_xlfn.XLOOKUP(CalibrationLog[[#This Row],[Date]], Daily!C:C, Daily!J:J, "n/a")</f>
        <v>0.39170800000000017</v>
      </c>
      <c r="G99" s="71">
        <f>_xlfn.XLOOKUP(CalibrationLog[[#This Row],[Date]], Daily!C:C, Daily!M:M, "n/a")</f>
        <v>9.6186150000000026E-2</v>
      </c>
      <c r="H99" s="72" t="str">
        <f>IF(CalibrationLog[[#This Row],[Date]]="", "", IF(CalibrationLog[[#This Row],[World Error]]&lt;CalibrationLog[[#This Row],[World Error (Avg.)]], "Yes", "No"))</f>
        <v>Yes</v>
      </c>
      <c r="I99" s="73" t="str">
        <f>IF(CalibrationLog[[#This Row],[Date]]="", "", IF(CalibrationLog[[#This Row],[Image Error]]&lt;G99, "Yes", "No"))</f>
        <v>Yes</v>
      </c>
    </row>
    <row r="100" spans="1:9" x14ac:dyDescent="0.25">
      <c r="A100" s="4">
        <v>46234</v>
      </c>
      <c r="B100" s="19" t="s">
        <v>44</v>
      </c>
      <c r="C100" s="5">
        <v>1502</v>
      </c>
      <c r="D100" s="16">
        <v>0.264567</v>
      </c>
      <c r="E100" s="17">
        <v>8.0192100000000002E-2</v>
      </c>
      <c r="F100" s="70">
        <f>_xlfn.XLOOKUP(CalibrationLog[[#This Row],[Date]], Daily!C:C, Daily!J:J, "n/a")</f>
        <v>0.39170800000000017</v>
      </c>
      <c r="G100" s="71">
        <f>_xlfn.XLOOKUP(CalibrationLog[[#This Row],[Date]], Daily!C:C, Daily!M:M, "n/a")</f>
        <v>9.6186150000000026E-2</v>
      </c>
      <c r="H100" s="72" t="str">
        <f>IF(CalibrationLog[[#This Row],[Date]]="", "", IF(CalibrationLog[[#This Row],[World Error]]&lt;CalibrationLog[[#This Row],[World Error (Avg.)]], "Yes", "No"))</f>
        <v>Yes</v>
      </c>
      <c r="I100" s="73" t="str">
        <f>IF(CalibrationLog[[#This Row],[Date]]="", "", IF(CalibrationLog[[#This Row],[Image Error]]&lt;G100, "Yes", "No"))</f>
        <v>Yes</v>
      </c>
    </row>
    <row r="101" spans="1:9" x14ac:dyDescent="0.25">
      <c r="A101" s="4">
        <v>46234</v>
      </c>
      <c r="B101" s="19" t="s">
        <v>21</v>
      </c>
      <c r="C101" s="5">
        <v>3787</v>
      </c>
      <c r="D101" s="16">
        <v>0.47795700000000002</v>
      </c>
      <c r="E101" s="17">
        <v>9.3003100000000005E-2</v>
      </c>
      <c r="F101" s="70">
        <f>_xlfn.XLOOKUP(CalibrationLog[[#This Row],[Date]], Daily!C:C, Daily!J:J, "n/a")</f>
        <v>0.39170800000000017</v>
      </c>
      <c r="G101" s="71">
        <f>_xlfn.XLOOKUP(CalibrationLog[[#This Row],[Date]], Daily!C:C, Daily!M:M, "n/a")</f>
        <v>9.6186150000000026E-2</v>
      </c>
      <c r="H101" s="72" t="str">
        <f>IF(CalibrationLog[[#This Row],[Date]]="", "", IF(CalibrationLog[[#This Row],[World Error]]&lt;CalibrationLog[[#This Row],[World Error (Avg.)]], "Yes", "No"))</f>
        <v>No</v>
      </c>
      <c r="I101" s="73" t="str">
        <f>IF(CalibrationLog[[#This Row],[Date]]="", "", IF(CalibrationLog[[#This Row],[Image Error]]&lt;G101, "Yes", "No"))</f>
        <v>Yes</v>
      </c>
    </row>
    <row r="102" spans="1:9" x14ac:dyDescent="0.25">
      <c r="A102" s="4">
        <v>46234</v>
      </c>
      <c r="B102" s="19" t="s">
        <v>22</v>
      </c>
      <c r="C102" s="5">
        <v>2437</v>
      </c>
      <c r="D102" s="16">
        <v>0.51614400000000005</v>
      </c>
      <c r="E102" s="17">
        <v>0.14021400000000001</v>
      </c>
      <c r="F102" s="70">
        <f>_xlfn.XLOOKUP(CalibrationLog[[#This Row],[Date]], Daily!C:C, Daily!J:J, "n/a")</f>
        <v>0.39170800000000017</v>
      </c>
      <c r="G102" s="71">
        <f>_xlfn.XLOOKUP(CalibrationLog[[#This Row],[Date]], Daily!C:C, Daily!M:M, "n/a")</f>
        <v>9.6186150000000026E-2</v>
      </c>
      <c r="H102" s="72" t="str">
        <f>IF(CalibrationLog[[#This Row],[Date]]="", "", IF(CalibrationLog[[#This Row],[World Error]]&lt;CalibrationLog[[#This Row],[World Error (Avg.)]], "Yes", "No"))</f>
        <v>No</v>
      </c>
      <c r="I102" s="73" t="str">
        <f>IF(CalibrationLog[[#This Row],[Date]]="", "", IF(CalibrationLog[[#This Row],[Image Error]]&lt;G102, "Yes", "No"))</f>
        <v>No</v>
      </c>
    </row>
    <row r="103" spans="1:9" x14ac:dyDescent="0.25">
      <c r="A103" s="4">
        <v>46234</v>
      </c>
      <c r="B103" s="19" t="s">
        <v>23</v>
      </c>
      <c r="C103" s="5">
        <v>2126</v>
      </c>
      <c r="D103" s="16">
        <v>0.61609199999999997</v>
      </c>
      <c r="E103" s="17">
        <v>0.202345</v>
      </c>
      <c r="F103" s="70">
        <f>_xlfn.XLOOKUP(CalibrationLog[[#This Row],[Date]], Daily!C:C, Daily!J:J, "n/a")</f>
        <v>0.39170800000000017</v>
      </c>
      <c r="G103" s="71">
        <f>_xlfn.XLOOKUP(CalibrationLog[[#This Row],[Date]], Daily!C:C, Daily!M:M, "n/a")</f>
        <v>9.6186150000000026E-2</v>
      </c>
      <c r="H103" s="72" t="str">
        <f>IF(CalibrationLog[[#This Row],[Date]]="", "", IF(CalibrationLog[[#This Row],[World Error]]&lt;CalibrationLog[[#This Row],[World Error (Avg.)]], "Yes", "No"))</f>
        <v>No</v>
      </c>
      <c r="I103" s="73" t="str">
        <f>IF(CalibrationLog[[#This Row],[Date]]="", "", IF(CalibrationLog[[#This Row],[Image Error]]&lt;G103, "Yes", "No"))</f>
        <v>No</v>
      </c>
    </row>
    <row r="104" spans="1:9" x14ac:dyDescent="0.25">
      <c r="A104" s="4">
        <v>46234</v>
      </c>
      <c r="B104" s="19" t="s">
        <v>24</v>
      </c>
      <c r="C104" s="5">
        <v>4033</v>
      </c>
      <c r="D104" s="16">
        <v>0.26639000000000002</v>
      </c>
      <c r="E104" s="17">
        <v>8.19878E-2</v>
      </c>
      <c r="F104" s="70">
        <f>_xlfn.XLOOKUP(CalibrationLog[[#This Row],[Date]], Daily!C:C, Daily!J:J, "n/a")</f>
        <v>0.39170800000000017</v>
      </c>
      <c r="G104" s="71">
        <f>_xlfn.XLOOKUP(CalibrationLog[[#This Row],[Date]], Daily!C:C, Daily!M:M, "n/a")</f>
        <v>9.6186150000000026E-2</v>
      </c>
      <c r="H104" s="72" t="str">
        <f>IF(CalibrationLog[[#This Row],[Date]]="", "", IF(CalibrationLog[[#This Row],[World Error]]&lt;CalibrationLog[[#This Row],[World Error (Avg.)]], "Yes", "No"))</f>
        <v>Yes</v>
      </c>
      <c r="I104" s="73" t="str">
        <f>IF(CalibrationLog[[#This Row],[Date]]="", "", IF(CalibrationLog[[#This Row],[Image Error]]&lt;G104, "Yes", "No"))</f>
        <v>Yes</v>
      </c>
    </row>
    <row r="105" spans="1:9" x14ac:dyDescent="0.25">
      <c r="A105" s="4">
        <v>46234</v>
      </c>
      <c r="B105" s="19" t="s">
        <v>25</v>
      </c>
      <c r="C105" s="5">
        <v>1548</v>
      </c>
      <c r="D105" s="16">
        <v>0.24405299999999999</v>
      </c>
      <c r="E105" s="17">
        <v>5.8651200000000001E-2</v>
      </c>
      <c r="F105" s="70">
        <f>_xlfn.XLOOKUP(CalibrationLog[[#This Row],[Date]], Daily!C:C, Daily!J:J, "n/a")</f>
        <v>0.39170800000000017</v>
      </c>
      <c r="G105" s="71">
        <f>_xlfn.XLOOKUP(CalibrationLog[[#This Row],[Date]], Daily!C:C, Daily!M:M, "n/a")</f>
        <v>9.6186150000000026E-2</v>
      </c>
      <c r="H105" s="72" t="str">
        <f>IF(CalibrationLog[[#This Row],[Date]]="", "", IF(CalibrationLog[[#This Row],[World Error]]&lt;CalibrationLog[[#This Row],[World Error (Avg.)]], "Yes", "No"))</f>
        <v>Yes</v>
      </c>
      <c r="I105" s="73" t="str">
        <f>IF(CalibrationLog[[#This Row],[Date]]="", "", IF(CalibrationLog[[#This Row],[Image Error]]&lt;G105, "Yes", "No"))</f>
        <v>Yes</v>
      </c>
    </row>
    <row r="106" spans="1:9" x14ac:dyDescent="0.25">
      <c r="A106" s="4">
        <v>46234</v>
      </c>
      <c r="B106" s="19" t="s">
        <v>26</v>
      </c>
      <c r="C106" s="5">
        <v>2915</v>
      </c>
      <c r="D106" s="16">
        <v>0.163774</v>
      </c>
      <c r="E106" s="17">
        <v>5.2653600000000002E-2</v>
      </c>
      <c r="F106" s="70">
        <f>_xlfn.XLOOKUP(CalibrationLog[[#This Row],[Date]], Daily!C:C, Daily!J:J, "n/a")</f>
        <v>0.39170800000000017</v>
      </c>
      <c r="G106" s="71">
        <f>_xlfn.XLOOKUP(CalibrationLog[[#This Row],[Date]], Daily!C:C, Daily!M:M, "n/a")</f>
        <v>9.6186150000000026E-2</v>
      </c>
      <c r="H106" s="72" t="str">
        <f>IF(CalibrationLog[[#This Row],[Date]]="", "", IF(CalibrationLog[[#This Row],[World Error]]&lt;CalibrationLog[[#This Row],[World Error (Avg.)]], "Yes", "No"))</f>
        <v>Yes</v>
      </c>
      <c r="I106" s="73" t="str">
        <f>IF(CalibrationLog[[#This Row],[Date]]="", "", IF(CalibrationLog[[#This Row],[Image Error]]&lt;G106, "Yes", "No"))</f>
        <v>Yes</v>
      </c>
    </row>
    <row r="107" spans="1:9" x14ac:dyDescent="0.25">
      <c r="A107" s="4">
        <v>46234</v>
      </c>
      <c r="B107" s="19" t="s">
        <v>27</v>
      </c>
      <c r="C107" s="5">
        <v>2017</v>
      </c>
      <c r="D107" s="16">
        <v>0.41799900000000001</v>
      </c>
      <c r="E107" s="17">
        <v>9.4883999999999996E-2</v>
      </c>
      <c r="F107" s="70">
        <f>_xlfn.XLOOKUP(CalibrationLog[[#This Row],[Date]], Daily!C:C, Daily!J:J, "n/a")</f>
        <v>0.39170800000000017</v>
      </c>
      <c r="G107" s="71">
        <f>_xlfn.XLOOKUP(CalibrationLog[[#This Row],[Date]], Daily!C:C, Daily!M:M, "n/a")</f>
        <v>9.6186150000000026E-2</v>
      </c>
      <c r="H107" s="72" t="str">
        <f>IF(CalibrationLog[[#This Row],[Date]]="", "", IF(CalibrationLog[[#This Row],[World Error]]&lt;CalibrationLog[[#This Row],[World Error (Avg.)]], "Yes", "No"))</f>
        <v>No</v>
      </c>
      <c r="I107" s="73" t="str">
        <f>IF(CalibrationLog[[#This Row],[Date]]="", "", IF(CalibrationLog[[#This Row],[Image Error]]&lt;G107, "Yes", "No"))</f>
        <v>Yes</v>
      </c>
    </row>
    <row r="108" spans="1:9" x14ac:dyDescent="0.25">
      <c r="A108" s="4">
        <v>46234</v>
      </c>
      <c r="B108" s="19" t="s">
        <v>28</v>
      </c>
      <c r="C108" s="5">
        <v>1610</v>
      </c>
      <c r="D108" s="16">
        <v>0.32311099999999998</v>
      </c>
      <c r="E108" s="17">
        <v>7.2502700000000003E-2</v>
      </c>
      <c r="F108" s="70">
        <f>_xlfn.XLOOKUP(CalibrationLog[[#This Row],[Date]], Daily!C:C, Daily!J:J, "n/a")</f>
        <v>0.39170800000000017</v>
      </c>
      <c r="G108" s="71">
        <f>_xlfn.XLOOKUP(CalibrationLog[[#This Row],[Date]], Daily!C:C, Daily!M:M, "n/a")</f>
        <v>9.6186150000000026E-2</v>
      </c>
      <c r="H108" s="72" t="str">
        <f>IF(CalibrationLog[[#This Row],[Date]]="", "", IF(CalibrationLog[[#This Row],[World Error]]&lt;CalibrationLog[[#This Row],[World Error (Avg.)]], "Yes", "No"))</f>
        <v>Yes</v>
      </c>
      <c r="I108" s="73" t="str">
        <f>IF(CalibrationLog[[#This Row],[Date]]="", "", IF(CalibrationLog[[#This Row],[Image Error]]&lt;G108, "Yes", "No"))</f>
        <v>Yes</v>
      </c>
    </row>
    <row r="109" spans="1:9" x14ac:dyDescent="0.25">
      <c r="A109" s="4">
        <v>46234</v>
      </c>
      <c r="B109" s="19" t="s">
        <v>29</v>
      </c>
      <c r="C109" s="5">
        <v>2718</v>
      </c>
      <c r="D109" s="16">
        <v>0.375027</v>
      </c>
      <c r="E109" s="17">
        <v>7.7646499999999993E-2</v>
      </c>
      <c r="F109" s="70">
        <f>_xlfn.XLOOKUP(CalibrationLog[[#This Row],[Date]], Daily!C:C, Daily!J:J, "n/a")</f>
        <v>0.39170800000000017</v>
      </c>
      <c r="G109" s="71">
        <f>_xlfn.XLOOKUP(CalibrationLog[[#This Row],[Date]], Daily!C:C, Daily!M:M, "n/a")</f>
        <v>9.6186150000000026E-2</v>
      </c>
      <c r="H109" s="72" t="str">
        <f>IF(CalibrationLog[[#This Row],[Date]]="", "", IF(CalibrationLog[[#This Row],[World Error]]&lt;CalibrationLog[[#This Row],[World Error (Avg.)]], "Yes", "No"))</f>
        <v>Yes</v>
      </c>
      <c r="I109" s="73" t="str">
        <f>IF(CalibrationLog[[#This Row],[Date]]="", "", IF(CalibrationLog[[#This Row],[Image Error]]&lt;G109, "Yes", "No"))</f>
        <v>Yes</v>
      </c>
    </row>
    <row r="110" spans="1:9" x14ac:dyDescent="0.25">
      <c r="A110" s="4">
        <v>46234</v>
      </c>
      <c r="B110" s="19" t="s">
        <v>30</v>
      </c>
      <c r="C110" s="5">
        <v>2001</v>
      </c>
      <c r="D110" s="16">
        <v>0.52081699999999997</v>
      </c>
      <c r="E110" s="17">
        <v>0.104738</v>
      </c>
      <c r="F110" s="70">
        <f>_xlfn.XLOOKUP(CalibrationLog[[#This Row],[Date]], Daily!C:C, Daily!J:J, "n/a")</f>
        <v>0.39170800000000017</v>
      </c>
      <c r="G110" s="71">
        <f>_xlfn.XLOOKUP(CalibrationLog[[#This Row],[Date]], Daily!C:C, Daily!M:M, "n/a")</f>
        <v>9.6186150000000026E-2</v>
      </c>
      <c r="H110" s="72" t="str">
        <f>IF(CalibrationLog[[#This Row],[Date]]="", "", IF(CalibrationLog[[#This Row],[World Error]]&lt;CalibrationLog[[#This Row],[World Error (Avg.)]], "Yes", "No"))</f>
        <v>No</v>
      </c>
      <c r="I110" s="73" t="str">
        <f>IF(CalibrationLog[[#This Row],[Date]]="", "", IF(CalibrationLog[[#This Row],[Image Error]]&lt;G110, "Yes", "No"))</f>
        <v>No</v>
      </c>
    </row>
    <row r="111" spans="1:9" x14ac:dyDescent="0.25">
      <c r="A111" s="4">
        <v>46235</v>
      </c>
      <c r="B111" s="19" t="s">
        <v>14</v>
      </c>
      <c r="C111" s="5">
        <v>3111</v>
      </c>
      <c r="D111" s="16">
        <v>0.38656600000000002</v>
      </c>
      <c r="E111" s="17">
        <v>0.10890900000000001</v>
      </c>
      <c r="F111" s="70">
        <f>_xlfn.XLOOKUP(CalibrationLog[[#This Row],[Date]], Daily!C:C, Daily!J:J, "n/a")</f>
        <v>0.55296411111111099</v>
      </c>
      <c r="G111" s="71">
        <f>_xlfn.XLOOKUP(CalibrationLog[[#This Row],[Date]], Daily!C:C, Daily!M:M, "n/a")</f>
        <v>0.12669717222222227</v>
      </c>
      <c r="H111" s="72" t="str">
        <f>IF(CalibrationLog[[#This Row],[Date]]="", "", IF(CalibrationLog[[#This Row],[World Error]]&lt;CalibrationLog[[#This Row],[World Error (Avg.)]], "Yes", "No"))</f>
        <v>Yes</v>
      </c>
      <c r="I111" s="73" t="str">
        <f>IF(CalibrationLog[[#This Row],[Date]]="", "", IF(CalibrationLog[[#This Row],[Image Error]]&lt;G111, "Yes", "No"))</f>
        <v>Yes</v>
      </c>
    </row>
    <row r="112" spans="1:9" x14ac:dyDescent="0.25">
      <c r="A112" s="4">
        <v>46235</v>
      </c>
      <c r="B112" s="19" t="s">
        <v>15</v>
      </c>
      <c r="C112" s="5">
        <v>2814</v>
      </c>
      <c r="D112" s="16">
        <v>0.48407099999999997</v>
      </c>
      <c r="E112" s="17">
        <v>0.127695</v>
      </c>
      <c r="F112" s="70">
        <f>_xlfn.XLOOKUP(CalibrationLog[[#This Row],[Date]], Daily!C:C, Daily!J:J, "n/a")</f>
        <v>0.55296411111111099</v>
      </c>
      <c r="G112" s="71">
        <f>_xlfn.XLOOKUP(CalibrationLog[[#This Row],[Date]], Daily!C:C, Daily!M:M, "n/a")</f>
        <v>0.12669717222222227</v>
      </c>
      <c r="H112" s="72" t="str">
        <f>IF(CalibrationLog[[#This Row],[Date]]="", "", IF(CalibrationLog[[#This Row],[World Error]]&lt;CalibrationLog[[#This Row],[World Error (Avg.)]], "Yes", "No"))</f>
        <v>Yes</v>
      </c>
      <c r="I112" s="73" t="str">
        <f>IF(CalibrationLog[[#This Row],[Date]]="", "", IF(CalibrationLog[[#This Row],[Image Error]]&lt;G112, "Yes", "No"))</f>
        <v>No</v>
      </c>
    </row>
    <row r="113" spans="1:9" x14ac:dyDescent="0.25">
      <c r="A113" s="4">
        <v>46235</v>
      </c>
      <c r="B113" s="19" t="s">
        <v>16</v>
      </c>
      <c r="C113" s="5">
        <v>2201</v>
      </c>
      <c r="D113" s="16">
        <v>0.54380600000000001</v>
      </c>
      <c r="E113" s="17">
        <v>0.12779199999999999</v>
      </c>
      <c r="F113" s="70">
        <f>_xlfn.XLOOKUP(CalibrationLog[[#This Row],[Date]], Daily!C:C, Daily!J:J, "n/a")</f>
        <v>0.55296411111111099</v>
      </c>
      <c r="G113" s="71">
        <f>_xlfn.XLOOKUP(CalibrationLog[[#This Row],[Date]], Daily!C:C, Daily!M:M, "n/a")</f>
        <v>0.12669717222222227</v>
      </c>
      <c r="H113" s="72" t="str">
        <f>IF(CalibrationLog[[#This Row],[Date]]="", "", IF(CalibrationLog[[#This Row],[World Error]]&lt;CalibrationLog[[#This Row],[World Error (Avg.)]], "Yes", "No"))</f>
        <v>Yes</v>
      </c>
      <c r="I113" s="73" t="str">
        <f>IF(CalibrationLog[[#This Row],[Date]]="", "", IF(CalibrationLog[[#This Row],[Image Error]]&lt;G113, "Yes", "No"))</f>
        <v>No</v>
      </c>
    </row>
    <row r="114" spans="1:9" x14ac:dyDescent="0.25">
      <c r="A114" s="4">
        <v>46235</v>
      </c>
      <c r="B114" s="19" t="s">
        <v>17</v>
      </c>
      <c r="C114" s="5">
        <v>2352</v>
      </c>
      <c r="D114" s="16">
        <v>0.47246100000000002</v>
      </c>
      <c r="E114" s="17">
        <v>9.3412599999999998E-2</v>
      </c>
      <c r="F114" s="70">
        <f>_xlfn.XLOOKUP(CalibrationLog[[#This Row],[Date]], Daily!C:C, Daily!J:J, "n/a")</f>
        <v>0.55296411111111099</v>
      </c>
      <c r="G114" s="71">
        <f>_xlfn.XLOOKUP(CalibrationLog[[#This Row],[Date]], Daily!C:C, Daily!M:M, "n/a")</f>
        <v>0.12669717222222227</v>
      </c>
      <c r="H114" s="72" t="str">
        <f>IF(CalibrationLog[[#This Row],[Date]]="", "", IF(CalibrationLog[[#This Row],[World Error]]&lt;CalibrationLog[[#This Row],[World Error (Avg.)]], "Yes", "No"))</f>
        <v>Yes</v>
      </c>
      <c r="I114" s="73" t="str">
        <f>IF(CalibrationLog[[#This Row],[Date]]="", "", IF(CalibrationLog[[#This Row],[Image Error]]&lt;G114, "Yes", "No"))</f>
        <v>Yes</v>
      </c>
    </row>
    <row r="115" spans="1:9" x14ac:dyDescent="0.25">
      <c r="A115" s="4">
        <v>46235</v>
      </c>
      <c r="B115" s="19" t="s">
        <v>18</v>
      </c>
      <c r="C115" s="5">
        <v>2814</v>
      </c>
      <c r="D115" s="16">
        <v>0.38531199999999999</v>
      </c>
      <c r="E115" s="17">
        <v>9.1877600000000004E-2</v>
      </c>
      <c r="F115" s="70">
        <f>_xlfn.XLOOKUP(CalibrationLog[[#This Row],[Date]], Daily!C:C, Daily!J:J, "n/a")</f>
        <v>0.55296411111111099</v>
      </c>
      <c r="G115" s="71">
        <f>_xlfn.XLOOKUP(CalibrationLog[[#This Row],[Date]], Daily!C:C, Daily!M:M, "n/a")</f>
        <v>0.12669717222222227</v>
      </c>
      <c r="H115" s="72" t="str">
        <f>IF(CalibrationLog[[#This Row],[Date]]="", "", IF(CalibrationLog[[#This Row],[World Error]]&lt;CalibrationLog[[#This Row],[World Error (Avg.)]], "Yes", "No"))</f>
        <v>Yes</v>
      </c>
      <c r="I115" s="73" t="str">
        <f>IF(CalibrationLog[[#This Row],[Date]]="", "", IF(CalibrationLog[[#This Row],[Image Error]]&lt;G115, "Yes", "No"))</f>
        <v>Yes</v>
      </c>
    </row>
    <row r="116" spans="1:9" x14ac:dyDescent="0.25">
      <c r="A116" s="4">
        <v>46235</v>
      </c>
      <c r="B116" s="19" t="s">
        <v>19</v>
      </c>
      <c r="C116" s="5">
        <v>2708</v>
      </c>
      <c r="D116" s="16">
        <v>1.47159</v>
      </c>
      <c r="E116" s="17">
        <v>0.31046400000000002</v>
      </c>
      <c r="F116" s="70">
        <f>_xlfn.XLOOKUP(CalibrationLog[[#This Row],[Date]], Daily!C:C, Daily!J:J, "n/a")</f>
        <v>0.55296411111111099</v>
      </c>
      <c r="G116" s="71">
        <f>_xlfn.XLOOKUP(CalibrationLog[[#This Row],[Date]], Daily!C:C, Daily!M:M, "n/a")</f>
        <v>0.12669717222222227</v>
      </c>
      <c r="H116" s="72" t="str">
        <f>IF(CalibrationLog[[#This Row],[Date]]="", "", IF(CalibrationLog[[#This Row],[World Error]]&lt;CalibrationLog[[#This Row],[World Error (Avg.)]], "Yes", "No"))</f>
        <v>No</v>
      </c>
      <c r="I116" s="73" t="str">
        <f>IF(CalibrationLog[[#This Row],[Date]]="", "", IF(CalibrationLog[[#This Row],[Image Error]]&lt;G116, "Yes", "No"))</f>
        <v>No</v>
      </c>
    </row>
    <row r="117" spans="1:9" x14ac:dyDescent="0.25">
      <c r="A117" s="4">
        <v>46235</v>
      </c>
      <c r="B117" s="19" t="s">
        <v>20</v>
      </c>
      <c r="C117" s="5">
        <v>2700</v>
      </c>
      <c r="D117" s="16">
        <v>0.81003099999999995</v>
      </c>
      <c r="E117" s="17">
        <v>0.169795</v>
      </c>
      <c r="F117" s="70">
        <f>_xlfn.XLOOKUP(CalibrationLog[[#This Row],[Date]], Daily!C:C, Daily!J:J, "n/a")</f>
        <v>0.55296411111111099</v>
      </c>
      <c r="G117" s="71">
        <f>_xlfn.XLOOKUP(CalibrationLog[[#This Row],[Date]], Daily!C:C, Daily!M:M, "n/a")</f>
        <v>0.12669717222222227</v>
      </c>
      <c r="H117" s="72" t="str">
        <f>IF(CalibrationLog[[#This Row],[Date]]="", "", IF(CalibrationLog[[#This Row],[World Error]]&lt;CalibrationLog[[#This Row],[World Error (Avg.)]], "Yes", "No"))</f>
        <v>No</v>
      </c>
      <c r="I117" s="73" t="str">
        <f>IF(CalibrationLog[[#This Row],[Date]]="", "", IF(CalibrationLog[[#This Row],[Image Error]]&lt;G117, "Yes", "No"))</f>
        <v>No</v>
      </c>
    </row>
    <row r="118" spans="1:9" x14ac:dyDescent="0.25">
      <c r="A118" s="4">
        <v>46235</v>
      </c>
      <c r="B118" s="19" t="s">
        <v>44</v>
      </c>
      <c r="C118" s="5">
        <v>1503</v>
      </c>
      <c r="D118" s="16">
        <v>0.204627</v>
      </c>
      <c r="E118" s="17">
        <v>6.2046299999999999E-2</v>
      </c>
      <c r="F118" s="70">
        <f>_xlfn.XLOOKUP(CalibrationLog[[#This Row],[Date]], Daily!C:C, Daily!J:J, "n/a")</f>
        <v>0.55296411111111099</v>
      </c>
      <c r="G118" s="71">
        <f>_xlfn.XLOOKUP(CalibrationLog[[#This Row],[Date]], Daily!C:C, Daily!M:M, "n/a")</f>
        <v>0.12669717222222227</v>
      </c>
      <c r="H118" s="72" t="str">
        <f>IF(CalibrationLog[[#This Row],[Date]]="", "", IF(CalibrationLog[[#This Row],[World Error]]&lt;CalibrationLog[[#This Row],[World Error (Avg.)]], "Yes", "No"))</f>
        <v>Yes</v>
      </c>
      <c r="I118" s="73" t="str">
        <f>IF(CalibrationLog[[#This Row],[Date]]="", "", IF(CalibrationLog[[#This Row],[Image Error]]&lt;G118, "Yes", "No"))</f>
        <v>Yes</v>
      </c>
    </row>
    <row r="119" spans="1:9" x14ac:dyDescent="0.25">
      <c r="A119" s="4">
        <v>46235</v>
      </c>
      <c r="B119" s="19" t="s">
        <v>21</v>
      </c>
      <c r="C119" s="5">
        <v>3742</v>
      </c>
      <c r="D119" s="16">
        <v>1.2650600000000001</v>
      </c>
      <c r="E119" s="17">
        <v>0.246172</v>
      </c>
      <c r="F119" s="70">
        <f>_xlfn.XLOOKUP(CalibrationLog[[#This Row],[Date]], Daily!C:C, Daily!J:J, "n/a")</f>
        <v>0.55296411111111099</v>
      </c>
      <c r="G119" s="71">
        <f>_xlfn.XLOOKUP(CalibrationLog[[#This Row],[Date]], Daily!C:C, Daily!M:M, "n/a")</f>
        <v>0.12669717222222227</v>
      </c>
      <c r="H119" s="72" t="str">
        <f>IF(CalibrationLog[[#This Row],[Date]]="", "", IF(CalibrationLog[[#This Row],[World Error]]&lt;CalibrationLog[[#This Row],[World Error (Avg.)]], "Yes", "No"))</f>
        <v>No</v>
      </c>
      <c r="I119" s="73" t="str">
        <f>IF(CalibrationLog[[#This Row],[Date]]="", "", IF(CalibrationLog[[#This Row],[Image Error]]&lt;G119, "Yes", "No"))</f>
        <v>No</v>
      </c>
    </row>
    <row r="120" spans="1:9" x14ac:dyDescent="0.25">
      <c r="A120" s="4">
        <v>46235</v>
      </c>
      <c r="B120" s="19" t="s">
        <v>22</v>
      </c>
      <c r="C120" s="5">
        <v>2339</v>
      </c>
      <c r="D120" s="16">
        <v>0.37946099999999999</v>
      </c>
      <c r="E120" s="17">
        <v>0.10304000000000001</v>
      </c>
      <c r="F120" s="70">
        <f>_xlfn.XLOOKUP(CalibrationLog[[#This Row],[Date]], Daily!C:C, Daily!J:J, "n/a")</f>
        <v>0.55296411111111099</v>
      </c>
      <c r="G120" s="71">
        <f>_xlfn.XLOOKUP(CalibrationLog[[#This Row],[Date]], Daily!C:C, Daily!M:M, "n/a")</f>
        <v>0.12669717222222227</v>
      </c>
      <c r="H120" s="72" t="str">
        <f>IF(CalibrationLog[[#This Row],[Date]]="", "", IF(CalibrationLog[[#This Row],[World Error]]&lt;CalibrationLog[[#This Row],[World Error (Avg.)]], "Yes", "No"))</f>
        <v>Yes</v>
      </c>
      <c r="I120" s="73" t="str">
        <f>IF(CalibrationLog[[#This Row],[Date]]="", "", IF(CalibrationLog[[#This Row],[Image Error]]&lt;G120, "Yes", "No"))</f>
        <v>Yes</v>
      </c>
    </row>
    <row r="121" spans="1:9" x14ac:dyDescent="0.25">
      <c r="A121" s="4">
        <v>46235</v>
      </c>
      <c r="B121" s="19" t="s">
        <v>23</v>
      </c>
      <c r="C121" s="5">
        <v>1576</v>
      </c>
      <c r="D121" s="16">
        <v>0.21701799999999999</v>
      </c>
      <c r="E121" s="17">
        <v>7.1269700000000005E-2</v>
      </c>
      <c r="F121" s="70">
        <f>_xlfn.XLOOKUP(CalibrationLog[[#This Row],[Date]], Daily!C:C, Daily!J:J, "n/a")</f>
        <v>0.55296411111111099</v>
      </c>
      <c r="G121" s="71">
        <f>_xlfn.XLOOKUP(CalibrationLog[[#This Row],[Date]], Daily!C:C, Daily!M:M, "n/a")</f>
        <v>0.12669717222222227</v>
      </c>
      <c r="H121" s="72" t="str">
        <f>IF(CalibrationLog[[#This Row],[Date]]="", "", IF(CalibrationLog[[#This Row],[World Error]]&lt;CalibrationLog[[#This Row],[World Error (Avg.)]], "Yes", "No"))</f>
        <v>Yes</v>
      </c>
      <c r="I121" s="73" t="str">
        <f>IF(CalibrationLog[[#This Row],[Date]]="", "", IF(CalibrationLog[[#This Row],[Image Error]]&lt;G121, "Yes", "No"))</f>
        <v>Yes</v>
      </c>
    </row>
    <row r="122" spans="1:9" x14ac:dyDescent="0.25">
      <c r="A122" s="4">
        <v>46235</v>
      </c>
      <c r="B122" s="19" t="s">
        <v>24</v>
      </c>
      <c r="C122" s="5">
        <v>2915</v>
      </c>
      <c r="D122" s="16">
        <v>0.22855900000000001</v>
      </c>
      <c r="E122" s="17">
        <v>7.0344799999999999E-2</v>
      </c>
      <c r="F122" s="70">
        <f>_xlfn.XLOOKUP(CalibrationLog[[#This Row],[Date]], Daily!C:C, Daily!J:J, "n/a")</f>
        <v>0.55296411111111099</v>
      </c>
      <c r="G122" s="71">
        <f>_xlfn.XLOOKUP(CalibrationLog[[#This Row],[Date]], Daily!C:C, Daily!M:M, "n/a")</f>
        <v>0.12669717222222227</v>
      </c>
      <c r="H122" s="72" t="str">
        <f>IF(CalibrationLog[[#This Row],[Date]]="", "", IF(CalibrationLog[[#This Row],[World Error]]&lt;CalibrationLog[[#This Row],[World Error (Avg.)]], "Yes", "No"))</f>
        <v>Yes</v>
      </c>
      <c r="I122" s="73" t="str">
        <f>IF(CalibrationLog[[#This Row],[Date]]="", "", IF(CalibrationLog[[#This Row],[Image Error]]&lt;G122, "Yes", "No"))</f>
        <v>Yes</v>
      </c>
    </row>
    <row r="123" spans="1:9" x14ac:dyDescent="0.25">
      <c r="A123" s="4">
        <v>46235</v>
      </c>
      <c r="B123" s="19" t="s">
        <v>25</v>
      </c>
      <c r="C123" s="5">
        <v>1546</v>
      </c>
      <c r="D123" s="16">
        <v>0.228106</v>
      </c>
      <c r="E123" s="17">
        <v>5.4853300000000001E-2</v>
      </c>
      <c r="F123" s="70">
        <f>_xlfn.XLOOKUP(CalibrationLog[[#This Row],[Date]], Daily!C:C, Daily!J:J, "n/a")</f>
        <v>0.55296411111111099</v>
      </c>
      <c r="G123" s="71">
        <f>_xlfn.XLOOKUP(CalibrationLog[[#This Row],[Date]], Daily!C:C, Daily!M:M, "n/a")</f>
        <v>0.12669717222222227</v>
      </c>
      <c r="H123" s="72" t="str">
        <f>IF(CalibrationLog[[#This Row],[Date]]="", "", IF(CalibrationLog[[#This Row],[World Error]]&lt;CalibrationLog[[#This Row],[World Error (Avg.)]], "Yes", "No"))</f>
        <v>Yes</v>
      </c>
      <c r="I123" s="73" t="str">
        <f>IF(CalibrationLog[[#This Row],[Date]]="", "", IF(CalibrationLog[[#This Row],[Image Error]]&lt;G123, "Yes", "No"))</f>
        <v>Yes</v>
      </c>
    </row>
    <row r="124" spans="1:9" x14ac:dyDescent="0.25">
      <c r="A124" s="4">
        <v>46235</v>
      </c>
      <c r="B124" s="19" t="s">
        <v>26</v>
      </c>
      <c r="C124" s="5">
        <v>2440</v>
      </c>
      <c r="D124" s="16">
        <v>0.24538699999999999</v>
      </c>
      <c r="E124" s="17">
        <v>7.8953300000000004E-2</v>
      </c>
      <c r="F124" s="70">
        <f>_xlfn.XLOOKUP(CalibrationLog[[#This Row],[Date]], Daily!C:C, Daily!J:J, "n/a")</f>
        <v>0.55296411111111099</v>
      </c>
      <c r="G124" s="71">
        <f>_xlfn.XLOOKUP(CalibrationLog[[#This Row],[Date]], Daily!C:C, Daily!M:M, "n/a")</f>
        <v>0.12669717222222227</v>
      </c>
      <c r="H124" s="72" t="str">
        <f>IF(CalibrationLog[[#This Row],[Date]]="", "", IF(CalibrationLog[[#This Row],[World Error]]&lt;CalibrationLog[[#This Row],[World Error (Avg.)]], "Yes", "No"))</f>
        <v>Yes</v>
      </c>
      <c r="I124" s="73" t="str">
        <f>IF(CalibrationLog[[#This Row],[Date]]="", "", IF(CalibrationLog[[#This Row],[Image Error]]&lt;G124, "Yes", "No"))</f>
        <v>Yes</v>
      </c>
    </row>
    <row r="125" spans="1:9" x14ac:dyDescent="0.25">
      <c r="A125" s="4">
        <v>46235</v>
      </c>
      <c r="B125" s="19" t="s">
        <v>27</v>
      </c>
      <c r="C125" s="5">
        <v>1812</v>
      </c>
      <c r="D125" s="16">
        <v>0.716615</v>
      </c>
      <c r="E125" s="17">
        <v>0.16242100000000001</v>
      </c>
      <c r="F125" s="70">
        <f>_xlfn.XLOOKUP(CalibrationLog[[#This Row],[Date]], Daily!C:C, Daily!J:J, "n/a")</f>
        <v>0.55296411111111099</v>
      </c>
      <c r="G125" s="71">
        <f>_xlfn.XLOOKUP(CalibrationLog[[#This Row],[Date]], Daily!C:C, Daily!M:M, "n/a")</f>
        <v>0.12669717222222227</v>
      </c>
      <c r="H125" s="72" t="str">
        <f>IF(CalibrationLog[[#This Row],[Date]]="", "", IF(CalibrationLog[[#This Row],[World Error]]&lt;CalibrationLog[[#This Row],[World Error (Avg.)]], "Yes", "No"))</f>
        <v>No</v>
      </c>
      <c r="I125" s="73" t="str">
        <f>IF(CalibrationLog[[#This Row],[Date]]="", "", IF(CalibrationLog[[#This Row],[Image Error]]&lt;G125, "Yes", "No"))</f>
        <v>No</v>
      </c>
    </row>
    <row r="126" spans="1:9" x14ac:dyDescent="0.25">
      <c r="A126" s="4">
        <v>46235</v>
      </c>
      <c r="B126" s="19" t="s">
        <v>28</v>
      </c>
      <c r="C126" s="5">
        <v>1530</v>
      </c>
      <c r="D126" s="16">
        <v>0.38388800000000001</v>
      </c>
      <c r="E126" s="17">
        <v>8.6132899999999998E-2</v>
      </c>
      <c r="F126" s="70">
        <f>_xlfn.XLOOKUP(CalibrationLog[[#This Row],[Date]], Daily!C:C, Daily!J:J, "n/a")</f>
        <v>0.55296411111111099</v>
      </c>
      <c r="G126" s="71">
        <f>_xlfn.XLOOKUP(CalibrationLog[[#This Row],[Date]], Daily!C:C, Daily!M:M, "n/a")</f>
        <v>0.12669717222222227</v>
      </c>
      <c r="H126" s="72" t="str">
        <f>IF(CalibrationLog[[#This Row],[Date]]="", "", IF(CalibrationLog[[#This Row],[World Error]]&lt;CalibrationLog[[#This Row],[World Error (Avg.)]], "Yes", "No"))</f>
        <v>Yes</v>
      </c>
      <c r="I126" s="73" t="str">
        <f>IF(CalibrationLog[[#This Row],[Date]]="", "", IF(CalibrationLog[[#This Row],[Image Error]]&lt;G126, "Yes", "No"))</f>
        <v>Yes</v>
      </c>
    </row>
    <row r="127" spans="1:9" x14ac:dyDescent="0.25">
      <c r="A127" s="4">
        <v>46235</v>
      </c>
      <c r="B127" s="19" t="s">
        <v>29</v>
      </c>
      <c r="C127" s="5">
        <v>2305</v>
      </c>
      <c r="D127" s="16">
        <v>1.05867</v>
      </c>
      <c r="E127" s="17">
        <v>0.22051299999999999</v>
      </c>
      <c r="F127" s="70">
        <f>_xlfn.XLOOKUP(CalibrationLog[[#This Row],[Date]], Daily!C:C, Daily!J:J, "n/a")</f>
        <v>0.55296411111111099</v>
      </c>
      <c r="G127" s="71">
        <f>_xlfn.XLOOKUP(CalibrationLog[[#This Row],[Date]], Daily!C:C, Daily!M:M, "n/a")</f>
        <v>0.12669717222222227</v>
      </c>
      <c r="H127" s="72" t="str">
        <f>IF(CalibrationLog[[#This Row],[Date]]="", "", IF(CalibrationLog[[#This Row],[World Error]]&lt;CalibrationLog[[#This Row],[World Error (Avg.)]], "Yes", "No"))</f>
        <v>No</v>
      </c>
      <c r="I127" s="73" t="str">
        <f>IF(CalibrationLog[[#This Row],[Date]]="", "", IF(CalibrationLog[[#This Row],[Image Error]]&lt;G127, "Yes", "No"))</f>
        <v>No</v>
      </c>
    </row>
    <row r="128" spans="1:9" x14ac:dyDescent="0.25">
      <c r="A128" s="4">
        <v>46235</v>
      </c>
      <c r="B128" s="19" t="s">
        <v>30</v>
      </c>
      <c r="C128" s="5">
        <v>2080</v>
      </c>
      <c r="D128" s="16">
        <v>0.47212599999999999</v>
      </c>
      <c r="E128" s="17">
        <v>9.48576E-2</v>
      </c>
      <c r="F128" s="70">
        <f>_xlfn.XLOOKUP(CalibrationLog[[#This Row],[Date]], Daily!C:C, Daily!J:J, "n/a")</f>
        <v>0.55296411111111099</v>
      </c>
      <c r="G128" s="71">
        <f>_xlfn.XLOOKUP(CalibrationLog[[#This Row],[Date]], Daily!C:C, Daily!M:M, "n/a")</f>
        <v>0.12669717222222227</v>
      </c>
      <c r="H128" s="72" t="str">
        <f>IF(CalibrationLog[[#This Row],[Date]]="", "", IF(CalibrationLog[[#This Row],[World Error]]&lt;CalibrationLog[[#This Row],[World Error (Avg.)]], "Yes", "No"))</f>
        <v>Yes</v>
      </c>
      <c r="I128" s="73" t="str">
        <f>IF(CalibrationLog[[#This Row],[Date]]="", "", IF(CalibrationLog[[#This Row],[Image Error]]&lt;G128, "Yes", "No"))</f>
        <v>Yes</v>
      </c>
    </row>
    <row r="129" spans="1:9" x14ac:dyDescent="0.25">
      <c r="A129" s="4">
        <v>46237</v>
      </c>
      <c r="B129" s="19" t="s">
        <v>14</v>
      </c>
      <c r="C129" s="5">
        <v>2303</v>
      </c>
      <c r="D129" s="16">
        <v>0.18865100000000001</v>
      </c>
      <c r="E129" s="17">
        <v>5.7477100000000003E-2</v>
      </c>
      <c r="F129" s="70">
        <f>_xlfn.XLOOKUP(CalibrationLog[[#This Row],[Date]], Daily!C:C, Daily!J:J, "n/a")</f>
        <v>0.3760028333333334</v>
      </c>
      <c r="G129" s="71">
        <f>_xlfn.XLOOKUP(CalibrationLog[[#This Row],[Date]], Daily!C:C, Daily!M:M, "n/a")</f>
        <v>9.0346500000000052E-2</v>
      </c>
      <c r="H129" s="72" t="str">
        <f>IF(CalibrationLog[[#This Row],[Date]]="", "", IF(CalibrationLog[[#This Row],[World Error]]&lt;CalibrationLog[[#This Row],[World Error (Avg.)]], "Yes", "No"))</f>
        <v>Yes</v>
      </c>
      <c r="I129" s="73" t="str">
        <f>IF(CalibrationLog[[#This Row],[Date]]="", "", IF(CalibrationLog[[#This Row],[Image Error]]&lt;G129, "Yes", "No"))</f>
        <v>Yes</v>
      </c>
    </row>
    <row r="130" spans="1:9" x14ac:dyDescent="0.25">
      <c r="A130" s="4">
        <v>46237</v>
      </c>
      <c r="B130" s="19" t="s">
        <v>15</v>
      </c>
      <c r="C130" s="5">
        <v>2379</v>
      </c>
      <c r="D130" s="16">
        <v>0.37706499999999998</v>
      </c>
      <c r="E130" s="17">
        <v>0.10617699999999999</v>
      </c>
      <c r="F130" s="70">
        <f>_xlfn.XLOOKUP(CalibrationLog[[#This Row],[Date]], Daily!C:C, Daily!J:J, "n/a")</f>
        <v>0.3760028333333334</v>
      </c>
      <c r="G130" s="71">
        <f>_xlfn.XLOOKUP(CalibrationLog[[#This Row],[Date]], Daily!C:C, Daily!M:M, "n/a")</f>
        <v>9.0346500000000052E-2</v>
      </c>
      <c r="H130" s="72" t="str">
        <f>IF(CalibrationLog[[#This Row],[Date]]="", "", IF(CalibrationLog[[#This Row],[World Error]]&lt;CalibrationLog[[#This Row],[World Error (Avg.)]], "Yes", "No"))</f>
        <v>No</v>
      </c>
      <c r="I130" s="73" t="str">
        <f>IF(CalibrationLog[[#This Row],[Date]]="", "", IF(CalibrationLog[[#This Row],[Image Error]]&lt;G130, "Yes", "No"))</f>
        <v>No</v>
      </c>
    </row>
    <row r="131" spans="1:9" x14ac:dyDescent="0.25">
      <c r="A131" s="4">
        <v>46237</v>
      </c>
      <c r="B131" s="19" t="s">
        <v>16</v>
      </c>
      <c r="C131" s="5">
        <v>2183</v>
      </c>
      <c r="D131" s="16">
        <v>0.47255399999999997</v>
      </c>
      <c r="E131" s="17">
        <v>0.118227</v>
      </c>
      <c r="F131" s="70">
        <f>_xlfn.XLOOKUP(CalibrationLog[[#This Row],[Date]], Daily!C:C, Daily!J:J, "n/a")</f>
        <v>0.3760028333333334</v>
      </c>
      <c r="G131" s="71">
        <f>_xlfn.XLOOKUP(CalibrationLog[[#This Row],[Date]], Daily!C:C, Daily!M:M, "n/a")</f>
        <v>9.0346500000000052E-2</v>
      </c>
      <c r="H131" s="72" t="str">
        <f>IF(CalibrationLog[[#This Row],[Date]]="", "", IF(CalibrationLog[[#This Row],[World Error]]&lt;CalibrationLog[[#This Row],[World Error (Avg.)]], "Yes", "No"))</f>
        <v>No</v>
      </c>
      <c r="I131" s="73" t="str">
        <f>IF(CalibrationLog[[#This Row],[Date]]="", "", IF(CalibrationLog[[#This Row],[Image Error]]&lt;G131, "Yes", "No"))</f>
        <v>No</v>
      </c>
    </row>
    <row r="132" spans="1:9" x14ac:dyDescent="0.25">
      <c r="A132" s="4">
        <v>46237</v>
      </c>
      <c r="B132" s="19" t="s">
        <v>17</v>
      </c>
      <c r="C132" s="5">
        <v>2342</v>
      </c>
      <c r="D132" s="16">
        <v>0.44384499999999999</v>
      </c>
      <c r="E132" s="17">
        <v>9.0625700000000003E-2</v>
      </c>
      <c r="F132" s="70">
        <f>_xlfn.XLOOKUP(CalibrationLog[[#This Row],[Date]], Daily!C:C, Daily!J:J, "n/a")</f>
        <v>0.3760028333333334</v>
      </c>
      <c r="G132" s="71">
        <f>_xlfn.XLOOKUP(CalibrationLog[[#This Row],[Date]], Daily!C:C, Daily!M:M, "n/a")</f>
        <v>9.0346500000000052E-2</v>
      </c>
      <c r="H132" s="72" t="str">
        <f>IF(CalibrationLog[[#This Row],[Date]]="", "", IF(CalibrationLog[[#This Row],[World Error]]&lt;CalibrationLog[[#This Row],[World Error (Avg.)]], "Yes", "No"))</f>
        <v>No</v>
      </c>
      <c r="I132" s="73" t="str">
        <f>IF(CalibrationLog[[#This Row],[Date]]="", "", IF(CalibrationLog[[#This Row],[Image Error]]&lt;G132, "Yes", "No"))</f>
        <v>No</v>
      </c>
    </row>
    <row r="133" spans="1:9" x14ac:dyDescent="0.25">
      <c r="A133" s="4">
        <v>46237</v>
      </c>
      <c r="B133" s="19" t="s">
        <v>18</v>
      </c>
      <c r="C133" s="5">
        <v>2076</v>
      </c>
      <c r="D133" s="16">
        <v>0.28808499999999998</v>
      </c>
      <c r="E133" s="17">
        <v>7.16387E-2</v>
      </c>
      <c r="F133" s="70">
        <f>_xlfn.XLOOKUP(CalibrationLog[[#This Row],[Date]], Daily!C:C, Daily!J:J, "n/a")</f>
        <v>0.3760028333333334</v>
      </c>
      <c r="G133" s="71">
        <f>_xlfn.XLOOKUP(CalibrationLog[[#This Row],[Date]], Daily!C:C, Daily!M:M, "n/a")</f>
        <v>9.0346500000000052E-2</v>
      </c>
      <c r="H133" s="72" t="str">
        <f>IF(CalibrationLog[[#This Row],[Date]]="", "", IF(CalibrationLog[[#This Row],[World Error]]&lt;CalibrationLog[[#This Row],[World Error (Avg.)]], "Yes", "No"))</f>
        <v>Yes</v>
      </c>
      <c r="I133" s="73" t="str">
        <f>IF(CalibrationLog[[#This Row],[Date]]="", "", IF(CalibrationLog[[#This Row],[Image Error]]&lt;G133, "Yes", "No"))</f>
        <v>Yes</v>
      </c>
    </row>
    <row r="134" spans="1:9" x14ac:dyDescent="0.25">
      <c r="A134" s="4">
        <v>46237</v>
      </c>
      <c r="B134" s="19" t="s">
        <v>19</v>
      </c>
      <c r="C134" s="5">
        <v>2133</v>
      </c>
      <c r="D134" s="16">
        <v>0.44758999999999999</v>
      </c>
      <c r="E134" s="17">
        <v>9.6034400000000006E-2</v>
      </c>
      <c r="F134" s="70">
        <f>_xlfn.XLOOKUP(CalibrationLog[[#This Row],[Date]], Daily!C:C, Daily!J:J, "n/a")</f>
        <v>0.3760028333333334</v>
      </c>
      <c r="G134" s="71">
        <f>_xlfn.XLOOKUP(CalibrationLog[[#This Row],[Date]], Daily!C:C, Daily!M:M, "n/a")</f>
        <v>9.0346500000000052E-2</v>
      </c>
      <c r="H134" s="72" t="str">
        <f>IF(CalibrationLog[[#This Row],[Date]]="", "", IF(CalibrationLog[[#This Row],[World Error]]&lt;CalibrationLog[[#This Row],[World Error (Avg.)]], "Yes", "No"))</f>
        <v>No</v>
      </c>
      <c r="I134" s="73" t="str">
        <f>IF(CalibrationLog[[#This Row],[Date]]="", "", IF(CalibrationLog[[#This Row],[Image Error]]&lt;G134, "Yes", "No"))</f>
        <v>No</v>
      </c>
    </row>
    <row r="135" spans="1:9" x14ac:dyDescent="0.25">
      <c r="A135" s="4">
        <v>46237</v>
      </c>
      <c r="B135" s="19" t="s">
        <v>20</v>
      </c>
      <c r="C135" s="5">
        <v>2387</v>
      </c>
      <c r="D135" s="16">
        <v>0.48196299999999997</v>
      </c>
      <c r="E135" s="17">
        <v>0.10152</v>
      </c>
      <c r="F135" s="70">
        <f>_xlfn.XLOOKUP(CalibrationLog[[#This Row],[Date]], Daily!C:C, Daily!J:J, "n/a")</f>
        <v>0.3760028333333334</v>
      </c>
      <c r="G135" s="71">
        <f>_xlfn.XLOOKUP(CalibrationLog[[#This Row],[Date]], Daily!C:C, Daily!M:M, "n/a")</f>
        <v>9.0346500000000052E-2</v>
      </c>
      <c r="H135" s="72" t="str">
        <f>IF(CalibrationLog[[#This Row],[Date]]="", "", IF(CalibrationLog[[#This Row],[World Error]]&lt;CalibrationLog[[#This Row],[World Error (Avg.)]], "Yes", "No"))</f>
        <v>No</v>
      </c>
      <c r="I135" s="73" t="str">
        <f>IF(CalibrationLog[[#This Row],[Date]]="", "", IF(CalibrationLog[[#This Row],[Image Error]]&lt;G135, "Yes", "No"))</f>
        <v>No</v>
      </c>
    </row>
    <row r="136" spans="1:9" x14ac:dyDescent="0.25">
      <c r="A136" s="4">
        <v>46237</v>
      </c>
      <c r="B136" s="19" t="s">
        <v>44</v>
      </c>
      <c r="C136" s="5">
        <v>1147</v>
      </c>
      <c r="D136" s="16">
        <v>0.29599300000000001</v>
      </c>
      <c r="E136" s="17">
        <v>8.7792800000000004E-2</v>
      </c>
      <c r="F136" s="70">
        <f>_xlfn.XLOOKUP(CalibrationLog[[#This Row],[Date]], Daily!C:C, Daily!J:J, "n/a")</f>
        <v>0.3760028333333334</v>
      </c>
      <c r="G136" s="71">
        <f>_xlfn.XLOOKUP(CalibrationLog[[#This Row],[Date]], Daily!C:C, Daily!M:M, "n/a")</f>
        <v>9.0346500000000052E-2</v>
      </c>
      <c r="H136" s="72" t="str">
        <f>IF(CalibrationLog[[#This Row],[Date]]="", "", IF(CalibrationLog[[#This Row],[World Error]]&lt;CalibrationLog[[#This Row],[World Error (Avg.)]], "Yes", "No"))</f>
        <v>Yes</v>
      </c>
      <c r="I136" s="73" t="str">
        <f>IF(CalibrationLog[[#This Row],[Date]]="", "", IF(CalibrationLog[[#This Row],[Image Error]]&lt;G136, "Yes", "No"))</f>
        <v>Yes</v>
      </c>
    </row>
    <row r="137" spans="1:9" x14ac:dyDescent="0.25">
      <c r="A137" s="4">
        <v>46237</v>
      </c>
      <c r="B137" s="19" t="s">
        <v>21</v>
      </c>
      <c r="C137" s="5">
        <v>3654</v>
      </c>
      <c r="D137" s="16">
        <v>0.40145799999999998</v>
      </c>
      <c r="E137" s="17">
        <v>7.6540499999999997E-2</v>
      </c>
      <c r="F137" s="70">
        <f>_xlfn.XLOOKUP(CalibrationLog[[#This Row],[Date]], Daily!C:C, Daily!J:J, "n/a")</f>
        <v>0.3760028333333334</v>
      </c>
      <c r="G137" s="71">
        <f>_xlfn.XLOOKUP(CalibrationLog[[#This Row],[Date]], Daily!C:C, Daily!M:M, "n/a")</f>
        <v>9.0346500000000052E-2</v>
      </c>
      <c r="H137" s="72" t="str">
        <f>IF(CalibrationLog[[#This Row],[Date]]="", "", IF(CalibrationLog[[#This Row],[World Error]]&lt;CalibrationLog[[#This Row],[World Error (Avg.)]], "Yes", "No"))</f>
        <v>No</v>
      </c>
      <c r="I137" s="73" t="str">
        <f>IF(CalibrationLog[[#This Row],[Date]]="", "", IF(CalibrationLog[[#This Row],[Image Error]]&lt;G137, "Yes", "No"))</f>
        <v>Yes</v>
      </c>
    </row>
    <row r="138" spans="1:9" x14ac:dyDescent="0.25">
      <c r="A138" s="4">
        <v>46237</v>
      </c>
      <c r="B138" s="19" t="s">
        <v>22</v>
      </c>
      <c r="C138" s="5">
        <v>2570</v>
      </c>
      <c r="D138" s="16">
        <v>0.32884799999999997</v>
      </c>
      <c r="E138" s="17">
        <v>8.3027799999999999E-2</v>
      </c>
      <c r="F138" s="70">
        <f>_xlfn.XLOOKUP(CalibrationLog[[#This Row],[Date]], Daily!C:C, Daily!J:J, "n/a")</f>
        <v>0.3760028333333334</v>
      </c>
      <c r="G138" s="71">
        <f>_xlfn.XLOOKUP(CalibrationLog[[#This Row],[Date]], Daily!C:C, Daily!M:M, "n/a")</f>
        <v>9.0346500000000052E-2</v>
      </c>
      <c r="H138" s="72" t="str">
        <f>IF(CalibrationLog[[#This Row],[Date]]="", "", IF(CalibrationLog[[#This Row],[World Error]]&lt;CalibrationLog[[#This Row],[World Error (Avg.)]], "Yes", "No"))</f>
        <v>Yes</v>
      </c>
      <c r="I138" s="73" t="str">
        <f>IF(CalibrationLog[[#This Row],[Date]]="", "", IF(CalibrationLog[[#This Row],[Image Error]]&lt;G138, "Yes", "No"))</f>
        <v>Yes</v>
      </c>
    </row>
    <row r="139" spans="1:9" x14ac:dyDescent="0.25">
      <c r="A139" s="4">
        <v>46237</v>
      </c>
      <c r="B139" s="19" t="s">
        <v>23</v>
      </c>
      <c r="C139" s="5">
        <v>1090</v>
      </c>
      <c r="D139" s="16">
        <v>0.27263700000000002</v>
      </c>
      <c r="E139" s="17">
        <v>9.6549800000000005E-2</v>
      </c>
      <c r="F139" s="70">
        <f>_xlfn.XLOOKUP(CalibrationLog[[#This Row],[Date]], Daily!C:C, Daily!J:J, "n/a")</f>
        <v>0.3760028333333334</v>
      </c>
      <c r="G139" s="71">
        <f>_xlfn.XLOOKUP(CalibrationLog[[#This Row],[Date]], Daily!C:C, Daily!M:M, "n/a")</f>
        <v>9.0346500000000052E-2</v>
      </c>
      <c r="H139" s="72" t="str">
        <f>IF(CalibrationLog[[#This Row],[Date]]="", "", IF(CalibrationLog[[#This Row],[World Error]]&lt;CalibrationLog[[#This Row],[World Error (Avg.)]], "Yes", "No"))</f>
        <v>Yes</v>
      </c>
      <c r="I139" s="73" t="str">
        <f>IF(CalibrationLog[[#This Row],[Date]]="", "", IF(CalibrationLog[[#This Row],[Image Error]]&lt;G139, "Yes", "No"))</f>
        <v>No</v>
      </c>
    </row>
    <row r="140" spans="1:9" x14ac:dyDescent="0.25">
      <c r="A140" s="4">
        <v>46237</v>
      </c>
      <c r="B140" s="19" t="s">
        <v>24</v>
      </c>
      <c r="C140" s="5">
        <v>2661</v>
      </c>
      <c r="D140" s="16">
        <v>0.389735</v>
      </c>
      <c r="E140" s="17">
        <v>0.12311800000000001</v>
      </c>
      <c r="F140" s="70">
        <f>_xlfn.XLOOKUP(CalibrationLog[[#This Row],[Date]], Daily!C:C, Daily!J:J, "n/a")</f>
        <v>0.3760028333333334</v>
      </c>
      <c r="G140" s="71">
        <f>_xlfn.XLOOKUP(CalibrationLog[[#This Row],[Date]], Daily!C:C, Daily!M:M, "n/a")</f>
        <v>9.0346500000000052E-2</v>
      </c>
      <c r="H140" s="72" t="str">
        <f>IF(CalibrationLog[[#This Row],[Date]]="", "", IF(CalibrationLog[[#This Row],[World Error]]&lt;CalibrationLog[[#This Row],[World Error (Avg.)]], "Yes", "No"))</f>
        <v>No</v>
      </c>
      <c r="I140" s="73" t="str">
        <f>IF(CalibrationLog[[#This Row],[Date]]="", "", IF(CalibrationLog[[#This Row],[Image Error]]&lt;G140, "Yes", "No"))</f>
        <v>No</v>
      </c>
    </row>
    <row r="141" spans="1:9" x14ac:dyDescent="0.25">
      <c r="A141" s="4">
        <v>46237</v>
      </c>
      <c r="B141" s="19" t="s">
        <v>25</v>
      </c>
      <c r="C141" s="5">
        <v>1004</v>
      </c>
      <c r="D141" s="16">
        <v>0.179206</v>
      </c>
      <c r="E141" s="17">
        <v>4.2684399999999997E-2</v>
      </c>
      <c r="F141" s="70">
        <f>_xlfn.XLOOKUP(CalibrationLog[[#This Row],[Date]], Daily!C:C, Daily!J:J, "n/a")</f>
        <v>0.3760028333333334</v>
      </c>
      <c r="G141" s="71">
        <f>_xlfn.XLOOKUP(CalibrationLog[[#This Row],[Date]], Daily!C:C, Daily!M:M, "n/a")</f>
        <v>9.0346500000000052E-2</v>
      </c>
      <c r="H141" s="72" t="str">
        <f>IF(CalibrationLog[[#This Row],[Date]]="", "", IF(CalibrationLog[[#This Row],[World Error]]&lt;CalibrationLog[[#This Row],[World Error (Avg.)]], "Yes", "No"))</f>
        <v>Yes</v>
      </c>
      <c r="I141" s="73" t="str">
        <f>IF(CalibrationLog[[#This Row],[Date]]="", "", IF(CalibrationLog[[#This Row],[Image Error]]&lt;G141, "Yes", "No"))</f>
        <v>Yes</v>
      </c>
    </row>
    <row r="142" spans="1:9" x14ac:dyDescent="0.25">
      <c r="A142" s="4">
        <v>46237</v>
      </c>
      <c r="B142" s="19" t="s">
        <v>26</v>
      </c>
      <c r="C142" s="5">
        <v>2844</v>
      </c>
      <c r="D142" s="16">
        <v>0.230881</v>
      </c>
      <c r="E142" s="17">
        <v>6.9537399999999999E-2</v>
      </c>
      <c r="F142" s="70">
        <f>_xlfn.XLOOKUP(CalibrationLog[[#This Row],[Date]], Daily!C:C, Daily!J:J, "n/a")</f>
        <v>0.3760028333333334</v>
      </c>
      <c r="G142" s="71">
        <f>_xlfn.XLOOKUP(CalibrationLog[[#This Row],[Date]], Daily!C:C, Daily!M:M, "n/a")</f>
        <v>9.0346500000000052E-2</v>
      </c>
      <c r="H142" s="72" t="str">
        <f>IF(CalibrationLog[[#This Row],[Date]]="", "", IF(CalibrationLog[[#This Row],[World Error]]&lt;CalibrationLog[[#This Row],[World Error (Avg.)]], "Yes", "No"))</f>
        <v>Yes</v>
      </c>
      <c r="I142" s="73" t="str">
        <f>IF(CalibrationLog[[#This Row],[Date]]="", "", IF(CalibrationLog[[#This Row],[Image Error]]&lt;G142, "Yes", "No"))</f>
        <v>Yes</v>
      </c>
    </row>
    <row r="143" spans="1:9" x14ac:dyDescent="0.25">
      <c r="A143" s="4">
        <v>46237</v>
      </c>
      <c r="B143" s="19" t="s">
        <v>27</v>
      </c>
      <c r="C143" s="5">
        <v>2740</v>
      </c>
      <c r="D143" s="16">
        <v>0.37662899999999999</v>
      </c>
      <c r="E143" s="17">
        <v>8.2053500000000001E-2</v>
      </c>
      <c r="F143" s="70">
        <f>_xlfn.XLOOKUP(CalibrationLog[[#This Row],[Date]], Daily!C:C, Daily!J:J, "n/a")</f>
        <v>0.3760028333333334</v>
      </c>
      <c r="G143" s="71">
        <f>_xlfn.XLOOKUP(CalibrationLog[[#This Row],[Date]], Daily!C:C, Daily!M:M, "n/a")</f>
        <v>9.0346500000000052E-2</v>
      </c>
      <c r="H143" s="72" t="str">
        <f>IF(CalibrationLog[[#This Row],[Date]]="", "", IF(CalibrationLog[[#This Row],[World Error]]&lt;CalibrationLog[[#This Row],[World Error (Avg.)]], "Yes", "No"))</f>
        <v>No</v>
      </c>
      <c r="I143" s="73" t="str">
        <f>IF(CalibrationLog[[#This Row],[Date]]="", "", IF(CalibrationLog[[#This Row],[Image Error]]&lt;G143, "Yes", "No"))</f>
        <v>Yes</v>
      </c>
    </row>
    <row r="144" spans="1:9" x14ac:dyDescent="0.25">
      <c r="A144" s="4">
        <v>46237</v>
      </c>
      <c r="B144" s="19" t="s">
        <v>28</v>
      </c>
      <c r="C144" s="5">
        <v>1675</v>
      </c>
      <c r="D144" s="16">
        <v>0.451706</v>
      </c>
      <c r="E144" s="17">
        <v>9.5755999999999994E-2</v>
      </c>
      <c r="F144" s="70">
        <f>_xlfn.XLOOKUP(CalibrationLog[[#This Row],[Date]], Daily!C:C, Daily!J:J, "n/a")</f>
        <v>0.3760028333333334</v>
      </c>
      <c r="G144" s="71">
        <f>_xlfn.XLOOKUP(CalibrationLog[[#This Row],[Date]], Daily!C:C, Daily!M:M, "n/a")</f>
        <v>9.0346500000000052E-2</v>
      </c>
      <c r="H144" s="72" t="str">
        <f>IF(CalibrationLog[[#This Row],[Date]]="", "", IF(CalibrationLog[[#This Row],[World Error]]&lt;CalibrationLog[[#This Row],[World Error (Avg.)]], "Yes", "No"))</f>
        <v>No</v>
      </c>
      <c r="I144" s="73" t="str">
        <f>IF(CalibrationLog[[#This Row],[Date]]="", "", IF(CalibrationLog[[#This Row],[Image Error]]&lt;G144, "Yes", "No"))</f>
        <v>No</v>
      </c>
    </row>
    <row r="145" spans="1:9" x14ac:dyDescent="0.25">
      <c r="A145" s="4">
        <v>46237</v>
      </c>
      <c r="B145" s="19" t="s">
        <v>29</v>
      </c>
      <c r="C145" s="5">
        <v>1654</v>
      </c>
      <c r="D145" s="16">
        <v>0.34387499999999999</v>
      </c>
      <c r="E145" s="17">
        <v>7.5786900000000004E-2</v>
      </c>
      <c r="F145" s="70">
        <f>_xlfn.XLOOKUP(CalibrationLog[[#This Row],[Date]], Daily!C:C, Daily!J:J, "n/a")</f>
        <v>0.3760028333333334</v>
      </c>
      <c r="G145" s="71">
        <f>_xlfn.XLOOKUP(CalibrationLog[[#This Row],[Date]], Daily!C:C, Daily!M:M, "n/a")</f>
        <v>9.0346500000000052E-2</v>
      </c>
      <c r="H145" s="72" t="str">
        <f>IF(CalibrationLog[[#This Row],[Date]]="", "", IF(CalibrationLog[[#This Row],[World Error]]&lt;CalibrationLog[[#This Row],[World Error (Avg.)]], "Yes", "No"))</f>
        <v>Yes</v>
      </c>
      <c r="I145" s="73" t="str">
        <f>IF(CalibrationLog[[#This Row],[Date]]="", "", IF(CalibrationLog[[#This Row],[Image Error]]&lt;G145, "Yes", "No"))</f>
        <v>Yes</v>
      </c>
    </row>
    <row r="146" spans="1:9" x14ac:dyDescent="0.25">
      <c r="A146" s="4">
        <v>46237</v>
      </c>
      <c r="B146" s="19" t="s">
        <v>30</v>
      </c>
      <c r="C146" s="5">
        <v>1257</v>
      </c>
      <c r="D146" s="16">
        <v>0.79732999999999998</v>
      </c>
      <c r="E146" s="17">
        <v>0.15168999999999999</v>
      </c>
      <c r="F146" s="70">
        <f>_xlfn.XLOOKUP(CalibrationLog[[#This Row],[Date]], Daily!C:C, Daily!J:J, "n/a")</f>
        <v>0.3760028333333334</v>
      </c>
      <c r="G146" s="71">
        <f>_xlfn.XLOOKUP(CalibrationLog[[#This Row],[Date]], Daily!C:C, Daily!M:M, "n/a")</f>
        <v>9.0346500000000052E-2</v>
      </c>
      <c r="H146" s="72" t="str">
        <f>IF(CalibrationLog[[#This Row],[Date]]="", "", IF(CalibrationLog[[#This Row],[World Error]]&lt;CalibrationLog[[#This Row],[World Error (Avg.)]], "Yes", "No"))</f>
        <v>No</v>
      </c>
      <c r="I146" s="73" t="str">
        <f>IF(CalibrationLog[[#This Row],[Date]]="", "", IF(CalibrationLog[[#This Row],[Image Error]]&lt;G146, "Yes", "No"))</f>
        <v>No</v>
      </c>
    </row>
    <row r="147" spans="1:9" x14ac:dyDescent="0.25">
      <c r="A147" s="4">
        <v>46238</v>
      </c>
      <c r="B147" s="19" t="s">
        <v>14</v>
      </c>
      <c r="C147" s="5">
        <v>2658</v>
      </c>
      <c r="D147" s="16">
        <v>0.44472400000000001</v>
      </c>
      <c r="E147" s="17">
        <v>0.12504399999999999</v>
      </c>
      <c r="F147" s="70">
        <f>_xlfn.XLOOKUP(CalibrationLog[[#This Row],[Date]], Daily!C:C, Daily!J:J, "n/a")</f>
        <v>0.40401527777777785</v>
      </c>
      <c r="G147" s="71">
        <f>_xlfn.XLOOKUP(CalibrationLog[[#This Row],[Date]], Daily!C:C, Daily!M:M, "n/a")</f>
        <v>9.6629455555555563E-2</v>
      </c>
      <c r="H147" s="72" t="str">
        <f>IF(CalibrationLog[[#This Row],[Date]]="", "", IF(CalibrationLog[[#This Row],[World Error]]&lt;CalibrationLog[[#This Row],[World Error (Avg.)]], "Yes", "No"))</f>
        <v>No</v>
      </c>
      <c r="I147" s="73" t="str">
        <f>IF(CalibrationLog[[#This Row],[Date]]="", "", IF(CalibrationLog[[#This Row],[Image Error]]&lt;G147, "Yes", "No"))</f>
        <v>No</v>
      </c>
    </row>
    <row r="148" spans="1:9" x14ac:dyDescent="0.25">
      <c r="A148" s="4">
        <v>46238</v>
      </c>
      <c r="B148" s="19" t="s">
        <v>15</v>
      </c>
      <c r="C148" s="5">
        <v>2455</v>
      </c>
      <c r="D148" s="16">
        <v>0.42122500000000002</v>
      </c>
      <c r="E148" s="17">
        <v>0.110958</v>
      </c>
      <c r="F148" s="70">
        <f>_xlfn.XLOOKUP(CalibrationLog[[#This Row],[Date]], Daily!C:C, Daily!J:J, "n/a")</f>
        <v>0.40401527777777785</v>
      </c>
      <c r="G148" s="71">
        <f>_xlfn.XLOOKUP(CalibrationLog[[#This Row],[Date]], Daily!C:C, Daily!M:M, "n/a")</f>
        <v>9.6629455555555563E-2</v>
      </c>
      <c r="H148" s="72" t="str">
        <f>IF(CalibrationLog[[#This Row],[Date]]="", "", IF(CalibrationLog[[#This Row],[World Error]]&lt;CalibrationLog[[#This Row],[World Error (Avg.)]], "Yes", "No"))</f>
        <v>No</v>
      </c>
      <c r="I148" s="73" t="str">
        <f>IF(CalibrationLog[[#This Row],[Date]]="", "", IF(CalibrationLog[[#This Row],[Image Error]]&lt;G148, "Yes", "No"))</f>
        <v>No</v>
      </c>
    </row>
    <row r="149" spans="1:9" x14ac:dyDescent="0.25">
      <c r="A149" s="4">
        <v>46238</v>
      </c>
      <c r="B149" s="19" t="s">
        <v>16</v>
      </c>
      <c r="C149" s="5">
        <v>1886</v>
      </c>
      <c r="D149" s="16">
        <v>0.52118500000000001</v>
      </c>
      <c r="E149" s="17">
        <v>0.122268</v>
      </c>
      <c r="F149" s="70">
        <f>_xlfn.XLOOKUP(CalibrationLog[[#This Row],[Date]], Daily!C:C, Daily!J:J, "n/a")</f>
        <v>0.40401527777777785</v>
      </c>
      <c r="G149" s="71">
        <f>_xlfn.XLOOKUP(CalibrationLog[[#This Row],[Date]], Daily!C:C, Daily!M:M, "n/a")</f>
        <v>9.6629455555555563E-2</v>
      </c>
      <c r="H149" s="72" t="str">
        <f>IF(CalibrationLog[[#This Row],[Date]]="", "", IF(CalibrationLog[[#This Row],[World Error]]&lt;CalibrationLog[[#This Row],[World Error (Avg.)]], "Yes", "No"))</f>
        <v>No</v>
      </c>
      <c r="I149" s="73" t="str">
        <f>IF(CalibrationLog[[#This Row],[Date]]="", "", IF(CalibrationLog[[#This Row],[Image Error]]&lt;G149, "Yes", "No"))</f>
        <v>No</v>
      </c>
    </row>
    <row r="150" spans="1:9" x14ac:dyDescent="0.25">
      <c r="A150" s="4">
        <v>46238</v>
      </c>
      <c r="B150" s="19" t="s">
        <v>17</v>
      </c>
      <c r="C150" s="5">
        <v>2407</v>
      </c>
      <c r="D150" s="16">
        <v>0.57407399999999997</v>
      </c>
      <c r="E150" s="17">
        <v>0.113594</v>
      </c>
      <c r="F150" s="70">
        <f>_xlfn.XLOOKUP(CalibrationLog[[#This Row],[Date]], Daily!C:C, Daily!J:J, "n/a")</f>
        <v>0.40401527777777785</v>
      </c>
      <c r="G150" s="71">
        <f>_xlfn.XLOOKUP(CalibrationLog[[#This Row],[Date]], Daily!C:C, Daily!M:M, "n/a")</f>
        <v>9.6629455555555563E-2</v>
      </c>
      <c r="H150" s="72" t="str">
        <f>IF(CalibrationLog[[#This Row],[Date]]="", "", IF(CalibrationLog[[#This Row],[World Error]]&lt;CalibrationLog[[#This Row],[World Error (Avg.)]], "Yes", "No"))</f>
        <v>No</v>
      </c>
      <c r="I150" s="73" t="str">
        <f>IF(CalibrationLog[[#This Row],[Date]]="", "", IF(CalibrationLog[[#This Row],[Image Error]]&lt;G150, "Yes", "No"))</f>
        <v>No</v>
      </c>
    </row>
    <row r="151" spans="1:9" x14ac:dyDescent="0.25">
      <c r="A151" s="4">
        <v>46238</v>
      </c>
      <c r="B151" s="19" t="s">
        <v>18</v>
      </c>
      <c r="C151" s="5">
        <v>2194</v>
      </c>
      <c r="D151" s="16">
        <v>0.301788</v>
      </c>
      <c r="E151" s="17">
        <v>7.17666E-2</v>
      </c>
      <c r="F151" s="70">
        <f>_xlfn.XLOOKUP(CalibrationLog[[#This Row],[Date]], Daily!C:C, Daily!J:J, "n/a")</f>
        <v>0.40401527777777785</v>
      </c>
      <c r="G151" s="71">
        <f>_xlfn.XLOOKUP(CalibrationLog[[#This Row],[Date]], Daily!C:C, Daily!M:M, "n/a")</f>
        <v>9.6629455555555563E-2</v>
      </c>
      <c r="H151" s="72" t="str">
        <f>IF(CalibrationLog[[#This Row],[Date]]="", "", IF(CalibrationLog[[#This Row],[World Error]]&lt;CalibrationLog[[#This Row],[World Error (Avg.)]], "Yes", "No"))</f>
        <v>Yes</v>
      </c>
      <c r="I151" s="73" t="str">
        <f>IF(CalibrationLog[[#This Row],[Date]]="", "", IF(CalibrationLog[[#This Row],[Image Error]]&lt;G151, "Yes", "No"))</f>
        <v>Yes</v>
      </c>
    </row>
    <row r="152" spans="1:9" x14ac:dyDescent="0.25">
      <c r="A152" s="4">
        <v>46238</v>
      </c>
      <c r="B152" s="19" t="s">
        <v>19</v>
      </c>
      <c r="C152" s="5">
        <v>2273</v>
      </c>
      <c r="D152" s="16">
        <v>0.49380499999999999</v>
      </c>
      <c r="E152" s="17">
        <v>0.103851</v>
      </c>
      <c r="F152" s="70">
        <f>_xlfn.XLOOKUP(CalibrationLog[[#This Row],[Date]], Daily!C:C, Daily!J:J, "n/a")</f>
        <v>0.40401527777777785</v>
      </c>
      <c r="G152" s="71">
        <f>_xlfn.XLOOKUP(CalibrationLog[[#This Row],[Date]], Daily!C:C, Daily!M:M, "n/a")</f>
        <v>9.6629455555555563E-2</v>
      </c>
      <c r="H152" s="72" t="str">
        <f>IF(CalibrationLog[[#This Row],[Date]]="", "", IF(CalibrationLog[[#This Row],[World Error]]&lt;CalibrationLog[[#This Row],[World Error (Avg.)]], "Yes", "No"))</f>
        <v>No</v>
      </c>
      <c r="I152" s="73" t="str">
        <f>IF(CalibrationLog[[#This Row],[Date]]="", "", IF(CalibrationLog[[#This Row],[Image Error]]&lt;G152, "Yes", "No"))</f>
        <v>No</v>
      </c>
    </row>
    <row r="153" spans="1:9" x14ac:dyDescent="0.25">
      <c r="A153" s="4">
        <v>46238</v>
      </c>
      <c r="B153" s="19" t="s">
        <v>20</v>
      </c>
      <c r="C153" s="5">
        <v>2556</v>
      </c>
      <c r="D153" s="16">
        <v>0.50172899999999998</v>
      </c>
      <c r="E153" s="17">
        <v>0.10496</v>
      </c>
      <c r="F153" s="70">
        <f>_xlfn.XLOOKUP(CalibrationLog[[#This Row],[Date]], Daily!C:C, Daily!J:J, "n/a")</f>
        <v>0.40401527777777785</v>
      </c>
      <c r="G153" s="71">
        <f>_xlfn.XLOOKUP(CalibrationLog[[#This Row],[Date]], Daily!C:C, Daily!M:M, "n/a")</f>
        <v>9.6629455555555563E-2</v>
      </c>
      <c r="H153" s="72" t="str">
        <f>IF(CalibrationLog[[#This Row],[Date]]="", "", IF(CalibrationLog[[#This Row],[World Error]]&lt;CalibrationLog[[#This Row],[World Error (Avg.)]], "Yes", "No"))</f>
        <v>No</v>
      </c>
      <c r="I153" s="73" t="str">
        <f>IF(CalibrationLog[[#This Row],[Date]]="", "", IF(CalibrationLog[[#This Row],[Image Error]]&lt;G153, "Yes", "No"))</f>
        <v>No</v>
      </c>
    </row>
    <row r="154" spans="1:9" x14ac:dyDescent="0.25">
      <c r="A154" s="4">
        <v>46238</v>
      </c>
      <c r="B154" s="19" t="s">
        <v>44</v>
      </c>
      <c r="C154" s="5">
        <v>1061</v>
      </c>
      <c r="D154" s="16">
        <v>0.28934799999999999</v>
      </c>
      <c r="E154" s="17">
        <v>8.7746599999999994E-2</v>
      </c>
      <c r="F154" s="70">
        <f>_xlfn.XLOOKUP(CalibrationLog[[#This Row],[Date]], Daily!C:C, Daily!J:J, "n/a")</f>
        <v>0.40401527777777785</v>
      </c>
      <c r="G154" s="71">
        <f>_xlfn.XLOOKUP(CalibrationLog[[#This Row],[Date]], Daily!C:C, Daily!M:M, "n/a")</f>
        <v>9.6629455555555563E-2</v>
      </c>
      <c r="H154" s="72" t="str">
        <f>IF(CalibrationLog[[#This Row],[Date]]="", "", IF(CalibrationLog[[#This Row],[World Error]]&lt;CalibrationLog[[#This Row],[World Error (Avg.)]], "Yes", "No"))</f>
        <v>Yes</v>
      </c>
      <c r="I154" s="73" t="str">
        <f>IF(CalibrationLog[[#This Row],[Date]]="", "", IF(CalibrationLog[[#This Row],[Image Error]]&lt;G154, "Yes", "No"))</f>
        <v>Yes</v>
      </c>
    </row>
    <row r="155" spans="1:9" x14ac:dyDescent="0.25">
      <c r="A155" s="4">
        <v>46238</v>
      </c>
      <c r="B155" s="19" t="s">
        <v>21</v>
      </c>
      <c r="C155" s="5">
        <v>3274</v>
      </c>
      <c r="D155" s="16">
        <v>0.51152799999999998</v>
      </c>
      <c r="E155" s="17">
        <v>9.9526400000000001E-2</v>
      </c>
      <c r="F155" s="70">
        <f>_xlfn.XLOOKUP(CalibrationLog[[#This Row],[Date]], Daily!C:C, Daily!J:J, "n/a")</f>
        <v>0.40401527777777785</v>
      </c>
      <c r="G155" s="71">
        <f>_xlfn.XLOOKUP(CalibrationLog[[#This Row],[Date]], Daily!C:C, Daily!M:M, "n/a")</f>
        <v>9.6629455555555563E-2</v>
      </c>
      <c r="H155" s="72" t="str">
        <f>IF(CalibrationLog[[#This Row],[Date]]="", "", IF(CalibrationLog[[#This Row],[World Error]]&lt;CalibrationLog[[#This Row],[World Error (Avg.)]], "Yes", "No"))</f>
        <v>No</v>
      </c>
      <c r="I155" s="73" t="str">
        <f>IF(CalibrationLog[[#This Row],[Date]]="", "", IF(CalibrationLog[[#This Row],[Image Error]]&lt;G155, "Yes", "No"))</f>
        <v>No</v>
      </c>
    </row>
    <row r="156" spans="1:9" x14ac:dyDescent="0.25">
      <c r="A156" s="4">
        <v>46238</v>
      </c>
      <c r="B156" s="19" t="s">
        <v>22</v>
      </c>
      <c r="C156" s="5">
        <v>2571</v>
      </c>
      <c r="D156" s="16">
        <v>0.39043499999999998</v>
      </c>
      <c r="E156" s="17">
        <v>0.106061</v>
      </c>
      <c r="F156" s="70">
        <f>_xlfn.XLOOKUP(CalibrationLog[[#This Row],[Date]], Daily!C:C, Daily!J:J, "n/a")</f>
        <v>0.40401527777777785</v>
      </c>
      <c r="G156" s="71">
        <f>_xlfn.XLOOKUP(CalibrationLog[[#This Row],[Date]], Daily!C:C, Daily!M:M, "n/a")</f>
        <v>9.6629455555555563E-2</v>
      </c>
      <c r="H156" s="72" t="str">
        <f>IF(CalibrationLog[[#This Row],[Date]]="", "", IF(CalibrationLog[[#This Row],[World Error]]&lt;CalibrationLog[[#This Row],[World Error (Avg.)]], "Yes", "No"))</f>
        <v>Yes</v>
      </c>
      <c r="I156" s="73" t="str">
        <f>IF(CalibrationLog[[#This Row],[Date]]="", "", IF(CalibrationLog[[#This Row],[Image Error]]&lt;G156, "Yes", "No"))</f>
        <v>No</v>
      </c>
    </row>
    <row r="157" spans="1:9" x14ac:dyDescent="0.25">
      <c r="A157" s="4">
        <v>46238</v>
      </c>
      <c r="B157" s="19" t="s">
        <v>23</v>
      </c>
      <c r="C157" s="5">
        <v>1306</v>
      </c>
      <c r="D157" s="16">
        <v>0.38515700000000003</v>
      </c>
      <c r="E157" s="17">
        <v>0.12640199999999999</v>
      </c>
      <c r="F157" s="70">
        <f>_xlfn.XLOOKUP(CalibrationLog[[#This Row],[Date]], Daily!C:C, Daily!J:J, "n/a")</f>
        <v>0.40401527777777785</v>
      </c>
      <c r="G157" s="71">
        <f>_xlfn.XLOOKUP(CalibrationLog[[#This Row],[Date]], Daily!C:C, Daily!M:M, "n/a")</f>
        <v>9.6629455555555563E-2</v>
      </c>
      <c r="H157" s="72" t="str">
        <f>IF(CalibrationLog[[#This Row],[Date]]="", "", IF(CalibrationLog[[#This Row],[World Error]]&lt;CalibrationLog[[#This Row],[World Error (Avg.)]], "Yes", "No"))</f>
        <v>Yes</v>
      </c>
      <c r="I157" s="73" t="str">
        <f>IF(CalibrationLog[[#This Row],[Date]]="", "", IF(CalibrationLog[[#This Row],[Image Error]]&lt;G157, "Yes", "No"))</f>
        <v>No</v>
      </c>
    </row>
    <row r="158" spans="1:9" x14ac:dyDescent="0.25">
      <c r="A158" s="4">
        <v>46238</v>
      </c>
      <c r="B158" s="19" t="s">
        <v>24</v>
      </c>
      <c r="C158" s="5">
        <v>2861</v>
      </c>
      <c r="D158" s="16">
        <v>0.22939999999999999</v>
      </c>
      <c r="E158" s="17">
        <v>7.0670399999999994E-2</v>
      </c>
      <c r="F158" s="70">
        <f>_xlfn.XLOOKUP(CalibrationLog[[#This Row],[Date]], Daily!C:C, Daily!J:J, "n/a")</f>
        <v>0.40401527777777785</v>
      </c>
      <c r="G158" s="71">
        <f>_xlfn.XLOOKUP(CalibrationLog[[#This Row],[Date]], Daily!C:C, Daily!M:M, "n/a")</f>
        <v>9.6629455555555563E-2</v>
      </c>
      <c r="H158" s="72" t="str">
        <f>IF(CalibrationLog[[#This Row],[Date]]="", "", IF(CalibrationLog[[#This Row],[World Error]]&lt;CalibrationLog[[#This Row],[World Error (Avg.)]], "Yes", "No"))</f>
        <v>Yes</v>
      </c>
      <c r="I158" s="73" t="str">
        <f>IF(CalibrationLog[[#This Row],[Date]]="", "", IF(CalibrationLog[[#This Row],[Image Error]]&lt;G158, "Yes", "No"))</f>
        <v>Yes</v>
      </c>
    </row>
    <row r="159" spans="1:9" x14ac:dyDescent="0.25">
      <c r="A159" s="4">
        <v>46238</v>
      </c>
      <c r="B159" s="19" t="s">
        <v>25</v>
      </c>
      <c r="C159" s="5">
        <v>1006</v>
      </c>
      <c r="D159" s="16">
        <v>0.249472</v>
      </c>
      <c r="E159" s="17">
        <v>6.0045899999999999E-2</v>
      </c>
      <c r="F159" s="70">
        <f>_xlfn.XLOOKUP(CalibrationLog[[#This Row],[Date]], Daily!C:C, Daily!J:J, "n/a")</f>
        <v>0.40401527777777785</v>
      </c>
      <c r="G159" s="71">
        <f>_xlfn.XLOOKUP(CalibrationLog[[#This Row],[Date]], Daily!C:C, Daily!M:M, "n/a")</f>
        <v>9.6629455555555563E-2</v>
      </c>
      <c r="H159" s="72" t="str">
        <f>IF(CalibrationLog[[#This Row],[Date]]="", "", IF(CalibrationLog[[#This Row],[World Error]]&lt;CalibrationLog[[#This Row],[World Error (Avg.)]], "Yes", "No"))</f>
        <v>Yes</v>
      </c>
      <c r="I159" s="73" t="str">
        <f>IF(CalibrationLog[[#This Row],[Date]]="", "", IF(CalibrationLog[[#This Row],[Image Error]]&lt;G159, "Yes", "No"))</f>
        <v>Yes</v>
      </c>
    </row>
    <row r="160" spans="1:9" x14ac:dyDescent="0.25">
      <c r="A160" s="4">
        <v>46238</v>
      </c>
      <c r="B160" s="19" t="s">
        <v>26</v>
      </c>
      <c r="C160" s="5">
        <v>2699</v>
      </c>
      <c r="D160" s="16">
        <v>0.174374</v>
      </c>
      <c r="E160" s="17">
        <v>5.6044799999999999E-2</v>
      </c>
      <c r="F160" s="70">
        <f>_xlfn.XLOOKUP(CalibrationLog[[#This Row],[Date]], Daily!C:C, Daily!J:J, "n/a")</f>
        <v>0.40401527777777785</v>
      </c>
      <c r="G160" s="71">
        <f>_xlfn.XLOOKUP(CalibrationLog[[#This Row],[Date]], Daily!C:C, Daily!M:M, "n/a")</f>
        <v>9.6629455555555563E-2</v>
      </c>
      <c r="H160" s="72" t="str">
        <f>IF(CalibrationLog[[#This Row],[Date]]="", "", IF(CalibrationLog[[#This Row],[World Error]]&lt;CalibrationLog[[#This Row],[World Error (Avg.)]], "Yes", "No"))</f>
        <v>Yes</v>
      </c>
      <c r="I160" s="73" t="str">
        <f>IF(CalibrationLog[[#This Row],[Date]]="", "", IF(CalibrationLog[[#This Row],[Image Error]]&lt;G160, "Yes", "No"))</f>
        <v>Yes</v>
      </c>
    </row>
    <row r="161" spans="1:9" x14ac:dyDescent="0.25">
      <c r="A161" s="4">
        <v>46238</v>
      </c>
      <c r="B161" s="19" t="s">
        <v>27</v>
      </c>
      <c r="C161" s="5">
        <v>2638</v>
      </c>
      <c r="D161" s="16">
        <v>0.48188799999999998</v>
      </c>
      <c r="E161" s="17">
        <v>0.10938199999999999</v>
      </c>
      <c r="F161" s="70">
        <f>_xlfn.XLOOKUP(CalibrationLog[[#This Row],[Date]], Daily!C:C, Daily!J:J, "n/a")</f>
        <v>0.40401527777777785</v>
      </c>
      <c r="G161" s="71">
        <f>_xlfn.XLOOKUP(CalibrationLog[[#This Row],[Date]], Daily!C:C, Daily!M:M, "n/a")</f>
        <v>9.6629455555555563E-2</v>
      </c>
      <c r="H161" s="72" t="str">
        <f>IF(CalibrationLog[[#This Row],[Date]]="", "", IF(CalibrationLog[[#This Row],[World Error]]&lt;CalibrationLog[[#This Row],[World Error (Avg.)]], "Yes", "No"))</f>
        <v>No</v>
      </c>
      <c r="I161" s="73" t="str">
        <f>IF(CalibrationLog[[#This Row],[Date]]="", "", IF(CalibrationLog[[#This Row],[Image Error]]&lt;G161, "Yes", "No"))</f>
        <v>No</v>
      </c>
    </row>
    <row r="162" spans="1:9" x14ac:dyDescent="0.25">
      <c r="A162" s="4">
        <v>46238</v>
      </c>
      <c r="B162" s="19" t="s">
        <v>28</v>
      </c>
      <c r="C162" s="5">
        <v>1563</v>
      </c>
      <c r="D162" s="16">
        <v>0.27595399999999998</v>
      </c>
      <c r="E162" s="17">
        <v>6.1940599999999998E-2</v>
      </c>
      <c r="F162" s="70">
        <f>_xlfn.XLOOKUP(CalibrationLog[[#This Row],[Date]], Daily!C:C, Daily!J:J, "n/a")</f>
        <v>0.40401527777777785</v>
      </c>
      <c r="G162" s="71">
        <f>_xlfn.XLOOKUP(CalibrationLog[[#This Row],[Date]], Daily!C:C, Daily!M:M, "n/a")</f>
        <v>9.6629455555555563E-2</v>
      </c>
      <c r="H162" s="72" t="str">
        <f>IF(CalibrationLog[[#This Row],[Date]]="", "", IF(CalibrationLog[[#This Row],[World Error]]&lt;CalibrationLog[[#This Row],[World Error (Avg.)]], "Yes", "No"))</f>
        <v>Yes</v>
      </c>
      <c r="I162" s="73" t="str">
        <f>IF(CalibrationLog[[#This Row],[Date]]="", "", IF(CalibrationLog[[#This Row],[Image Error]]&lt;G162, "Yes", "No"))</f>
        <v>Yes</v>
      </c>
    </row>
    <row r="163" spans="1:9" x14ac:dyDescent="0.25">
      <c r="A163" s="4">
        <v>46238</v>
      </c>
      <c r="B163" s="19" t="s">
        <v>29</v>
      </c>
      <c r="C163" s="5">
        <v>1591</v>
      </c>
      <c r="D163" s="16">
        <v>0.43242900000000001</v>
      </c>
      <c r="E163" s="17">
        <v>8.9546899999999999E-2</v>
      </c>
      <c r="F163" s="70">
        <f>_xlfn.XLOOKUP(CalibrationLog[[#This Row],[Date]], Daily!C:C, Daily!J:J, "n/a")</f>
        <v>0.40401527777777785</v>
      </c>
      <c r="G163" s="71">
        <f>_xlfn.XLOOKUP(CalibrationLog[[#This Row],[Date]], Daily!C:C, Daily!M:M, "n/a")</f>
        <v>9.6629455555555563E-2</v>
      </c>
      <c r="H163" s="72" t="str">
        <f>IF(CalibrationLog[[#This Row],[Date]]="", "", IF(CalibrationLog[[#This Row],[World Error]]&lt;CalibrationLog[[#This Row],[World Error (Avg.)]], "Yes", "No"))</f>
        <v>No</v>
      </c>
      <c r="I163" s="73" t="str">
        <f>IF(CalibrationLog[[#This Row],[Date]]="", "", IF(CalibrationLog[[#This Row],[Image Error]]&lt;G163, "Yes", "No"))</f>
        <v>Yes</v>
      </c>
    </row>
    <row r="164" spans="1:9" x14ac:dyDescent="0.25">
      <c r="A164" s="4">
        <v>46238</v>
      </c>
      <c r="B164" s="19" t="s">
        <v>30</v>
      </c>
      <c r="C164" s="5">
        <v>1604</v>
      </c>
      <c r="D164" s="16">
        <v>0.59375999999999995</v>
      </c>
      <c r="E164" s="17">
        <v>0.119522</v>
      </c>
      <c r="F164" s="70">
        <f>_xlfn.XLOOKUP(CalibrationLog[[#This Row],[Date]], Daily!C:C, Daily!J:J, "n/a")</f>
        <v>0.40401527777777785</v>
      </c>
      <c r="G164" s="71">
        <f>_xlfn.XLOOKUP(CalibrationLog[[#This Row],[Date]], Daily!C:C, Daily!M:M, "n/a")</f>
        <v>9.6629455555555563E-2</v>
      </c>
      <c r="H164" s="72" t="str">
        <f>IF(CalibrationLog[[#This Row],[Date]]="", "", IF(CalibrationLog[[#This Row],[World Error]]&lt;CalibrationLog[[#This Row],[World Error (Avg.)]], "Yes", "No"))</f>
        <v>No</v>
      </c>
      <c r="I164" s="73" t="str">
        <f>IF(CalibrationLog[[#This Row],[Date]]="", "", IF(CalibrationLog[[#This Row],[Image Error]]&lt;G164, "Yes", "No"))</f>
        <v>No</v>
      </c>
    </row>
    <row r="165" spans="1:9" x14ac:dyDescent="0.25">
      <c r="A165" s="4">
        <v>46239</v>
      </c>
      <c r="B165" s="19" t="s">
        <v>14</v>
      </c>
      <c r="C165" s="5">
        <v>2808</v>
      </c>
      <c r="D165" s="16">
        <v>0.40617799999999998</v>
      </c>
      <c r="E165" s="17">
        <v>0.114288</v>
      </c>
      <c r="F165" s="70">
        <f>_xlfn.XLOOKUP(CalibrationLog[[#This Row],[Date]], Daily!C:C, Daily!J:J, "n/a")</f>
        <v>0.37193638888888891</v>
      </c>
      <c r="G165" s="71">
        <f>_xlfn.XLOOKUP(CalibrationLog[[#This Row],[Date]], Daily!C:C, Daily!M:M, "n/a")</f>
        <v>8.8825327777777754E-2</v>
      </c>
      <c r="H165" s="72" t="str">
        <f>IF(CalibrationLog[[#This Row],[Date]]="", "", IF(CalibrationLog[[#This Row],[World Error]]&lt;CalibrationLog[[#This Row],[World Error (Avg.)]], "Yes", "No"))</f>
        <v>No</v>
      </c>
      <c r="I165" s="73" t="str">
        <f>IF(CalibrationLog[[#This Row],[Date]]="", "", IF(CalibrationLog[[#This Row],[Image Error]]&lt;G165, "Yes", "No"))</f>
        <v>No</v>
      </c>
    </row>
    <row r="166" spans="1:9" x14ac:dyDescent="0.25">
      <c r="A166" s="4">
        <v>46239</v>
      </c>
      <c r="B166" s="19" t="s">
        <v>15</v>
      </c>
      <c r="C166" s="5">
        <v>2452</v>
      </c>
      <c r="D166" s="16">
        <v>0.42817899999999998</v>
      </c>
      <c r="E166" s="17">
        <v>0.11280999999999999</v>
      </c>
      <c r="F166" s="70">
        <f>_xlfn.XLOOKUP(CalibrationLog[[#This Row],[Date]], Daily!C:C, Daily!J:J, "n/a")</f>
        <v>0.37193638888888891</v>
      </c>
      <c r="G166" s="71">
        <f>_xlfn.XLOOKUP(CalibrationLog[[#This Row],[Date]], Daily!C:C, Daily!M:M, "n/a")</f>
        <v>8.8825327777777754E-2</v>
      </c>
      <c r="H166" s="72" t="str">
        <f>IF(CalibrationLog[[#This Row],[Date]]="", "", IF(CalibrationLog[[#This Row],[World Error]]&lt;CalibrationLog[[#This Row],[World Error (Avg.)]], "Yes", "No"))</f>
        <v>No</v>
      </c>
      <c r="I166" s="73" t="str">
        <f>IF(CalibrationLog[[#This Row],[Date]]="", "", IF(CalibrationLog[[#This Row],[Image Error]]&lt;G166, "Yes", "No"))</f>
        <v>No</v>
      </c>
    </row>
    <row r="167" spans="1:9" x14ac:dyDescent="0.25">
      <c r="A167" s="4">
        <v>46239</v>
      </c>
      <c r="B167" s="19" t="s">
        <v>16</v>
      </c>
      <c r="C167" s="5">
        <v>1825</v>
      </c>
      <c r="D167" s="16">
        <v>0.48584699999999997</v>
      </c>
      <c r="E167" s="17">
        <v>0.114023</v>
      </c>
      <c r="F167" s="70">
        <f>_xlfn.XLOOKUP(CalibrationLog[[#This Row],[Date]], Daily!C:C, Daily!J:J, "n/a")</f>
        <v>0.37193638888888891</v>
      </c>
      <c r="G167" s="71">
        <f>_xlfn.XLOOKUP(CalibrationLog[[#This Row],[Date]], Daily!C:C, Daily!M:M, "n/a")</f>
        <v>8.8825327777777754E-2</v>
      </c>
      <c r="H167" s="72" t="str">
        <f>IF(CalibrationLog[[#This Row],[Date]]="", "", IF(CalibrationLog[[#This Row],[World Error]]&lt;CalibrationLog[[#This Row],[World Error (Avg.)]], "Yes", "No"))</f>
        <v>No</v>
      </c>
      <c r="I167" s="73" t="str">
        <f>IF(CalibrationLog[[#This Row],[Date]]="", "", IF(CalibrationLog[[#This Row],[Image Error]]&lt;G167, "Yes", "No"))</f>
        <v>No</v>
      </c>
    </row>
    <row r="168" spans="1:9" x14ac:dyDescent="0.25">
      <c r="A168" s="4">
        <v>46239</v>
      </c>
      <c r="B168" s="19" t="s">
        <v>17</v>
      </c>
      <c r="C168" s="5">
        <v>2023</v>
      </c>
      <c r="D168" s="16">
        <v>0.58760599999999996</v>
      </c>
      <c r="E168" s="17">
        <v>0.11620800000000001</v>
      </c>
      <c r="F168" s="70">
        <f>_xlfn.XLOOKUP(CalibrationLog[[#This Row],[Date]], Daily!C:C, Daily!J:J, "n/a")</f>
        <v>0.37193638888888891</v>
      </c>
      <c r="G168" s="71">
        <f>_xlfn.XLOOKUP(CalibrationLog[[#This Row],[Date]], Daily!C:C, Daily!M:M, "n/a")</f>
        <v>8.8825327777777754E-2</v>
      </c>
      <c r="H168" s="72" t="str">
        <f>IF(CalibrationLog[[#This Row],[Date]]="", "", IF(CalibrationLog[[#This Row],[World Error]]&lt;CalibrationLog[[#This Row],[World Error (Avg.)]], "Yes", "No"))</f>
        <v>No</v>
      </c>
      <c r="I168" s="73" t="str">
        <f>IF(CalibrationLog[[#This Row],[Date]]="", "", IF(CalibrationLog[[#This Row],[Image Error]]&lt;G168, "Yes", "No"))</f>
        <v>No</v>
      </c>
    </row>
    <row r="169" spans="1:9" x14ac:dyDescent="0.25">
      <c r="A169" s="4">
        <v>46239</v>
      </c>
      <c r="B169" s="19" t="s">
        <v>18</v>
      </c>
      <c r="C169" s="5">
        <v>2020</v>
      </c>
      <c r="D169" s="16">
        <v>0.26507900000000001</v>
      </c>
      <c r="E169" s="17">
        <v>6.3077099999999997E-2</v>
      </c>
      <c r="F169" s="70">
        <f>_xlfn.XLOOKUP(CalibrationLog[[#This Row],[Date]], Daily!C:C, Daily!J:J, "n/a")</f>
        <v>0.37193638888888891</v>
      </c>
      <c r="G169" s="71">
        <f>_xlfn.XLOOKUP(CalibrationLog[[#This Row],[Date]], Daily!C:C, Daily!M:M, "n/a")</f>
        <v>8.8825327777777754E-2</v>
      </c>
      <c r="H169" s="72" t="str">
        <f>IF(CalibrationLog[[#This Row],[Date]]="", "", IF(CalibrationLog[[#This Row],[World Error]]&lt;CalibrationLog[[#This Row],[World Error (Avg.)]], "Yes", "No"))</f>
        <v>Yes</v>
      </c>
      <c r="I169" s="73" t="str">
        <f>IF(CalibrationLog[[#This Row],[Date]]="", "", IF(CalibrationLog[[#This Row],[Image Error]]&lt;G169, "Yes", "No"))</f>
        <v>Yes</v>
      </c>
    </row>
    <row r="170" spans="1:9" x14ac:dyDescent="0.25">
      <c r="A170" s="4">
        <v>46239</v>
      </c>
      <c r="B170" s="19" t="s">
        <v>19</v>
      </c>
      <c r="C170" s="5">
        <v>2016</v>
      </c>
      <c r="D170" s="16">
        <v>0.46160000000000001</v>
      </c>
      <c r="E170" s="17">
        <v>9.7109000000000001E-2</v>
      </c>
      <c r="F170" s="70">
        <f>_xlfn.XLOOKUP(CalibrationLog[[#This Row],[Date]], Daily!C:C, Daily!J:J, "n/a")</f>
        <v>0.37193638888888891</v>
      </c>
      <c r="G170" s="71">
        <f>_xlfn.XLOOKUP(CalibrationLog[[#This Row],[Date]], Daily!C:C, Daily!M:M, "n/a")</f>
        <v>8.8825327777777754E-2</v>
      </c>
      <c r="H170" s="72" t="str">
        <f>IF(CalibrationLog[[#This Row],[Date]]="", "", IF(CalibrationLog[[#This Row],[World Error]]&lt;CalibrationLog[[#This Row],[World Error (Avg.)]], "Yes", "No"))</f>
        <v>No</v>
      </c>
      <c r="I170" s="73" t="str">
        <f>IF(CalibrationLog[[#This Row],[Date]]="", "", IF(CalibrationLog[[#This Row],[Image Error]]&lt;G170, "Yes", "No"))</f>
        <v>No</v>
      </c>
    </row>
    <row r="171" spans="1:9" x14ac:dyDescent="0.25">
      <c r="A171" s="4">
        <v>46239</v>
      </c>
      <c r="B171" s="19" t="s">
        <v>20</v>
      </c>
      <c r="C171" s="5">
        <v>2117</v>
      </c>
      <c r="D171" s="16">
        <v>0.45994200000000002</v>
      </c>
      <c r="E171" s="17">
        <v>9.6224199999999996E-2</v>
      </c>
      <c r="F171" s="70">
        <f>_xlfn.XLOOKUP(CalibrationLog[[#This Row],[Date]], Daily!C:C, Daily!J:J, "n/a")</f>
        <v>0.37193638888888891</v>
      </c>
      <c r="G171" s="71">
        <f>_xlfn.XLOOKUP(CalibrationLog[[#This Row],[Date]], Daily!C:C, Daily!M:M, "n/a")</f>
        <v>8.8825327777777754E-2</v>
      </c>
      <c r="H171" s="72" t="str">
        <f>IF(CalibrationLog[[#This Row],[Date]]="", "", IF(CalibrationLog[[#This Row],[World Error]]&lt;CalibrationLog[[#This Row],[World Error (Avg.)]], "Yes", "No"))</f>
        <v>No</v>
      </c>
      <c r="I171" s="73" t="str">
        <f>IF(CalibrationLog[[#This Row],[Date]]="", "", IF(CalibrationLog[[#This Row],[Image Error]]&lt;G171, "Yes", "No"))</f>
        <v>No</v>
      </c>
    </row>
    <row r="172" spans="1:9" x14ac:dyDescent="0.25">
      <c r="A172" s="4">
        <v>46239</v>
      </c>
      <c r="B172" s="19" t="s">
        <v>44</v>
      </c>
      <c r="C172" s="5">
        <v>1003</v>
      </c>
      <c r="D172" s="16">
        <v>0.19050800000000001</v>
      </c>
      <c r="E172" s="17">
        <v>5.7725699999999998E-2</v>
      </c>
      <c r="F172" s="70">
        <f>_xlfn.XLOOKUP(CalibrationLog[[#This Row],[Date]], Daily!C:C, Daily!J:J, "n/a")</f>
        <v>0.37193638888888891</v>
      </c>
      <c r="G172" s="71">
        <f>_xlfn.XLOOKUP(CalibrationLog[[#This Row],[Date]], Daily!C:C, Daily!M:M, "n/a")</f>
        <v>8.8825327777777754E-2</v>
      </c>
      <c r="H172" s="72" t="str">
        <f>IF(CalibrationLog[[#This Row],[Date]]="", "", IF(CalibrationLog[[#This Row],[World Error]]&lt;CalibrationLog[[#This Row],[World Error (Avg.)]], "Yes", "No"))</f>
        <v>Yes</v>
      </c>
      <c r="I172" s="73" t="str">
        <f>IF(CalibrationLog[[#This Row],[Date]]="", "", IF(CalibrationLog[[#This Row],[Image Error]]&lt;G172, "Yes", "No"))</f>
        <v>Yes</v>
      </c>
    </row>
    <row r="173" spans="1:9" x14ac:dyDescent="0.25">
      <c r="A173" s="4">
        <v>46239</v>
      </c>
      <c r="B173" s="19" t="s">
        <v>21</v>
      </c>
      <c r="C173" s="5">
        <v>3247</v>
      </c>
      <c r="D173" s="16">
        <v>0.40866400000000003</v>
      </c>
      <c r="E173" s="17">
        <v>7.9509399999999994E-2</v>
      </c>
      <c r="F173" s="70">
        <f>_xlfn.XLOOKUP(CalibrationLog[[#This Row],[Date]], Daily!C:C, Daily!J:J, "n/a")</f>
        <v>0.37193638888888891</v>
      </c>
      <c r="G173" s="71">
        <f>_xlfn.XLOOKUP(CalibrationLog[[#This Row],[Date]], Daily!C:C, Daily!M:M, "n/a")</f>
        <v>8.8825327777777754E-2</v>
      </c>
      <c r="H173" s="72" t="str">
        <f>IF(CalibrationLog[[#This Row],[Date]]="", "", IF(CalibrationLog[[#This Row],[World Error]]&lt;CalibrationLog[[#This Row],[World Error (Avg.)]], "Yes", "No"))</f>
        <v>No</v>
      </c>
      <c r="I173" s="73" t="str">
        <f>IF(CalibrationLog[[#This Row],[Date]]="", "", IF(CalibrationLog[[#This Row],[Image Error]]&lt;G173, "Yes", "No"))</f>
        <v>Yes</v>
      </c>
    </row>
    <row r="174" spans="1:9" x14ac:dyDescent="0.25">
      <c r="A174" s="4">
        <v>46239</v>
      </c>
      <c r="B174" s="19" t="s">
        <v>22</v>
      </c>
      <c r="C174" s="5">
        <v>2199</v>
      </c>
      <c r="D174" s="16">
        <v>0.37973400000000002</v>
      </c>
      <c r="E174" s="17">
        <v>0.10316400000000001</v>
      </c>
      <c r="F174" s="70">
        <f>_xlfn.XLOOKUP(CalibrationLog[[#This Row],[Date]], Daily!C:C, Daily!J:J, "n/a")</f>
        <v>0.37193638888888891</v>
      </c>
      <c r="G174" s="71">
        <f>_xlfn.XLOOKUP(CalibrationLog[[#This Row],[Date]], Daily!C:C, Daily!M:M, "n/a")</f>
        <v>8.8825327777777754E-2</v>
      </c>
      <c r="H174" s="72" t="str">
        <f>IF(CalibrationLog[[#This Row],[Date]]="", "", IF(CalibrationLog[[#This Row],[World Error]]&lt;CalibrationLog[[#This Row],[World Error (Avg.)]], "Yes", "No"))</f>
        <v>No</v>
      </c>
      <c r="I174" s="73" t="str">
        <f>IF(CalibrationLog[[#This Row],[Date]]="", "", IF(CalibrationLog[[#This Row],[Image Error]]&lt;G174, "Yes", "No"))</f>
        <v>No</v>
      </c>
    </row>
    <row r="175" spans="1:9" x14ac:dyDescent="0.25">
      <c r="A175" s="4">
        <v>46239</v>
      </c>
      <c r="B175" s="19" t="s">
        <v>23</v>
      </c>
      <c r="C175" s="5">
        <v>1131</v>
      </c>
      <c r="D175" s="16">
        <v>0.31687300000000002</v>
      </c>
      <c r="E175" s="17">
        <v>0.103961</v>
      </c>
      <c r="F175" s="70">
        <f>_xlfn.XLOOKUP(CalibrationLog[[#This Row],[Date]], Daily!C:C, Daily!J:J, "n/a")</f>
        <v>0.37193638888888891</v>
      </c>
      <c r="G175" s="71">
        <f>_xlfn.XLOOKUP(CalibrationLog[[#This Row],[Date]], Daily!C:C, Daily!M:M, "n/a")</f>
        <v>8.8825327777777754E-2</v>
      </c>
      <c r="H175" s="72" t="str">
        <f>IF(CalibrationLog[[#This Row],[Date]]="", "", IF(CalibrationLog[[#This Row],[World Error]]&lt;CalibrationLog[[#This Row],[World Error (Avg.)]], "Yes", "No"))</f>
        <v>Yes</v>
      </c>
      <c r="I175" s="73" t="str">
        <f>IF(CalibrationLog[[#This Row],[Date]]="", "", IF(CalibrationLog[[#This Row],[Image Error]]&lt;G175, "Yes", "No"))</f>
        <v>No</v>
      </c>
    </row>
    <row r="176" spans="1:9" x14ac:dyDescent="0.25">
      <c r="A176" s="4">
        <v>46239</v>
      </c>
      <c r="B176" s="19" t="s">
        <v>24</v>
      </c>
      <c r="C176" s="5">
        <v>2875</v>
      </c>
      <c r="D176" s="16">
        <v>0.16952999999999999</v>
      </c>
      <c r="E176" s="17">
        <v>5.22023E-2</v>
      </c>
      <c r="F176" s="70">
        <f>_xlfn.XLOOKUP(CalibrationLog[[#This Row],[Date]], Daily!C:C, Daily!J:J, "n/a")</f>
        <v>0.37193638888888891</v>
      </c>
      <c r="G176" s="71">
        <f>_xlfn.XLOOKUP(CalibrationLog[[#This Row],[Date]], Daily!C:C, Daily!M:M, "n/a")</f>
        <v>8.8825327777777754E-2</v>
      </c>
      <c r="H176" s="72" t="str">
        <f>IF(CalibrationLog[[#This Row],[Date]]="", "", IF(CalibrationLog[[#This Row],[World Error]]&lt;CalibrationLog[[#This Row],[World Error (Avg.)]], "Yes", "No"))</f>
        <v>Yes</v>
      </c>
      <c r="I176" s="73" t="str">
        <f>IF(CalibrationLog[[#This Row],[Date]]="", "", IF(CalibrationLog[[#This Row],[Image Error]]&lt;G176, "Yes", "No"))</f>
        <v>Yes</v>
      </c>
    </row>
    <row r="177" spans="1:9" x14ac:dyDescent="0.25">
      <c r="A177" s="4">
        <v>46239</v>
      </c>
      <c r="B177" s="19" t="s">
        <v>25</v>
      </c>
      <c r="C177" s="5">
        <v>1068</v>
      </c>
      <c r="D177" s="16">
        <v>0.21698300000000001</v>
      </c>
      <c r="E177" s="17">
        <v>5.2189399999999997E-2</v>
      </c>
      <c r="F177" s="70">
        <f>_xlfn.XLOOKUP(CalibrationLog[[#This Row],[Date]], Daily!C:C, Daily!J:J, "n/a")</f>
        <v>0.37193638888888891</v>
      </c>
      <c r="G177" s="71">
        <f>_xlfn.XLOOKUP(CalibrationLog[[#This Row],[Date]], Daily!C:C, Daily!M:M, "n/a")</f>
        <v>8.8825327777777754E-2</v>
      </c>
      <c r="H177" s="72" t="str">
        <f>IF(CalibrationLog[[#This Row],[Date]]="", "", IF(CalibrationLog[[#This Row],[World Error]]&lt;CalibrationLog[[#This Row],[World Error (Avg.)]], "Yes", "No"))</f>
        <v>Yes</v>
      </c>
      <c r="I177" s="73" t="str">
        <f>IF(CalibrationLog[[#This Row],[Date]]="", "", IF(CalibrationLog[[#This Row],[Image Error]]&lt;G177, "Yes", "No"))</f>
        <v>Yes</v>
      </c>
    </row>
    <row r="178" spans="1:9" x14ac:dyDescent="0.25">
      <c r="A178" s="4">
        <v>46239</v>
      </c>
      <c r="B178" s="19" t="s">
        <v>26</v>
      </c>
      <c r="C178" s="5">
        <v>2305</v>
      </c>
      <c r="D178" s="16">
        <v>0.23683999999999999</v>
      </c>
      <c r="E178" s="17">
        <v>7.6153299999999993E-2</v>
      </c>
      <c r="F178" s="70">
        <f>_xlfn.XLOOKUP(CalibrationLog[[#This Row],[Date]], Daily!C:C, Daily!J:J, "n/a")</f>
        <v>0.37193638888888891</v>
      </c>
      <c r="G178" s="71">
        <f>_xlfn.XLOOKUP(CalibrationLog[[#This Row],[Date]], Daily!C:C, Daily!M:M, "n/a")</f>
        <v>8.8825327777777754E-2</v>
      </c>
      <c r="H178" s="72" t="str">
        <f>IF(CalibrationLog[[#This Row],[Date]]="", "", IF(CalibrationLog[[#This Row],[World Error]]&lt;CalibrationLog[[#This Row],[World Error (Avg.)]], "Yes", "No"))</f>
        <v>Yes</v>
      </c>
      <c r="I178" s="73" t="str">
        <f>IF(CalibrationLog[[#This Row],[Date]]="", "", IF(CalibrationLog[[#This Row],[Image Error]]&lt;G178, "Yes", "No"))</f>
        <v>Yes</v>
      </c>
    </row>
    <row r="179" spans="1:9" x14ac:dyDescent="0.25">
      <c r="A179" s="4">
        <v>46239</v>
      </c>
      <c r="B179" s="19" t="s">
        <v>27</v>
      </c>
      <c r="C179" s="5">
        <v>2082</v>
      </c>
      <c r="D179" s="16">
        <v>0.36638300000000001</v>
      </c>
      <c r="E179" s="17">
        <v>8.3133600000000002E-2</v>
      </c>
      <c r="F179" s="70">
        <f>_xlfn.XLOOKUP(CalibrationLog[[#This Row],[Date]], Daily!C:C, Daily!J:J, "n/a")</f>
        <v>0.37193638888888891</v>
      </c>
      <c r="G179" s="71">
        <f>_xlfn.XLOOKUP(CalibrationLog[[#This Row],[Date]], Daily!C:C, Daily!M:M, "n/a")</f>
        <v>8.8825327777777754E-2</v>
      </c>
      <c r="H179" s="72" t="str">
        <f>IF(CalibrationLog[[#This Row],[Date]]="", "", IF(CalibrationLog[[#This Row],[World Error]]&lt;CalibrationLog[[#This Row],[World Error (Avg.)]], "Yes", "No"))</f>
        <v>Yes</v>
      </c>
      <c r="I179" s="73" t="str">
        <f>IF(CalibrationLog[[#This Row],[Date]]="", "", IF(CalibrationLog[[#This Row],[Image Error]]&lt;G179, "Yes", "No"))</f>
        <v>Yes</v>
      </c>
    </row>
    <row r="180" spans="1:9" x14ac:dyDescent="0.25">
      <c r="A180" s="4">
        <v>46239</v>
      </c>
      <c r="B180" s="19" t="s">
        <v>28</v>
      </c>
      <c r="C180" s="5">
        <v>1186</v>
      </c>
      <c r="D180" s="16">
        <v>0.45028400000000002</v>
      </c>
      <c r="E180" s="17">
        <v>0.101206</v>
      </c>
      <c r="F180" s="70">
        <f>_xlfn.XLOOKUP(CalibrationLog[[#This Row],[Date]], Daily!C:C, Daily!J:J, "n/a")</f>
        <v>0.37193638888888891</v>
      </c>
      <c r="G180" s="71">
        <f>_xlfn.XLOOKUP(CalibrationLog[[#This Row],[Date]], Daily!C:C, Daily!M:M, "n/a")</f>
        <v>8.8825327777777754E-2</v>
      </c>
      <c r="H180" s="72" t="str">
        <f>IF(CalibrationLog[[#This Row],[Date]]="", "", IF(CalibrationLog[[#This Row],[World Error]]&lt;CalibrationLog[[#This Row],[World Error (Avg.)]], "Yes", "No"))</f>
        <v>No</v>
      </c>
      <c r="I180" s="73" t="str">
        <f>IF(CalibrationLog[[#This Row],[Date]]="", "", IF(CalibrationLog[[#This Row],[Image Error]]&lt;G180, "Yes", "No"))</f>
        <v>No</v>
      </c>
    </row>
    <row r="181" spans="1:9" x14ac:dyDescent="0.25">
      <c r="A181" s="4">
        <v>46239</v>
      </c>
      <c r="B181" s="19" t="s">
        <v>29</v>
      </c>
      <c r="C181" s="5">
        <v>1775</v>
      </c>
      <c r="D181" s="16">
        <v>0.33224999999999999</v>
      </c>
      <c r="E181" s="17">
        <v>6.8822900000000006E-2</v>
      </c>
      <c r="F181" s="70">
        <f>_xlfn.XLOOKUP(CalibrationLog[[#This Row],[Date]], Daily!C:C, Daily!J:J, "n/a")</f>
        <v>0.37193638888888891</v>
      </c>
      <c r="G181" s="71">
        <f>_xlfn.XLOOKUP(CalibrationLog[[#This Row],[Date]], Daily!C:C, Daily!M:M, "n/a")</f>
        <v>8.8825327777777754E-2</v>
      </c>
      <c r="H181" s="72" t="str">
        <f>IF(CalibrationLog[[#This Row],[Date]]="", "", IF(CalibrationLog[[#This Row],[World Error]]&lt;CalibrationLog[[#This Row],[World Error (Avg.)]], "Yes", "No"))</f>
        <v>Yes</v>
      </c>
      <c r="I181" s="73" t="str">
        <f>IF(CalibrationLog[[#This Row],[Date]]="", "", IF(CalibrationLog[[#This Row],[Image Error]]&lt;G181, "Yes", "No"))</f>
        <v>Yes</v>
      </c>
    </row>
    <row r="182" spans="1:9" x14ac:dyDescent="0.25">
      <c r="A182" s="4">
        <v>46239</v>
      </c>
      <c r="B182" s="19" t="s">
        <v>30</v>
      </c>
      <c r="C182" s="5">
        <v>1426</v>
      </c>
      <c r="D182" s="16">
        <v>0.53237500000000004</v>
      </c>
      <c r="E182" s="17">
        <v>0.10704900000000001</v>
      </c>
      <c r="F182" s="70">
        <f>_xlfn.XLOOKUP(CalibrationLog[[#This Row],[Date]], Daily!C:C, Daily!J:J, "n/a")</f>
        <v>0.37193638888888891</v>
      </c>
      <c r="G182" s="71">
        <f>_xlfn.XLOOKUP(CalibrationLog[[#This Row],[Date]], Daily!C:C, Daily!M:M, "n/a")</f>
        <v>8.8825327777777754E-2</v>
      </c>
      <c r="H182" s="72" t="str">
        <f>IF(CalibrationLog[[#This Row],[Date]]="", "", IF(CalibrationLog[[#This Row],[World Error]]&lt;CalibrationLog[[#This Row],[World Error (Avg.)]], "Yes", "No"))</f>
        <v>No</v>
      </c>
      <c r="I182" s="73" t="str">
        <f>IF(CalibrationLog[[#This Row],[Date]]="", "", IF(CalibrationLog[[#This Row],[Image Error]]&lt;G182, "Yes", "No"))</f>
        <v>No</v>
      </c>
    </row>
    <row r="183" spans="1:9" x14ac:dyDescent="0.25">
      <c r="A183" s="4"/>
      <c r="B183" s="19"/>
      <c r="C183" s="5"/>
      <c r="D183" s="16"/>
      <c r="E183" s="17"/>
      <c r="F183" s="70">
        <f>_xlfn.XLOOKUP(CalibrationLog[[#This Row],[Date]], Daily!C:C, Daily!J:J, "n/a")</f>
        <v>0</v>
      </c>
      <c r="G183" s="71">
        <f>_xlfn.XLOOKUP(CalibrationLog[[#This Row],[Date]], Daily!C:C, Daily!M:M, "n/a")</f>
        <v>0</v>
      </c>
      <c r="H183" s="72" t="str">
        <f>IF(CalibrationLog[[#This Row],[Date]]="", "", IF(CalibrationLog[[#This Row],[World Error]]&lt;CalibrationLog[[#This Row],[World Error (Avg.)]], "Yes", "No"))</f>
        <v/>
      </c>
      <c r="I183" s="73" t="str">
        <f>IF(CalibrationLog[[#This Row],[Date]]="", "", IF(CalibrationLog[[#This Row],[Image Error]]&lt;G183, "Yes", "No"))</f>
        <v/>
      </c>
    </row>
    <row r="184" spans="1:9" x14ac:dyDescent="0.25">
      <c r="A184" s="4"/>
      <c r="B184" s="19"/>
      <c r="C184" s="5"/>
      <c r="D184" s="16"/>
      <c r="E184" s="17"/>
      <c r="F184" s="70">
        <f>_xlfn.XLOOKUP(CalibrationLog[[#This Row],[Date]], Daily!C:C, Daily!J:J, "n/a")</f>
        <v>0</v>
      </c>
      <c r="G184" s="71">
        <f>_xlfn.XLOOKUP(CalibrationLog[[#This Row],[Date]], Daily!C:C, Daily!M:M, "n/a")</f>
        <v>0</v>
      </c>
      <c r="H184" s="72" t="str">
        <f>IF(CalibrationLog[[#This Row],[Date]]="", "", IF(CalibrationLog[[#This Row],[World Error]]&lt;CalibrationLog[[#This Row],[World Error (Avg.)]], "Yes", "No"))</f>
        <v/>
      </c>
      <c r="I184" s="73" t="str">
        <f>IF(CalibrationLog[[#This Row],[Date]]="", "", IF(CalibrationLog[[#This Row],[Image Error]]&lt;G184, "Yes", "No"))</f>
        <v/>
      </c>
    </row>
    <row r="185" spans="1:9" x14ac:dyDescent="0.25">
      <c r="A185" s="4"/>
      <c r="B185" s="19"/>
      <c r="C185" s="5"/>
      <c r="D185" s="16"/>
      <c r="E185" s="17"/>
      <c r="F185" s="70">
        <f>_xlfn.XLOOKUP(CalibrationLog[[#This Row],[Date]], Daily!C:C, Daily!J:J, "n/a")</f>
        <v>0</v>
      </c>
      <c r="G185" s="71">
        <f>_xlfn.XLOOKUP(CalibrationLog[[#This Row],[Date]], Daily!C:C, Daily!M:M, "n/a")</f>
        <v>0</v>
      </c>
      <c r="H185" s="72" t="str">
        <f>IF(CalibrationLog[[#This Row],[Date]]="", "", IF(CalibrationLog[[#This Row],[World Error]]&lt;CalibrationLog[[#This Row],[World Error (Avg.)]], "Yes", "No"))</f>
        <v/>
      </c>
      <c r="I185" s="73" t="str">
        <f>IF(CalibrationLog[[#This Row],[Date]]="", "", IF(CalibrationLog[[#This Row],[Image Error]]&lt;G185, "Yes", "No"))</f>
        <v/>
      </c>
    </row>
    <row r="186" spans="1:9" x14ac:dyDescent="0.25">
      <c r="A186" s="4"/>
      <c r="B186" s="19"/>
      <c r="C186" s="5"/>
      <c r="D186" s="16"/>
      <c r="E186" s="17"/>
      <c r="F186" s="70">
        <f>_xlfn.XLOOKUP(CalibrationLog[[#This Row],[Date]], Daily!C:C, Daily!J:J, "n/a")</f>
        <v>0</v>
      </c>
      <c r="G186" s="71">
        <f>_xlfn.XLOOKUP(CalibrationLog[[#This Row],[Date]], Daily!C:C, Daily!M:M, "n/a")</f>
        <v>0</v>
      </c>
      <c r="H186" s="72" t="str">
        <f>IF(CalibrationLog[[#This Row],[Date]]="", "", IF(CalibrationLog[[#This Row],[World Error]]&lt;CalibrationLog[[#This Row],[World Error (Avg.)]], "Yes", "No"))</f>
        <v/>
      </c>
      <c r="I186" s="73" t="str">
        <f>IF(CalibrationLog[[#This Row],[Date]]="", "", IF(CalibrationLog[[#This Row],[Image Error]]&lt;G186, "Yes", "No"))</f>
        <v/>
      </c>
    </row>
    <row r="187" spans="1:9" x14ac:dyDescent="0.25">
      <c r="A187" s="4"/>
      <c r="B187" s="19"/>
      <c r="C187" s="5"/>
      <c r="D187" s="16"/>
      <c r="E187" s="17"/>
      <c r="F187" s="70">
        <f>_xlfn.XLOOKUP(CalibrationLog[[#This Row],[Date]], Daily!C:C, Daily!J:J, "n/a")</f>
        <v>0</v>
      </c>
      <c r="G187" s="71">
        <f>_xlfn.XLOOKUP(CalibrationLog[[#This Row],[Date]], Daily!C:C, Daily!M:M, "n/a")</f>
        <v>0</v>
      </c>
      <c r="H187" s="72" t="str">
        <f>IF(CalibrationLog[[#This Row],[Date]]="", "", IF(CalibrationLog[[#This Row],[World Error]]&lt;CalibrationLog[[#This Row],[World Error (Avg.)]], "Yes", "No"))</f>
        <v/>
      </c>
      <c r="I187" s="73" t="str">
        <f>IF(CalibrationLog[[#This Row],[Date]]="", "", IF(CalibrationLog[[#This Row],[Image Error]]&lt;G187, "Yes", "No"))</f>
        <v/>
      </c>
    </row>
    <row r="188" spans="1:9" x14ac:dyDescent="0.25">
      <c r="A188" s="4"/>
      <c r="B188" s="19"/>
      <c r="C188" s="5"/>
      <c r="D188" s="16"/>
      <c r="E188" s="17"/>
      <c r="F188" s="70">
        <f>_xlfn.XLOOKUP(CalibrationLog[[#This Row],[Date]], Daily!C:C, Daily!J:J, "n/a")</f>
        <v>0</v>
      </c>
      <c r="G188" s="71">
        <f>_xlfn.XLOOKUP(CalibrationLog[[#This Row],[Date]], Daily!C:C, Daily!M:M, "n/a")</f>
        <v>0</v>
      </c>
      <c r="H188" s="72" t="str">
        <f>IF(CalibrationLog[[#This Row],[Date]]="", "", IF(CalibrationLog[[#This Row],[World Error]]&lt;CalibrationLog[[#This Row],[World Error (Avg.)]], "Yes", "No"))</f>
        <v/>
      </c>
      <c r="I188" s="73" t="str">
        <f>IF(CalibrationLog[[#This Row],[Date]]="", "", IF(CalibrationLog[[#This Row],[Image Error]]&lt;G188, "Yes", "No"))</f>
        <v/>
      </c>
    </row>
    <row r="189" spans="1:9" x14ac:dyDescent="0.25">
      <c r="A189" s="4"/>
      <c r="B189" s="19"/>
      <c r="C189" s="5"/>
      <c r="D189" s="16"/>
      <c r="E189" s="17"/>
      <c r="F189" s="70">
        <f>_xlfn.XLOOKUP(CalibrationLog[[#This Row],[Date]], Daily!C:C, Daily!J:J, "n/a")</f>
        <v>0</v>
      </c>
      <c r="G189" s="71">
        <f>_xlfn.XLOOKUP(CalibrationLog[[#This Row],[Date]], Daily!C:C, Daily!M:M, "n/a")</f>
        <v>0</v>
      </c>
      <c r="H189" s="72" t="str">
        <f>IF(CalibrationLog[[#This Row],[Date]]="", "", IF(CalibrationLog[[#This Row],[World Error]]&lt;CalibrationLog[[#This Row],[World Error (Avg.)]], "Yes", "No"))</f>
        <v/>
      </c>
      <c r="I189" s="73" t="str">
        <f>IF(CalibrationLog[[#This Row],[Date]]="", "", IF(CalibrationLog[[#This Row],[Image Error]]&lt;G189, "Yes", "No"))</f>
        <v/>
      </c>
    </row>
    <row r="190" spans="1:9" x14ac:dyDescent="0.25">
      <c r="A190" s="4"/>
      <c r="B190" s="19"/>
      <c r="C190" s="5"/>
      <c r="D190" s="16"/>
      <c r="E190" s="17"/>
      <c r="F190" s="70">
        <f>_xlfn.XLOOKUP(CalibrationLog[[#This Row],[Date]], Daily!C:C, Daily!J:J, "n/a")</f>
        <v>0</v>
      </c>
      <c r="G190" s="71">
        <f>_xlfn.XLOOKUP(CalibrationLog[[#This Row],[Date]], Daily!C:C, Daily!M:M, "n/a")</f>
        <v>0</v>
      </c>
      <c r="H190" s="72" t="str">
        <f>IF(CalibrationLog[[#This Row],[Date]]="", "", IF(CalibrationLog[[#This Row],[World Error]]&lt;CalibrationLog[[#This Row],[World Error (Avg.)]], "Yes", "No"))</f>
        <v/>
      </c>
      <c r="I190" s="73" t="str">
        <f>IF(CalibrationLog[[#This Row],[Date]]="", "", IF(CalibrationLog[[#This Row],[Image Error]]&lt;G190, "Yes", "No"))</f>
        <v/>
      </c>
    </row>
    <row r="191" spans="1:9" x14ac:dyDescent="0.25">
      <c r="A191" s="4"/>
      <c r="B191" s="19"/>
      <c r="C191" s="5"/>
      <c r="D191" s="16"/>
      <c r="E191" s="17"/>
      <c r="F191" s="70">
        <f>_xlfn.XLOOKUP(CalibrationLog[[#This Row],[Date]], Daily!C:C, Daily!J:J, "n/a")</f>
        <v>0</v>
      </c>
      <c r="G191" s="71">
        <f>_xlfn.XLOOKUP(CalibrationLog[[#This Row],[Date]], Daily!C:C, Daily!M:M, "n/a")</f>
        <v>0</v>
      </c>
      <c r="H191" s="72" t="str">
        <f>IF(CalibrationLog[[#This Row],[Date]]="", "", IF(CalibrationLog[[#This Row],[World Error]]&lt;CalibrationLog[[#This Row],[World Error (Avg.)]], "Yes", "No"))</f>
        <v/>
      </c>
      <c r="I191" s="73" t="str">
        <f>IF(CalibrationLog[[#This Row],[Date]]="", "", IF(CalibrationLog[[#This Row],[Image Error]]&lt;G191, "Yes", "No"))</f>
        <v/>
      </c>
    </row>
    <row r="192" spans="1:9" x14ac:dyDescent="0.25">
      <c r="A192" s="4"/>
      <c r="B192" s="19"/>
      <c r="C192" s="5"/>
      <c r="D192" s="16"/>
      <c r="E192" s="17"/>
      <c r="F192" s="70">
        <f>_xlfn.XLOOKUP(CalibrationLog[[#This Row],[Date]], Daily!C:C, Daily!J:J, "n/a")</f>
        <v>0</v>
      </c>
      <c r="G192" s="71">
        <f>_xlfn.XLOOKUP(CalibrationLog[[#This Row],[Date]], Daily!C:C, Daily!M:M, "n/a")</f>
        <v>0</v>
      </c>
      <c r="H192" s="72" t="str">
        <f>IF(CalibrationLog[[#This Row],[Date]]="", "", IF(CalibrationLog[[#This Row],[World Error]]&lt;CalibrationLog[[#This Row],[World Error (Avg.)]], "Yes", "No"))</f>
        <v/>
      </c>
      <c r="I192" s="73" t="str">
        <f>IF(CalibrationLog[[#This Row],[Date]]="", "", IF(CalibrationLog[[#This Row],[Image Error]]&lt;G192, "Yes", "No"))</f>
        <v/>
      </c>
    </row>
    <row r="193" spans="1:9" x14ac:dyDescent="0.25">
      <c r="A193" s="4"/>
      <c r="B193" s="19"/>
      <c r="C193" s="5"/>
      <c r="D193" s="16"/>
      <c r="E193" s="17"/>
      <c r="F193" s="70">
        <f>_xlfn.XLOOKUP(CalibrationLog[[#This Row],[Date]], Daily!C:C, Daily!J:J, "n/a")</f>
        <v>0</v>
      </c>
      <c r="G193" s="71">
        <f>_xlfn.XLOOKUP(CalibrationLog[[#This Row],[Date]], Daily!C:C, Daily!M:M, "n/a")</f>
        <v>0</v>
      </c>
      <c r="H193" s="72" t="str">
        <f>IF(CalibrationLog[[#This Row],[Date]]="", "", IF(CalibrationLog[[#This Row],[World Error]]&lt;CalibrationLog[[#This Row],[World Error (Avg.)]], "Yes", "No"))</f>
        <v/>
      </c>
      <c r="I193" s="73" t="str">
        <f>IF(CalibrationLog[[#This Row],[Date]]="", "", IF(CalibrationLog[[#This Row],[Image Error]]&lt;G193, "Yes", "No"))</f>
        <v/>
      </c>
    </row>
    <row r="194" spans="1:9" x14ac:dyDescent="0.25">
      <c r="A194" s="4"/>
      <c r="B194" s="19"/>
      <c r="C194" s="5"/>
      <c r="D194" s="16"/>
      <c r="E194" s="17"/>
      <c r="F194" s="70">
        <f>_xlfn.XLOOKUP(CalibrationLog[[#This Row],[Date]], Daily!C:C, Daily!J:J, "n/a")</f>
        <v>0</v>
      </c>
      <c r="G194" s="71">
        <f>_xlfn.XLOOKUP(CalibrationLog[[#This Row],[Date]], Daily!C:C, Daily!M:M, "n/a")</f>
        <v>0</v>
      </c>
      <c r="H194" s="72" t="str">
        <f>IF(CalibrationLog[[#This Row],[Date]]="", "", IF(CalibrationLog[[#This Row],[World Error]]&lt;CalibrationLog[[#This Row],[World Error (Avg.)]], "Yes", "No"))</f>
        <v/>
      </c>
      <c r="I194" s="73" t="str">
        <f>IF(CalibrationLog[[#This Row],[Date]]="", "", IF(CalibrationLog[[#This Row],[Image Error]]&lt;G194, "Yes", "No"))</f>
        <v/>
      </c>
    </row>
    <row r="195" spans="1:9" x14ac:dyDescent="0.25">
      <c r="A195" s="4"/>
      <c r="B195" s="19"/>
      <c r="C195" s="5"/>
      <c r="D195" s="16"/>
      <c r="E195" s="17"/>
      <c r="F195" s="70">
        <f>_xlfn.XLOOKUP(CalibrationLog[[#This Row],[Date]], Daily!C:C, Daily!J:J, "n/a")</f>
        <v>0</v>
      </c>
      <c r="G195" s="71">
        <f>_xlfn.XLOOKUP(CalibrationLog[[#This Row],[Date]], Daily!C:C, Daily!M:M, "n/a")</f>
        <v>0</v>
      </c>
      <c r="H195" s="72" t="str">
        <f>IF(CalibrationLog[[#This Row],[Date]]="", "", IF(CalibrationLog[[#This Row],[World Error]]&lt;CalibrationLog[[#This Row],[World Error (Avg.)]], "Yes", "No"))</f>
        <v/>
      </c>
      <c r="I195" s="73" t="str">
        <f>IF(CalibrationLog[[#This Row],[Date]]="", "", IF(CalibrationLog[[#This Row],[Image Error]]&lt;G195, "Yes", "No"))</f>
        <v/>
      </c>
    </row>
    <row r="196" spans="1:9" x14ac:dyDescent="0.25">
      <c r="A196" s="4"/>
      <c r="B196" s="19"/>
      <c r="C196" s="5"/>
      <c r="D196" s="16"/>
      <c r="E196" s="17"/>
      <c r="F196" s="70">
        <f>_xlfn.XLOOKUP(CalibrationLog[[#This Row],[Date]], Daily!C:C, Daily!J:J, "n/a")</f>
        <v>0</v>
      </c>
      <c r="G196" s="71">
        <f>_xlfn.XLOOKUP(CalibrationLog[[#This Row],[Date]], Daily!C:C, Daily!M:M, "n/a")</f>
        <v>0</v>
      </c>
      <c r="H196" s="72" t="str">
        <f>IF(CalibrationLog[[#This Row],[Date]]="", "", IF(CalibrationLog[[#This Row],[World Error]]&lt;CalibrationLog[[#This Row],[World Error (Avg.)]], "Yes", "No"))</f>
        <v/>
      </c>
      <c r="I196" s="73" t="str">
        <f>IF(CalibrationLog[[#This Row],[Date]]="", "", IF(CalibrationLog[[#This Row],[Image Error]]&lt;G196, "Yes", "No"))</f>
        <v/>
      </c>
    </row>
    <row r="197" spans="1:9" x14ac:dyDescent="0.25">
      <c r="A197" s="4"/>
      <c r="B197" s="19"/>
      <c r="C197" s="5"/>
      <c r="D197" s="16"/>
      <c r="E197" s="17"/>
      <c r="F197" s="70">
        <f>_xlfn.XLOOKUP(CalibrationLog[[#This Row],[Date]], Daily!C:C, Daily!J:J, "n/a")</f>
        <v>0</v>
      </c>
      <c r="G197" s="71">
        <f>_xlfn.XLOOKUP(CalibrationLog[[#This Row],[Date]], Daily!C:C, Daily!M:M, "n/a")</f>
        <v>0</v>
      </c>
      <c r="H197" s="72" t="str">
        <f>IF(CalibrationLog[[#This Row],[Date]]="", "", IF(CalibrationLog[[#This Row],[World Error]]&lt;CalibrationLog[[#This Row],[World Error (Avg.)]], "Yes", "No"))</f>
        <v/>
      </c>
      <c r="I197" s="73" t="str">
        <f>IF(CalibrationLog[[#This Row],[Date]]="", "", IF(CalibrationLog[[#This Row],[Image Error]]&lt;G197, "Yes", "No"))</f>
        <v/>
      </c>
    </row>
    <row r="198" spans="1:9" x14ac:dyDescent="0.25">
      <c r="A198" s="4"/>
      <c r="B198" s="19"/>
      <c r="C198" s="5"/>
      <c r="D198" s="16"/>
      <c r="E198" s="17"/>
      <c r="F198" s="70">
        <f>_xlfn.XLOOKUP(CalibrationLog[[#This Row],[Date]], Daily!C:C, Daily!J:J, "n/a")</f>
        <v>0</v>
      </c>
      <c r="G198" s="71">
        <f>_xlfn.XLOOKUP(CalibrationLog[[#This Row],[Date]], Daily!C:C, Daily!M:M, "n/a")</f>
        <v>0</v>
      </c>
      <c r="H198" s="72" t="str">
        <f>IF(CalibrationLog[[#This Row],[Date]]="", "", IF(CalibrationLog[[#This Row],[World Error]]&lt;CalibrationLog[[#This Row],[World Error (Avg.)]], "Yes", "No"))</f>
        <v/>
      </c>
      <c r="I198" s="73" t="str">
        <f>IF(CalibrationLog[[#This Row],[Date]]="", "", IF(CalibrationLog[[#This Row],[Image Error]]&lt;G198, "Yes", "No"))</f>
        <v/>
      </c>
    </row>
    <row r="199" spans="1:9" x14ac:dyDescent="0.25">
      <c r="A199" s="4"/>
      <c r="B199" s="19"/>
      <c r="C199" s="5"/>
      <c r="D199" s="16"/>
      <c r="E199" s="17"/>
      <c r="F199" s="70">
        <f>_xlfn.XLOOKUP(CalibrationLog[[#This Row],[Date]], Daily!C:C, Daily!J:J, "n/a")</f>
        <v>0</v>
      </c>
      <c r="G199" s="71">
        <f>_xlfn.XLOOKUP(CalibrationLog[[#This Row],[Date]], Daily!C:C, Daily!M:M, "n/a")</f>
        <v>0</v>
      </c>
      <c r="H199" s="72" t="str">
        <f>IF(CalibrationLog[[#This Row],[Date]]="", "", IF(CalibrationLog[[#This Row],[World Error]]&lt;CalibrationLog[[#This Row],[World Error (Avg.)]], "Yes", "No"))</f>
        <v/>
      </c>
      <c r="I199" s="73" t="str">
        <f>IF(CalibrationLog[[#This Row],[Date]]="", "", IF(CalibrationLog[[#This Row],[Image Error]]&lt;G199, "Yes", "No"))</f>
        <v/>
      </c>
    </row>
    <row r="200" spans="1:9" x14ac:dyDescent="0.25">
      <c r="A200" s="4"/>
      <c r="B200" s="19"/>
      <c r="C200" s="5"/>
      <c r="D200" s="16"/>
      <c r="E200" s="17"/>
      <c r="F200" s="70">
        <f>_xlfn.XLOOKUP(CalibrationLog[[#This Row],[Date]], Daily!C:C, Daily!J:J, "n/a")</f>
        <v>0</v>
      </c>
      <c r="G200" s="71">
        <f>_xlfn.XLOOKUP(CalibrationLog[[#This Row],[Date]], Daily!C:C, Daily!M:M, "n/a")</f>
        <v>0</v>
      </c>
      <c r="H200" s="72" t="str">
        <f>IF(CalibrationLog[[#This Row],[Date]]="", "", IF(CalibrationLog[[#This Row],[World Error]]&lt;CalibrationLog[[#This Row],[World Error (Avg.)]], "Yes", "No"))</f>
        <v/>
      </c>
      <c r="I200" s="73" t="str">
        <f>IF(CalibrationLog[[#This Row],[Date]]="", "", IF(CalibrationLog[[#This Row],[Image Error]]&lt;G200, "Yes", "No"))</f>
        <v/>
      </c>
    </row>
    <row r="201" spans="1:9" x14ac:dyDescent="0.25">
      <c r="A201" s="4"/>
      <c r="B201" s="19"/>
      <c r="C201" s="5"/>
      <c r="D201" s="16"/>
      <c r="E201" s="17"/>
      <c r="F201" s="70">
        <f>_xlfn.XLOOKUP(CalibrationLog[[#This Row],[Date]], Daily!C:C, Daily!J:J, "n/a")</f>
        <v>0</v>
      </c>
      <c r="G201" s="71">
        <f>_xlfn.XLOOKUP(CalibrationLog[[#This Row],[Date]], Daily!C:C, Daily!M:M, "n/a")</f>
        <v>0</v>
      </c>
      <c r="H201" s="72" t="str">
        <f>IF(CalibrationLog[[#This Row],[Date]]="", "", IF(CalibrationLog[[#This Row],[World Error]]&lt;CalibrationLog[[#This Row],[World Error (Avg.)]], "Yes", "No"))</f>
        <v/>
      </c>
      <c r="I201" s="73" t="str">
        <f>IF(CalibrationLog[[#This Row],[Date]]="", "", IF(CalibrationLog[[#This Row],[Image Error]]&lt;G201, "Yes", "No"))</f>
        <v/>
      </c>
    </row>
    <row r="202" spans="1:9" x14ac:dyDescent="0.25">
      <c r="A202" s="4"/>
      <c r="B202" s="19"/>
      <c r="C202" s="5"/>
      <c r="D202" s="16"/>
      <c r="E202" s="17"/>
      <c r="F202" s="70">
        <f>_xlfn.XLOOKUP(CalibrationLog[[#This Row],[Date]], Daily!C:C, Daily!J:J, "n/a")</f>
        <v>0</v>
      </c>
      <c r="G202" s="71">
        <f>_xlfn.XLOOKUP(CalibrationLog[[#This Row],[Date]], Daily!C:C, Daily!M:M, "n/a")</f>
        <v>0</v>
      </c>
      <c r="H202" s="72" t="str">
        <f>IF(CalibrationLog[[#This Row],[Date]]="", "", IF(CalibrationLog[[#This Row],[World Error]]&lt;CalibrationLog[[#This Row],[World Error (Avg.)]], "Yes", "No"))</f>
        <v/>
      </c>
      <c r="I202" s="73" t="str">
        <f>IF(CalibrationLog[[#This Row],[Date]]="", "", IF(CalibrationLog[[#This Row],[Image Error]]&lt;G202, "Yes", "No"))</f>
        <v/>
      </c>
    </row>
    <row r="203" spans="1:9" x14ac:dyDescent="0.25">
      <c r="A203" s="4"/>
      <c r="B203" s="19"/>
      <c r="C203" s="5"/>
      <c r="D203" s="16"/>
      <c r="E203" s="17"/>
      <c r="F203" s="70">
        <f>_xlfn.XLOOKUP(CalibrationLog[[#This Row],[Date]], Daily!C:C, Daily!J:J, "n/a")</f>
        <v>0</v>
      </c>
      <c r="G203" s="71">
        <f>_xlfn.XLOOKUP(CalibrationLog[[#This Row],[Date]], Daily!C:C, Daily!M:M, "n/a")</f>
        <v>0</v>
      </c>
      <c r="H203" s="72" t="str">
        <f>IF(CalibrationLog[[#This Row],[Date]]="", "", IF(CalibrationLog[[#This Row],[World Error]]&lt;CalibrationLog[[#This Row],[World Error (Avg.)]], "Yes", "No"))</f>
        <v/>
      </c>
      <c r="I203" s="73" t="str">
        <f>IF(CalibrationLog[[#This Row],[Date]]="", "", IF(CalibrationLog[[#This Row],[Image Error]]&lt;G203, "Yes", "No"))</f>
        <v/>
      </c>
    </row>
    <row r="204" spans="1:9" x14ac:dyDescent="0.25">
      <c r="A204" s="4"/>
      <c r="B204" s="19"/>
      <c r="C204" s="5"/>
      <c r="D204" s="16"/>
      <c r="E204" s="17"/>
      <c r="F204" s="70">
        <f>_xlfn.XLOOKUP(CalibrationLog[[#This Row],[Date]], Daily!C:C, Daily!J:J, "n/a")</f>
        <v>0</v>
      </c>
      <c r="G204" s="71">
        <f>_xlfn.XLOOKUP(CalibrationLog[[#This Row],[Date]], Daily!C:C, Daily!M:M, "n/a")</f>
        <v>0</v>
      </c>
      <c r="H204" s="72" t="str">
        <f>IF(CalibrationLog[[#This Row],[Date]]="", "", IF(CalibrationLog[[#This Row],[World Error]]&lt;CalibrationLog[[#This Row],[World Error (Avg.)]], "Yes", "No"))</f>
        <v/>
      </c>
      <c r="I204" s="73" t="str">
        <f>IF(CalibrationLog[[#This Row],[Date]]="", "", IF(CalibrationLog[[#This Row],[Image Error]]&lt;G204, "Yes", "No"))</f>
        <v/>
      </c>
    </row>
    <row r="205" spans="1:9" x14ac:dyDescent="0.25">
      <c r="A205" s="4"/>
      <c r="B205" s="19"/>
      <c r="C205" s="5"/>
      <c r="D205" s="16"/>
      <c r="E205" s="17"/>
      <c r="F205" s="70">
        <f>_xlfn.XLOOKUP(CalibrationLog[[#This Row],[Date]], Daily!C:C, Daily!J:J, "n/a")</f>
        <v>0</v>
      </c>
      <c r="G205" s="71">
        <f>_xlfn.XLOOKUP(CalibrationLog[[#This Row],[Date]], Daily!C:C, Daily!M:M, "n/a")</f>
        <v>0</v>
      </c>
      <c r="H205" s="72" t="str">
        <f>IF(CalibrationLog[[#This Row],[Date]]="", "", IF(CalibrationLog[[#This Row],[World Error]]&lt;CalibrationLog[[#This Row],[World Error (Avg.)]], "Yes", "No"))</f>
        <v/>
      </c>
      <c r="I205" s="73" t="str">
        <f>IF(CalibrationLog[[#This Row],[Date]]="", "", IF(CalibrationLog[[#This Row],[Image Error]]&lt;G205, "Yes", "No"))</f>
        <v/>
      </c>
    </row>
    <row r="206" spans="1:9" x14ac:dyDescent="0.25">
      <c r="A206" s="4"/>
      <c r="B206" s="19"/>
      <c r="C206" s="5"/>
      <c r="D206" s="16"/>
      <c r="E206" s="17"/>
      <c r="F206" s="70">
        <f>_xlfn.XLOOKUP(CalibrationLog[[#This Row],[Date]], Daily!C:C, Daily!J:J, "n/a")</f>
        <v>0</v>
      </c>
      <c r="G206" s="71">
        <f>_xlfn.XLOOKUP(CalibrationLog[[#This Row],[Date]], Daily!C:C, Daily!M:M, "n/a")</f>
        <v>0</v>
      </c>
      <c r="H206" s="72" t="str">
        <f>IF(CalibrationLog[[#This Row],[Date]]="", "", IF(CalibrationLog[[#This Row],[World Error]]&lt;CalibrationLog[[#This Row],[World Error (Avg.)]], "Yes", "No"))</f>
        <v/>
      </c>
      <c r="I206" s="73" t="str">
        <f>IF(CalibrationLog[[#This Row],[Date]]="", "", IF(CalibrationLog[[#This Row],[Image Error]]&lt;G206, "Yes", "No"))</f>
        <v/>
      </c>
    </row>
    <row r="207" spans="1:9" x14ac:dyDescent="0.25">
      <c r="A207" s="4"/>
      <c r="B207" s="19"/>
      <c r="C207" s="5"/>
      <c r="D207" s="16"/>
      <c r="E207" s="17"/>
      <c r="F207" s="70">
        <f>_xlfn.XLOOKUP(CalibrationLog[[#This Row],[Date]], Daily!C:C, Daily!J:J, "n/a")</f>
        <v>0</v>
      </c>
      <c r="G207" s="71">
        <f>_xlfn.XLOOKUP(CalibrationLog[[#This Row],[Date]], Daily!C:C, Daily!M:M, "n/a")</f>
        <v>0</v>
      </c>
      <c r="H207" s="72" t="str">
        <f>IF(CalibrationLog[[#This Row],[Date]]="", "", IF(CalibrationLog[[#This Row],[World Error]]&lt;CalibrationLog[[#This Row],[World Error (Avg.)]], "Yes", "No"))</f>
        <v/>
      </c>
      <c r="I207" s="73" t="str">
        <f>IF(CalibrationLog[[#This Row],[Date]]="", "", IF(CalibrationLog[[#This Row],[Image Error]]&lt;G207, "Yes", "No"))</f>
        <v/>
      </c>
    </row>
    <row r="208" spans="1:9" x14ac:dyDescent="0.25">
      <c r="A208" s="4"/>
      <c r="B208" s="19"/>
      <c r="C208" s="5"/>
      <c r="D208" s="16"/>
      <c r="E208" s="17"/>
      <c r="F208" s="70">
        <f>_xlfn.XLOOKUP(CalibrationLog[[#This Row],[Date]], Daily!C:C, Daily!J:J, "n/a")</f>
        <v>0</v>
      </c>
      <c r="G208" s="71">
        <f>_xlfn.XLOOKUP(CalibrationLog[[#This Row],[Date]], Daily!C:C, Daily!M:M, "n/a")</f>
        <v>0</v>
      </c>
      <c r="H208" s="72" t="str">
        <f>IF(CalibrationLog[[#This Row],[Date]]="", "", IF(CalibrationLog[[#This Row],[World Error]]&lt;CalibrationLog[[#This Row],[World Error (Avg.)]], "Yes", "No"))</f>
        <v/>
      </c>
      <c r="I208" s="73" t="str">
        <f>IF(CalibrationLog[[#This Row],[Date]]="", "", IF(CalibrationLog[[#This Row],[Image Error]]&lt;G208, "Yes", "No"))</f>
        <v/>
      </c>
    </row>
    <row r="209" spans="1:9" x14ac:dyDescent="0.25">
      <c r="A209" s="4"/>
      <c r="B209" s="19"/>
      <c r="C209" s="5"/>
      <c r="D209" s="16"/>
      <c r="E209" s="17"/>
      <c r="F209" s="70">
        <f>_xlfn.XLOOKUP(CalibrationLog[[#This Row],[Date]], Daily!C:C, Daily!J:J, "n/a")</f>
        <v>0</v>
      </c>
      <c r="G209" s="71">
        <f>_xlfn.XLOOKUP(CalibrationLog[[#This Row],[Date]], Daily!C:C, Daily!M:M, "n/a")</f>
        <v>0</v>
      </c>
      <c r="H209" s="72" t="str">
        <f>IF(CalibrationLog[[#This Row],[Date]]="", "", IF(CalibrationLog[[#This Row],[World Error]]&lt;CalibrationLog[[#This Row],[World Error (Avg.)]], "Yes", "No"))</f>
        <v/>
      </c>
      <c r="I209" s="73" t="str">
        <f>IF(CalibrationLog[[#This Row],[Date]]="", "", IF(CalibrationLog[[#This Row],[Image Error]]&lt;G209, "Yes", "No"))</f>
        <v/>
      </c>
    </row>
    <row r="210" spans="1:9" x14ac:dyDescent="0.25">
      <c r="A210" s="4"/>
      <c r="B210" s="19"/>
      <c r="C210" s="5"/>
      <c r="D210" s="16"/>
      <c r="E210" s="17"/>
      <c r="F210" s="70">
        <f>_xlfn.XLOOKUP(CalibrationLog[[#This Row],[Date]], Daily!C:C, Daily!J:J, "n/a")</f>
        <v>0</v>
      </c>
      <c r="G210" s="71">
        <f>_xlfn.XLOOKUP(CalibrationLog[[#This Row],[Date]], Daily!C:C, Daily!M:M, "n/a")</f>
        <v>0</v>
      </c>
      <c r="H210" s="72" t="str">
        <f>IF(CalibrationLog[[#This Row],[Date]]="", "", IF(CalibrationLog[[#This Row],[World Error]]&lt;CalibrationLog[[#This Row],[World Error (Avg.)]], "Yes", "No"))</f>
        <v/>
      </c>
      <c r="I210" s="73" t="str">
        <f>IF(CalibrationLog[[#This Row],[Date]]="", "", IF(CalibrationLog[[#This Row],[Image Error]]&lt;G210, "Yes", "No"))</f>
        <v/>
      </c>
    </row>
    <row r="211" spans="1:9" x14ac:dyDescent="0.25">
      <c r="A211" s="4"/>
      <c r="B211" s="19"/>
      <c r="C211" s="5"/>
      <c r="D211" s="16"/>
      <c r="E211" s="17"/>
      <c r="F211" s="70">
        <f>_xlfn.XLOOKUP(CalibrationLog[[#This Row],[Date]], Daily!C:C, Daily!J:J, "n/a")</f>
        <v>0</v>
      </c>
      <c r="G211" s="71">
        <f>_xlfn.XLOOKUP(CalibrationLog[[#This Row],[Date]], Daily!C:C, Daily!M:M, "n/a")</f>
        <v>0</v>
      </c>
      <c r="H211" s="72" t="str">
        <f>IF(CalibrationLog[[#This Row],[Date]]="", "", IF(CalibrationLog[[#This Row],[World Error]]&lt;CalibrationLog[[#This Row],[World Error (Avg.)]], "Yes", "No"))</f>
        <v/>
      </c>
      <c r="I211" s="73" t="str">
        <f>IF(CalibrationLog[[#This Row],[Date]]="", "", IF(CalibrationLog[[#This Row],[Image Error]]&lt;G211, "Yes", "No"))</f>
        <v/>
      </c>
    </row>
    <row r="212" spans="1:9" x14ac:dyDescent="0.25">
      <c r="A212" s="4"/>
      <c r="B212" s="19"/>
      <c r="C212" s="5"/>
      <c r="D212" s="16"/>
      <c r="E212" s="17"/>
      <c r="F212" s="70">
        <f>_xlfn.XLOOKUP(CalibrationLog[[#This Row],[Date]], Daily!C:C, Daily!J:J, "n/a")</f>
        <v>0</v>
      </c>
      <c r="G212" s="71">
        <f>_xlfn.XLOOKUP(CalibrationLog[[#This Row],[Date]], Daily!C:C, Daily!M:M, "n/a")</f>
        <v>0</v>
      </c>
      <c r="H212" s="72" t="str">
        <f>IF(CalibrationLog[[#This Row],[Date]]="", "", IF(CalibrationLog[[#This Row],[World Error]]&lt;CalibrationLog[[#This Row],[World Error (Avg.)]], "Yes", "No"))</f>
        <v/>
      </c>
      <c r="I212" s="73" t="str">
        <f>IF(CalibrationLog[[#This Row],[Date]]="", "", IF(CalibrationLog[[#This Row],[Image Error]]&lt;G212, "Yes", "No"))</f>
        <v/>
      </c>
    </row>
    <row r="213" spans="1:9" x14ac:dyDescent="0.25">
      <c r="A213" s="4"/>
      <c r="B213" s="19"/>
      <c r="C213" s="5"/>
      <c r="D213" s="16"/>
      <c r="E213" s="17"/>
      <c r="F213" s="70">
        <f>_xlfn.XLOOKUP(CalibrationLog[[#This Row],[Date]], Daily!C:C, Daily!J:J, "n/a")</f>
        <v>0</v>
      </c>
      <c r="G213" s="71">
        <f>_xlfn.XLOOKUP(CalibrationLog[[#This Row],[Date]], Daily!C:C, Daily!M:M, "n/a")</f>
        <v>0</v>
      </c>
      <c r="H213" s="72" t="str">
        <f>IF(CalibrationLog[[#This Row],[Date]]="", "", IF(CalibrationLog[[#This Row],[World Error]]&lt;CalibrationLog[[#This Row],[World Error (Avg.)]], "Yes", "No"))</f>
        <v/>
      </c>
      <c r="I213" s="73" t="str">
        <f>IF(CalibrationLog[[#This Row],[Date]]="", "", IF(CalibrationLog[[#This Row],[Image Error]]&lt;G213, "Yes", "No"))</f>
        <v/>
      </c>
    </row>
    <row r="214" spans="1:9" x14ac:dyDescent="0.25">
      <c r="A214" s="4"/>
      <c r="B214" s="19"/>
      <c r="C214" s="5"/>
      <c r="D214" s="16"/>
      <c r="E214" s="17"/>
      <c r="F214" s="70">
        <f>_xlfn.XLOOKUP(CalibrationLog[[#This Row],[Date]], Daily!C:C, Daily!J:J, "n/a")</f>
        <v>0</v>
      </c>
      <c r="G214" s="71">
        <f>_xlfn.XLOOKUP(CalibrationLog[[#This Row],[Date]], Daily!C:C, Daily!M:M, "n/a")</f>
        <v>0</v>
      </c>
      <c r="H214" s="72" t="str">
        <f>IF(CalibrationLog[[#This Row],[Date]]="", "", IF(CalibrationLog[[#This Row],[World Error]]&lt;CalibrationLog[[#This Row],[World Error (Avg.)]], "Yes", "No"))</f>
        <v/>
      </c>
      <c r="I214" s="73" t="str">
        <f>IF(CalibrationLog[[#This Row],[Date]]="", "", IF(CalibrationLog[[#This Row],[Image Error]]&lt;G214, "Yes", "No"))</f>
        <v/>
      </c>
    </row>
    <row r="215" spans="1:9" x14ac:dyDescent="0.25">
      <c r="A215" s="4"/>
      <c r="B215" s="19"/>
      <c r="C215" s="5"/>
      <c r="D215" s="16"/>
      <c r="E215" s="17"/>
      <c r="F215" s="70">
        <f>_xlfn.XLOOKUP(CalibrationLog[[#This Row],[Date]], Daily!C:C, Daily!J:J, "n/a")</f>
        <v>0</v>
      </c>
      <c r="G215" s="71">
        <f>_xlfn.XLOOKUP(CalibrationLog[[#This Row],[Date]], Daily!C:C, Daily!M:M, "n/a")</f>
        <v>0</v>
      </c>
      <c r="H215" s="72" t="str">
        <f>IF(CalibrationLog[[#This Row],[Date]]="", "", IF(CalibrationLog[[#This Row],[World Error]]&lt;CalibrationLog[[#This Row],[World Error (Avg.)]], "Yes", "No"))</f>
        <v/>
      </c>
      <c r="I215" s="73" t="str">
        <f>IF(CalibrationLog[[#This Row],[Date]]="", "", IF(CalibrationLog[[#This Row],[Image Error]]&lt;G215, "Yes", "No"))</f>
        <v/>
      </c>
    </row>
    <row r="216" spans="1:9" x14ac:dyDescent="0.25">
      <c r="A216" s="4"/>
      <c r="B216" s="19"/>
      <c r="C216" s="5"/>
      <c r="D216" s="16"/>
      <c r="E216" s="17"/>
      <c r="F216" s="70">
        <f>_xlfn.XLOOKUP(CalibrationLog[[#This Row],[Date]], Daily!C:C, Daily!J:J, "n/a")</f>
        <v>0</v>
      </c>
      <c r="G216" s="71">
        <f>_xlfn.XLOOKUP(CalibrationLog[[#This Row],[Date]], Daily!C:C, Daily!M:M, "n/a")</f>
        <v>0</v>
      </c>
      <c r="H216" s="72" t="str">
        <f>IF(CalibrationLog[[#This Row],[Date]]="", "", IF(CalibrationLog[[#This Row],[World Error]]&lt;CalibrationLog[[#This Row],[World Error (Avg.)]], "Yes", "No"))</f>
        <v/>
      </c>
      <c r="I216" s="73" t="str">
        <f>IF(CalibrationLog[[#This Row],[Date]]="", "", IF(CalibrationLog[[#This Row],[Image Error]]&lt;G216, "Yes", "No"))</f>
        <v/>
      </c>
    </row>
    <row r="217" spans="1:9" x14ac:dyDescent="0.25">
      <c r="A217" s="4"/>
      <c r="B217" s="19"/>
      <c r="C217" s="5"/>
      <c r="D217" s="16"/>
      <c r="E217" s="17"/>
      <c r="F217" s="70">
        <f>_xlfn.XLOOKUP(CalibrationLog[[#This Row],[Date]], Daily!C:C, Daily!J:J, "n/a")</f>
        <v>0</v>
      </c>
      <c r="G217" s="71">
        <f>_xlfn.XLOOKUP(CalibrationLog[[#This Row],[Date]], Daily!C:C, Daily!M:M, "n/a")</f>
        <v>0</v>
      </c>
      <c r="H217" s="72" t="str">
        <f>IF(CalibrationLog[[#This Row],[Date]]="", "", IF(CalibrationLog[[#This Row],[World Error]]&lt;CalibrationLog[[#This Row],[World Error (Avg.)]], "Yes", "No"))</f>
        <v/>
      </c>
      <c r="I217" s="73" t="str">
        <f>IF(CalibrationLog[[#This Row],[Date]]="", "", IF(CalibrationLog[[#This Row],[Image Error]]&lt;G217, "Yes", "No"))</f>
        <v/>
      </c>
    </row>
    <row r="218" spans="1:9" x14ac:dyDescent="0.25">
      <c r="A218" s="4"/>
      <c r="B218" s="19"/>
      <c r="C218" s="5"/>
      <c r="D218" s="16"/>
      <c r="E218" s="17"/>
      <c r="F218" s="70">
        <f>_xlfn.XLOOKUP(CalibrationLog[[#This Row],[Date]], Daily!C:C, Daily!J:J, "n/a")</f>
        <v>0</v>
      </c>
      <c r="G218" s="71">
        <f>_xlfn.XLOOKUP(CalibrationLog[[#This Row],[Date]], Daily!C:C, Daily!M:M, "n/a")</f>
        <v>0</v>
      </c>
      <c r="H218" s="72" t="str">
        <f>IF(CalibrationLog[[#This Row],[Date]]="", "", IF(CalibrationLog[[#This Row],[World Error]]&lt;CalibrationLog[[#This Row],[World Error (Avg.)]], "Yes", "No"))</f>
        <v/>
      </c>
      <c r="I218" s="73" t="str">
        <f>IF(CalibrationLog[[#This Row],[Date]]="", "", IF(CalibrationLog[[#This Row],[Image Error]]&lt;G218, "Yes", "No"))</f>
        <v/>
      </c>
    </row>
    <row r="219" spans="1:9" x14ac:dyDescent="0.25">
      <c r="A219" s="4"/>
      <c r="B219" s="19"/>
      <c r="C219" s="5"/>
      <c r="D219" s="16"/>
      <c r="E219" s="17"/>
      <c r="F219" s="70">
        <f>_xlfn.XLOOKUP(CalibrationLog[[#This Row],[Date]], Daily!C:C, Daily!J:J, "n/a")</f>
        <v>0</v>
      </c>
      <c r="G219" s="71">
        <f>_xlfn.XLOOKUP(CalibrationLog[[#This Row],[Date]], Daily!C:C, Daily!M:M, "n/a")</f>
        <v>0</v>
      </c>
      <c r="H219" s="72" t="str">
        <f>IF(CalibrationLog[[#This Row],[Date]]="", "", IF(CalibrationLog[[#This Row],[World Error]]&lt;CalibrationLog[[#This Row],[World Error (Avg.)]], "Yes", "No"))</f>
        <v/>
      </c>
      <c r="I219" s="73" t="str">
        <f>IF(CalibrationLog[[#This Row],[Date]]="", "", IF(CalibrationLog[[#This Row],[Image Error]]&lt;G219, "Yes", "No"))</f>
        <v/>
      </c>
    </row>
    <row r="220" spans="1:9" x14ac:dyDescent="0.25">
      <c r="A220" s="4"/>
      <c r="B220" s="19"/>
      <c r="C220" s="5"/>
      <c r="D220" s="16"/>
      <c r="E220" s="17"/>
      <c r="F220" s="70">
        <f>_xlfn.XLOOKUP(CalibrationLog[[#This Row],[Date]], Daily!C:C, Daily!J:J, "n/a")</f>
        <v>0</v>
      </c>
      <c r="G220" s="71">
        <f>_xlfn.XLOOKUP(CalibrationLog[[#This Row],[Date]], Daily!C:C, Daily!M:M, "n/a")</f>
        <v>0</v>
      </c>
      <c r="H220" s="72" t="str">
        <f>IF(CalibrationLog[[#This Row],[Date]]="", "", IF(CalibrationLog[[#This Row],[World Error]]&lt;CalibrationLog[[#This Row],[World Error (Avg.)]], "Yes", "No"))</f>
        <v/>
      </c>
      <c r="I220" s="73" t="str">
        <f>IF(CalibrationLog[[#This Row],[Date]]="", "", IF(CalibrationLog[[#This Row],[Image Error]]&lt;G220, "Yes", "No"))</f>
        <v/>
      </c>
    </row>
    <row r="221" spans="1:9" x14ac:dyDescent="0.25">
      <c r="A221" s="4"/>
      <c r="B221" s="19"/>
      <c r="C221" s="5"/>
      <c r="D221" s="16"/>
      <c r="E221" s="17"/>
      <c r="F221" s="70">
        <f>_xlfn.XLOOKUP(CalibrationLog[[#This Row],[Date]], Daily!C:C, Daily!J:J, "n/a")</f>
        <v>0</v>
      </c>
      <c r="G221" s="71">
        <f>_xlfn.XLOOKUP(CalibrationLog[[#This Row],[Date]], Daily!C:C, Daily!M:M, "n/a")</f>
        <v>0</v>
      </c>
      <c r="H221" s="72" t="str">
        <f>IF(CalibrationLog[[#This Row],[Date]]="", "", IF(CalibrationLog[[#This Row],[World Error]]&lt;CalibrationLog[[#This Row],[World Error (Avg.)]], "Yes", "No"))</f>
        <v/>
      </c>
      <c r="I221" s="73" t="str">
        <f>IF(CalibrationLog[[#This Row],[Date]]="", "", IF(CalibrationLog[[#This Row],[Image Error]]&lt;G221, "Yes", "No"))</f>
        <v/>
      </c>
    </row>
    <row r="222" spans="1:9" x14ac:dyDescent="0.25">
      <c r="A222" s="4"/>
      <c r="B222" s="19"/>
      <c r="C222" s="5"/>
      <c r="D222" s="16"/>
      <c r="E222" s="17"/>
      <c r="F222" s="70">
        <f>_xlfn.XLOOKUP(CalibrationLog[[#This Row],[Date]], Daily!C:C, Daily!J:J, "n/a")</f>
        <v>0</v>
      </c>
      <c r="G222" s="71">
        <f>_xlfn.XLOOKUP(CalibrationLog[[#This Row],[Date]], Daily!C:C, Daily!M:M, "n/a")</f>
        <v>0</v>
      </c>
      <c r="H222" s="72" t="str">
        <f>IF(CalibrationLog[[#This Row],[Date]]="", "", IF(CalibrationLog[[#This Row],[World Error]]&lt;CalibrationLog[[#This Row],[World Error (Avg.)]], "Yes", "No"))</f>
        <v/>
      </c>
      <c r="I222" s="73" t="str">
        <f>IF(CalibrationLog[[#This Row],[Date]]="", "", IF(CalibrationLog[[#This Row],[Image Error]]&lt;G222, "Yes", "No"))</f>
        <v/>
      </c>
    </row>
    <row r="223" spans="1:9" x14ac:dyDescent="0.25">
      <c r="A223" s="4"/>
      <c r="B223" s="19"/>
      <c r="C223" s="5"/>
      <c r="D223" s="16"/>
      <c r="E223" s="17"/>
      <c r="F223" s="70">
        <f>_xlfn.XLOOKUP(CalibrationLog[[#This Row],[Date]], Daily!C:C, Daily!J:J, "n/a")</f>
        <v>0</v>
      </c>
      <c r="G223" s="71">
        <f>_xlfn.XLOOKUP(CalibrationLog[[#This Row],[Date]], Daily!C:C, Daily!M:M, "n/a")</f>
        <v>0</v>
      </c>
      <c r="H223" s="72" t="str">
        <f>IF(CalibrationLog[[#This Row],[Date]]="", "", IF(CalibrationLog[[#This Row],[World Error]]&lt;CalibrationLog[[#This Row],[World Error (Avg.)]], "Yes", "No"))</f>
        <v/>
      </c>
      <c r="I223" s="73" t="str">
        <f>IF(CalibrationLog[[#This Row],[Date]]="", "", IF(CalibrationLog[[#This Row],[Image Error]]&lt;G223, "Yes", "No"))</f>
        <v/>
      </c>
    </row>
    <row r="224" spans="1:9" x14ac:dyDescent="0.25">
      <c r="A224" s="4"/>
      <c r="B224" s="19"/>
      <c r="C224" s="5"/>
      <c r="D224" s="16"/>
      <c r="E224" s="17"/>
      <c r="F224" s="70">
        <f>_xlfn.XLOOKUP(CalibrationLog[[#This Row],[Date]], Daily!C:C, Daily!J:J, "n/a")</f>
        <v>0</v>
      </c>
      <c r="G224" s="71">
        <f>_xlfn.XLOOKUP(CalibrationLog[[#This Row],[Date]], Daily!C:C, Daily!M:M, "n/a")</f>
        <v>0</v>
      </c>
      <c r="H224" s="72" t="str">
        <f>IF(CalibrationLog[[#This Row],[Date]]="", "", IF(CalibrationLog[[#This Row],[World Error]]&lt;CalibrationLog[[#This Row],[World Error (Avg.)]], "Yes", "No"))</f>
        <v/>
      </c>
      <c r="I224" s="73" t="str">
        <f>IF(CalibrationLog[[#This Row],[Date]]="", "", IF(CalibrationLog[[#This Row],[Image Error]]&lt;G224, "Yes", "No"))</f>
        <v/>
      </c>
    </row>
    <row r="225" spans="1:9" x14ac:dyDescent="0.25">
      <c r="A225" s="4"/>
      <c r="B225" s="19"/>
      <c r="C225" s="5"/>
      <c r="D225" s="16"/>
      <c r="E225" s="17"/>
      <c r="F225" s="70">
        <f>_xlfn.XLOOKUP(CalibrationLog[[#This Row],[Date]], Daily!C:C, Daily!J:J, "n/a")</f>
        <v>0</v>
      </c>
      <c r="G225" s="71">
        <f>_xlfn.XLOOKUP(CalibrationLog[[#This Row],[Date]], Daily!C:C, Daily!M:M, "n/a")</f>
        <v>0</v>
      </c>
      <c r="H225" s="72" t="str">
        <f>IF(CalibrationLog[[#This Row],[Date]]="", "", IF(CalibrationLog[[#This Row],[World Error]]&lt;CalibrationLog[[#This Row],[World Error (Avg.)]], "Yes", "No"))</f>
        <v/>
      </c>
      <c r="I225" s="73" t="str">
        <f>IF(CalibrationLog[[#This Row],[Date]]="", "", IF(CalibrationLog[[#This Row],[Image Error]]&lt;G225, "Yes", "No"))</f>
        <v/>
      </c>
    </row>
    <row r="226" spans="1:9" x14ac:dyDescent="0.25">
      <c r="A226" s="4"/>
      <c r="B226" s="19"/>
      <c r="C226" s="5"/>
      <c r="D226" s="16"/>
      <c r="E226" s="17"/>
      <c r="F226" s="70">
        <f>_xlfn.XLOOKUP(CalibrationLog[[#This Row],[Date]], Daily!C:C, Daily!J:J, "n/a")</f>
        <v>0</v>
      </c>
      <c r="G226" s="71">
        <f>_xlfn.XLOOKUP(CalibrationLog[[#This Row],[Date]], Daily!C:C, Daily!M:M, "n/a")</f>
        <v>0</v>
      </c>
      <c r="H226" s="72" t="str">
        <f>IF(CalibrationLog[[#This Row],[Date]]="", "", IF(CalibrationLog[[#This Row],[World Error]]&lt;CalibrationLog[[#This Row],[World Error (Avg.)]], "Yes", "No"))</f>
        <v/>
      </c>
      <c r="I226" s="73" t="str">
        <f>IF(CalibrationLog[[#This Row],[Date]]="", "", IF(CalibrationLog[[#This Row],[Image Error]]&lt;G226, "Yes", "No"))</f>
        <v/>
      </c>
    </row>
    <row r="227" spans="1:9" x14ac:dyDescent="0.25">
      <c r="A227" s="4"/>
      <c r="B227" s="19"/>
      <c r="C227" s="5"/>
      <c r="D227" s="16"/>
      <c r="E227" s="17"/>
      <c r="F227" s="70">
        <f>_xlfn.XLOOKUP(CalibrationLog[[#This Row],[Date]], Daily!C:C, Daily!J:J, "n/a")</f>
        <v>0</v>
      </c>
      <c r="G227" s="71">
        <f>_xlfn.XLOOKUP(CalibrationLog[[#This Row],[Date]], Daily!C:C, Daily!M:M, "n/a")</f>
        <v>0</v>
      </c>
      <c r="H227" s="72" t="str">
        <f>IF(CalibrationLog[[#This Row],[Date]]="", "", IF(CalibrationLog[[#This Row],[World Error]]&lt;CalibrationLog[[#This Row],[World Error (Avg.)]], "Yes", "No"))</f>
        <v/>
      </c>
      <c r="I227" s="73" t="str">
        <f>IF(CalibrationLog[[#This Row],[Date]]="", "", IF(CalibrationLog[[#This Row],[Image Error]]&lt;G227, "Yes", "No"))</f>
        <v/>
      </c>
    </row>
    <row r="228" spans="1:9" x14ac:dyDescent="0.25">
      <c r="A228" s="4"/>
      <c r="B228" s="19"/>
      <c r="C228" s="5"/>
      <c r="D228" s="16"/>
      <c r="E228" s="17"/>
      <c r="F228" s="70">
        <f>_xlfn.XLOOKUP(CalibrationLog[[#This Row],[Date]], Daily!C:C, Daily!J:J, "n/a")</f>
        <v>0</v>
      </c>
      <c r="G228" s="71">
        <f>_xlfn.XLOOKUP(CalibrationLog[[#This Row],[Date]], Daily!C:C, Daily!M:M, "n/a")</f>
        <v>0</v>
      </c>
      <c r="H228" s="72" t="str">
        <f>IF(CalibrationLog[[#This Row],[Date]]="", "", IF(CalibrationLog[[#This Row],[World Error]]&lt;CalibrationLog[[#This Row],[World Error (Avg.)]], "Yes", "No"))</f>
        <v/>
      </c>
      <c r="I228" s="73" t="str">
        <f>IF(CalibrationLog[[#This Row],[Date]]="", "", IF(CalibrationLog[[#This Row],[Image Error]]&lt;G228, "Yes", "No"))</f>
        <v/>
      </c>
    </row>
    <row r="229" spans="1:9" x14ac:dyDescent="0.25">
      <c r="A229" s="4"/>
      <c r="B229" s="19"/>
      <c r="C229" s="5"/>
      <c r="D229" s="16"/>
      <c r="E229" s="17"/>
      <c r="F229" s="70">
        <f>_xlfn.XLOOKUP(CalibrationLog[[#This Row],[Date]], Daily!C:C, Daily!J:J, "n/a")</f>
        <v>0</v>
      </c>
      <c r="G229" s="71">
        <f>_xlfn.XLOOKUP(CalibrationLog[[#This Row],[Date]], Daily!C:C, Daily!M:M, "n/a")</f>
        <v>0</v>
      </c>
      <c r="H229" s="72" t="str">
        <f>IF(CalibrationLog[[#This Row],[Date]]="", "", IF(CalibrationLog[[#This Row],[World Error]]&lt;CalibrationLog[[#This Row],[World Error (Avg.)]], "Yes", "No"))</f>
        <v/>
      </c>
      <c r="I229" s="73" t="str">
        <f>IF(CalibrationLog[[#This Row],[Date]]="", "", IF(CalibrationLog[[#This Row],[Image Error]]&lt;G229, "Yes", "No"))</f>
        <v/>
      </c>
    </row>
    <row r="230" spans="1:9" x14ac:dyDescent="0.25">
      <c r="A230" s="4"/>
      <c r="B230" s="19"/>
      <c r="C230" s="5"/>
      <c r="D230" s="16"/>
      <c r="E230" s="17"/>
      <c r="F230" s="70">
        <f>_xlfn.XLOOKUP(CalibrationLog[[#This Row],[Date]], Daily!C:C, Daily!J:J, "n/a")</f>
        <v>0</v>
      </c>
      <c r="G230" s="71">
        <f>_xlfn.XLOOKUP(CalibrationLog[[#This Row],[Date]], Daily!C:C, Daily!M:M, "n/a")</f>
        <v>0</v>
      </c>
      <c r="H230" s="72" t="str">
        <f>IF(CalibrationLog[[#This Row],[Date]]="", "", IF(CalibrationLog[[#This Row],[World Error]]&lt;CalibrationLog[[#This Row],[World Error (Avg.)]], "Yes", "No"))</f>
        <v/>
      </c>
      <c r="I230" s="73" t="str">
        <f>IF(CalibrationLog[[#This Row],[Date]]="", "", IF(CalibrationLog[[#This Row],[Image Error]]&lt;G230, "Yes", "No"))</f>
        <v/>
      </c>
    </row>
    <row r="232" spans="1:9" x14ac:dyDescent="0.25">
      <c r="A232" s="6"/>
    </row>
  </sheetData>
  <mergeCells count="5">
    <mergeCell ref="F2:G2"/>
    <mergeCell ref="D2:E2"/>
    <mergeCell ref="H2:I2"/>
    <mergeCell ref="A2:C2"/>
    <mergeCell ref="A1:I1"/>
  </mergeCells>
  <conditionalFormatting sqref="H2:I1048576">
    <cfRule type="cellIs" dxfId="31" priority="1" operator="equal">
      <formula>"No"</formula>
    </cfRule>
    <cfRule type="cellIs" dxfId="30"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'Data-Lists'!$A$3:$A$20</xm:f>
          </x14:formula1>
          <x14:formula2>
            <xm:f>0</xm:f>
          </x14:formula2>
          <xm:sqref>B4:B128 B129:B1232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BD32E-BC63-4028-AEFB-EA8F92D9BC6F}">
  <sheetPr>
    <tabColor theme="3" tint="-0.249977111117893"/>
  </sheetPr>
  <dimension ref="A1:U570"/>
  <sheetViews>
    <sheetView showZeros="0" zoomScaleNormal="100" workbookViewId="0">
      <pane ySplit="2" topLeftCell="A389" activePane="bottomLeft" state="frozen"/>
      <selection pane="bottomLeft" activeCell="G398" sqref="G398:G415"/>
    </sheetView>
  </sheetViews>
  <sheetFormatPr defaultColWidth="8.6640625" defaultRowHeight="14.4" x14ac:dyDescent="0.3"/>
  <cols>
    <col min="1" max="1" width="10.77734375" style="192" customWidth="1"/>
    <col min="2" max="2" width="15.77734375" style="282" customWidth="1"/>
    <col min="3" max="3" width="17.109375" style="183" customWidth="1"/>
    <col min="4" max="4" width="19.33203125" style="188" customWidth="1"/>
    <col min="5" max="5" width="17.44140625" style="189" customWidth="1"/>
    <col min="6" max="6" width="17.44140625" style="190" customWidth="1"/>
    <col min="7" max="7" width="17.44140625" style="191" customWidth="1"/>
    <col min="8" max="8" width="19.88671875" style="177" customWidth="1"/>
    <col min="9" max="9" width="19.88671875" style="178" customWidth="1"/>
    <col min="10" max="10" width="0" style="172" hidden="1" customWidth="1"/>
    <col min="11" max="11" width="0" style="174" hidden="1" customWidth="1"/>
  </cols>
  <sheetData>
    <row r="1" spans="1:21" ht="19.95" customHeight="1" x14ac:dyDescent="0.3">
      <c r="A1" s="198" t="s">
        <v>133</v>
      </c>
      <c r="B1" s="199"/>
      <c r="C1" s="199"/>
      <c r="D1" s="199"/>
      <c r="E1" s="200"/>
      <c r="F1" s="197" t="s">
        <v>119</v>
      </c>
      <c r="G1" s="197"/>
      <c r="H1" s="179" t="s">
        <v>118</v>
      </c>
      <c r="I1" s="179"/>
      <c r="J1" s="175" t="s">
        <v>41</v>
      </c>
      <c r="K1" s="175"/>
    </row>
    <row r="2" spans="1:21" s="170" customFormat="1" ht="34.950000000000003" customHeight="1" x14ac:dyDescent="0.3">
      <c r="A2" s="300" t="s">
        <v>112</v>
      </c>
      <c r="B2" s="280" t="s">
        <v>171</v>
      </c>
      <c r="C2" s="193" t="s">
        <v>31</v>
      </c>
      <c r="D2" s="194" t="s">
        <v>13</v>
      </c>
      <c r="E2" s="195" t="s">
        <v>32</v>
      </c>
      <c r="F2" s="196" t="s">
        <v>33</v>
      </c>
      <c r="G2" s="196" t="s">
        <v>34</v>
      </c>
      <c r="H2" s="180" t="s">
        <v>38</v>
      </c>
      <c r="I2" s="180" t="s">
        <v>39</v>
      </c>
      <c r="J2" s="171" t="s">
        <v>42</v>
      </c>
      <c r="K2" s="171" t="s">
        <v>43</v>
      </c>
    </row>
    <row r="3" spans="1:21" x14ac:dyDescent="0.3">
      <c r="A3" s="182" t="s">
        <v>107</v>
      </c>
      <c r="B3" s="281" t="s">
        <v>117</v>
      </c>
      <c r="C3" s="183">
        <v>46228</v>
      </c>
      <c r="D3" s="184" t="s">
        <v>14</v>
      </c>
      <c r="E3" s="185">
        <v>2306</v>
      </c>
      <c r="F3" s="186">
        <v>0.274982</v>
      </c>
      <c r="G3" s="187">
        <v>7.9356800000000005E-2</v>
      </c>
      <c r="H3" s="177">
        <f>IFERROR(AVERAGEIFS($F:$F, $A:$A, $A3, $B:$B,$B3, $C:$C,$C3),"")</f>
        <v>0.3911837647058824</v>
      </c>
      <c r="I3" s="178">
        <f>IFERROR(AVERAGEIFS($G:$G, $A:$A, $A3, $B:$B,$B3, $C:$C,$C3),"")</f>
        <v>9.2278499999999999E-2</v>
      </c>
      <c r="J3" s="172" t="str">
        <f>IF(AND(F3&lt;&gt;"", H3&lt;&gt;""), IF(F3&lt;H3,"Yes","No"), "")</f>
        <v>Yes</v>
      </c>
      <c r="K3" s="173" t="str">
        <f>IF(AND(G3&lt;&gt;"", I3&lt;&gt;""), IF(G3&lt;I3,"Yes","No"), "")</f>
        <v>Yes</v>
      </c>
    </row>
    <row r="4" spans="1:21" ht="18" x14ac:dyDescent="0.3">
      <c r="A4" s="182" t="s">
        <v>107</v>
      </c>
      <c r="B4" s="281" t="s">
        <v>117</v>
      </c>
      <c r="C4" s="183">
        <v>46228</v>
      </c>
      <c r="D4" s="184" t="s">
        <v>15</v>
      </c>
      <c r="E4" s="185">
        <v>2392</v>
      </c>
      <c r="F4" s="186">
        <v>0.42184300000000002</v>
      </c>
      <c r="G4" s="187">
        <v>0.112306</v>
      </c>
      <c r="H4" s="177">
        <f>IFERROR(AVERAGEIFS($F:$F, $A:$A, $A4, $B:$B,$B4, $C:$C,$C4),"")</f>
        <v>0.3911837647058824</v>
      </c>
      <c r="I4" s="178">
        <f>IFERROR(AVERAGEIFS($G:$G, $A:$A, $A4, $B:$B,$B4, $C:$C,$C4),"")</f>
        <v>9.2278499999999999E-2</v>
      </c>
      <c r="J4" s="172" t="str">
        <f>IF(AND(F4&lt;&gt;"", H4&lt;&gt;""), IF(F4&lt;H4,"Yes","No"), "")</f>
        <v>No</v>
      </c>
      <c r="K4" s="173" t="str">
        <f>IF(AND(G4&lt;&gt;"", I4&lt;&gt;""), IF(G4&lt;I4,"Yes","No"), "")</f>
        <v>No</v>
      </c>
      <c r="M4" s="213" t="s">
        <v>132</v>
      </c>
      <c r="N4" s="213"/>
      <c r="O4" s="213"/>
    </row>
    <row r="5" spans="1:21" x14ac:dyDescent="0.3">
      <c r="A5" s="182" t="s">
        <v>107</v>
      </c>
      <c r="B5" s="281" t="s">
        <v>117</v>
      </c>
      <c r="C5" s="183">
        <v>46228</v>
      </c>
      <c r="D5" s="184" t="s">
        <v>16</v>
      </c>
      <c r="E5" s="185">
        <v>1810</v>
      </c>
      <c r="F5" s="186">
        <v>0.39858399999999999</v>
      </c>
      <c r="G5" s="187">
        <v>9.2427499999999996E-2</v>
      </c>
      <c r="H5" s="177">
        <f>IFERROR(AVERAGEIFS($F:$F, $A:$A, $A5, $B:$B,$B5, $C:$C,$C5),"")</f>
        <v>0.3911837647058824</v>
      </c>
      <c r="I5" s="178">
        <f>IFERROR(AVERAGEIFS($G:$G, $A:$A, $A5, $B:$B,$B5, $C:$C,$C5),"")</f>
        <v>9.2278499999999999E-2</v>
      </c>
      <c r="J5" s="172" t="str">
        <f>IF(AND(F5&lt;&gt;"", H5&lt;&gt;""), IF(F5&lt;H5,"Yes","No"), "")</f>
        <v>No</v>
      </c>
      <c r="K5" s="173" t="str">
        <f>IF(AND(G5&lt;&gt;"", I5&lt;&gt;""), IF(G5&lt;I5,"Yes","No"), "")</f>
        <v>No</v>
      </c>
    </row>
    <row r="6" spans="1:21" x14ac:dyDescent="0.3">
      <c r="A6" s="182" t="s">
        <v>107</v>
      </c>
      <c r="B6" s="281" t="s">
        <v>117</v>
      </c>
      <c r="C6" s="183">
        <v>46228</v>
      </c>
      <c r="D6" s="184" t="s">
        <v>17</v>
      </c>
      <c r="E6" s="185">
        <v>2277</v>
      </c>
      <c r="F6" s="186">
        <v>0.62003600000000003</v>
      </c>
      <c r="G6" s="187">
        <v>0.12157900000000001</v>
      </c>
      <c r="H6" s="177">
        <f>IFERROR(AVERAGEIFS($F:$F, $A:$A, $A6, $B:$B,$B6, $C:$C,$C6),"")</f>
        <v>0.3911837647058824</v>
      </c>
      <c r="I6" s="178">
        <f>IFERROR(AVERAGEIFS($G:$G, $A:$A, $A6, $B:$B,$B6, $C:$C,$C6),"")</f>
        <v>9.2278499999999999E-2</v>
      </c>
      <c r="J6" s="172" t="str">
        <f>IF(AND(F6&lt;&gt;"", H6&lt;&gt;""), IF(F6&lt;H6,"Yes","No"), "")</f>
        <v>No</v>
      </c>
      <c r="K6" s="173" t="str">
        <f>IF(AND(G6&lt;&gt;"", I6&lt;&gt;""), IF(G6&lt;I6,"Yes","No"), "")</f>
        <v>No</v>
      </c>
      <c r="M6" s="204" t="s">
        <v>131</v>
      </c>
      <c r="N6" s="205"/>
    </row>
    <row r="7" spans="1:21" x14ac:dyDescent="0.3">
      <c r="A7" s="182" t="s">
        <v>107</v>
      </c>
      <c r="B7" s="281" t="s">
        <v>117</v>
      </c>
      <c r="C7" s="183">
        <v>46228</v>
      </c>
      <c r="D7" s="184" t="s">
        <v>18</v>
      </c>
      <c r="E7" s="185">
        <v>2240</v>
      </c>
      <c r="F7" s="186">
        <v>0.19189300000000001</v>
      </c>
      <c r="G7" s="187">
        <v>4.4366900000000001E-2</v>
      </c>
      <c r="H7" s="177">
        <f>IFERROR(AVERAGEIFS($F:$F, $A:$A, $A7, $B:$B,$B7, $C:$C,$C7),"")</f>
        <v>0.3911837647058824</v>
      </c>
      <c r="I7" s="178">
        <f>IFERROR(AVERAGEIFS($G:$G, $A:$A, $A7, $B:$B,$B7, $C:$C,$C7),"")</f>
        <v>9.2278499999999999E-2</v>
      </c>
      <c r="J7" s="172" t="str">
        <f>IF(AND(F7&lt;&gt;"", H7&lt;&gt;""), IF(F7&lt;H7,"Yes","No"), "")</f>
        <v>Yes</v>
      </c>
      <c r="K7" s="173" t="str">
        <f>IF(AND(G7&lt;&gt;"", I7&lt;&gt;""), IF(G7&lt;I7,"Yes","No"), "")</f>
        <v>Yes</v>
      </c>
      <c r="M7" s="207" t="s">
        <v>111</v>
      </c>
      <c r="N7" s="208"/>
      <c r="O7" s="201" t="s">
        <v>126</v>
      </c>
      <c r="P7" s="202"/>
      <c r="Q7" s="202"/>
      <c r="R7" s="202"/>
      <c r="S7" s="202"/>
      <c r="T7" s="202"/>
      <c r="U7" s="203"/>
    </row>
    <row r="8" spans="1:21" x14ac:dyDescent="0.3">
      <c r="A8" s="182" t="s">
        <v>107</v>
      </c>
      <c r="B8" s="281" t="s">
        <v>117</v>
      </c>
      <c r="C8" s="183">
        <v>46228</v>
      </c>
      <c r="D8" s="184" t="s">
        <v>19</v>
      </c>
      <c r="E8" s="185">
        <v>2754</v>
      </c>
      <c r="F8" s="186">
        <v>0.44223499999999999</v>
      </c>
      <c r="G8" s="187">
        <v>8.9975399999999997E-2</v>
      </c>
      <c r="H8" s="177">
        <f>IFERROR(AVERAGEIFS($F:$F, $A:$A, $A8, $B:$B,$B8, $C:$C,$C8),"")</f>
        <v>0.3911837647058824</v>
      </c>
      <c r="I8" s="178">
        <f>IFERROR(AVERAGEIFS($G:$G, $A:$A, $A8, $B:$B,$B8, $C:$C,$C8),"")</f>
        <v>9.2278499999999999E-2</v>
      </c>
      <c r="J8" s="172" t="str">
        <f>IF(AND(F8&lt;&gt;"", H8&lt;&gt;""), IF(F8&lt;H8,"Yes","No"), "")</f>
        <v>No</v>
      </c>
      <c r="K8" s="173" t="str">
        <f>IF(AND(G8&lt;&gt;"", I8&lt;&gt;""), IF(G8&lt;I8,"Yes","No"), "")</f>
        <v>Yes</v>
      </c>
      <c r="M8" s="207" t="s">
        <v>116</v>
      </c>
      <c r="N8" s="208"/>
      <c r="O8" s="201" t="s">
        <v>127</v>
      </c>
      <c r="P8" s="202"/>
      <c r="Q8" s="202"/>
      <c r="R8" s="202"/>
      <c r="S8" s="202"/>
      <c r="T8" s="202"/>
      <c r="U8" s="203"/>
    </row>
    <row r="9" spans="1:21" x14ac:dyDescent="0.3">
      <c r="A9" s="182" t="s">
        <v>107</v>
      </c>
      <c r="B9" s="281" t="s">
        <v>117</v>
      </c>
      <c r="C9" s="183">
        <v>46228</v>
      </c>
      <c r="D9" s="184" t="s">
        <v>20</v>
      </c>
      <c r="E9" s="185">
        <v>3007</v>
      </c>
      <c r="F9" s="186">
        <v>0.50989600000000002</v>
      </c>
      <c r="G9" s="187">
        <v>0.102799</v>
      </c>
      <c r="H9" s="177">
        <f>IFERROR(AVERAGEIFS($F:$F, $A:$A, $A9, $B:$B,$B9, $C:$C,$C9),"")</f>
        <v>0.3911837647058824</v>
      </c>
      <c r="I9" s="178">
        <f>IFERROR(AVERAGEIFS($G:$G, $A:$A, $A9, $B:$B,$B9, $C:$C,$C9),"")</f>
        <v>9.2278499999999999E-2</v>
      </c>
      <c r="J9" s="172" t="str">
        <f>IF(AND(F9&lt;&gt;"", H9&lt;&gt;""), IF(F9&lt;H9,"Yes","No"), "")</f>
        <v>No</v>
      </c>
      <c r="K9" s="173" t="str">
        <f>IF(AND(G9&lt;&gt;"", I9&lt;&gt;""), IF(G9&lt;I9,"Yes","No"), "")</f>
        <v>No</v>
      </c>
      <c r="M9" s="207" t="s">
        <v>31</v>
      </c>
      <c r="N9" s="208"/>
      <c r="O9" s="201" t="s">
        <v>125</v>
      </c>
      <c r="P9" s="202"/>
      <c r="Q9" s="202"/>
      <c r="R9" s="202"/>
      <c r="S9" s="202"/>
      <c r="T9" s="202"/>
      <c r="U9" s="203"/>
    </row>
    <row r="10" spans="1:21" x14ac:dyDescent="0.3">
      <c r="A10" s="182" t="s">
        <v>107</v>
      </c>
      <c r="B10" s="281" t="s">
        <v>117</v>
      </c>
      <c r="C10" s="183">
        <v>46228</v>
      </c>
      <c r="D10" s="184" t="s">
        <v>21</v>
      </c>
      <c r="E10" s="185">
        <v>2832</v>
      </c>
      <c r="F10" s="186">
        <v>0.39593499999999998</v>
      </c>
      <c r="G10" s="187">
        <v>7.95796E-2</v>
      </c>
      <c r="H10" s="177">
        <f>IFERROR(AVERAGEIFS($F:$F, $A:$A, $A10, $B:$B,$B10, $C:$C,$C10),"")</f>
        <v>0.3911837647058824</v>
      </c>
      <c r="I10" s="178">
        <f>IFERROR(AVERAGEIFS($G:$G, $A:$A, $A10, $B:$B,$B10, $C:$C,$C10),"")</f>
        <v>9.2278499999999999E-2</v>
      </c>
      <c r="J10" s="172" t="str">
        <f>IF(AND(F10&lt;&gt;"", H10&lt;&gt;""), IF(F10&lt;H10,"Yes","No"), "")</f>
        <v>No</v>
      </c>
      <c r="K10" s="173" t="str">
        <f>IF(AND(G10&lt;&gt;"", I10&lt;&gt;""), IF(G10&lt;I10,"Yes","No"), "")</f>
        <v>Yes</v>
      </c>
      <c r="M10" s="207" t="s">
        <v>13</v>
      </c>
      <c r="N10" s="208"/>
      <c r="O10" s="201" t="s">
        <v>124</v>
      </c>
      <c r="P10" s="202"/>
      <c r="Q10" s="202"/>
      <c r="R10" s="202"/>
      <c r="S10" s="202"/>
      <c r="T10" s="202"/>
      <c r="U10" s="203"/>
    </row>
    <row r="11" spans="1:21" x14ac:dyDescent="0.3">
      <c r="A11" s="182" t="s">
        <v>107</v>
      </c>
      <c r="B11" s="281" t="s">
        <v>117</v>
      </c>
      <c r="C11" s="183">
        <v>46228</v>
      </c>
      <c r="D11" s="184" t="s">
        <v>22</v>
      </c>
      <c r="E11" s="185">
        <v>2120</v>
      </c>
      <c r="F11" s="186">
        <v>0.49960599999999999</v>
      </c>
      <c r="G11" s="187">
        <v>0.13203699999999999</v>
      </c>
      <c r="H11" s="177">
        <f>IFERROR(AVERAGEIFS($F:$F, $A:$A, $A11, $B:$B,$B11, $C:$C,$C11),"")</f>
        <v>0.3911837647058824</v>
      </c>
      <c r="I11" s="178">
        <f>IFERROR(AVERAGEIFS($G:$G, $A:$A, $A11, $B:$B,$B11, $C:$C,$C11),"")</f>
        <v>9.2278499999999999E-2</v>
      </c>
      <c r="J11" s="172" t="str">
        <f>IF(AND(F11&lt;&gt;"", H11&lt;&gt;""), IF(F11&lt;H11,"Yes","No"), "")</f>
        <v>No</v>
      </c>
      <c r="K11" s="173" t="str">
        <f>IF(AND(G11&lt;&gt;"", I11&lt;&gt;""), IF(G11&lt;I11,"Yes","No"), "")</f>
        <v>No</v>
      </c>
      <c r="M11" s="209" t="s">
        <v>32</v>
      </c>
      <c r="N11" s="209"/>
      <c r="O11" s="176" t="s">
        <v>123</v>
      </c>
      <c r="P11" s="176"/>
      <c r="Q11" s="176"/>
      <c r="R11" s="176"/>
      <c r="S11" s="176"/>
      <c r="T11" s="176"/>
      <c r="U11" s="176"/>
    </row>
    <row r="12" spans="1:21" x14ac:dyDescent="0.3">
      <c r="A12" s="182" t="s">
        <v>107</v>
      </c>
      <c r="B12" s="281" t="s">
        <v>117</v>
      </c>
      <c r="C12" s="183">
        <v>46228</v>
      </c>
      <c r="D12" s="184" t="s">
        <v>23</v>
      </c>
      <c r="E12" s="185">
        <v>1471</v>
      </c>
      <c r="F12" s="186">
        <v>0.13059299999999999</v>
      </c>
      <c r="G12" s="187">
        <v>4.5056100000000002E-2</v>
      </c>
      <c r="H12" s="177">
        <f>IFERROR(AVERAGEIFS($F:$F, $A:$A, $A12, $B:$B,$B12, $C:$C,$C12),"")</f>
        <v>0.3911837647058824</v>
      </c>
      <c r="I12" s="178">
        <f>IFERROR(AVERAGEIFS($G:$G, $A:$A, $A12, $B:$B,$B12, $C:$C,$C12),"")</f>
        <v>9.2278499999999999E-2</v>
      </c>
      <c r="J12" s="172" t="str">
        <f>IF(AND(F12&lt;&gt;"", H12&lt;&gt;""), IF(F12&lt;H12,"Yes","No"), "")</f>
        <v>Yes</v>
      </c>
      <c r="K12" s="173" t="str">
        <f>IF(AND(G12&lt;&gt;"", I12&lt;&gt;""), IF(G12&lt;I12,"Yes","No"), "")</f>
        <v>Yes</v>
      </c>
      <c r="M12" s="209" t="s">
        <v>33</v>
      </c>
      <c r="N12" s="209"/>
      <c r="O12" s="176" t="s">
        <v>122</v>
      </c>
      <c r="P12" s="176"/>
      <c r="Q12" s="176"/>
      <c r="R12" s="176"/>
      <c r="S12" s="176"/>
      <c r="T12" s="176"/>
      <c r="U12" s="176"/>
    </row>
    <row r="13" spans="1:21" x14ac:dyDescent="0.3">
      <c r="A13" s="182" t="s">
        <v>107</v>
      </c>
      <c r="B13" s="281" t="s">
        <v>117</v>
      </c>
      <c r="C13" s="183">
        <v>46228</v>
      </c>
      <c r="D13" s="184" t="s">
        <v>24</v>
      </c>
      <c r="E13" s="185">
        <v>1657</v>
      </c>
      <c r="F13" s="186">
        <v>0.428371</v>
      </c>
      <c r="G13" s="187">
        <v>0.14066300000000001</v>
      </c>
      <c r="H13" s="177">
        <f>IFERROR(AVERAGEIFS($F:$F, $A:$A, $A13, $B:$B,$B13, $C:$C,$C13),"")</f>
        <v>0.3911837647058824</v>
      </c>
      <c r="I13" s="178">
        <f>IFERROR(AVERAGEIFS($G:$G, $A:$A, $A13, $B:$B,$B13, $C:$C,$C13),"")</f>
        <v>9.2278499999999999E-2</v>
      </c>
      <c r="J13" s="172" t="str">
        <f>IF(AND(F13&lt;&gt;"", H13&lt;&gt;""), IF(F13&lt;H13,"Yes","No"), "")</f>
        <v>No</v>
      </c>
      <c r="K13" s="173" t="str">
        <f>IF(AND(G13&lt;&gt;"", I13&lt;&gt;""), IF(G13&lt;I13,"Yes","No"), "")</f>
        <v>No</v>
      </c>
      <c r="M13" s="209" t="s">
        <v>34</v>
      </c>
      <c r="N13" s="209"/>
      <c r="O13" s="176" t="s">
        <v>121</v>
      </c>
      <c r="P13" s="176"/>
      <c r="Q13" s="176"/>
      <c r="R13" s="176"/>
      <c r="S13" s="176"/>
      <c r="T13" s="176"/>
      <c r="U13" s="176"/>
    </row>
    <row r="14" spans="1:21" x14ac:dyDescent="0.3">
      <c r="A14" s="182" t="s">
        <v>107</v>
      </c>
      <c r="B14" s="281" t="s">
        <v>117</v>
      </c>
      <c r="C14" s="183">
        <v>46228</v>
      </c>
      <c r="D14" s="184" t="s">
        <v>25</v>
      </c>
      <c r="E14" s="185">
        <v>1007</v>
      </c>
      <c r="F14" s="186">
        <v>0.16838600000000001</v>
      </c>
      <c r="G14" s="187">
        <v>4.2415799999999997E-2</v>
      </c>
      <c r="H14" s="177">
        <f>IFERROR(AVERAGEIFS($F:$F, $A:$A, $A14, $B:$B,$B14, $C:$C,$C14),"")</f>
        <v>0.3911837647058824</v>
      </c>
      <c r="I14" s="178">
        <f>IFERROR(AVERAGEIFS($G:$G, $A:$A, $A14, $B:$B,$B14, $C:$C,$C14),"")</f>
        <v>9.2278499999999999E-2</v>
      </c>
      <c r="J14" s="172" t="str">
        <f>IF(AND(F14&lt;&gt;"", H14&lt;&gt;""), IF(F14&lt;H14,"Yes","No"), "")</f>
        <v>Yes</v>
      </c>
      <c r="K14" s="173" t="str">
        <f>IF(AND(G14&lt;&gt;"", I14&lt;&gt;""), IF(G14&lt;I14,"Yes","No"), "")</f>
        <v>Yes</v>
      </c>
      <c r="M14" s="215" t="s">
        <v>120</v>
      </c>
      <c r="N14" s="216"/>
      <c r="O14" s="214" t="s">
        <v>134</v>
      </c>
      <c r="P14" s="214"/>
      <c r="Q14" s="214"/>
      <c r="R14" s="214"/>
      <c r="S14" s="214"/>
      <c r="T14" s="214"/>
      <c r="U14" s="214"/>
    </row>
    <row r="15" spans="1:21" x14ac:dyDescent="0.3">
      <c r="A15" s="182" t="s">
        <v>107</v>
      </c>
      <c r="B15" s="281" t="s">
        <v>117</v>
      </c>
      <c r="C15" s="183">
        <v>46228</v>
      </c>
      <c r="D15" s="184" t="s">
        <v>26</v>
      </c>
      <c r="E15" s="185">
        <v>2022</v>
      </c>
      <c r="F15" s="186">
        <v>0.160743</v>
      </c>
      <c r="G15" s="187">
        <v>4.9050299999999998E-2</v>
      </c>
      <c r="H15" s="177">
        <f>IFERROR(AVERAGEIFS($F:$F, $A:$A, $A15, $B:$B,$B15, $C:$C,$C15),"")</f>
        <v>0.3911837647058824</v>
      </c>
      <c r="I15" s="178">
        <f>IFERROR(AVERAGEIFS($G:$G, $A:$A, $A15, $B:$B,$B15, $C:$C,$C15),"")</f>
        <v>9.2278499999999999E-2</v>
      </c>
      <c r="J15" s="172" t="str">
        <f>IF(AND(F15&lt;&gt;"", H15&lt;&gt;""), IF(F15&lt;H15,"Yes","No"), "")</f>
        <v>Yes</v>
      </c>
      <c r="K15" s="173" t="str">
        <f>IF(AND(G15&lt;&gt;"", I15&lt;&gt;""), IF(G15&lt;I15,"Yes","No"), "")</f>
        <v>Yes</v>
      </c>
      <c r="M15" s="217"/>
      <c r="N15" s="218"/>
      <c r="O15" s="214"/>
      <c r="P15" s="214"/>
      <c r="Q15" s="214"/>
      <c r="R15" s="214"/>
      <c r="S15" s="214"/>
      <c r="T15" s="214"/>
      <c r="U15" s="214"/>
    </row>
    <row r="16" spans="1:21" x14ac:dyDescent="0.3">
      <c r="A16" s="182" t="s">
        <v>107</v>
      </c>
      <c r="B16" s="281" t="s">
        <v>117</v>
      </c>
      <c r="C16" s="183">
        <v>46228</v>
      </c>
      <c r="D16" s="184" t="s">
        <v>27</v>
      </c>
      <c r="E16" s="185">
        <v>1985</v>
      </c>
      <c r="F16" s="186">
        <v>0.43960500000000002</v>
      </c>
      <c r="G16" s="187">
        <v>0.10267900000000001</v>
      </c>
      <c r="H16" s="177">
        <f>IFERROR(AVERAGEIFS($F:$F, $A:$A, $A16, $B:$B,$B16, $C:$C,$C16),"")</f>
        <v>0.3911837647058824</v>
      </c>
      <c r="I16" s="178">
        <f>IFERROR(AVERAGEIFS($G:$G, $A:$A, $A16, $B:$B,$B16, $C:$C,$C16),"")</f>
        <v>9.2278499999999999E-2</v>
      </c>
      <c r="J16" s="172" t="str">
        <f>IF(AND(F16&lt;&gt;"", H16&lt;&gt;""), IF(F16&lt;H16,"Yes","No"), "")</f>
        <v>No</v>
      </c>
      <c r="K16" s="173" t="str">
        <f>IF(AND(G16&lt;&gt;"", I16&lt;&gt;""), IF(G16&lt;I16,"Yes","No"), "")</f>
        <v>No</v>
      </c>
      <c r="M16" s="210"/>
      <c r="N16" s="210"/>
    </row>
    <row r="17" spans="1:18" x14ac:dyDescent="0.3">
      <c r="A17" s="182" t="s">
        <v>107</v>
      </c>
      <c r="B17" s="281" t="s">
        <v>117</v>
      </c>
      <c r="C17" s="183">
        <v>46228</v>
      </c>
      <c r="D17" s="184" t="s">
        <v>28</v>
      </c>
      <c r="E17" s="185">
        <v>1540</v>
      </c>
      <c r="F17" s="186">
        <v>0.64795899999999995</v>
      </c>
      <c r="G17" s="187">
        <v>0.147318</v>
      </c>
      <c r="H17" s="177">
        <f>IFERROR(AVERAGEIFS($F:$F, $A:$A, $A17, $B:$B,$B17, $C:$C,$C17),"")</f>
        <v>0.3911837647058824</v>
      </c>
      <c r="I17" s="178">
        <f>IFERROR(AVERAGEIFS($G:$G, $A:$A, $A17, $B:$B,$B17, $C:$C,$C17),"")</f>
        <v>9.2278499999999999E-2</v>
      </c>
      <c r="J17" s="172" t="str">
        <f>IF(AND(F17&lt;&gt;"", H17&lt;&gt;""), IF(F17&lt;H17,"Yes","No"), "")</f>
        <v>No</v>
      </c>
      <c r="K17" s="173" t="str">
        <f>IF(AND(G17&lt;&gt;"", I17&lt;&gt;""), IF(G17&lt;I17,"Yes","No"), "")</f>
        <v>No</v>
      </c>
      <c r="M17" s="206" t="s">
        <v>130</v>
      </c>
      <c r="N17" s="206"/>
    </row>
    <row r="18" spans="1:18" x14ac:dyDescent="0.3">
      <c r="A18" s="182" t="s">
        <v>107</v>
      </c>
      <c r="B18" s="281" t="s">
        <v>117</v>
      </c>
      <c r="C18" s="183">
        <v>46228</v>
      </c>
      <c r="D18" s="184" t="s">
        <v>29</v>
      </c>
      <c r="E18" s="185">
        <v>1892</v>
      </c>
      <c r="F18" s="186">
        <v>0.37152299999999999</v>
      </c>
      <c r="G18" s="187">
        <v>7.7194100000000002E-2</v>
      </c>
      <c r="H18" s="177">
        <f>IFERROR(AVERAGEIFS($F:$F, $A:$A, $A18, $B:$B,$B18, $C:$C,$C18),"")</f>
        <v>0.3911837647058824</v>
      </c>
      <c r="I18" s="178">
        <f>IFERROR(AVERAGEIFS($G:$G, $A:$A, $A18, $B:$B,$B18, $C:$C,$C18),"")</f>
        <v>9.2278499999999999E-2</v>
      </c>
      <c r="J18" s="172" t="str">
        <f>IF(AND(F18&lt;&gt;"", H18&lt;&gt;""), IF(F18&lt;H18,"Yes","No"), "")</f>
        <v>Yes</v>
      </c>
      <c r="K18" s="173" t="str">
        <f>IF(AND(G18&lt;&gt;"", I18&lt;&gt;""), IF(G18&lt;I18,"Yes","No"), "")</f>
        <v>Yes</v>
      </c>
      <c r="M18" s="211"/>
      <c r="N18" s="211"/>
      <c r="O18" s="181" t="s">
        <v>128</v>
      </c>
      <c r="P18" s="181"/>
      <c r="Q18" s="181"/>
      <c r="R18" s="181"/>
    </row>
    <row r="19" spans="1:18" x14ac:dyDescent="0.3">
      <c r="A19" s="182" t="s">
        <v>107</v>
      </c>
      <c r="B19" s="281" t="s">
        <v>117</v>
      </c>
      <c r="C19" s="183">
        <v>46228</v>
      </c>
      <c r="D19" s="184" t="s">
        <v>30</v>
      </c>
      <c r="E19" s="185">
        <v>1460</v>
      </c>
      <c r="F19" s="186">
        <v>0.54793400000000003</v>
      </c>
      <c r="G19" s="187">
        <v>0.109931</v>
      </c>
      <c r="H19" s="177">
        <f>IFERROR(AVERAGEIFS($F:$F, $A:$A, $A19, $B:$B,$B19, $C:$C,$C19),"")</f>
        <v>0.3911837647058824</v>
      </c>
      <c r="I19" s="178">
        <f>IFERROR(AVERAGEIFS($G:$G, $A:$A, $A19, $B:$B,$B19, $C:$C,$C19),"")</f>
        <v>9.2278499999999999E-2</v>
      </c>
      <c r="J19" s="172" t="str">
        <f>IF(AND(F19&lt;&gt;"", H19&lt;&gt;""), IF(F19&lt;H19,"Yes","No"), "")</f>
        <v>No</v>
      </c>
      <c r="K19" s="173" t="str">
        <f>IF(AND(G19&lt;&gt;"", I19&lt;&gt;""), IF(G19&lt;I19,"Yes","No"), "")</f>
        <v>No</v>
      </c>
      <c r="M19" s="212"/>
      <c r="N19" s="212"/>
      <c r="O19" s="181" t="s">
        <v>129</v>
      </c>
      <c r="P19" s="181"/>
      <c r="Q19" s="181"/>
      <c r="R19" s="181"/>
    </row>
    <row r="20" spans="1:18" x14ac:dyDescent="0.3">
      <c r="A20" s="182" t="s">
        <v>107</v>
      </c>
      <c r="B20" s="281" t="s">
        <v>117</v>
      </c>
      <c r="C20" s="183">
        <v>46230</v>
      </c>
      <c r="D20" s="184" t="s">
        <v>14</v>
      </c>
      <c r="E20" s="185">
        <v>1939</v>
      </c>
      <c r="F20" s="186">
        <v>0.38631799999999999</v>
      </c>
      <c r="G20" s="187">
        <v>0.10861</v>
      </c>
      <c r="H20" s="177">
        <f>IFERROR(AVERAGEIFS($F:$F, $A:$A, $A20, $B:$B,$B20, $C:$C,$C20),"")</f>
        <v>0.3804177222222222</v>
      </c>
      <c r="I20" s="178">
        <f>IFERROR(AVERAGEIFS($G:$G, $A:$A, $A20, $B:$B,$B20, $C:$C,$C20),"")</f>
        <v>9.1966633333333339E-2</v>
      </c>
      <c r="J20" s="172" t="str">
        <f>IF(AND(F20&lt;&gt;"", H20&lt;&gt;""), IF(F20&lt;H20,"Yes","No"), "")</f>
        <v>No</v>
      </c>
      <c r="K20" s="173" t="str">
        <f>IF(AND(G20&lt;&gt;"", I20&lt;&gt;""), IF(G20&lt;I20,"Yes","No"), "")</f>
        <v>No</v>
      </c>
    </row>
    <row r="21" spans="1:18" x14ac:dyDescent="0.3">
      <c r="A21" s="182" t="s">
        <v>107</v>
      </c>
      <c r="B21" s="281" t="s">
        <v>117</v>
      </c>
      <c r="C21" s="183">
        <v>46230</v>
      </c>
      <c r="D21" s="184" t="s">
        <v>15</v>
      </c>
      <c r="E21" s="185">
        <v>2172</v>
      </c>
      <c r="F21" s="186">
        <v>0.40509299999999998</v>
      </c>
      <c r="G21" s="187">
        <v>0.10678</v>
      </c>
      <c r="H21" s="177">
        <f>IFERROR(AVERAGEIFS($F:$F, $A:$A, $A21, $B:$B,$B21, $C:$C,$C21),"")</f>
        <v>0.3804177222222222</v>
      </c>
      <c r="I21" s="178">
        <f>IFERROR(AVERAGEIFS($G:$G, $A:$A, $A21, $B:$B,$B21, $C:$C,$C21),"")</f>
        <v>9.1966633333333339E-2</v>
      </c>
      <c r="J21" s="172" t="str">
        <f>IF(AND(F21&lt;&gt;"", H21&lt;&gt;""), IF(F21&lt;H21,"Yes","No"), "")</f>
        <v>No</v>
      </c>
      <c r="K21" s="173" t="str">
        <f>IF(AND(G21&lt;&gt;"", I21&lt;&gt;""), IF(G21&lt;I21,"Yes","No"), "")</f>
        <v>No</v>
      </c>
    </row>
    <row r="22" spans="1:18" x14ac:dyDescent="0.3">
      <c r="A22" s="182" t="s">
        <v>107</v>
      </c>
      <c r="B22" s="281" t="s">
        <v>117</v>
      </c>
      <c r="C22" s="183">
        <v>46230</v>
      </c>
      <c r="D22" s="184" t="s">
        <v>16</v>
      </c>
      <c r="E22" s="185">
        <v>1359</v>
      </c>
      <c r="F22" s="186">
        <v>0.42063299999999998</v>
      </c>
      <c r="G22" s="187">
        <v>9.8741200000000001E-2</v>
      </c>
      <c r="H22" s="177">
        <f>IFERROR(AVERAGEIFS($F:$F, $A:$A, $A22, $B:$B,$B22, $C:$C,$C22),"")</f>
        <v>0.3804177222222222</v>
      </c>
      <c r="I22" s="178">
        <f>IFERROR(AVERAGEIFS($G:$G, $A:$A, $A22, $B:$B,$B22, $C:$C,$C22),"")</f>
        <v>9.1966633333333339E-2</v>
      </c>
      <c r="J22" s="172" t="str">
        <f>IF(AND(F22&lt;&gt;"", H22&lt;&gt;""), IF(F22&lt;H22,"Yes","No"), "")</f>
        <v>No</v>
      </c>
      <c r="K22" s="173" t="str">
        <f>IF(AND(G22&lt;&gt;"", I22&lt;&gt;""), IF(G22&lt;I22,"Yes","No"), "")</f>
        <v>No</v>
      </c>
    </row>
    <row r="23" spans="1:18" x14ac:dyDescent="0.3">
      <c r="A23" s="182" t="s">
        <v>107</v>
      </c>
      <c r="B23" s="281" t="s">
        <v>117</v>
      </c>
      <c r="C23" s="183">
        <v>46230</v>
      </c>
      <c r="D23" s="184" t="s">
        <v>17</v>
      </c>
      <c r="E23" s="185">
        <v>1819</v>
      </c>
      <c r="F23" s="186">
        <v>0.610344</v>
      </c>
      <c r="G23" s="187">
        <v>0.120907</v>
      </c>
      <c r="H23" s="177">
        <f>IFERROR(AVERAGEIFS($F:$F, $A:$A, $A23, $B:$B,$B23, $C:$C,$C23),"")</f>
        <v>0.3804177222222222</v>
      </c>
      <c r="I23" s="178">
        <f>IFERROR(AVERAGEIFS($G:$G, $A:$A, $A23, $B:$B,$B23, $C:$C,$C23),"")</f>
        <v>9.1966633333333339E-2</v>
      </c>
      <c r="J23" s="172" t="str">
        <f>IF(AND(F23&lt;&gt;"", H23&lt;&gt;""), IF(F23&lt;H23,"Yes","No"), "")</f>
        <v>No</v>
      </c>
      <c r="K23" s="173" t="str">
        <f>IF(AND(G23&lt;&gt;"", I23&lt;&gt;""), IF(G23&lt;I23,"Yes","No"), "")</f>
        <v>No</v>
      </c>
    </row>
    <row r="24" spans="1:18" x14ac:dyDescent="0.3">
      <c r="A24" s="182" t="s">
        <v>107</v>
      </c>
      <c r="B24" s="281" t="s">
        <v>117</v>
      </c>
      <c r="C24" s="183">
        <v>46230</v>
      </c>
      <c r="D24" s="184" t="s">
        <v>18</v>
      </c>
      <c r="E24" s="185">
        <v>1541</v>
      </c>
      <c r="F24" s="186">
        <v>0.28196100000000002</v>
      </c>
      <c r="G24" s="187">
        <v>6.7092299999999994E-2</v>
      </c>
      <c r="H24" s="177">
        <f>IFERROR(AVERAGEIFS($F:$F, $A:$A, $A24, $B:$B,$B24, $C:$C,$C24),"")</f>
        <v>0.3804177222222222</v>
      </c>
      <c r="I24" s="178">
        <f>IFERROR(AVERAGEIFS($G:$G, $A:$A, $A24, $B:$B,$B24, $C:$C,$C24),"")</f>
        <v>9.1966633333333339E-2</v>
      </c>
      <c r="J24" s="172" t="str">
        <f>IF(AND(F24&lt;&gt;"", H24&lt;&gt;""), IF(F24&lt;H24,"Yes","No"), "")</f>
        <v>Yes</v>
      </c>
      <c r="K24" s="173" t="str">
        <f>IF(AND(G24&lt;&gt;"", I24&lt;&gt;""), IF(G24&lt;I24,"Yes","No"), "")</f>
        <v>Yes</v>
      </c>
    </row>
    <row r="25" spans="1:18" x14ac:dyDescent="0.3">
      <c r="A25" s="182" t="s">
        <v>107</v>
      </c>
      <c r="B25" s="281" t="s">
        <v>117</v>
      </c>
      <c r="C25" s="183">
        <v>46230</v>
      </c>
      <c r="D25" s="184" t="s">
        <v>19</v>
      </c>
      <c r="E25" s="185">
        <v>1296</v>
      </c>
      <c r="F25" s="186">
        <v>0.35003099999999998</v>
      </c>
      <c r="G25" s="187">
        <v>7.3608499999999993E-2</v>
      </c>
      <c r="H25" s="177">
        <f>IFERROR(AVERAGEIFS($F:$F, $A:$A, $A25, $B:$B,$B25, $C:$C,$C25),"")</f>
        <v>0.3804177222222222</v>
      </c>
      <c r="I25" s="178">
        <f>IFERROR(AVERAGEIFS($G:$G, $A:$A, $A25, $B:$B,$B25, $C:$C,$C25),"")</f>
        <v>9.1966633333333339E-2</v>
      </c>
      <c r="J25" s="172" t="str">
        <f>IF(AND(F25&lt;&gt;"", H25&lt;&gt;""), IF(F25&lt;H25,"Yes","No"), "")</f>
        <v>Yes</v>
      </c>
      <c r="K25" s="173" t="str">
        <f>IF(AND(G25&lt;&gt;"", I25&lt;&gt;""), IF(G25&lt;I25,"Yes","No"), "")</f>
        <v>Yes</v>
      </c>
    </row>
    <row r="26" spans="1:18" x14ac:dyDescent="0.3">
      <c r="A26" s="182" t="s">
        <v>107</v>
      </c>
      <c r="B26" s="281" t="s">
        <v>117</v>
      </c>
      <c r="C26" s="183">
        <v>46230</v>
      </c>
      <c r="D26" s="184" t="s">
        <v>20</v>
      </c>
      <c r="E26" s="185">
        <v>1470</v>
      </c>
      <c r="F26" s="186">
        <v>0.36660399999999999</v>
      </c>
      <c r="G26" s="187">
        <v>7.6716000000000006E-2</v>
      </c>
      <c r="H26" s="177">
        <f>IFERROR(AVERAGEIFS($F:$F, $A:$A, $A26, $B:$B,$B26, $C:$C,$C26),"")</f>
        <v>0.3804177222222222</v>
      </c>
      <c r="I26" s="178">
        <f>IFERROR(AVERAGEIFS($G:$G, $A:$A, $A26, $B:$B,$B26, $C:$C,$C26),"")</f>
        <v>9.1966633333333339E-2</v>
      </c>
      <c r="J26" s="172" t="str">
        <f>IF(AND(F26&lt;&gt;"", H26&lt;&gt;""), IF(F26&lt;H26,"Yes","No"), "")</f>
        <v>Yes</v>
      </c>
      <c r="K26" s="173" t="str">
        <f>IF(AND(G26&lt;&gt;"", I26&lt;&gt;""), IF(G26&lt;I26,"Yes","No"), "")</f>
        <v>Yes</v>
      </c>
    </row>
    <row r="27" spans="1:18" x14ac:dyDescent="0.3">
      <c r="A27" s="182" t="s">
        <v>107</v>
      </c>
      <c r="B27" s="281" t="s">
        <v>117</v>
      </c>
      <c r="C27" s="183">
        <v>46230</v>
      </c>
      <c r="D27" s="184" t="s">
        <v>44</v>
      </c>
      <c r="E27" s="185">
        <v>1162</v>
      </c>
      <c r="F27" s="186">
        <v>0.162101</v>
      </c>
      <c r="G27" s="187">
        <v>4.9118500000000002E-2</v>
      </c>
      <c r="H27" s="177">
        <f>IFERROR(AVERAGEIFS($F:$F, $A:$A, $A27, $B:$B,$B27, $C:$C,$C27),"")</f>
        <v>0.3804177222222222</v>
      </c>
      <c r="I27" s="178">
        <f>IFERROR(AVERAGEIFS($G:$G, $A:$A, $A27, $B:$B,$B27, $C:$C,$C27),"")</f>
        <v>9.1966633333333339E-2</v>
      </c>
      <c r="J27" s="172" t="str">
        <f>IF(AND(F27&lt;&gt;"", H27&lt;&gt;""), IF(F27&lt;H27,"Yes","No"), "")</f>
        <v>Yes</v>
      </c>
      <c r="K27" s="173" t="str">
        <f>IF(AND(G27&lt;&gt;"", I27&lt;&gt;""), IF(G27&lt;I27,"Yes","No"), "")</f>
        <v>Yes</v>
      </c>
    </row>
    <row r="28" spans="1:18" x14ac:dyDescent="0.3">
      <c r="A28" s="182" t="s">
        <v>107</v>
      </c>
      <c r="B28" s="281" t="s">
        <v>117</v>
      </c>
      <c r="C28" s="183">
        <v>46230</v>
      </c>
      <c r="D28" s="184" t="s">
        <v>21</v>
      </c>
      <c r="E28" s="185">
        <v>2611</v>
      </c>
      <c r="F28" s="186">
        <v>0.42067700000000002</v>
      </c>
      <c r="G28" s="187">
        <v>8.1860199999999994E-2</v>
      </c>
      <c r="H28" s="177">
        <f>IFERROR(AVERAGEIFS($F:$F, $A:$A, $A28, $B:$B,$B28, $C:$C,$C28),"")</f>
        <v>0.3804177222222222</v>
      </c>
      <c r="I28" s="178">
        <f>IFERROR(AVERAGEIFS($G:$G, $A:$A, $A28, $B:$B,$B28, $C:$C,$C28),"")</f>
        <v>9.1966633333333339E-2</v>
      </c>
      <c r="J28" s="172" t="str">
        <f>IF(AND(F28&lt;&gt;"", H28&lt;&gt;""), IF(F28&lt;H28,"Yes","No"), "")</f>
        <v>No</v>
      </c>
      <c r="K28" s="173" t="str">
        <f>IF(AND(G28&lt;&gt;"", I28&lt;&gt;""), IF(G28&lt;I28,"Yes","No"), "")</f>
        <v>Yes</v>
      </c>
    </row>
    <row r="29" spans="1:18" x14ac:dyDescent="0.3">
      <c r="A29" s="182" t="s">
        <v>107</v>
      </c>
      <c r="B29" s="281" t="s">
        <v>117</v>
      </c>
      <c r="C29" s="183">
        <v>46230</v>
      </c>
      <c r="D29" s="184" t="s">
        <v>22</v>
      </c>
      <c r="E29" s="185">
        <v>1449</v>
      </c>
      <c r="F29" s="186">
        <v>0.45557700000000001</v>
      </c>
      <c r="G29" s="187">
        <v>0.123795</v>
      </c>
      <c r="H29" s="177">
        <f>IFERROR(AVERAGEIFS($F:$F, $A:$A, $A29, $B:$B,$B29, $C:$C,$C29),"")</f>
        <v>0.3804177222222222</v>
      </c>
      <c r="I29" s="178">
        <f>IFERROR(AVERAGEIFS($G:$G, $A:$A, $A29, $B:$B,$B29, $C:$C,$C29),"")</f>
        <v>9.1966633333333339E-2</v>
      </c>
      <c r="J29" s="172" t="str">
        <f>IF(AND(F29&lt;&gt;"", H29&lt;&gt;""), IF(F29&lt;H29,"Yes","No"), "")</f>
        <v>No</v>
      </c>
      <c r="K29" s="173" t="str">
        <f>IF(AND(G29&lt;&gt;"", I29&lt;&gt;""), IF(G29&lt;I29,"Yes","No"), "")</f>
        <v>No</v>
      </c>
    </row>
    <row r="30" spans="1:18" x14ac:dyDescent="0.3">
      <c r="A30" s="182" t="s">
        <v>107</v>
      </c>
      <c r="B30" s="281" t="s">
        <v>117</v>
      </c>
      <c r="C30" s="183">
        <v>46230</v>
      </c>
      <c r="D30" s="184" t="s">
        <v>23</v>
      </c>
      <c r="E30" s="185">
        <v>1005</v>
      </c>
      <c r="F30" s="186">
        <v>0.43718499999999999</v>
      </c>
      <c r="G30" s="187">
        <v>0.14344199999999999</v>
      </c>
      <c r="H30" s="177">
        <f>IFERROR(AVERAGEIFS($F:$F, $A:$A, $A30, $B:$B,$B30, $C:$C,$C30),"")</f>
        <v>0.3804177222222222</v>
      </c>
      <c r="I30" s="178">
        <f>IFERROR(AVERAGEIFS($G:$G, $A:$A, $A30, $B:$B,$B30, $C:$C,$C30),"")</f>
        <v>9.1966633333333339E-2</v>
      </c>
      <c r="J30" s="172" t="str">
        <f>IF(AND(F30&lt;&gt;"", H30&lt;&gt;""), IF(F30&lt;H30,"Yes","No"), "")</f>
        <v>No</v>
      </c>
      <c r="K30" s="173" t="str">
        <f>IF(AND(G30&lt;&gt;"", I30&lt;&gt;""), IF(G30&lt;I30,"Yes","No"), "")</f>
        <v>No</v>
      </c>
    </row>
    <row r="31" spans="1:18" x14ac:dyDescent="0.3">
      <c r="A31" s="182" t="s">
        <v>107</v>
      </c>
      <c r="B31" s="281" t="s">
        <v>117</v>
      </c>
      <c r="C31" s="183">
        <v>46230</v>
      </c>
      <c r="D31" s="184" t="s">
        <v>24</v>
      </c>
      <c r="E31" s="185">
        <v>2076</v>
      </c>
      <c r="F31" s="186">
        <v>0.30209799999999998</v>
      </c>
      <c r="G31" s="187">
        <v>9.3080999999999997E-2</v>
      </c>
      <c r="H31" s="177">
        <f>IFERROR(AVERAGEIFS($F:$F, $A:$A, $A31, $B:$B,$B31, $C:$C,$C31),"")</f>
        <v>0.3804177222222222</v>
      </c>
      <c r="I31" s="178">
        <f>IFERROR(AVERAGEIFS($G:$G, $A:$A, $A31, $B:$B,$B31, $C:$C,$C31),"")</f>
        <v>9.1966633333333339E-2</v>
      </c>
      <c r="J31" s="172" t="str">
        <f>IF(AND(F31&lt;&gt;"", H31&lt;&gt;""), IF(F31&lt;H31,"Yes","No"), "")</f>
        <v>Yes</v>
      </c>
      <c r="K31" s="173" t="str">
        <f>IF(AND(G31&lt;&gt;"", I31&lt;&gt;""), IF(G31&lt;I31,"Yes","No"), "")</f>
        <v>No</v>
      </c>
    </row>
    <row r="32" spans="1:18" x14ac:dyDescent="0.3">
      <c r="A32" s="182" t="s">
        <v>107</v>
      </c>
      <c r="B32" s="281" t="s">
        <v>117</v>
      </c>
      <c r="C32" s="183">
        <v>46230</v>
      </c>
      <c r="D32" s="184" t="s">
        <v>25</v>
      </c>
      <c r="E32" s="185">
        <v>1159</v>
      </c>
      <c r="F32" s="186">
        <v>0.18565499999999999</v>
      </c>
      <c r="G32" s="187">
        <v>4.46854E-2</v>
      </c>
      <c r="H32" s="177">
        <f>IFERROR(AVERAGEIFS($F:$F, $A:$A, $A32, $B:$B,$B32, $C:$C,$C32),"")</f>
        <v>0.3804177222222222</v>
      </c>
      <c r="I32" s="178">
        <f>IFERROR(AVERAGEIFS($G:$G, $A:$A, $A32, $B:$B,$B32, $C:$C,$C32),"")</f>
        <v>9.1966633333333339E-2</v>
      </c>
      <c r="J32" s="172" t="str">
        <f>IF(AND(F32&lt;&gt;"", H32&lt;&gt;""), IF(F32&lt;H32,"Yes","No"), "")</f>
        <v>Yes</v>
      </c>
      <c r="K32" s="173" t="str">
        <f>IF(AND(G32&lt;&gt;"", I32&lt;&gt;""), IF(G32&lt;I32,"Yes","No"), "")</f>
        <v>Yes</v>
      </c>
    </row>
    <row r="33" spans="1:11" x14ac:dyDescent="0.3">
      <c r="A33" s="182" t="s">
        <v>107</v>
      </c>
      <c r="B33" s="281" t="s">
        <v>117</v>
      </c>
      <c r="C33" s="183">
        <v>46230</v>
      </c>
      <c r="D33" s="184" t="s">
        <v>26</v>
      </c>
      <c r="E33" s="185">
        <v>1409</v>
      </c>
      <c r="F33" s="186">
        <v>0.21656300000000001</v>
      </c>
      <c r="G33" s="187">
        <v>6.9651900000000003E-2</v>
      </c>
      <c r="H33" s="177">
        <f>IFERROR(AVERAGEIFS($F:$F, $A:$A, $A33, $B:$B,$B33, $C:$C,$C33),"")</f>
        <v>0.3804177222222222</v>
      </c>
      <c r="I33" s="178">
        <f>IFERROR(AVERAGEIFS($G:$G, $A:$A, $A33, $B:$B,$B33, $C:$C,$C33),"")</f>
        <v>9.1966633333333339E-2</v>
      </c>
      <c r="J33" s="172" t="str">
        <f>IF(AND(F33&lt;&gt;"", H33&lt;&gt;""), IF(F33&lt;H33,"Yes","No"), "")</f>
        <v>Yes</v>
      </c>
      <c r="K33" s="173" t="str">
        <f>IF(AND(G33&lt;&gt;"", I33&lt;&gt;""), IF(G33&lt;I33,"Yes","No"), "")</f>
        <v>Yes</v>
      </c>
    </row>
    <row r="34" spans="1:11" x14ac:dyDescent="0.3">
      <c r="A34" s="182" t="s">
        <v>107</v>
      </c>
      <c r="B34" s="281" t="s">
        <v>117</v>
      </c>
      <c r="C34" s="183">
        <v>46230</v>
      </c>
      <c r="D34" s="184" t="s">
        <v>27</v>
      </c>
      <c r="E34" s="185">
        <v>1914</v>
      </c>
      <c r="F34" s="186">
        <v>0.46116299999999999</v>
      </c>
      <c r="G34" s="187">
        <v>0.104768</v>
      </c>
      <c r="H34" s="177">
        <f>IFERROR(AVERAGEIFS($F:$F, $A:$A, $A34, $B:$B,$B34, $C:$C,$C34),"")</f>
        <v>0.3804177222222222</v>
      </c>
      <c r="I34" s="178">
        <f>IFERROR(AVERAGEIFS($G:$G, $A:$A, $A34, $B:$B,$B34, $C:$C,$C34),"")</f>
        <v>9.1966633333333339E-2</v>
      </c>
      <c r="J34" s="172" t="str">
        <f>IF(AND(F34&lt;&gt;"", H34&lt;&gt;""), IF(F34&lt;H34,"Yes","No"), "")</f>
        <v>No</v>
      </c>
      <c r="K34" s="173" t="str">
        <f>IF(AND(G34&lt;&gt;"", I34&lt;&gt;""), IF(G34&lt;I34,"Yes","No"), "")</f>
        <v>No</v>
      </c>
    </row>
    <row r="35" spans="1:11" x14ac:dyDescent="0.3">
      <c r="A35" s="182" t="s">
        <v>107</v>
      </c>
      <c r="B35" s="281" t="s">
        <v>117</v>
      </c>
      <c r="C35" s="183">
        <v>46230</v>
      </c>
      <c r="D35" s="184" t="s">
        <v>28</v>
      </c>
      <c r="E35" s="185">
        <v>1154</v>
      </c>
      <c r="F35" s="186">
        <v>0.49668299999999999</v>
      </c>
      <c r="G35" s="187">
        <v>0.111633</v>
      </c>
      <c r="H35" s="177">
        <f>IFERROR(AVERAGEIFS($F:$F, $A:$A, $A35, $B:$B,$B35, $C:$C,$C35),"")</f>
        <v>0.3804177222222222</v>
      </c>
      <c r="I35" s="178">
        <f>IFERROR(AVERAGEIFS($G:$G, $A:$A, $A35, $B:$B,$B35, $C:$C,$C35),"")</f>
        <v>9.1966633333333339E-2</v>
      </c>
      <c r="J35" s="172" t="str">
        <f>IF(AND(F35&lt;&gt;"", H35&lt;&gt;""), IF(F35&lt;H35,"Yes","No"), "")</f>
        <v>No</v>
      </c>
      <c r="K35" s="173" t="str">
        <f>IF(AND(G35&lt;&gt;"", I35&lt;&gt;""), IF(G35&lt;I35,"Yes","No"), "")</f>
        <v>No</v>
      </c>
    </row>
    <row r="36" spans="1:11" x14ac:dyDescent="0.3">
      <c r="A36" s="182" t="s">
        <v>107</v>
      </c>
      <c r="B36" s="281" t="s">
        <v>117</v>
      </c>
      <c r="C36" s="183">
        <v>46230</v>
      </c>
      <c r="D36" s="184" t="s">
        <v>29</v>
      </c>
      <c r="E36" s="185">
        <v>1614</v>
      </c>
      <c r="F36" s="186">
        <v>0.32052799999999998</v>
      </c>
      <c r="G36" s="187">
        <v>6.6401399999999999E-2</v>
      </c>
      <c r="H36" s="177">
        <f>IFERROR(AVERAGEIFS($F:$F, $A:$A, $A36, $B:$B,$B36, $C:$C,$C36),"")</f>
        <v>0.3804177222222222</v>
      </c>
      <c r="I36" s="178">
        <f>IFERROR(AVERAGEIFS($G:$G, $A:$A, $A36, $B:$B,$B36, $C:$C,$C36),"")</f>
        <v>9.1966633333333339E-2</v>
      </c>
      <c r="J36" s="172" t="str">
        <f>IF(AND(F36&lt;&gt;"", H36&lt;&gt;""), IF(F36&lt;H36,"Yes","No"), "")</f>
        <v>Yes</v>
      </c>
      <c r="K36" s="173" t="str">
        <f>IF(AND(G36&lt;&gt;"", I36&lt;&gt;""), IF(G36&lt;I36,"Yes","No"), "")</f>
        <v>Yes</v>
      </c>
    </row>
    <row r="37" spans="1:11" x14ac:dyDescent="0.3">
      <c r="A37" s="182" t="s">
        <v>107</v>
      </c>
      <c r="B37" s="281" t="s">
        <v>117</v>
      </c>
      <c r="C37" s="183">
        <v>46230</v>
      </c>
      <c r="D37" s="184" t="s">
        <v>30</v>
      </c>
      <c r="E37" s="185">
        <v>1342</v>
      </c>
      <c r="F37" s="186">
        <v>0.56830499999999995</v>
      </c>
      <c r="G37" s="187">
        <v>0.114508</v>
      </c>
      <c r="H37" s="177">
        <f>IFERROR(AVERAGEIFS($F:$F, $A:$A, $A37, $B:$B,$B37, $C:$C,$C37),"")</f>
        <v>0.3804177222222222</v>
      </c>
      <c r="I37" s="178">
        <f>IFERROR(AVERAGEIFS($G:$G, $A:$A, $A37, $B:$B,$B37, $C:$C,$C37),"")</f>
        <v>9.1966633333333339E-2</v>
      </c>
      <c r="J37" s="172" t="str">
        <f>IF(AND(F37&lt;&gt;"", H37&lt;&gt;""), IF(F37&lt;H37,"Yes","No"), "")</f>
        <v>No</v>
      </c>
      <c r="K37" s="173" t="str">
        <f>IF(AND(G37&lt;&gt;"", I37&lt;&gt;""), IF(G37&lt;I37,"Yes","No"), "")</f>
        <v>No</v>
      </c>
    </row>
    <row r="38" spans="1:11" x14ac:dyDescent="0.3">
      <c r="A38" s="182" t="s">
        <v>107</v>
      </c>
      <c r="B38" s="281" t="s">
        <v>117</v>
      </c>
      <c r="C38" s="183">
        <v>46231</v>
      </c>
      <c r="D38" s="184" t="s">
        <v>14</v>
      </c>
      <c r="E38" s="185">
        <v>2192</v>
      </c>
      <c r="F38" s="186">
        <v>0.32684800000000003</v>
      </c>
      <c r="G38" s="187">
        <v>9.1957899999999995E-2</v>
      </c>
      <c r="H38" s="177">
        <f>IFERROR(AVERAGEIFS($F:$F, $A:$A, $A38, $B:$B,$B38, $C:$C,$C38),"")</f>
        <v>0.3508782777777778</v>
      </c>
      <c r="I38" s="178">
        <f>IFERROR(AVERAGEIFS($G:$G, $A:$A, $A38, $B:$B,$B38, $C:$C,$C38),"")</f>
        <v>8.4730411111111126E-2</v>
      </c>
      <c r="J38" s="172" t="str">
        <f>IF(AND(F38&lt;&gt;"", H38&lt;&gt;""), IF(F38&lt;H38,"Yes","No"), "")</f>
        <v>Yes</v>
      </c>
      <c r="K38" s="173" t="str">
        <f>IF(AND(G38&lt;&gt;"", I38&lt;&gt;""), IF(G38&lt;I38,"Yes","No"), "")</f>
        <v>No</v>
      </c>
    </row>
    <row r="39" spans="1:11" x14ac:dyDescent="0.3">
      <c r="A39" s="182" t="s">
        <v>107</v>
      </c>
      <c r="B39" s="281" t="s">
        <v>117</v>
      </c>
      <c r="C39" s="183">
        <v>46231</v>
      </c>
      <c r="D39" s="184" t="s">
        <v>15</v>
      </c>
      <c r="E39" s="185">
        <v>2430</v>
      </c>
      <c r="F39" s="186">
        <v>0.55680700000000005</v>
      </c>
      <c r="G39" s="187">
        <v>0.14671400000000001</v>
      </c>
      <c r="H39" s="177">
        <f>IFERROR(AVERAGEIFS($F:$F, $A:$A, $A39, $B:$B,$B39, $C:$C,$C39),"")</f>
        <v>0.3508782777777778</v>
      </c>
      <c r="I39" s="178">
        <f>IFERROR(AVERAGEIFS($G:$G, $A:$A, $A39, $B:$B,$B39, $C:$C,$C39),"")</f>
        <v>8.4730411111111126E-2</v>
      </c>
      <c r="J39" s="172" t="str">
        <f>IF(AND(F39&lt;&gt;"", H39&lt;&gt;""), IF(F39&lt;H39,"Yes","No"), "")</f>
        <v>No</v>
      </c>
      <c r="K39" s="173" t="str">
        <f>IF(AND(G39&lt;&gt;"", I39&lt;&gt;""), IF(G39&lt;I39,"Yes","No"), "")</f>
        <v>No</v>
      </c>
    </row>
    <row r="40" spans="1:11" x14ac:dyDescent="0.3">
      <c r="A40" s="182" t="s">
        <v>107</v>
      </c>
      <c r="B40" s="281" t="s">
        <v>117</v>
      </c>
      <c r="C40" s="183">
        <v>46231</v>
      </c>
      <c r="D40" s="184" t="s">
        <v>16</v>
      </c>
      <c r="E40" s="185">
        <v>1832</v>
      </c>
      <c r="F40" s="186">
        <v>0.34914299999999998</v>
      </c>
      <c r="G40" s="187">
        <v>8.1951999999999997E-2</v>
      </c>
      <c r="H40" s="177">
        <f>IFERROR(AVERAGEIFS($F:$F, $A:$A, $A40, $B:$B,$B40, $C:$C,$C40),"")</f>
        <v>0.3508782777777778</v>
      </c>
      <c r="I40" s="178">
        <f>IFERROR(AVERAGEIFS($G:$G, $A:$A, $A40, $B:$B,$B40, $C:$C,$C40),"")</f>
        <v>8.4730411111111126E-2</v>
      </c>
      <c r="J40" s="172" t="str">
        <f>IF(AND(F40&lt;&gt;"", H40&lt;&gt;""), IF(F40&lt;H40,"Yes","No"), "")</f>
        <v>Yes</v>
      </c>
      <c r="K40" s="173" t="str">
        <f>IF(AND(G40&lt;&gt;"", I40&lt;&gt;""), IF(G40&lt;I40,"Yes","No"), "")</f>
        <v>Yes</v>
      </c>
    </row>
    <row r="41" spans="1:11" x14ac:dyDescent="0.3">
      <c r="A41" s="182" t="s">
        <v>107</v>
      </c>
      <c r="B41" s="281" t="s">
        <v>117</v>
      </c>
      <c r="C41" s="183">
        <v>46231</v>
      </c>
      <c r="D41" s="184" t="s">
        <v>17</v>
      </c>
      <c r="E41" s="185">
        <v>2081</v>
      </c>
      <c r="F41" s="186">
        <v>0.55386500000000005</v>
      </c>
      <c r="G41" s="187">
        <v>0.109685</v>
      </c>
      <c r="H41" s="177">
        <f>IFERROR(AVERAGEIFS($F:$F, $A:$A, $A41, $B:$B,$B41, $C:$C,$C41),"")</f>
        <v>0.3508782777777778</v>
      </c>
      <c r="I41" s="178">
        <f>IFERROR(AVERAGEIFS($G:$G, $A:$A, $A41, $B:$B,$B41, $C:$C,$C41),"")</f>
        <v>8.4730411111111126E-2</v>
      </c>
      <c r="J41" s="172" t="str">
        <f>IF(AND(F41&lt;&gt;"", H41&lt;&gt;""), IF(F41&lt;H41,"Yes","No"), "")</f>
        <v>No</v>
      </c>
      <c r="K41" s="173" t="str">
        <f>IF(AND(G41&lt;&gt;"", I41&lt;&gt;""), IF(G41&lt;I41,"Yes","No"), "")</f>
        <v>No</v>
      </c>
    </row>
    <row r="42" spans="1:11" x14ac:dyDescent="0.3">
      <c r="A42" s="182" t="s">
        <v>107</v>
      </c>
      <c r="B42" s="281" t="s">
        <v>117</v>
      </c>
      <c r="C42" s="183">
        <v>46231</v>
      </c>
      <c r="D42" s="184" t="s">
        <v>18</v>
      </c>
      <c r="E42" s="185">
        <v>2109</v>
      </c>
      <c r="F42" s="186">
        <v>0.32659700000000003</v>
      </c>
      <c r="G42" s="187">
        <v>7.7769500000000005E-2</v>
      </c>
      <c r="H42" s="177">
        <f>IFERROR(AVERAGEIFS($F:$F, $A:$A, $A42, $B:$B,$B42, $C:$C,$C42),"")</f>
        <v>0.3508782777777778</v>
      </c>
      <c r="I42" s="178">
        <f>IFERROR(AVERAGEIFS($G:$G, $A:$A, $A42, $B:$B,$B42, $C:$C,$C42),"")</f>
        <v>8.4730411111111126E-2</v>
      </c>
      <c r="J42" s="172" t="str">
        <f>IF(AND(F42&lt;&gt;"", H42&lt;&gt;""), IF(F42&lt;H42,"Yes","No"), "")</f>
        <v>Yes</v>
      </c>
      <c r="K42" s="173" t="str">
        <f>IF(AND(G42&lt;&gt;"", I42&lt;&gt;""), IF(G42&lt;I42,"Yes","No"), "")</f>
        <v>Yes</v>
      </c>
    </row>
    <row r="43" spans="1:11" x14ac:dyDescent="0.3">
      <c r="A43" s="182" t="s">
        <v>107</v>
      </c>
      <c r="B43" s="281" t="s">
        <v>117</v>
      </c>
      <c r="C43" s="183">
        <v>46231</v>
      </c>
      <c r="D43" s="184" t="s">
        <v>19</v>
      </c>
      <c r="E43" s="185">
        <v>2103</v>
      </c>
      <c r="F43" s="186">
        <v>0.39977800000000002</v>
      </c>
      <c r="G43" s="187">
        <v>8.4118100000000001E-2</v>
      </c>
      <c r="H43" s="177">
        <f>IFERROR(AVERAGEIFS($F:$F, $A:$A, $A43, $B:$B,$B43, $C:$C,$C43),"")</f>
        <v>0.3508782777777778</v>
      </c>
      <c r="I43" s="178">
        <f>IFERROR(AVERAGEIFS($G:$G, $A:$A, $A43, $B:$B,$B43, $C:$C,$C43),"")</f>
        <v>8.4730411111111126E-2</v>
      </c>
      <c r="J43" s="172" t="str">
        <f>IF(AND(F43&lt;&gt;"", H43&lt;&gt;""), IF(F43&lt;H43,"Yes","No"), "")</f>
        <v>No</v>
      </c>
      <c r="K43" s="173" t="str">
        <f>IF(AND(G43&lt;&gt;"", I43&lt;&gt;""), IF(G43&lt;I43,"Yes","No"), "")</f>
        <v>Yes</v>
      </c>
    </row>
    <row r="44" spans="1:11" x14ac:dyDescent="0.3">
      <c r="A44" s="182" t="s">
        <v>107</v>
      </c>
      <c r="B44" s="281" t="s">
        <v>117</v>
      </c>
      <c r="C44" s="183">
        <v>46231</v>
      </c>
      <c r="D44" s="184" t="s">
        <v>20</v>
      </c>
      <c r="E44" s="185">
        <v>2171</v>
      </c>
      <c r="F44" s="186">
        <v>0.42612899999999998</v>
      </c>
      <c r="G44" s="187">
        <v>8.9207099999999998E-2</v>
      </c>
      <c r="H44" s="177">
        <f>IFERROR(AVERAGEIFS($F:$F, $A:$A, $A44, $B:$B,$B44, $C:$C,$C44),"")</f>
        <v>0.3508782777777778</v>
      </c>
      <c r="I44" s="178">
        <f>IFERROR(AVERAGEIFS($G:$G, $A:$A, $A44, $B:$B,$B44, $C:$C,$C44),"")</f>
        <v>8.4730411111111126E-2</v>
      </c>
      <c r="J44" s="172" t="str">
        <f>IF(AND(F44&lt;&gt;"", H44&lt;&gt;""), IF(F44&lt;H44,"Yes","No"), "")</f>
        <v>No</v>
      </c>
      <c r="K44" s="173" t="str">
        <f>IF(AND(G44&lt;&gt;"", I44&lt;&gt;""), IF(G44&lt;I44,"Yes","No"), "")</f>
        <v>No</v>
      </c>
    </row>
    <row r="45" spans="1:11" x14ac:dyDescent="0.3">
      <c r="A45" s="182" t="s">
        <v>107</v>
      </c>
      <c r="B45" s="281" t="s">
        <v>117</v>
      </c>
      <c r="C45" s="183">
        <v>46231</v>
      </c>
      <c r="D45" s="184" t="s">
        <v>44</v>
      </c>
      <c r="E45" s="185">
        <v>1004</v>
      </c>
      <c r="F45" s="186">
        <v>0.157855</v>
      </c>
      <c r="G45" s="187">
        <v>4.7859600000000002E-2</v>
      </c>
      <c r="H45" s="177">
        <f>IFERROR(AVERAGEIFS($F:$F, $A:$A, $A45, $B:$B,$B45, $C:$C,$C45),"")</f>
        <v>0.3508782777777778</v>
      </c>
      <c r="I45" s="178">
        <f>IFERROR(AVERAGEIFS($G:$G, $A:$A, $A45, $B:$B,$B45, $C:$C,$C45),"")</f>
        <v>8.4730411111111126E-2</v>
      </c>
      <c r="J45" s="172" t="str">
        <f>IF(AND(F45&lt;&gt;"", H45&lt;&gt;""), IF(F45&lt;H45,"Yes","No"), "")</f>
        <v>Yes</v>
      </c>
      <c r="K45" s="173" t="str">
        <f>IF(AND(G45&lt;&gt;"", I45&lt;&gt;""), IF(G45&lt;I45,"Yes","No"), "")</f>
        <v>Yes</v>
      </c>
    </row>
    <row r="46" spans="1:11" x14ac:dyDescent="0.3">
      <c r="A46" s="182" t="s">
        <v>107</v>
      </c>
      <c r="B46" s="281" t="s">
        <v>117</v>
      </c>
      <c r="C46" s="183">
        <v>46231</v>
      </c>
      <c r="D46" s="184" t="s">
        <v>21</v>
      </c>
      <c r="E46" s="185">
        <v>2717</v>
      </c>
      <c r="F46" s="186">
        <v>0.35114800000000002</v>
      </c>
      <c r="G46" s="187">
        <v>6.8267099999999997E-2</v>
      </c>
      <c r="H46" s="177">
        <f>IFERROR(AVERAGEIFS($F:$F, $A:$A, $A46, $B:$B,$B46, $C:$C,$C46),"")</f>
        <v>0.3508782777777778</v>
      </c>
      <c r="I46" s="178">
        <f>IFERROR(AVERAGEIFS($G:$G, $A:$A, $A46, $B:$B,$B46, $C:$C,$C46),"")</f>
        <v>8.4730411111111126E-2</v>
      </c>
      <c r="J46" s="172" t="str">
        <f>IF(AND(F46&lt;&gt;"", H46&lt;&gt;""), IF(F46&lt;H46,"Yes","No"), "")</f>
        <v>No</v>
      </c>
      <c r="K46" s="173" t="str">
        <f>IF(AND(G46&lt;&gt;"", I46&lt;&gt;""), IF(G46&lt;I46,"Yes","No"), "")</f>
        <v>Yes</v>
      </c>
    </row>
    <row r="47" spans="1:11" x14ac:dyDescent="0.3">
      <c r="A47" s="182" t="s">
        <v>107</v>
      </c>
      <c r="B47" s="281" t="s">
        <v>117</v>
      </c>
      <c r="C47" s="183">
        <v>46231</v>
      </c>
      <c r="D47" s="184" t="s">
        <v>22</v>
      </c>
      <c r="E47" s="185">
        <v>1748</v>
      </c>
      <c r="F47" s="186">
        <v>0.508247</v>
      </c>
      <c r="G47" s="187">
        <v>0.13811000000000001</v>
      </c>
      <c r="H47" s="177">
        <f>IFERROR(AVERAGEIFS($F:$F, $A:$A, $A47, $B:$B,$B47, $C:$C,$C47),"")</f>
        <v>0.3508782777777778</v>
      </c>
      <c r="I47" s="178">
        <f>IFERROR(AVERAGEIFS($G:$G, $A:$A, $A47, $B:$B,$B47, $C:$C,$C47),"")</f>
        <v>8.4730411111111126E-2</v>
      </c>
      <c r="J47" s="172" t="str">
        <f>IF(AND(F47&lt;&gt;"", H47&lt;&gt;""), IF(F47&lt;H47,"Yes","No"), "")</f>
        <v>No</v>
      </c>
      <c r="K47" s="173" t="str">
        <f>IF(AND(G47&lt;&gt;"", I47&lt;&gt;""), IF(G47&lt;I47,"Yes","No"), "")</f>
        <v>No</v>
      </c>
    </row>
    <row r="48" spans="1:11" x14ac:dyDescent="0.3">
      <c r="A48" s="182" t="s">
        <v>107</v>
      </c>
      <c r="B48" s="281" t="s">
        <v>117</v>
      </c>
      <c r="C48" s="183">
        <v>46231</v>
      </c>
      <c r="D48" s="184" t="s">
        <v>23</v>
      </c>
      <c r="E48" s="185">
        <v>1329</v>
      </c>
      <c r="F48" s="186">
        <v>0.36122100000000001</v>
      </c>
      <c r="G48" s="187">
        <v>0.118642</v>
      </c>
      <c r="H48" s="177">
        <f>IFERROR(AVERAGEIFS($F:$F, $A:$A, $A48, $B:$B,$B48, $C:$C,$C48),"")</f>
        <v>0.3508782777777778</v>
      </c>
      <c r="I48" s="178">
        <f>IFERROR(AVERAGEIFS($G:$G, $A:$A, $A48, $B:$B,$B48, $C:$C,$C48),"")</f>
        <v>8.4730411111111126E-2</v>
      </c>
      <c r="J48" s="172" t="str">
        <f>IF(AND(F48&lt;&gt;"", H48&lt;&gt;""), IF(F48&lt;H48,"Yes","No"), "")</f>
        <v>No</v>
      </c>
      <c r="K48" s="173" t="str">
        <f>IF(AND(G48&lt;&gt;"", I48&lt;&gt;""), IF(G48&lt;I48,"Yes","No"), "")</f>
        <v>No</v>
      </c>
    </row>
    <row r="49" spans="1:11" x14ac:dyDescent="0.3">
      <c r="A49" s="182" t="s">
        <v>107</v>
      </c>
      <c r="B49" s="281" t="s">
        <v>117</v>
      </c>
      <c r="C49" s="183">
        <v>46231</v>
      </c>
      <c r="D49" s="184" t="s">
        <v>24</v>
      </c>
      <c r="E49" s="185">
        <v>1653</v>
      </c>
      <c r="F49" s="186">
        <v>0.19215299999999999</v>
      </c>
      <c r="G49" s="187">
        <v>5.9232199999999999E-2</v>
      </c>
      <c r="H49" s="177">
        <f>IFERROR(AVERAGEIFS($F:$F, $A:$A, $A49, $B:$B,$B49, $C:$C,$C49),"")</f>
        <v>0.3508782777777778</v>
      </c>
      <c r="I49" s="178">
        <f>IFERROR(AVERAGEIFS($G:$G, $A:$A, $A49, $B:$B,$B49, $C:$C,$C49),"")</f>
        <v>8.4730411111111126E-2</v>
      </c>
      <c r="J49" s="172" t="str">
        <f>IF(AND(F49&lt;&gt;"", H49&lt;&gt;""), IF(F49&lt;H49,"Yes","No"), "")</f>
        <v>Yes</v>
      </c>
      <c r="K49" s="173" t="str">
        <f>IF(AND(G49&lt;&gt;"", I49&lt;&gt;""), IF(G49&lt;I49,"Yes","No"), "")</f>
        <v>Yes</v>
      </c>
    </row>
    <row r="50" spans="1:11" x14ac:dyDescent="0.3">
      <c r="A50" s="182" t="s">
        <v>107</v>
      </c>
      <c r="B50" s="281" t="s">
        <v>117</v>
      </c>
      <c r="C50" s="183">
        <v>46231</v>
      </c>
      <c r="D50" s="184" t="s">
        <v>25</v>
      </c>
      <c r="E50" s="185">
        <v>1260</v>
      </c>
      <c r="F50" s="186">
        <v>0.220161</v>
      </c>
      <c r="G50" s="187">
        <v>5.2973800000000001E-2</v>
      </c>
      <c r="H50" s="177">
        <f>IFERROR(AVERAGEIFS($F:$F, $A:$A, $A50, $B:$B,$B50, $C:$C,$C50),"")</f>
        <v>0.3508782777777778</v>
      </c>
      <c r="I50" s="178">
        <f>IFERROR(AVERAGEIFS($G:$G, $A:$A, $A50, $B:$B,$B50, $C:$C,$C50),"")</f>
        <v>8.4730411111111126E-2</v>
      </c>
      <c r="J50" s="172" t="str">
        <f>IF(AND(F50&lt;&gt;"", H50&lt;&gt;""), IF(F50&lt;H50,"Yes","No"), "")</f>
        <v>Yes</v>
      </c>
      <c r="K50" s="173" t="str">
        <f>IF(AND(G50&lt;&gt;"", I50&lt;&gt;""), IF(G50&lt;I50,"Yes","No"), "")</f>
        <v>Yes</v>
      </c>
    </row>
    <row r="51" spans="1:11" x14ac:dyDescent="0.3">
      <c r="A51" s="182" t="s">
        <v>107</v>
      </c>
      <c r="B51" s="281" t="s">
        <v>117</v>
      </c>
      <c r="C51" s="183">
        <v>46231</v>
      </c>
      <c r="D51" s="184" t="s">
        <v>26</v>
      </c>
      <c r="E51" s="185">
        <v>1442</v>
      </c>
      <c r="F51" s="186">
        <v>0.19145999999999999</v>
      </c>
      <c r="G51" s="187">
        <v>6.1579000000000002E-2</v>
      </c>
      <c r="H51" s="177">
        <f>IFERROR(AVERAGEIFS($F:$F, $A:$A, $A51, $B:$B,$B51, $C:$C,$C51),"")</f>
        <v>0.3508782777777778</v>
      </c>
      <c r="I51" s="178">
        <f>IFERROR(AVERAGEIFS($G:$G, $A:$A, $A51, $B:$B,$B51, $C:$C,$C51),"")</f>
        <v>8.4730411111111126E-2</v>
      </c>
      <c r="J51" s="172" t="str">
        <f>IF(AND(F51&lt;&gt;"", H51&lt;&gt;""), IF(F51&lt;H51,"Yes","No"), "")</f>
        <v>Yes</v>
      </c>
      <c r="K51" s="173" t="str">
        <f>IF(AND(G51&lt;&gt;"", I51&lt;&gt;""), IF(G51&lt;I51,"Yes","No"), "")</f>
        <v>Yes</v>
      </c>
    </row>
    <row r="52" spans="1:11" x14ac:dyDescent="0.3">
      <c r="A52" s="182" t="s">
        <v>107</v>
      </c>
      <c r="B52" s="281" t="s">
        <v>117</v>
      </c>
      <c r="C52" s="183">
        <v>46231</v>
      </c>
      <c r="D52" s="184" t="s">
        <v>27</v>
      </c>
      <c r="E52" s="185">
        <v>1990</v>
      </c>
      <c r="F52" s="186">
        <v>0.29572300000000001</v>
      </c>
      <c r="G52" s="187">
        <v>6.7059099999999996E-2</v>
      </c>
      <c r="H52" s="177">
        <f>IFERROR(AVERAGEIFS($F:$F, $A:$A, $A52, $B:$B,$B52, $C:$C,$C52),"")</f>
        <v>0.3508782777777778</v>
      </c>
      <c r="I52" s="178">
        <f>IFERROR(AVERAGEIFS($G:$G, $A:$A, $A52, $B:$B,$B52, $C:$C,$C52),"")</f>
        <v>8.4730411111111126E-2</v>
      </c>
      <c r="J52" s="172" t="str">
        <f>IF(AND(F52&lt;&gt;"", H52&lt;&gt;""), IF(F52&lt;H52,"Yes","No"), "")</f>
        <v>Yes</v>
      </c>
      <c r="K52" s="173" t="str">
        <f>IF(AND(G52&lt;&gt;"", I52&lt;&gt;""), IF(G52&lt;I52,"Yes","No"), "")</f>
        <v>Yes</v>
      </c>
    </row>
    <row r="53" spans="1:11" x14ac:dyDescent="0.3">
      <c r="A53" s="182" t="s">
        <v>107</v>
      </c>
      <c r="B53" s="281" t="s">
        <v>117</v>
      </c>
      <c r="C53" s="183">
        <v>46231</v>
      </c>
      <c r="D53" s="184" t="s">
        <v>28</v>
      </c>
      <c r="E53" s="185">
        <v>1384</v>
      </c>
      <c r="F53" s="186">
        <v>0.29070200000000002</v>
      </c>
      <c r="G53" s="187">
        <v>6.5277500000000002E-2</v>
      </c>
      <c r="H53" s="177">
        <f>IFERROR(AVERAGEIFS($F:$F, $A:$A, $A53, $B:$B,$B53, $C:$C,$C53),"")</f>
        <v>0.3508782777777778</v>
      </c>
      <c r="I53" s="178">
        <f>IFERROR(AVERAGEIFS($G:$G, $A:$A, $A53, $B:$B,$B53, $C:$C,$C53),"")</f>
        <v>8.4730411111111126E-2</v>
      </c>
      <c r="J53" s="172" t="str">
        <f>IF(AND(F53&lt;&gt;"", H53&lt;&gt;""), IF(F53&lt;H53,"Yes","No"), "")</f>
        <v>Yes</v>
      </c>
      <c r="K53" s="173" t="str">
        <f>IF(AND(G53&lt;&gt;"", I53&lt;&gt;""), IF(G53&lt;I53,"Yes","No"), "")</f>
        <v>Yes</v>
      </c>
    </row>
    <row r="54" spans="1:11" x14ac:dyDescent="0.3">
      <c r="A54" s="182" t="s">
        <v>107</v>
      </c>
      <c r="B54" s="281" t="s">
        <v>117</v>
      </c>
      <c r="C54" s="183">
        <v>46231</v>
      </c>
      <c r="D54" s="184" t="s">
        <v>29</v>
      </c>
      <c r="E54" s="185">
        <v>2118</v>
      </c>
      <c r="F54" s="186">
        <v>0.33533099999999999</v>
      </c>
      <c r="G54" s="187">
        <v>6.9472199999999998E-2</v>
      </c>
      <c r="H54" s="177">
        <f>IFERROR(AVERAGEIFS($F:$F, $A:$A, $A54, $B:$B,$B54, $C:$C,$C54),"")</f>
        <v>0.3508782777777778</v>
      </c>
      <c r="I54" s="178">
        <f>IFERROR(AVERAGEIFS($G:$G, $A:$A, $A54, $B:$B,$B54, $C:$C,$C54),"")</f>
        <v>8.4730411111111126E-2</v>
      </c>
      <c r="J54" s="172" t="str">
        <f>IF(AND(F54&lt;&gt;"", H54&lt;&gt;""), IF(F54&lt;H54,"Yes","No"), "")</f>
        <v>Yes</v>
      </c>
      <c r="K54" s="173" t="str">
        <f>IF(AND(G54&lt;&gt;"", I54&lt;&gt;""), IF(G54&lt;I54,"Yes","No"), "")</f>
        <v>Yes</v>
      </c>
    </row>
    <row r="55" spans="1:11" x14ac:dyDescent="0.3">
      <c r="A55" s="182" t="s">
        <v>107</v>
      </c>
      <c r="B55" s="281" t="s">
        <v>117</v>
      </c>
      <c r="C55" s="183">
        <v>46231</v>
      </c>
      <c r="D55" s="184" t="s">
        <v>30</v>
      </c>
      <c r="E55" s="185">
        <v>1432</v>
      </c>
      <c r="F55" s="186">
        <v>0.47264099999999998</v>
      </c>
      <c r="G55" s="187">
        <v>9.5271300000000003E-2</v>
      </c>
      <c r="H55" s="177">
        <f>IFERROR(AVERAGEIFS($F:$F, $A:$A, $A55, $B:$B,$B55, $C:$C,$C55),"")</f>
        <v>0.3508782777777778</v>
      </c>
      <c r="I55" s="178">
        <f>IFERROR(AVERAGEIFS($G:$G, $A:$A, $A55, $B:$B,$B55, $C:$C,$C55),"")</f>
        <v>8.4730411111111126E-2</v>
      </c>
      <c r="J55" s="172" t="str">
        <f>IF(AND(F55&lt;&gt;"", H55&lt;&gt;""), IF(F55&lt;H55,"Yes","No"), "")</f>
        <v>No</v>
      </c>
      <c r="K55" s="173" t="str">
        <f>IF(AND(G55&lt;&gt;"", I55&lt;&gt;""), IF(G55&lt;I55,"Yes","No"), "")</f>
        <v>No</v>
      </c>
    </row>
    <row r="56" spans="1:11" x14ac:dyDescent="0.3">
      <c r="A56" s="182" t="s">
        <v>107</v>
      </c>
      <c r="B56" s="281" t="s">
        <v>117</v>
      </c>
      <c r="C56" s="183">
        <v>46232</v>
      </c>
      <c r="D56" s="184" t="s">
        <v>14</v>
      </c>
      <c r="E56" s="185">
        <v>2734</v>
      </c>
      <c r="F56" s="186">
        <v>0.28613699999999997</v>
      </c>
      <c r="G56" s="187">
        <v>8.0479400000000006E-2</v>
      </c>
      <c r="H56" s="177">
        <f>IFERROR(AVERAGEIFS($F:$F, $A:$A, $A56, $B:$B,$B56, $C:$C,$C56),"")</f>
        <v>0.36980916666666658</v>
      </c>
      <c r="I56" s="178">
        <f>IFERROR(AVERAGEIFS($G:$G, $A:$A, $A56, $B:$B,$B56, $C:$C,$C56),"")</f>
        <v>8.8881683333333336E-2</v>
      </c>
      <c r="J56" s="172" t="str">
        <f>IF(AND(F56&lt;&gt;"", H56&lt;&gt;""), IF(F56&lt;H56,"Yes","No"), "")</f>
        <v>Yes</v>
      </c>
      <c r="K56" s="173" t="str">
        <f>IF(AND(G56&lt;&gt;"", I56&lt;&gt;""), IF(G56&lt;I56,"Yes","No"), "")</f>
        <v>Yes</v>
      </c>
    </row>
    <row r="57" spans="1:11" x14ac:dyDescent="0.3">
      <c r="A57" s="182" t="s">
        <v>107</v>
      </c>
      <c r="B57" s="281" t="s">
        <v>117</v>
      </c>
      <c r="C57" s="183">
        <v>46232</v>
      </c>
      <c r="D57" s="184" t="s">
        <v>15</v>
      </c>
      <c r="E57" s="185">
        <v>2228</v>
      </c>
      <c r="F57" s="186">
        <v>0.39689600000000003</v>
      </c>
      <c r="G57" s="187">
        <v>0.104628</v>
      </c>
      <c r="H57" s="177">
        <f>IFERROR(AVERAGEIFS($F:$F, $A:$A, $A57, $B:$B,$B57, $C:$C,$C57),"")</f>
        <v>0.36980916666666658</v>
      </c>
      <c r="I57" s="178">
        <f>IFERROR(AVERAGEIFS($G:$G, $A:$A, $A57, $B:$B,$B57, $C:$C,$C57),"")</f>
        <v>8.8881683333333336E-2</v>
      </c>
      <c r="J57" s="172" t="str">
        <f>IF(AND(F57&lt;&gt;"", H57&lt;&gt;""), IF(F57&lt;H57,"Yes","No"), "")</f>
        <v>No</v>
      </c>
      <c r="K57" s="173" t="str">
        <f>IF(AND(G57&lt;&gt;"", I57&lt;&gt;""), IF(G57&lt;I57,"Yes","No"), "")</f>
        <v>No</v>
      </c>
    </row>
    <row r="58" spans="1:11" x14ac:dyDescent="0.3">
      <c r="A58" s="182" t="s">
        <v>107</v>
      </c>
      <c r="B58" s="281" t="s">
        <v>117</v>
      </c>
      <c r="C58" s="183">
        <v>46232</v>
      </c>
      <c r="D58" s="184" t="s">
        <v>16</v>
      </c>
      <c r="E58" s="185">
        <v>1998</v>
      </c>
      <c r="F58" s="186">
        <v>0.45231500000000002</v>
      </c>
      <c r="G58" s="187">
        <v>0.106193</v>
      </c>
      <c r="H58" s="177">
        <f>IFERROR(AVERAGEIFS($F:$F, $A:$A, $A58, $B:$B,$B58, $C:$C,$C58),"")</f>
        <v>0.36980916666666658</v>
      </c>
      <c r="I58" s="178">
        <f>IFERROR(AVERAGEIFS($G:$G, $A:$A, $A58, $B:$B,$B58, $C:$C,$C58),"")</f>
        <v>8.8881683333333336E-2</v>
      </c>
      <c r="J58" s="172" t="str">
        <f>IF(AND(F58&lt;&gt;"", H58&lt;&gt;""), IF(F58&lt;H58,"Yes","No"), "")</f>
        <v>No</v>
      </c>
      <c r="K58" s="173" t="str">
        <f>IF(AND(G58&lt;&gt;"", I58&lt;&gt;""), IF(G58&lt;I58,"Yes","No"), "")</f>
        <v>No</v>
      </c>
    </row>
    <row r="59" spans="1:11" x14ac:dyDescent="0.3">
      <c r="A59" s="182" t="s">
        <v>107</v>
      </c>
      <c r="B59" s="281" t="s">
        <v>117</v>
      </c>
      <c r="C59" s="183">
        <v>46232</v>
      </c>
      <c r="D59" s="184" t="s">
        <v>17</v>
      </c>
      <c r="E59" s="185">
        <v>2381</v>
      </c>
      <c r="F59" s="186">
        <v>0.56917399999999996</v>
      </c>
      <c r="G59" s="187">
        <v>0.112651</v>
      </c>
      <c r="H59" s="177">
        <f>IFERROR(AVERAGEIFS($F:$F, $A:$A, $A59, $B:$B,$B59, $C:$C,$C59),"")</f>
        <v>0.36980916666666658</v>
      </c>
      <c r="I59" s="178">
        <f>IFERROR(AVERAGEIFS($G:$G, $A:$A, $A59, $B:$B,$B59, $C:$C,$C59),"")</f>
        <v>8.8881683333333336E-2</v>
      </c>
      <c r="J59" s="172" t="str">
        <f>IF(AND(F59&lt;&gt;"", H59&lt;&gt;""), IF(F59&lt;H59,"Yes","No"), "")</f>
        <v>No</v>
      </c>
      <c r="K59" s="173" t="str">
        <f>IF(AND(G59&lt;&gt;"", I59&lt;&gt;""), IF(G59&lt;I59,"Yes","No"), "")</f>
        <v>No</v>
      </c>
    </row>
    <row r="60" spans="1:11" x14ac:dyDescent="0.3">
      <c r="A60" s="182" t="s">
        <v>107</v>
      </c>
      <c r="B60" s="281" t="s">
        <v>117</v>
      </c>
      <c r="C60" s="183">
        <v>46232</v>
      </c>
      <c r="D60" s="184" t="s">
        <v>18</v>
      </c>
      <c r="E60" s="185">
        <v>1925</v>
      </c>
      <c r="F60" s="186">
        <v>0.27124799999999999</v>
      </c>
      <c r="G60" s="187">
        <v>6.4562400000000006E-2</v>
      </c>
      <c r="H60" s="177">
        <f>IFERROR(AVERAGEIFS($F:$F, $A:$A, $A60, $B:$B,$B60, $C:$C,$C60),"")</f>
        <v>0.36980916666666658</v>
      </c>
      <c r="I60" s="178">
        <f>IFERROR(AVERAGEIFS($G:$G, $A:$A, $A60, $B:$B,$B60, $C:$C,$C60),"")</f>
        <v>8.8881683333333336E-2</v>
      </c>
      <c r="J60" s="172" t="str">
        <f t="shared" ref="J60:J86" si="0">IF(AND(F60&lt;&gt;"", H60&lt;&gt;""), IF(F60&lt;H60,"Yes","No"), "")</f>
        <v>Yes</v>
      </c>
      <c r="K60" s="173" t="str">
        <f t="shared" ref="K60:K86" si="1">IF(AND(G60&lt;&gt;"", I60&lt;&gt;""), IF(G60&lt;I60,"Yes","No"), "")</f>
        <v>Yes</v>
      </c>
    </row>
    <row r="61" spans="1:11" x14ac:dyDescent="0.3">
      <c r="A61" s="182" t="s">
        <v>107</v>
      </c>
      <c r="B61" s="281" t="s">
        <v>117</v>
      </c>
      <c r="C61" s="183">
        <v>46232</v>
      </c>
      <c r="D61" s="184" t="s">
        <v>19</v>
      </c>
      <c r="E61" s="185">
        <v>1532</v>
      </c>
      <c r="F61" s="186">
        <v>0.38306699999999999</v>
      </c>
      <c r="G61" s="187">
        <v>8.06085E-2</v>
      </c>
      <c r="H61" s="177">
        <f>IFERROR(AVERAGEIFS($F:$F, $A:$A, $A61, $B:$B,$B61, $C:$C,$C61),"")</f>
        <v>0.36980916666666658</v>
      </c>
      <c r="I61" s="178">
        <f>IFERROR(AVERAGEIFS($G:$G, $A:$A, $A61, $B:$B,$B61, $C:$C,$C61),"")</f>
        <v>8.8881683333333336E-2</v>
      </c>
      <c r="J61" s="172" t="str">
        <f t="shared" si="0"/>
        <v>No</v>
      </c>
      <c r="K61" s="173" t="str">
        <f t="shared" si="1"/>
        <v>Yes</v>
      </c>
    </row>
    <row r="62" spans="1:11" x14ac:dyDescent="0.3">
      <c r="A62" s="182" t="s">
        <v>107</v>
      </c>
      <c r="B62" s="281" t="s">
        <v>117</v>
      </c>
      <c r="C62" s="183">
        <v>46232</v>
      </c>
      <c r="D62" s="184" t="s">
        <v>20</v>
      </c>
      <c r="E62" s="185">
        <v>1844</v>
      </c>
      <c r="F62" s="186">
        <v>0.39710200000000001</v>
      </c>
      <c r="G62" s="187">
        <v>8.3112099999999994E-2</v>
      </c>
      <c r="H62" s="177">
        <f>IFERROR(AVERAGEIFS($F:$F, $A:$A, $A62, $B:$B,$B62, $C:$C,$C62),"")</f>
        <v>0.36980916666666658</v>
      </c>
      <c r="I62" s="178">
        <f>IFERROR(AVERAGEIFS($G:$G, $A:$A, $A62, $B:$B,$B62, $C:$C,$C62),"")</f>
        <v>8.8881683333333336E-2</v>
      </c>
      <c r="J62" s="172" t="str">
        <f t="shared" si="0"/>
        <v>No</v>
      </c>
      <c r="K62" s="173" t="str">
        <f t="shared" si="1"/>
        <v>Yes</v>
      </c>
    </row>
    <row r="63" spans="1:11" x14ac:dyDescent="0.3">
      <c r="A63" s="182" t="s">
        <v>107</v>
      </c>
      <c r="B63" s="281" t="s">
        <v>117</v>
      </c>
      <c r="C63" s="183">
        <v>46232</v>
      </c>
      <c r="D63" s="184" t="s">
        <v>44</v>
      </c>
      <c r="E63" s="185">
        <v>1024</v>
      </c>
      <c r="F63" s="186">
        <v>0.228356</v>
      </c>
      <c r="G63" s="187">
        <v>6.9231899999999999E-2</v>
      </c>
      <c r="H63" s="177">
        <f>IFERROR(AVERAGEIFS($F:$F, $A:$A, $A63, $B:$B,$B63, $C:$C,$C63),"")</f>
        <v>0.36980916666666658</v>
      </c>
      <c r="I63" s="178">
        <f>IFERROR(AVERAGEIFS($G:$G, $A:$A, $A63, $B:$B,$B63, $C:$C,$C63),"")</f>
        <v>8.8881683333333336E-2</v>
      </c>
      <c r="J63" s="172" t="str">
        <f t="shared" si="0"/>
        <v>Yes</v>
      </c>
      <c r="K63" s="173" t="str">
        <f t="shared" si="1"/>
        <v>Yes</v>
      </c>
    </row>
    <row r="64" spans="1:11" x14ac:dyDescent="0.3">
      <c r="A64" s="182" t="s">
        <v>107</v>
      </c>
      <c r="B64" s="281" t="s">
        <v>117</v>
      </c>
      <c r="C64" s="183">
        <v>46232</v>
      </c>
      <c r="D64" s="184" t="s">
        <v>21</v>
      </c>
      <c r="E64" s="185">
        <v>3094</v>
      </c>
      <c r="F64" s="186">
        <v>0.439106</v>
      </c>
      <c r="G64" s="187">
        <v>8.5488999999999996E-2</v>
      </c>
      <c r="H64" s="177">
        <f>IFERROR(AVERAGEIFS($F:$F, $A:$A, $A64, $B:$B,$B64, $C:$C,$C64),"")</f>
        <v>0.36980916666666658</v>
      </c>
      <c r="I64" s="178">
        <f>IFERROR(AVERAGEIFS($G:$G, $A:$A, $A64, $B:$B,$B64, $C:$C,$C64),"")</f>
        <v>8.8881683333333336E-2</v>
      </c>
      <c r="J64" s="172" t="str">
        <f t="shared" si="0"/>
        <v>No</v>
      </c>
      <c r="K64" s="173" t="str">
        <f t="shared" si="1"/>
        <v>Yes</v>
      </c>
    </row>
    <row r="65" spans="1:11" x14ac:dyDescent="0.3">
      <c r="A65" s="182" t="s">
        <v>107</v>
      </c>
      <c r="B65" s="281" t="s">
        <v>117</v>
      </c>
      <c r="C65" s="183">
        <v>46232</v>
      </c>
      <c r="D65" s="184" t="s">
        <v>22</v>
      </c>
      <c r="E65" s="185">
        <v>2382</v>
      </c>
      <c r="F65" s="186">
        <v>0.50203399999999998</v>
      </c>
      <c r="G65" s="187">
        <v>0.136459</v>
      </c>
      <c r="H65" s="177">
        <f>IFERROR(AVERAGEIFS($F:$F, $A:$A, $A65, $B:$B,$B65, $C:$C,$C65),"")</f>
        <v>0.36980916666666658</v>
      </c>
      <c r="I65" s="178">
        <f>IFERROR(AVERAGEIFS($G:$G, $A:$A, $A65, $B:$B,$B65, $C:$C,$C65),"")</f>
        <v>8.8881683333333336E-2</v>
      </c>
      <c r="J65" s="172" t="str">
        <f t="shared" si="0"/>
        <v>No</v>
      </c>
      <c r="K65" s="173" t="str">
        <f t="shared" si="1"/>
        <v>No</v>
      </c>
    </row>
    <row r="66" spans="1:11" x14ac:dyDescent="0.3">
      <c r="A66" s="182" t="s">
        <v>107</v>
      </c>
      <c r="B66" s="281" t="s">
        <v>117</v>
      </c>
      <c r="C66" s="183">
        <v>46232</v>
      </c>
      <c r="D66" s="184" t="s">
        <v>23</v>
      </c>
      <c r="E66" s="185">
        <v>1548</v>
      </c>
      <c r="F66" s="186">
        <v>0.40054099999999998</v>
      </c>
      <c r="G66" s="187">
        <v>0.13156499999999999</v>
      </c>
      <c r="H66" s="177">
        <f>IFERROR(AVERAGEIFS($F:$F, $A:$A, $A66, $B:$B,$B66, $C:$C,$C66),"")</f>
        <v>0.36980916666666658</v>
      </c>
      <c r="I66" s="178">
        <f>IFERROR(AVERAGEIFS($G:$G, $A:$A, $A66, $B:$B,$B66, $C:$C,$C66),"")</f>
        <v>8.8881683333333336E-2</v>
      </c>
      <c r="J66" s="172" t="str">
        <f t="shared" si="0"/>
        <v>No</v>
      </c>
      <c r="K66" s="173" t="str">
        <f t="shared" si="1"/>
        <v>No</v>
      </c>
    </row>
    <row r="67" spans="1:11" x14ac:dyDescent="0.3">
      <c r="A67" s="182" t="s">
        <v>107</v>
      </c>
      <c r="B67" s="281" t="s">
        <v>117</v>
      </c>
      <c r="C67" s="183">
        <v>46232</v>
      </c>
      <c r="D67" s="184" t="s">
        <v>24</v>
      </c>
      <c r="E67" s="185">
        <v>2980</v>
      </c>
      <c r="F67" s="186">
        <v>0.20336000000000001</v>
      </c>
      <c r="G67" s="187">
        <v>6.2631199999999998E-2</v>
      </c>
      <c r="H67" s="177">
        <f>IFERROR(AVERAGEIFS($F:$F, $A:$A, $A67, $B:$B,$B67, $C:$C,$C67),"")</f>
        <v>0.36980916666666658</v>
      </c>
      <c r="I67" s="178">
        <f>IFERROR(AVERAGEIFS($G:$G, $A:$A, $A67, $B:$B,$B67, $C:$C,$C67),"")</f>
        <v>8.8881683333333336E-2</v>
      </c>
      <c r="J67" s="172" t="str">
        <f t="shared" si="0"/>
        <v>Yes</v>
      </c>
      <c r="K67" s="173" t="str">
        <f t="shared" si="1"/>
        <v>Yes</v>
      </c>
    </row>
    <row r="68" spans="1:11" x14ac:dyDescent="0.3">
      <c r="A68" s="182" t="s">
        <v>107</v>
      </c>
      <c r="B68" s="281" t="s">
        <v>117</v>
      </c>
      <c r="C68" s="183">
        <v>46232</v>
      </c>
      <c r="D68" s="184" t="s">
        <v>25</v>
      </c>
      <c r="E68" s="185">
        <v>1004</v>
      </c>
      <c r="F68" s="186">
        <v>0.25667299999999998</v>
      </c>
      <c r="G68" s="187">
        <v>6.1802799999999998E-2</v>
      </c>
      <c r="H68" s="177">
        <f>IFERROR(AVERAGEIFS($F:$F, $A:$A, $A68, $B:$B,$B68, $C:$C,$C68),"")</f>
        <v>0.36980916666666658</v>
      </c>
      <c r="I68" s="178">
        <f>IFERROR(AVERAGEIFS($G:$G, $A:$A, $A68, $B:$B,$B68, $C:$C,$C68),"")</f>
        <v>8.8881683333333336E-2</v>
      </c>
      <c r="J68" s="172" t="str">
        <f t="shared" si="0"/>
        <v>Yes</v>
      </c>
      <c r="K68" s="173" t="str">
        <f t="shared" si="1"/>
        <v>Yes</v>
      </c>
    </row>
    <row r="69" spans="1:11" x14ac:dyDescent="0.3">
      <c r="A69" s="182" t="s">
        <v>107</v>
      </c>
      <c r="B69" s="281" t="s">
        <v>117</v>
      </c>
      <c r="C69" s="183">
        <v>46232</v>
      </c>
      <c r="D69" s="184" t="s">
        <v>26</v>
      </c>
      <c r="E69" s="185">
        <v>2309</v>
      </c>
      <c r="F69" s="186">
        <v>0.18460799999999999</v>
      </c>
      <c r="G69" s="187">
        <v>5.9381200000000002E-2</v>
      </c>
      <c r="H69" s="177">
        <f>IFERROR(AVERAGEIFS($F:$F, $A:$A, $A69, $B:$B,$B69, $C:$C,$C69),"")</f>
        <v>0.36980916666666658</v>
      </c>
      <c r="I69" s="178">
        <f>IFERROR(AVERAGEIFS($G:$G, $A:$A, $A69, $B:$B,$B69, $C:$C,$C69),"")</f>
        <v>8.8881683333333336E-2</v>
      </c>
      <c r="J69" s="172" t="str">
        <f t="shared" si="0"/>
        <v>Yes</v>
      </c>
      <c r="K69" s="173" t="str">
        <f t="shared" si="1"/>
        <v>Yes</v>
      </c>
    </row>
    <row r="70" spans="1:11" x14ac:dyDescent="0.3">
      <c r="A70" s="182" t="s">
        <v>107</v>
      </c>
      <c r="B70" s="281" t="s">
        <v>117</v>
      </c>
      <c r="C70" s="183">
        <v>46232</v>
      </c>
      <c r="D70" s="184" t="s">
        <v>27</v>
      </c>
      <c r="E70" s="185">
        <v>2107</v>
      </c>
      <c r="F70" s="186">
        <v>0.437442</v>
      </c>
      <c r="G70" s="187">
        <v>9.9357200000000007E-2</v>
      </c>
      <c r="H70" s="177">
        <f>IFERROR(AVERAGEIFS($F:$F, $A:$A, $A70, $B:$B,$B70, $C:$C,$C70),"")</f>
        <v>0.36980916666666658</v>
      </c>
      <c r="I70" s="178">
        <f>IFERROR(AVERAGEIFS($G:$G, $A:$A, $A70, $B:$B,$B70, $C:$C,$C70),"")</f>
        <v>8.8881683333333336E-2</v>
      </c>
      <c r="J70" s="172" t="str">
        <f t="shared" si="0"/>
        <v>No</v>
      </c>
      <c r="K70" s="173" t="str">
        <f t="shared" si="1"/>
        <v>No</v>
      </c>
    </row>
    <row r="71" spans="1:11" x14ac:dyDescent="0.3">
      <c r="A71" s="182" t="s">
        <v>107</v>
      </c>
      <c r="B71" s="281" t="s">
        <v>117</v>
      </c>
      <c r="C71" s="183">
        <v>46232</v>
      </c>
      <c r="D71" s="184" t="s">
        <v>28</v>
      </c>
      <c r="E71" s="185">
        <v>1476</v>
      </c>
      <c r="F71" s="186">
        <v>0.355014</v>
      </c>
      <c r="G71" s="187">
        <v>7.9746600000000001E-2</v>
      </c>
      <c r="H71" s="177">
        <f>IFERROR(AVERAGEIFS($F:$F, $A:$A, $A71, $B:$B,$B71, $C:$C,$C71),"")</f>
        <v>0.36980916666666658</v>
      </c>
      <c r="I71" s="178">
        <f>IFERROR(AVERAGEIFS($G:$G, $A:$A, $A71, $B:$B,$B71, $C:$C,$C71),"")</f>
        <v>8.8881683333333336E-2</v>
      </c>
      <c r="J71" s="172" t="str">
        <f t="shared" si="0"/>
        <v>Yes</v>
      </c>
      <c r="K71" s="173" t="str">
        <f t="shared" si="1"/>
        <v>Yes</v>
      </c>
    </row>
    <row r="72" spans="1:11" x14ac:dyDescent="0.3">
      <c r="A72" s="182" t="s">
        <v>107</v>
      </c>
      <c r="B72" s="281" t="s">
        <v>117</v>
      </c>
      <c r="C72" s="183">
        <v>46232</v>
      </c>
      <c r="D72" s="184" t="s">
        <v>29</v>
      </c>
      <c r="E72" s="185">
        <v>1689</v>
      </c>
      <c r="F72" s="186">
        <v>0.354182</v>
      </c>
      <c r="G72" s="187">
        <v>7.3407E-2</v>
      </c>
      <c r="H72" s="177">
        <f>IFERROR(AVERAGEIFS($F:$F, $A:$A, $A72, $B:$B,$B72, $C:$C,$C72),"")</f>
        <v>0.36980916666666658</v>
      </c>
      <c r="I72" s="178">
        <f>IFERROR(AVERAGEIFS($G:$G, $A:$A, $A72, $B:$B,$B72, $C:$C,$C72),"")</f>
        <v>8.8881683333333336E-2</v>
      </c>
      <c r="J72" s="172" t="str">
        <f t="shared" si="0"/>
        <v>Yes</v>
      </c>
      <c r="K72" s="173" t="str">
        <f t="shared" si="1"/>
        <v>Yes</v>
      </c>
    </row>
    <row r="73" spans="1:11" x14ac:dyDescent="0.3">
      <c r="A73" s="182" t="s">
        <v>107</v>
      </c>
      <c r="B73" s="281" t="s">
        <v>117</v>
      </c>
      <c r="C73" s="183">
        <v>46232</v>
      </c>
      <c r="D73" s="184" t="s">
        <v>30</v>
      </c>
      <c r="E73" s="185">
        <v>2001</v>
      </c>
      <c r="F73" s="186">
        <v>0.53930999999999996</v>
      </c>
      <c r="G73" s="187">
        <v>0.10856499999999999</v>
      </c>
      <c r="H73" s="177">
        <f>IFERROR(AVERAGEIFS($F:$F, $A:$A, $A73, $B:$B,$B73, $C:$C,$C73),"")</f>
        <v>0.36980916666666658</v>
      </c>
      <c r="I73" s="178">
        <f>IFERROR(AVERAGEIFS($G:$G, $A:$A, $A73, $B:$B,$B73, $C:$C,$C73),"")</f>
        <v>8.8881683333333336E-2</v>
      </c>
      <c r="J73" s="172" t="str">
        <f t="shared" si="0"/>
        <v>No</v>
      </c>
      <c r="K73" s="173" t="str">
        <f t="shared" si="1"/>
        <v>No</v>
      </c>
    </row>
    <row r="74" spans="1:11" x14ac:dyDescent="0.3">
      <c r="A74" s="182" t="s">
        <v>107</v>
      </c>
      <c r="B74" s="281" t="s">
        <v>117</v>
      </c>
      <c r="C74" s="183">
        <v>46233</v>
      </c>
      <c r="D74" s="184" t="s">
        <v>14</v>
      </c>
      <c r="E74" s="185">
        <v>2638</v>
      </c>
      <c r="F74" s="186">
        <v>0.21954399999999999</v>
      </c>
      <c r="G74" s="187">
        <v>6.17744E-2</v>
      </c>
      <c r="H74" s="177">
        <f>IFERROR(AVERAGEIFS($F:$F, $A:$A, $A74, $B:$B,$B74, $C:$C,$C74),"")</f>
        <v>0.32767977777777779</v>
      </c>
      <c r="I74" s="178">
        <f>IFERROR(AVERAGEIFS($G:$G, $A:$A, $A74, $B:$B,$B74, $C:$C,$C74),"")</f>
        <v>7.9198327777777758E-2</v>
      </c>
      <c r="J74" s="172" t="str">
        <f t="shared" si="0"/>
        <v>Yes</v>
      </c>
      <c r="K74" s="173" t="str">
        <f t="shared" si="1"/>
        <v>Yes</v>
      </c>
    </row>
    <row r="75" spans="1:11" x14ac:dyDescent="0.3">
      <c r="A75" s="182" t="s">
        <v>107</v>
      </c>
      <c r="B75" s="281" t="s">
        <v>117</v>
      </c>
      <c r="C75" s="183">
        <v>46233</v>
      </c>
      <c r="D75" s="184" t="s">
        <v>15</v>
      </c>
      <c r="E75" s="185">
        <v>2543</v>
      </c>
      <c r="F75" s="186">
        <v>0.37991200000000003</v>
      </c>
      <c r="G75" s="187">
        <v>0.10016</v>
      </c>
      <c r="H75" s="177">
        <f>IFERROR(AVERAGEIFS($F:$F, $A:$A, $A75, $B:$B,$B75, $C:$C,$C75),"")</f>
        <v>0.32767977777777779</v>
      </c>
      <c r="I75" s="178">
        <f>IFERROR(AVERAGEIFS($G:$G, $A:$A, $A75, $B:$B,$B75, $C:$C,$C75),"")</f>
        <v>7.9198327777777758E-2</v>
      </c>
      <c r="J75" s="172" t="str">
        <f t="shared" si="0"/>
        <v>No</v>
      </c>
      <c r="K75" s="173" t="str">
        <f t="shared" si="1"/>
        <v>No</v>
      </c>
    </row>
    <row r="76" spans="1:11" x14ac:dyDescent="0.3">
      <c r="A76" s="182" t="s">
        <v>107</v>
      </c>
      <c r="B76" s="281" t="s">
        <v>117</v>
      </c>
      <c r="C76" s="183">
        <v>46233</v>
      </c>
      <c r="D76" s="184" t="s">
        <v>16</v>
      </c>
      <c r="E76" s="185">
        <v>2200</v>
      </c>
      <c r="F76" s="186">
        <v>0.43276999999999999</v>
      </c>
      <c r="G76" s="187">
        <v>0.101578</v>
      </c>
      <c r="H76" s="177">
        <f>IFERROR(AVERAGEIFS($F:$F, $A:$A, $A76, $B:$B,$B76, $C:$C,$C76),"")</f>
        <v>0.32767977777777779</v>
      </c>
      <c r="I76" s="178">
        <f>IFERROR(AVERAGEIFS($G:$G, $A:$A, $A76, $B:$B,$B76, $C:$C,$C76),"")</f>
        <v>7.9198327777777758E-2</v>
      </c>
      <c r="J76" s="172" t="str">
        <f t="shared" si="0"/>
        <v>No</v>
      </c>
      <c r="K76" s="173" t="str">
        <f t="shared" si="1"/>
        <v>No</v>
      </c>
    </row>
    <row r="77" spans="1:11" x14ac:dyDescent="0.3">
      <c r="A77" s="182" t="s">
        <v>107</v>
      </c>
      <c r="B77" s="281" t="s">
        <v>117</v>
      </c>
      <c r="C77" s="183">
        <v>46233</v>
      </c>
      <c r="D77" s="184" t="s">
        <v>17</v>
      </c>
      <c r="E77" s="185">
        <v>2099</v>
      </c>
      <c r="F77" s="186">
        <v>0.45406200000000002</v>
      </c>
      <c r="G77" s="187">
        <v>8.9885099999999996E-2</v>
      </c>
      <c r="H77" s="177">
        <f>IFERROR(AVERAGEIFS($F:$F, $A:$A, $A77, $B:$B,$B77, $C:$C,$C77),"")</f>
        <v>0.32767977777777779</v>
      </c>
      <c r="I77" s="178">
        <f>IFERROR(AVERAGEIFS($G:$G, $A:$A, $A77, $B:$B,$B77, $C:$C,$C77),"")</f>
        <v>7.9198327777777758E-2</v>
      </c>
      <c r="J77" s="172" t="str">
        <f t="shared" si="0"/>
        <v>No</v>
      </c>
      <c r="K77" s="173" t="str">
        <f t="shared" si="1"/>
        <v>No</v>
      </c>
    </row>
    <row r="78" spans="1:11" x14ac:dyDescent="0.3">
      <c r="A78" s="182" t="s">
        <v>107</v>
      </c>
      <c r="B78" s="281" t="s">
        <v>117</v>
      </c>
      <c r="C78" s="183">
        <v>46233</v>
      </c>
      <c r="D78" s="184" t="s">
        <v>18</v>
      </c>
      <c r="E78" s="185">
        <v>2275</v>
      </c>
      <c r="F78" s="186">
        <v>0.258108</v>
      </c>
      <c r="G78" s="187">
        <v>6.1423999999999999E-2</v>
      </c>
      <c r="H78" s="177">
        <f>IFERROR(AVERAGEIFS($F:$F, $A:$A, $A78, $B:$B,$B78, $C:$C,$C78),"")</f>
        <v>0.32767977777777779</v>
      </c>
      <c r="I78" s="178">
        <f>IFERROR(AVERAGEIFS($G:$G, $A:$A, $A78, $B:$B,$B78, $C:$C,$C78),"")</f>
        <v>7.9198327777777758E-2</v>
      </c>
      <c r="J78" s="172" t="str">
        <f t="shared" si="0"/>
        <v>Yes</v>
      </c>
      <c r="K78" s="173" t="str">
        <f t="shared" si="1"/>
        <v>Yes</v>
      </c>
    </row>
    <row r="79" spans="1:11" x14ac:dyDescent="0.3">
      <c r="A79" s="182" t="s">
        <v>107</v>
      </c>
      <c r="B79" s="281" t="s">
        <v>117</v>
      </c>
      <c r="C79" s="183">
        <v>46233</v>
      </c>
      <c r="D79" s="184" t="s">
        <v>19</v>
      </c>
      <c r="E79" s="185">
        <v>1741</v>
      </c>
      <c r="F79" s="186">
        <v>0.33665899999999999</v>
      </c>
      <c r="G79" s="187">
        <v>7.0834300000000003E-2</v>
      </c>
      <c r="H79" s="177">
        <f>IFERROR(AVERAGEIFS($F:$F, $A:$A, $A79, $B:$B,$B79, $C:$C,$C79),"")</f>
        <v>0.32767977777777779</v>
      </c>
      <c r="I79" s="178">
        <f>IFERROR(AVERAGEIFS($G:$G, $A:$A, $A79, $B:$B,$B79, $C:$C,$C79),"")</f>
        <v>7.9198327777777758E-2</v>
      </c>
      <c r="J79" s="172" t="str">
        <f t="shared" si="0"/>
        <v>No</v>
      </c>
      <c r="K79" s="173" t="str">
        <f t="shared" si="1"/>
        <v>Yes</v>
      </c>
    </row>
    <row r="80" spans="1:11" x14ac:dyDescent="0.3">
      <c r="A80" s="182" t="s">
        <v>107</v>
      </c>
      <c r="B80" s="281" t="s">
        <v>117</v>
      </c>
      <c r="C80" s="183">
        <v>46233</v>
      </c>
      <c r="D80" s="184" t="s">
        <v>20</v>
      </c>
      <c r="E80" s="185">
        <v>1921</v>
      </c>
      <c r="F80" s="186">
        <v>0.380859</v>
      </c>
      <c r="G80" s="187">
        <v>7.9699599999999995E-2</v>
      </c>
      <c r="H80" s="177">
        <f>IFERROR(AVERAGEIFS($F:$F, $A:$A, $A80, $B:$B,$B80, $C:$C,$C80),"")</f>
        <v>0.32767977777777779</v>
      </c>
      <c r="I80" s="178">
        <f>IFERROR(AVERAGEIFS($G:$G, $A:$A, $A80, $B:$B,$B80, $C:$C,$C80),"")</f>
        <v>7.9198327777777758E-2</v>
      </c>
      <c r="J80" s="172" t="str">
        <f t="shared" si="0"/>
        <v>No</v>
      </c>
      <c r="K80" s="173" t="str">
        <f t="shared" si="1"/>
        <v>No</v>
      </c>
    </row>
    <row r="81" spans="1:11" x14ac:dyDescent="0.3">
      <c r="A81" s="182" t="s">
        <v>107</v>
      </c>
      <c r="B81" s="281" t="s">
        <v>117</v>
      </c>
      <c r="C81" s="183">
        <v>46233</v>
      </c>
      <c r="D81" s="184" t="s">
        <v>44</v>
      </c>
      <c r="E81" s="185">
        <v>1045</v>
      </c>
      <c r="F81" s="186">
        <v>0.211755</v>
      </c>
      <c r="G81" s="187">
        <v>6.4197799999999999E-2</v>
      </c>
      <c r="H81" s="177">
        <f>IFERROR(AVERAGEIFS($F:$F, $A:$A, $A81, $B:$B,$B81, $C:$C,$C81),"")</f>
        <v>0.32767977777777779</v>
      </c>
      <c r="I81" s="178">
        <f>IFERROR(AVERAGEIFS($G:$G, $A:$A, $A81, $B:$B,$B81, $C:$C,$C81),"")</f>
        <v>7.9198327777777758E-2</v>
      </c>
      <c r="J81" s="172" t="str">
        <f t="shared" si="0"/>
        <v>Yes</v>
      </c>
      <c r="K81" s="173" t="str">
        <f t="shared" si="1"/>
        <v>Yes</v>
      </c>
    </row>
    <row r="82" spans="1:11" x14ac:dyDescent="0.3">
      <c r="A82" s="182" t="s">
        <v>107</v>
      </c>
      <c r="B82" s="281" t="s">
        <v>117</v>
      </c>
      <c r="C82" s="183">
        <v>46233</v>
      </c>
      <c r="D82" s="184" t="s">
        <v>21</v>
      </c>
      <c r="E82" s="185">
        <v>2515</v>
      </c>
      <c r="F82" s="186">
        <v>0.42335200000000001</v>
      </c>
      <c r="G82" s="187">
        <v>8.2395399999999994E-2</v>
      </c>
      <c r="H82" s="177">
        <f>IFERROR(AVERAGEIFS($F:$F, $A:$A, $A82, $B:$B,$B82, $C:$C,$C82),"")</f>
        <v>0.32767977777777779</v>
      </c>
      <c r="I82" s="178">
        <f>IFERROR(AVERAGEIFS($G:$G, $A:$A, $A82, $B:$B,$B82, $C:$C,$C82),"")</f>
        <v>7.9198327777777758E-2</v>
      </c>
      <c r="J82" s="172" t="str">
        <f t="shared" si="0"/>
        <v>No</v>
      </c>
      <c r="K82" s="173" t="str">
        <f t="shared" si="1"/>
        <v>No</v>
      </c>
    </row>
    <row r="83" spans="1:11" x14ac:dyDescent="0.3">
      <c r="A83" s="182" t="s">
        <v>107</v>
      </c>
      <c r="B83" s="281" t="s">
        <v>117</v>
      </c>
      <c r="C83" s="183">
        <v>46233</v>
      </c>
      <c r="D83" s="184" t="s">
        <v>22</v>
      </c>
      <c r="E83" s="185">
        <v>2236</v>
      </c>
      <c r="F83" s="186">
        <v>0.26177600000000001</v>
      </c>
      <c r="G83" s="187">
        <v>7.1129800000000007E-2</v>
      </c>
      <c r="H83" s="177">
        <f>IFERROR(AVERAGEIFS($F:$F, $A:$A, $A83, $B:$B,$B83, $C:$C,$C83),"")</f>
        <v>0.32767977777777779</v>
      </c>
      <c r="I83" s="178">
        <f>IFERROR(AVERAGEIFS($G:$G, $A:$A, $A83, $B:$B,$B83, $C:$C,$C83),"")</f>
        <v>7.9198327777777758E-2</v>
      </c>
      <c r="J83" s="172" t="str">
        <f t="shared" si="0"/>
        <v>Yes</v>
      </c>
      <c r="K83" s="173" t="str">
        <f t="shared" si="1"/>
        <v>Yes</v>
      </c>
    </row>
    <row r="84" spans="1:11" x14ac:dyDescent="0.3">
      <c r="A84" s="182" t="s">
        <v>107</v>
      </c>
      <c r="B84" s="281" t="s">
        <v>117</v>
      </c>
      <c r="C84" s="183">
        <v>46233</v>
      </c>
      <c r="D84" s="184" t="s">
        <v>23</v>
      </c>
      <c r="E84" s="185">
        <v>1438</v>
      </c>
      <c r="F84" s="186">
        <v>0.37280799999999997</v>
      </c>
      <c r="G84" s="187">
        <v>0.12241299999999999</v>
      </c>
      <c r="H84" s="177">
        <f>IFERROR(AVERAGEIFS($F:$F, $A:$A, $A84, $B:$B,$B84, $C:$C,$C84),"")</f>
        <v>0.32767977777777779</v>
      </c>
      <c r="I84" s="178">
        <f>IFERROR(AVERAGEIFS($G:$G, $A:$A, $A84, $B:$B,$B84, $C:$C,$C84),"")</f>
        <v>7.9198327777777758E-2</v>
      </c>
      <c r="J84" s="172" t="str">
        <f t="shared" si="0"/>
        <v>No</v>
      </c>
      <c r="K84" s="173" t="str">
        <f t="shared" si="1"/>
        <v>No</v>
      </c>
    </row>
    <row r="85" spans="1:11" x14ac:dyDescent="0.3">
      <c r="A85" s="182" t="s">
        <v>107</v>
      </c>
      <c r="B85" s="281" t="s">
        <v>117</v>
      </c>
      <c r="C85" s="183">
        <v>46233</v>
      </c>
      <c r="D85" s="184" t="s">
        <v>24</v>
      </c>
      <c r="E85" s="185">
        <v>2455</v>
      </c>
      <c r="F85" s="186">
        <v>0.27420699999999998</v>
      </c>
      <c r="G85" s="187">
        <v>8.4493100000000002E-2</v>
      </c>
      <c r="H85" s="177">
        <f>IFERROR(AVERAGEIFS($F:$F, $A:$A, $A85, $B:$B,$B85, $C:$C,$C85),"")</f>
        <v>0.32767977777777779</v>
      </c>
      <c r="I85" s="178">
        <f>IFERROR(AVERAGEIFS($G:$G, $A:$A, $A85, $B:$B,$B85, $C:$C,$C85),"")</f>
        <v>7.9198327777777758E-2</v>
      </c>
      <c r="J85" s="172" t="str">
        <f t="shared" si="0"/>
        <v>Yes</v>
      </c>
      <c r="K85" s="173" t="str">
        <f t="shared" si="1"/>
        <v>No</v>
      </c>
    </row>
    <row r="86" spans="1:11" x14ac:dyDescent="0.3">
      <c r="A86" s="182" t="s">
        <v>107</v>
      </c>
      <c r="B86" s="281" t="s">
        <v>117</v>
      </c>
      <c r="C86" s="183">
        <v>46233</v>
      </c>
      <c r="D86" s="184" t="s">
        <v>25</v>
      </c>
      <c r="E86" s="185">
        <v>1004</v>
      </c>
      <c r="F86" s="186">
        <v>0.21171599999999999</v>
      </c>
      <c r="G86" s="187">
        <v>5.0948300000000002E-2</v>
      </c>
      <c r="H86" s="177">
        <f>IFERROR(AVERAGEIFS($F:$F, $A:$A, $A86, $B:$B,$B86, $C:$C,$C86),"")</f>
        <v>0.32767977777777779</v>
      </c>
      <c r="I86" s="178">
        <f>IFERROR(AVERAGEIFS($G:$G, $A:$A, $A86, $B:$B,$B86, $C:$C,$C86),"")</f>
        <v>7.9198327777777758E-2</v>
      </c>
      <c r="J86" s="172" t="str">
        <f t="shared" si="0"/>
        <v>Yes</v>
      </c>
      <c r="K86" s="173" t="str">
        <f t="shared" si="1"/>
        <v>Yes</v>
      </c>
    </row>
    <row r="87" spans="1:11" x14ac:dyDescent="0.3">
      <c r="A87" s="182" t="s">
        <v>107</v>
      </c>
      <c r="B87" s="281" t="s">
        <v>117</v>
      </c>
      <c r="C87" s="183">
        <v>46233</v>
      </c>
      <c r="D87" s="184" t="s">
        <v>26</v>
      </c>
      <c r="E87" s="185">
        <v>1995</v>
      </c>
      <c r="F87" s="186">
        <v>0.23136799999999999</v>
      </c>
      <c r="G87" s="187">
        <v>7.4430300000000005E-2</v>
      </c>
      <c r="H87" s="177">
        <f>IFERROR(AVERAGEIFS($F:$F, $A:$A, $A87, $B:$B,$B87, $C:$C,$C87),"")</f>
        <v>0.32767977777777779</v>
      </c>
      <c r="I87" s="178">
        <f>IFERROR(AVERAGEIFS($G:$G, $A:$A, $A87, $B:$B,$B87, $C:$C,$C87),"")</f>
        <v>7.9198327777777758E-2</v>
      </c>
    </row>
    <row r="88" spans="1:11" x14ac:dyDescent="0.3">
      <c r="A88" s="182" t="s">
        <v>107</v>
      </c>
      <c r="B88" s="281" t="s">
        <v>117</v>
      </c>
      <c r="C88" s="183">
        <v>46233</v>
      </c>
      <c r="D88" s="184" t="s">
        <v>27</v>
      </c>
      <c r="E88" s="185">
        <v>1717</v>
      </c>
      <c r="F88" s="186">
        <v>0.34229399999999999</v>
      </c>
      <c r="G88" s="187">
        <v>7.7721700000000005E-2</v>
      </c>
      <c r="H88" s="177">
        <f>IFERROR(AVERAGEIFS($F:$F, $A:$A, $A88, $B:$B,$B88, $C:$C,$C88),"")</f>
        <v>0.32767977777777779</v>
      </c>
      <c r="I88" s="178">
        <f>IFERROR(AVERAGEIFS($G:$G, $A:$A, $A88, $B:$B,$B88, $C:$C,$C88),"")</f>
        <v>7.9198327777777758E-2</v>
      </c>
    </row>
    <row r="89" spans="1:11" x14ac:dyDescent="0.3">
      <c r="A89" s="182" t="s">
        <v>107</v>
      </c>
      <c r="B89" s="281" t="s">
        <v>117</v>
      </c>
      <c r="C89" s="183">
        <v>46233</v>
      </c>
      <c r="D89" s="184" t="s">
        <v>28</v>
      </c>
      <c r="E89" s="185">
        <v>1307</v>
      </c>
      <c r="F89" s="186">
        <v>0.328457</v>
      </c>
      <c r="G89" s="187">
        <v>7.3749300000000004E-2</v>
      </c>
      <c r="H89" s="177">
        <f>IFERROR(AVERAGEIFS($F:$F, $A:$A, $A89, $B:$B,$B89, $C:$C,$C89),"")</f>
        <v>0.32767977777777779</v>
      </c>
      <c r="I89" s="178">
        <f>IFERROR(AVERAGEIFS($G:$G, $A:$A, $A89, $B:$B,$B89, $C:$C,$C89),"")</f>
        <v>7.9198327777777758E-2</v>
      </c>
    </row>
    <row r="90" spans="1:11" x14ac:dyDescent="0.3">
      <c r="A90" s="182" t="s">
        <v>107</v>
      </c>
      <c r="B90" s="281" t="s">
        <v>117</v>
      </c>
      <c r="C90" s="183">
        <v>46233</v>
      </c>
      <c r="D90" s="184" t="s">
        <v>29</v>
      </c>
      <c r="E90" s="185">
        <v>2040</v>
      </c>
      <c r="F90" s="186">
        <v>0.33388400000000001</v>
      </c>
      <c r="G90" s="187">
        <v>6.9205000000000003E-2</v>
      </c>
      <c r="H90" s="177">
        <f>IFERROR(AVERAGEIFS($F:$F, $A:$A, $A90, $B:$B,$B90, $C:$C,$C90),"")</f>
        <v>0.32767977777777779</v>
      </c>
      <c r="I90" s="178">
        <f>IFERROR(AVERAGEIFS($G:$G, $A:$A, $A90, $B:$B,$B90, $C:$C,$C90),"")</f>
        <v>7.9198327777777758E-2</v>
      </c>
    </row>
    <row r="91" spans="1:11" x14ac:dyDescent="0.3">
      <c r="A91" s="182" t="s">
        <v>107</v>
      </c>
      <c r="B91" s="281" t="s">
        <v>117</v>
      </c>
      <c r="C91" s="183">
        <v>46233</v>
      </c>
      <c r="D91" s="184" t="s">
        <v>30</v>
      </c>
      <c r="E91" s="185">
        <v>1599</v>
      </c>
      <c r="F91" s="186">
        <v>0.44470500000000002</v>
      </c>
      <c r="G91" s="187">
        <v>8.9530799999999994E-2</v>
      </c>
      <c r="H91" s="177">
        <f>IFERROR(AVERAGEIFS($F:$F, $A:$A, $A91, $B:$B,$B91, $C:$C,$C91),"")</f>
        <v>0.32767977777777779</v>
      </c>
      <c r="I91" s="178">
        <f>IFERROR(AVERAGEIFS($G:$G, $A:$A, $A91, $B:$B,$B91, $C:$C,$C91),"")</f>
        <v>7.9198327777777758E-2</v>
      </c>
    </row>
    <row r="92" spans="1:11" x14ac:dyDescent="0.3">
      <c r="A92" s="182" t="s">
        <v>108</v>
      </c>
      <c r="B92" s="281" t="s">
        <v>174</v>
      </c>
      <c r="C92" s="183">
        <v>46234</v>
      </c>
      <c r="D92" s="184" t="s">
        <v>14</v>
      </c>
      <c r="E92" s="185">
        <v>1541</v>
      </c>
      <c r="F92" s="186">
        <v>0.18859999999999999</v>
      </c>
      <c r="G92" s="187">
        <v>5.1705500000000001E-2</v>
      </c>
      <c r="H92" s="177">
        <f>IFERROR(AVERAGEIFS($F:$F, $A:$A, $A92, $B:$B,$B92, $C:$C,$C92),"")</f>
        <v>0.33997577777777777</v>
      </c>
      <c r="I92" s="178">
        <f>IFERROR(AVERAGEIFS($G:$G, $A:$A, $A92, $B:$B,$B92, $C:$C,$C92),"")</f>
        <v>8.2925216666666662E-2</v>
      </c>
      <c r="J92" s="172" t="str">
        <f>IF(AND(F92&lt;&gt;"", H92&lt;&gt;""), IF(F92&lt;H92,"Yes","No"), "")</f>
        <v>Yes</v>
      </c>
      <c r="K92" s="173" t="str">
        <f>IF(AND(G92&lt;&gt;"", I92&lt;&gt;""), IF(G92&lt;I92,"Yes","No"), "")</f>
        <v>Yes</v>
      </c>
    </row>
    <row r="93" spans="1:11" x14ac:dyDescent="0.3">
      <c r="A93" s="182" t="s">
        <v>108</v>
      </c>
      <c r="B93" s="281" t="s">
        <v>174</v>
      </c>
      <c r="C93" s="183">
        <v>46234</v>
      </c>
      <c r="D93" s="184" t="s">
        <v>15</v>
      </c>
      <c r="E93" s="185">
        <v>1446</v>
      </c>
      <c r="F93" s="186">
        <v>0.37837399999999999</v>
      </c>
      <c r="G93" s="187">
        <v>9.5171599999999995E-2</v>
      </c>
      <c r="H93" s="177">
        <f>IFERROR(AVERAGEIFS($F:$F, $A:$A, $A93, $B:$B,$B93, $C:$C,$C93),"")</f>
        <v>0.33997577777777777</v>
      </c>
      <c r="I93" s="178">
        <f>IFERROR(AVERAGEIFS($G:$G, $A:$A, $A93, $B:$B,$B93, $C:$C,$C93),"")</f>
        <v>8.2925216666666662E-2</v>
      </c>
      <c r="J93" s="172" t="str">
        <f t="shared" ref="J93:J192" si="2">IF(AND(F93&lt;&gt;"", H93&lt;&gt;""), IF(F93&lt;H93,"Yes","No"), "")</f>
        <v>No</v>
      </c>
      <c r="K93" s="173" t="str">
        <f t="shared" ref="K93:K192" si="3">IF(AND(G93&lt;&gt;"", I93&lt;&gt;""), IF(G93&lt;I93,"Yes","No"), "")</f>
        <v>No</v>
      </c>
    </row>
    <row r="94" spans="1:11" x14ac:dyDescent="0.3">
      <c r="A94" s="182" t="s">
        <v>108</v>
      </c>
      <c r="B94" s="281" t="s">
        <v>174</v>
      </c>
      <c r="C94" s="183">
        <v>46234</v>
      </c>
      <c r="D94" s="184" t="s">
        <v>16</v>
      </c>
      <c r="E94" s="185">
        <v>1243</v>
      </c>
      <c r="F94" s="186">
        <v>0.459372</v>
      </c>
      <c r="G94" s="187">
        <v>9.7981299999999993E-2</v>
      </c>
      <c r="H94" s="177">
        <f>IFERROR(AVERAGEIFS($F:$F, $A:$A, $A94, $B:$B,$B94, $C:$C,$C94),"")</f>
        <v>0.33997577777777777</v>
      </c>
      <c r="I94" s="178">
        <f>IFERROR(AVERAGEIFS($G:$G, $A:$A, $A94, $B:$B,$B94, $C:$C,$C94),"")</f>
        <v>8.2925216666666662E-2</v>
      </c>
      <c r="J94" s="172" t="str">
        <f t="shared" si="2"/>
        <v>No</v>
      </c>
      <c r="K94" s="173" t="str">
        <f t="shared" si="3"/>
        <v>No</v>
      </c>
    </row>
    <row r="95" spans="1:11" x14ac:dyDescent="0.3">
      <c r="A95" s="182" t="s">
        <v>108</v>
      </c>
      <c r="B95" s="281" t="s">
        <v>174</v>
      </c>
      <c r="C95" s="183">
        <v>46234</v>
      </c>
      <c r="D95" s="184" t="s">
        <v>17</v>
      </c>
      <c r="E95" s="185">
        <v>1644</v>
      </c>
      <c r="F95" s="186">
        <v>0.409022</v>
      </c>
      <c r="G95" s="187">
        <v>8.4034999999999999E-2</v>
      </c>
      <c r="H95" s="177">
        <f>IFERROR(AVERAGEIFS($F:$F, $A:$A, $A95, $B:$B,$B95, $C:$C,$C95),"")</f>
        <v>0.33997577777777777</v>
      </c>
      <c r="I95" s="178">
        <f>IFERROR(AVERAGEIFS($G:$G, $A:$A, $A95, $B:$B,$B95, $C:$C,$C95),"")</f>
        <v>8.2925216666666662E-2</v>
      </c>
      <c r="J95" s="172" t="str">
        <f t="shared" si="2"/>
        <v>No</v>
      </c>
      <c r="K95" s="173" t="str">
        <f t="shared" si="3"/>
        <v>No</v>
      </c>
    </row>
    <row r="96" spans="1:11" x14ac:dyDescent="0.3">
      <c r="A96" s="182" t="s">
        <v>108</v>
      </c>
      <c r="B96" s="281" t="s">
        <v>174</v>
      </c>
      <c r="C96" s="183">
        <v>46234</v>
      </c>
      <c r="D96" s="184" t="s">
        <v>18</v>
      </c>
      <c r="E96" s="185">
        <v>1405</v>
      </c>
      <c r="F96" s="186">
        <v>0.258108</v>
      </c>
      <c r="G96" s="187">
        <v>6.1423999999999999E-2</v>
      </c>
      <c r="H96" s="177">
        <f>IFERROR(AVERAGEIFS($F:$F, $A:$A, $A96, $B:$B,$B96, $C:$C,$C96),"")</f>
        <v>0.33997577777777777</v>
      </c>
      <c r="I96" s="178">
        <f>IFERROR(AVERAGEIFS($G:$G, $A:$A, $A96, $B:$B,$B96, $C:$C,$C96),"")</f>
        <v>8.2925216666666662E-2</v>
      </c>
      <c r="J96" s="172" t="str">
        <f t="shared" si="2"/>
        <v>Yes</v>
      </c>
      <c r="K96" s="173" t="str">
        <f t="shared" si="3"/>
        <v>Yes</v>
      </c>
    </row>
    <row r="97" spans="1:11" x14ac:dyDescent="0.3">
      <c r="A97" s="182" t="s">
        <v>108</v>
      </c>
      <c r="B97" s="281" t="s">
        <v>174</v>
      </c>
      <c r="C97" s="183">
        <v>46234</v>
      </c>
      <c r="D97" s="184" t="s">
        <v>19</v>
      </c>
      <c r="E97" s="185">
        <v>1581</v>
      </c>
      <c r="F97" s="186">
        <v>0.44827699999999998</v>
      </c>
      <c r="G97" s="187">
        <v>8.4727499999999997E-2</v>
      </c>
      <c r="H97" s="177">
        <f>IFERROR(AVERAGEIFS($F:$F, $A:$A, $A97, $B:$B,$B97, $C:$C,$C97),"")</f>
        <v>0.33997577777777777</v>
      </c>
      <c r="I97" s="178">
        <f>IFERROR(AVERAGEIFS($G:$G, $A:$A, $A97, $B:$B,$B97, $C:$C,$C97),"")</f>
        <v>8.2925216666666662E-2</v>
      </c>
      <c r="J97" s="172" t="str">
        <f t="shared" si="2"/>
        <v>No</v>
      </c>
      <c r="K97" s="173" t="str">
        <f t="shared" si="3"/>
        <v>No</v>
      </c>
    </row>
    <row r="98" spans="1:11" x14ac:dyDescent="0.3">
      <c r="A98" s="182" t="s">
        <v>108</v>
      </c>
      <c r="B98" s="281" t="s">
        <v>174</v>
      </c>
      <c r="C98" s="183">
        <v>46234</v>
      </c>
      <c r="D98" s="184" t="s">
        <v>20</v>
      </c>
      <c r="E98" s="185">
        <v>1629</v>
      </c>
      <c r="F98" s="186">
        <v>0.380859</v>
      </c>
      <c r="G98" s="187">
        <v>7.9699599999999995E-2</v>
      </c>
      <c r="H98" s="177">
        <f>IFERROR(AVERAGEIFS($F:$F, $A:$A, $A98, $B:$B,$B98, $C:$C,$C98),"")</f>
        <v>0.33997577777777777</v>
      </c>
      <c r="I98" s="178">
        <f>IFERROR(AVERAGEIFS($G:$G, $A:$A, $A98, $B:$B,$B98, $C:$C,$C98),"")</f>
        <v>8.2925216666666662E-2</v>
      </c>
      <c r="J98" s="172" t="str">
        <f t="shared" si="2"/>
        <v>No</v>
      </c>
      <c r="K98" s="173" t="str">
        <f t="shared" si="3"/>
        <v>Yes</v>
      </c>
    </row>
    <row r="99" spans="1:11" x14ac:dyDescent="0.3">
      <c r="A99" s="182" t="s">
        <v>108</v>
      </c>
      <c r="B99" s="281" t="s">
        <v>174</v>
      </c>
      <c r="C99" s="183">
        <v>46234</v>
      </c>
      <c r="D99" s="184" t="s">
        <v>44</v>
      </c>
      <c r="E99" s="185">
        <v>1169</v>
      </c>
      <c r="F99" s="186">
        <v>0.179396</v>
      </c>
      <c r="G99" s="187">
        <v>4.7875099999999997E-2</v>
      </c>
      <c r="H99" s="177">
        <f>IFERROR(AVERAGEIFS($F:$F, $A:$A, $A99, $B:$B,$B99, $C:$C,$C99),"")</f>
        <v>0.33997577777777777</v>
      </c>
      <c r="I99" s="178">
        <f>IFERROR(AVERAGEIFS($G:$G, $A:$A, $A99, $B:$B,$B99, $C:$C,$C99),"")</f>
        <v>8.2925216666666662E-2</v>
      </c>
      <c r="J99" s="172" t="str">
        <f t="shared" si="2"/>
        <v>Yes</v>
      </c>
      <c r="K99" s="173" t="str">
        <f t="shared" si="3"/>
        <v>Yes</v>
      </c>
    </row>
    <row r="100" spans="1:11" x14ac:dyDescent="0.3">
      <c r="A100" s="182" t="s">
        <v>108</v>
      </c>
      <c r="B100" s="281" t="s">
        <v>174</v>
      </c>
      <c r="C100" s="183">
        <v>46234</v>
      </c>
      <c r="D100" s="184" t="s">
        <v>21</v>
      </c>
      <c r="E100" s="185">
        <v>2986</v>
      </c>
      <c r="F100" s="186">
        <v>0.386212</v>
      </c>
      <c r="G100" s="187">
        <v>8.4019499999999997E-2</v>
      </c>
      <c r="H100" s="177">
        <f>IFERROR(AVERAGEIFS($F:$F, $A:$A, $A100, $B:$B,$B100, $C:$C,$C100),"")</f>
        <v>0.33997577777777777</v>
      </c>
      <c r="I100" s="178">
        <f>IFERROR(AVERAGEIFS($G:$G, $A:$A, $A100, $B:$B,$B100, $C:$C,$C100),"")</f>
        <v>8.2925216666666662E-2</v>
      </c>
      <c r="J100" s="172" t="str">
        <f t="shared" si="2"/>
        <v>No</v>
      </c>
      <c r="K100" s="173" t="str">
        <f t="shared" si="3"/>
        <v>No</v>
      </c>
    </row>
    <row r="101" spans="1:11" x14ac:dyDescent="0.3">
      <c r="A101" s="182" t="s">
        <v>108</v>
      </c>
      <c r="B101" s="281" t="s">
        <v>174</v>
      </c>
      <c r="C101" s="183">
        <v>46234</v>
      </c>
      <c r="D101" s="184" t="s">
        <v>22</v>
      </c>
      <c r="E101" s="185">
        <v>2137</v>
      </c>
      <c r="F101" s="186">
        <v>0.32669700000000002</v>
      </c>
      <c r="G101" s="187">
        <v>8.8852399999999998E-2</v>
      </c>
      <c r="H101" s="177">
        <f>IFERROR(AVERAGEIFS($F:$F, $A:$A, $A101, $B:$B,$B101, $C:$C,$C101),"")</f>
        <v>0.33997577777777777</v>
      </c>
      <c r="I101" s="178">
        <f>IFERROR(AVERAGEIFS($G:$G, $A:$A, $A101, $B:$B,$B101, $C:$C,$C101),"")</f>
        <v>8.2925216666666662E-2</v>
      </c>
      <c r="J101" s="172" t="str">
        <f t="shared" si="2"/>
        <v>Yes</v>
      </c>
      <c r="K101" s="173" t="str">
        <f t="shared" si="3"/>
        <v>No</v>
      </c>
    </row>
    <row r="102" spans="1:11" x14ac:dyDescent="0.3">
      <c r="A102" s="182" t="s">
        <v>108</v>
      </c>
      <c r="B102" s="281" t="s">
        <v>174</v>
      </c>
      <c r="C102" s="183">
        <v>46234</v>
      </c>
      <c r="D102" s="184" t="s">
        <v>23</v>
      </c>
      <c r="E102" s="185">
        <v>1151</v>
      </c>
      <c r="F102" s="186">
        <v>0.45461600000000002</v>
      </c>
      <c r="G102" s="187">
        <v>0.15438299999999999</v>
      </c>
      <c r="H102" s="177">
        <f>IFERROR(AVERAGEIFS($F:$F, $A:$A, $A102, $B:$B,$B102, $C:$C,$C102),"")</f>
        <v>0.33997577777777777</v>
      </c>
      <c r="I102" s="178">
        <f>IFERROR(AVERAGEIFS($G:$G, $A:$A, $A102, $B:$B,$B102, $C:$C,$C102),"")</f>
        <v>8.2925216666666662E-2</v>
      </c>
      <c r="J102" s="172" t="str">
        <f t="shared" si="2"/>
        <v>No</v>
      </c>
      <c r="K102" s="173" t="str">
        <f t="shared" si="3"/>
        <v>No</v>
      </c>
    </row>
    <row r="103" spans="1:11" x14ac:dyDescent="0.3">
      <c r="A103" s="182" t="s">
        <v>108</v>
      </c>
      <c r="B103" s="281" t="s">
        <v>174</v>
      </c>
      <c r="C103" s="183">
        <v>46234</v>
      </c>
      <c r="D103" s="184" t="s">
        <v>24</v>
      </c>
      <c r="E103" s="185">
        <v>2704</v>
      </c>
      <c r="F103" s="186">
        <v>0.20849699999999999</v>
      </c>
      <c r="G103" s="187">
        <v>7.3032299999999994E-2</v>
      </c>
      <c r="H103" s="177">
        <f>IFERROR(AVERAGEIFS($F:$F, $A:$A, $A103, $B:$B,$B103, $C:$C,$C103),"")</f>
        <v>0.33997577777777777</v>
      </c>
      <c r="I103" s="178">
        <f>IFERROR(AVERAGEIFS($G:$G, $A:$A, $A103, $B:$B,$B103, $C:$C,$C103),"")</f>
        <v>8.2925216666666662E-2</v>
      </c>
      <c r="J103" s="172" t="str">
        <f t="shared" si="2"/>
        <v>Yes</v>
      </c>
      <c r="K103" s="173" t="str">
        <f t="shared" si="3"/>
        <v>Yes</v>
      </c>
    </row>
    <row r="104" spans="1:11" ht="15.6" customHeight="1" x14ac:dyDescent="0.3">
      <c r="A104" s="182" t="s">
        <v>108</v>
      </c>
      <c r="B104" s="281" t="s">
        <v>174</v>
      </c>
      <c r="C104" s="183">
        <v>46234</v>
      </c>
      <c r="D104" s="184" t="s">
        <v>25</v>
      </c>
      <c r="E104" s="185">
        <v>1078</v>
      </c>
      <c r="F104" s="186">
        <v>0.28194599999999997</v>
      </c>
      <c r="G104" s="187">
        <v>7.7457600000000001E-2</v>
      </c>
      <c r="H104" s="177">
        <f>IFERROR(AVERAGEIFS($F:$F, $A:$A, $A104, $B:$B,$B104, $C:$C,$C104),"")</f>
        <v>0.33997577777777777</v>
      </c>
      <c r="I104" s="178">
        <f>IFERROR(AVERAGEIFS($G:$G, $A:$A, $A104, $B:$B,$B104, $C:$C,$C104),"")</f>
        <v>8.2925216666666662E-2</v>
      </c>
      <c r="J104" s="172" t="str">
        <f t="shared" si="2"/>
        <v>Yes</v>
      </c>
      <c r="K104" s="173" t="str">
        <f t="shared" si="3"/>
        <v>Yes</v>
      </c>
    </row>
    <row r="105" spans="1:11" ht="15.6" customHeight="1" x14ac:dyDescent="0.3">
      <c r="A105" s="182" t="s">
        <v>108</v>
      </c>
      <c r="B105" s="281" t="s">
        <v>174</v>
      </c>
      <c r="C105" s="183">
        <v>46234</v>
      </c>
      <c r="D105" s="184" t="s">
        <v>26</v>
      </c>
      <c r="E105" s="185">
        <v>2003</v>
      </c>
      <c r="F105" s="186">
        <v>0.2571</v>
      </c>
      <c r="G105" s="187">
        <v>7.6537599999999997E-2</v>
      </c>
      <c r="H105" s="177">
        <f>IFERROR(AVERAGEIFS($F:$F, $A:$A, $A105, $B:$B,$B105, $C:$C,$C105),"")</f>
        <v>0.33997577777777777</v>
      </c>
      <c r="I105" s="178">
        <f>IFERROR(AVERAGEIFS($G:$G, $A:$A, $A105, $B:$B,$B105, $C:$C,$C105),"")</f>
        <v>8.2925216666666662E-2</v>
      </c>
      <c r="J105" s="172" t="str">
        <f t="shared" si="2"/>
        <v>Yes</v>
      </c>
      <c r="K105" s="173" t="str">
        <f t="shared" si="3"/>
        <v>Yes</v>
      </c>
    </row>
    <row r="106" spans="1:11" x14ac:dyDescent="0.3">
      <c r="A106" s="182" t="s">
        <v>108</v>
      </c>
      <c r="B106" s="281" t="s">
        <v>174</v>
      </c>
      <c r="C106" s="183">
        <v>46234</v>
      </c>
      <c r="D106" s="184" t="s">
        <v>27</v>
      </c>
      <c r="E106" s="185">
        <v>1623</v>
      </c>
      <c r="F106" s="186">
        <v>0.29575499999999999</v>
      </c>
      <c r="G106" s="187">
        <v>7.5998399999999994E-2</v>
      </c>
      <c r="H106" s="177">
        <f>IFERROR(AVERAGEIFS($F:$F, $A:$A, $A106, $B:$B,$B106, $C:$C,$C106),"")</f>
        <v>0.33997577777777777</v>
      </c>
      <c r="I106" s="178">
        <f>IFERROR(AVERAGEIFS($G:$G, $A:$A, $A106, $B:$B,$B106, $C:$C,$C106),"")</f>
        <v>8.2925216666666662E-2</v>
      </c>
      <c r="J106" s="172" t="str">
        <f t="shared" si="2"/>
        <v>Yes</v>
      </c>
      <c r="K106" s="173" t="str">
        <f t="shared" si="3"/>
        <v>Yes</v>
      </c>
    </row>
    <row r="107" spans="1:11" x14ac:dyDescent="0.3">
      <c r="A107" s="182" t="s">
        <v>108</v>
      </c>
      <c r="B107" s="281" t="s">
        <v>174</v>
      </c>
      <c r="C107" s="183">
        <v>46234</v>
      </c>
      <c r="D107" s="184" t="s">
        <v>28</v>
      </c>
      <c r="E107" s="185">
        <v>1004</v>
      </c>
      <c r="F107" s="186">
        <v>0.310892</v>
      </c>
      <c r="G107" s="187">
        <v>7.6906100000000005E-2</v>
      </c>
      <c r="H107" s="177">
        <f>IFERROR(AVERAGEIFS($F:$F, $A:$A, $A107, $B:$B,$B107, $C:$C,$C107),"")</f>
        <v>0.33997577777777777</v>
      </c>
      <c r="I107" s="178">
        <f>IFERROR(AVERAGEIFS($G:$G, $A:$A, $A107, $B:$B,$B107, $C:$C,$C107),"")</f>
        <v>8.2925216666666662E-2</v>
      </c>
      <c r="J107" s="172" t="str">
        <f t="shared" si="2"/>
        <v>Yes</v>
      </c>
      <c r="K107" s="173" t="str">
        <f t="shared" si="3"/>
        <v>Yes</v>
      </c>
    </row>
    <row r="108" spans="1:11" x14ac:dyDescent="0.3">
      <c r="A108" s="182" t="s">
        <v>108</v>
      </c>
      <c r="B108" s="281" t="s">
        <v>174</v>
      </c>
      <c r="C108" s="183">
        <v>46234</v>
      </c>
      <c r="D108" s="184" t="s">
        <v>29</v>
      </c>
      <c r="E108" s="185">
        <v>1142</v>
      </c>
      <c r="F108" s="186">
        <v>0.43532500000000002</v>
      </c>
      <c r="G108" s="187">
        <v>8.5073599999999999E-2</v>
      </c>
      <c r="H108" s="177">
        <f>IFERROR(AVERAGEIFS($F:$F, $A:$A, $A108, $B:$B,$B108, $C:$C,$C108),"")</f>
        <v>0.33997577777777777</v>
      </c>
      <c r="I108" s="178">
        <f>IFERROR(AVERAGEIFS($G:$G, $A:$A, $A108, $B:$B,$B108, $C:$C,$C108),"")</f>
        <v>8.2925216666666662E-2</v>
      </c>
      <c r="J108" s="172" t="str">
        <f t="shared" si="2"/>
        <v>No</v>
      </c>
      <c r="K108" s="173" t="str">
        <f t="shared" si="3"/>
        <v>No</v>
      </c>
    </row>
    <row r="109" spans="1:11" x14ac:dyDescent="0.3">
      <c r="A109" s="182" t="s">
        <v>108</v>
      </c>
      <c r="B109" s="281" t="s">
        <v>174</v>
      </c>
      <c r="C109" s="183">
        <v>46234</v>
      </c>
      <c r="D109" s="184" t="s">
        <v>30</v>
      </c>
      <c r="E109" s="185">
        <v>1237</v>
      </c>
      <c r="F109" s="186">
        <v>0.46051599999999998</v>
      </c>
      <c r="G109" s="187">
        <v>9.7773799999999994E-2</v>
      </c>
      <c r="H109" s="177">
        <f>IFERROR(AVERAGEIFS($F:$F, $A:$A, $A109, $B:$B,$B109, $C:$C,$C109),"")</f>
        <v>0.33997577777777777</v>
      </c>
      <c r="I109" s="178">
        <f>IFERROR(AVERAGEIFS($G:$G, $A:$A, $A109, $B:$B,$B109, $C:$C,$C109),"")</f>
        <v>8.2925216666666662E-2</v>
      </c>
      <c r="J109" s="172" t="str">
        <f t="shared" si="2"/>
        <v>No</v>
      </c>
      <c r="K109" s="173" t="str">
        <f t="shared" si="3"/>
        <v>No</v>
      </c>
    </row>
    <row r="110" spans="1:11" x14ac:dyDescent="0.3">
      <c r="A110" s="182" t="s">
        <v>108</v>
      </c>
      <c r="B110" s="281" t="s">
        <v>175</v>
      </c>
      <c r="C110" s="183">
        <v>46234</v>
      </c>
      <c r="D110" s="184" t="s">
        <v>14</v>
      </c>
      <c r="E110" s="185">
        <v>2967</v>
      </c>
      <c r="F110" s="186">
        <v>0.37851400000000002</v>
      </c>
      <c r="G110" s="187">
        <v>0.107513</v>
      </c>
      <c r="H110" s="177">
        <f>IFERROR(AVERAGEIFS($F:$F, $A:$A, $A110, $B:$B,$B110, $C:$C,$C110),"")</f>
        <v>0.35394088888888903</v>
      </c>
      <c r="I110" s="178">
        <f>IFERROR(AVERAGEIFS($G:$G, $A:$A, $A110, $B:$B,$B110, $C:$C,$C110),"")</f>
        <v>8.5412650000000007E-2</v>
      </c>
      <c r="J110" s="172" t="str">
        <f t="shared" si="2"/>
        <v>No</v>
      </c>
      <c r="K110" s="173" t="str">
        <f t="shared" si="3"/>
        <v>No</v>
      </c>
    </row>
    <row r="111" spans="1:11" x14ac:dyDescent="0.3">
      <c r="A111" s="182" t="s">
        <v>108</v>
      </c>
      <c r="B111" s="281" t="s">
        <v>175</v>
      </c>
      <c r="C111" s="183">
        <v>46234</v>
      </c>
      <c r="D111" s="184" t="s">
        <v>15</v>
      </c>
      <c r="E111" s="185">
        <v>3153</v>
      </c>
      <c r="F111" s="186">
        <v>0.38189000000000001</v>
      </c>
      <c r="G111" s="187">
        <v>9.9818900000000002E-2</v>
      </c>
      <c r="H111" s="177">
        <f>IFERROR(AVERAGEIFS($F:$F, $A:$A, $A111, $B:$B,$B111, $C:$C,$C111),"")</f>
        <v>0.35394088888888903</v>
      </c>
      <c r="I111" s="178">
        <f>IFERROR(AVERAGEIFS($G:$G, $A:$A, $A111, $B:$B,$B111, $C:$C,$C111),"")</f>
        <v>8.5412650000000007E-2</v>
      </c>
      <c r="J111" s="172" t="str">
        <f t="shared" si="2"/>
        <v>No</v>
      </c>
      <c r="K111" s="173" t="str">
        <f t="shared" si="3"/>
        <v>No</v>
      </c>
    </row>
    <row r="112" spans="1:11" x14ac:dyDescent="0.3">
      <c r="A112" s="182" t="s">
        <v>108</v>
      </c>
      <c r="B112" s="281" t="s">
        <v>175</v>
      </c>
      <c r="C112" s="183">
        <v>46234</v>
      </c>
      <c r="D112" s="184" t="s">
        <v>16</v>
      </c>
      <c r="E112" s="185">
        <v>2357</v>
      </c>
      <c r="F112" s="186">
        <v>0.44205800000000001</v>
      </c>
      <c r="G112" s="187">
        <v>9.9856100000000003E-2</v>
      </c>
      <c r="H112" s="177">
        <f>IFERROR(AVERAGEIFS($F:$F, $A:$A, $A112, $B:$B,$B112, $C:$C,$C112),"")</f>
        <v>0.35394088888888903</v>
      </c>
      <c r="I112" s="178">
        <f>IFERROR(AVERAGEIFS($G:$G, $A:$A, $A112, $B:$B,$B112, $C:$C,$C112),"")</f>
        <v>8.5412650000000007E-2</v>
      </c>
      <c r="J112" s="172" t="str">
        <f t="shared" si="2"/>
        <v>No</v>
      </c>
      <c r="K112" s="173" t="str">
        <f t="shared" si="3"/>
        <v>No</v>
      </c>
    </row>
    <row r="113" spans="1:11" x14ac:dyDescent="0.3">
      <c r="A113" s="182" t="s">
        <v>108</v>
      </c>
      <c r="B113" s="281" t="s">
        <v>175</v>
      </c>
      <c r="C113" s="183">
        <v>46234</v>
      </c>
      <c r="D113" s="184" t="s">
        <v>17</v>
      </c>
      <c r="E113" s="185">
        <v>1635</v>
      </c>
      <c r="F113" s="186">
        <v>0.44906299999999999</v>
      </c>
      <c r="G113" s="187">
        <v>8.9386699999999999E-2</v>
      </c>
      <c r="H113" s="177">
        <f>IFERROR(AVERAGEIFS($F:$F, $A:$A, $A113, $B:$B,$B113, $C:$C,$C113),"")</f>
        <v>0.35394088888888903</v>
      </c>
      <c r="I113" s="178">
        <f>IFERROR(AVERAGEIFS($G:$G, $A:$A, $A113, $B:$B,$B113, $C:$C,$C113),"")</f>
        <v>8.5412650000000007E-2</v>
      </c>
      <c r="J113" s="172" t="str">
        <f t="shared" si="2"/>
        <v>No</v>
      </c>
      <c r="K113" s="173" t="str">
        <f t="shared" si="3"/>
        <v>No</v>
      </c>
    </row>
    <row r="114" spans="1:11" x14ac:dyDescent="0.3">
      <c r="A114" s="182" t="s">
        <v>108</v>
      </c>
      <c r="B114" s="281" t="s">
        <v>175</v>
      </c>
      <c r="C114" s="183">
        <v>46234</v>
      </c>
      <c r="D114" s="184" t="s">
        <v>18</v>
      </c>
      <c r="E114" s="185">
        <v>2767</v>
      </c>
      <c r="F114" s="186">
        <v>0.29396899999999998</v>
      </c>
      <c r="G114" s="187">
        <v>6.61577E-2</v>
      </c>
      <c r="H114" s="177">
        <f>IFERROR(AVERAGEIFS($F:$F, $A:$A, $A114, $B:$B,$B114, $C:$C,$C114),"")</f>
        <v>0.35394088888888903</v>
      </c>
      <c r="I114" s="178">
        <f>IFERROR(AVERAGEIFS($G:$G, $A:$A, $A114, $B:$B,$B114, $C:$C,$C114),"")</f>
        <v>8.5412650000000007E-2</v>
      </c>
      <c r="J114" s="172" t="str">
        <f t="shared" si="2"/>
        <v>Yes</v>
      </c>
      <c r="K114" s="173" t="str">
        <f t="shared" si="3"/>
        <v>Yes</v>
      </c>
    </row>
    <row r="115" spans="1:11" x14ac:dyDescent="0.3">
      <c r="A115" s="182" t="s">
        <v>108</v>
      </c>
      <c r="B115" s="281" t="s">
        <v>175</v>
      </c>
      <c r="C115" s="183">
        <v>46234</v>
      </c>
      <c r="D115" s="184" t="s">
        <v>19</v>
      </c>
      <c r="E115" s="185">
        <v>2209</v>
      </c>
      <c r="F115" s="186">
        <v>0.36777599999999999</v>
      </c>
      <c r="G115" s="187">
        <v>7.3182899999999995E-2</v>
      </c>
      <c r="H115" s="177">
        <f>IFERROR(AVERAGEIFS($F:$F, $A:$A, $A115, $B:$B,$B115, $C:$C,$C115),"")</f>
        <v>0.35394088888888903</v>
      </c>
      <c r="I115" s="178">
        <f>IFERROR(AVERAGEIFS($G:$G, $A:$A, $A115, $B:$B,$B115, $C:$C,$C115),"")</f>
        <v>8.5412650000000007E-2</v>
      </c>
      <c r="J115" s="172" t="str">
        <f t="shared" si="2"/>
        <v>No</v>
      </c>
      <c r="K115" s="173" t="str">
        <f t="shared" si="3"/>
        <v>Yes</v>
      </c>
    </row>
    <row r="116" spans="1:11" x14ac:dyDescent="0.3">
      <c r="A116" s="182" t="s">
        <v>108</v>
      </c>
      <c r="B116" s="281" t="s">
        <v>175</v>
      </c>
      <c r="C116" s="183">
        <v>46234</v>
      </c>
      <c r="D116" s="184" t="s">
        <v>20</v>
      </c>
      <c r="E116" s="185">
        <v>2074</v>
      </c>
      <c r="F116" s="186">
        <v>0.380859</v>
      </c>
      <c r="G116" s="187">
        <v>7.9699599999999995E-2</v>
      </c>
      <c r="H116" s="177">
        <f>IFERROR(AVERAGEIFS($F:$F, $A:$A, $A116, $B:$B,$B116, $C:$C,$C116),"")</f>
        <v>0.35394088888888903</v>
      </c>
      <c r="I116" s="178">
        <f>IFERROR(AVERAGEIFS($G:$G, $A:$A, $A116, $B:$B,$B116, $C:$C,$C116),"")</f>
        <v>8.5412650000000007E-2</v>
      </c>
      <c r="J116" s="172" t="str">
        <f t="shared" si="2"/>
        <v>No</v>
      </c>
      <c r="K116" s="173" t="str">
        <f t="shared" si="3"/>
        <v>Yes</v>
      </c>
    </row>
    <row r="117" spans="1:11" x14ac:dyDescent="0.3">
      <c r="A117" s="182" t="s">
        <v>108</v>
      </c>
      <c r="B117" s="281" t="s">
        <v>175</v>
      </c>
      <c r="C117" s="183">
        <v>46234</v>
      </c>
      <c r="D117" s="184" t="s">
        <v>44</v>
      </c>
      <c r="E117" s="185">
        <v>1315</v>
      </c>
      <c r="F117" s="186">
        <v>0.18341299999999999</v>
      </c>
      <c r="G117" s="187">
        <v>5.1520099999999999E-2</v>
      </c>
      <c r="H117" s="177">
        <f>IFERROR(AVERAGEIFS($F:$F, $A:$A, $A117, $B:$B,$B117, $C:$C,$C117),"")</f>
        <v>0.35394088888888903</v>
      </c>
      <c r="I117" s="178">
        <f>IFERROR(AVERAGEIFS($G:$G, $A:$A, $A117, $B:$B,$B117, $C:$C,$C117),"")</f>
        <v>8.5412650000000007E-2</v>
      </c>
      <c r="J117" s="172" t="str">
        <f t="shared" si="2"/>
        <v>Yes</v>
      </c>
      <c r="K117" s="173" t="str">
        <f t="shared" si="3"/>
        <v>Yes</v>
      </c>
    </row>
    <row r="118" spans="1:11" x14ac:dyDescent="0.3">
      <c r="A118" s="182" t="s">
        <v>108</v>
      </c>
      <c r="B118" s="281" t="s">
        <v>175</v>
      </c>
      <c r="C118" s="183">
        <v>46234</v>
      </c>
      <c r="D118" s="184" t="s">
        <v>21</v>
      </c>
      <c r="E118" s="185">
        <v>2535</v>
      </c>
      <c r="F118" s="186">
        <v>0.38918999999999998</v>
      </c>
      <c r="G118" s="187">
        <v>8.0030699999999996E-2</v>
      </c>
      <c r="H118" s="177">
        <f>IFERROR(AVERAGEIFS($F:$F, $A:$A, $A118, $B:$B,$B118, $C:$C,$C118),"")</f>
        <v>0.35394088888888903</v>
      </c>
      <c r="I118" s="178">
        <f>IFERROR(AVERAGEIFS($G:$G, $A:$A, $A118, $B:$B,$B118, $C:$C,$C118),"")</f>
        <v>8.5412650000000007E-2</v>
      </c>
      <c r="J118" s="172" t="str">
        <f t="shared" si="2"/>
        <v>No</v>
      </c>
      <c r="K118" s="173" t="str">
        <f t="shared" si="3"/>
        <v>Yes</v>
      </c>
    </row>
    <row r="119" spans="1:11" x14ac:dyDescent="0.3">
      <c r="A119" s="182" t="s">
        <v>108</v>
      </c>
      <c r="B119" s="281" t="s">
        <v>175</v>
      </c>
      <c r="C119" s="183">
        <v>46234</v>
      </c>
      <c r="D119" s="184" t="s">
        <v>22</v>
      </c>
      <c r="E119" s="185">
        <v>1694</v>
      </c>
      <c r="F119" s="186">
        <v>0.37492999999999999</v>
      </c>
      <c r="G119" s="187">
        <v>0.100217</v>
      </c>
      <c r="H119" s="177">
        <f>IFERROR(AVERAGEIFS($F:$F, $A:$A, $A119, $B:$B,$B119, $C:$C,$C119),"")</f>
        <v>0.35394088888888903</v>
      </c>
      <c r="I119" s="178">
        <f>IFERROR(AVERAGEIFS($G:$G, $A:$A, $A119, $B:$B,$B119, $C:$C,$C119),"")</f>
        <v>8.5412650000000007E-2</v>
      </c>
      <c r="J119" s="172" t="str">
        <f t="shared" si="2"/>
        <v>No</v>
      </c>
      <c r="K119" s="173" t="str">
        <f t="shared" si="3"/>
        <v>No</v>
      </c>
    </row>
    <row r="120" spans="1:11" x14ac:dyDescent="0.3">
      <c r="A120" s="182" t="s">
        <v>108</v>
      </c>
      <c r="B120" s="281" t="s">
        <v>175</v>
      </c>
      <c r="C120" s="183">
        <v>46234</v>
      </c>
      <c r="D120" s="184" t="s">
        <v>23</v>
      </c>
      <c r="E120" s="185">
        <v>1603</v>
      </c>
      <c r="F120" s="186">
        <v>0.31156699999999998</v>
      </c>
      <c r="G120" s="187">
        <v>0.10693999999999999</v>
      </c>
      <c r="H120" s="177">
        <f>IFERROR(AVERAGEIFS($F:$F, $A:$A, $A120, $B:$B,$B120, $C:$C,$C120),"")</f>
        <v>0.35394088888888903</v>
      </c>
      <c r="I120" s="178">
        <f>IFERROR(AVERAGEIFS($G:$G, $A:$A, $A120, $B:$B,$B120, $C:$C,$C120),"")</f>
        <v>8.5412650000000007E-2</v>
      </c>
      <c r="J120" s="172" t="str">
        <f t="shared" si="2"/>
        <v>Yes</v>
      </c>
      <c r="K120" s="173" t="str">
        <f t="shared" si="3"/>
        <v>No</v>
      </c>
    </row>
    <row r="121" spans="1:11" x14ac:dyDescent="0.3">
      <c r="A121" s="182" t="s">
        <v>108</v>
      </c>
      <c r="B121" s="281" t="s">
        <v>175</v>
      </c>
      <c r="C121" s="183">
        <v>46234</v>
      </c>
      <c r="D121" s="184" t="s">
        <v>24</v>
      </c>
      <c r="E121" s="185">
        <v>2651</v>
      </c>
      <c r="F121" s="186">
        <v>0.230654</v>
      </c>
      <c r="G121" s="187">
        <v>7.7063900000000005E-2</v>
      </c>
      <c r="H121" s="177">
        <f>IFERROR(AVERAGEIFS($F:$F, $A:$A, $A121, $B:$B,$B121, $C:$C,$C121),"")</f>
        <v>0.35394088888888903</v>
      </c>
      <c r="I121" s="178">
        <f>IFERROR(AVERAGEIFS($G:$G, $A:$A, $A121, $B:$B,$B121, $C:$C,$C121),"")</f>
        <v>8.5412650000000007E-2</v>
      </c>
      <c r="J121" s="172" t="str">
        <f t="shared" si="2"/>
        <v>Yes</v>
      </c>
      <c r="K121" s="173" t="str">
        <f t="shared" si="3"/>
        <v>Yes</v>
      </c>
    </row>
    <row r="122" spans="1:11" x14ac:dyDescent="0.3">
      <c r="A122" s="182" t="s">
        <v>108</v>
      </c>
      <c r="B122" s="281" t="s">
        <v>175</v>
      </c>
      <c r="C122" s="183">
        <v>46234</v>
      </c>
      <c r="D122" s="184" t="s">
        <v>25</v>
      </c>
      <c r="E122" s="185">
        <v>1114</v>
      </c>
      <c r="F122" s="186">
        <v>0.27549600000000002</v>
      </c>
      <c r="G122" s="187">
        <v>7.1046899999999996E-2</v>
      </c>
      <c r="H122" s="177">
        <f>IFERROR(AVERAGEIFS($F:$F, $A:$A, $A122, $B:$B,$B122, $C:$C,$C122),"")</f>
        <v>0.35394088888888903</v>
      </c>
      <c r="I122" s="178">
        <f>IFERROR(AVERAGEIFS($G:$G, $A:$A, $A122, $B:$B,$B122, $C:$C,$C122),"")</f>
        <v>8.5412650000000007E-2</v>
      </c>
      <c r="J122" s="172" t="str">
        <f t="shared" si="2"/>
        <v>Yes</v>
      </c>
      <c r="K122" s="173" t="str">
        <f t="shared" si="3"/>
        <v>Yes</v>
      </c>
    </row>
    <row r="123" spans="1:11" x14ac:dyDescent="0.3">
      <c r="A123" s="182" t="s">
        <v>108</v>
      </c>
      <c r="B123" s="281" t="s">
        <v>175</v>
      </c>
      <c r="C123" s="183">
        <v>46234</v>
      </c>
      <c r="D123" s="184" t="s">
        <v>26</v>
      </c>
      <c r="E123" s="185">
        <v>1709</v>
      </c>
      <c r="F123" s="186">
        <v>0.180475</v>
      </c>
      <c r="G123" s="187">
        <v>5.4836299999999998E-2</v>
      </c>
      <c r="H123" s="177">
        <f>IFERROR(AVERAGEIFS($F:$F, $A:$A, $A123, $B:$B,$B123, $C:$C,$C123),"")</f>
        <v>0.35394088888888903</v>
      </c>
      <c r="I123" s="178">
        <f>IFERROR(AVERAGEIFS($G:$G, $A:$A, $A123, $B:$B,$B123, $C:$C,$C123),"")</f>
        <v>8.5412650000000007E-2</v>
      </c>
      <c r="J123" s="172" t="str">
        <f t="shared" si="2"/>
        <v>Yes</v>
      </c>
      <c r="K123" s="173" t="str">
        <f t="shared" si="3"/>
        <v>Yes</v>
      </c>
    </row>
    <row r="124" spans="1:11" x14ac:dyDescent="0.3">
      <c r="A124" s="182" t="s">
        <v>108</v>
      </c>
      <c r="B124" s="281" t="s">
        <v>175</v>
      </c>
      <c r="C124" s="183">
        <v>46234</v>
      </c>
      <c r="D124" s="184" t="s">
        <v>27</v>
      </c>
      <c r="E124" s="185">
        <v>1262</v>
      </c>
      <c r="F124" s="186">
        <v>0.42054999999999998</v>
      </c>
      <c r="G124" s="187">
        <v>0.10097399999999999</v>
      </c>
      <c r="H124" s="177">
        <f>IFERROR(AVERAGEIFS($F:$F, $A:$A, $A124, $B:$B,$B124, $C:$C,$C124),"")</f>
        <v>0.35394088888888903</v>
      </c>
      <c r="I124" s="178">
        <f>IFERROR(AVERAGEIFS($G:$G, $A:$A, $A124, $B:$B,$B124, $C:$C,$C124),"")</f>
        <v>8.5412650000000007E-2</v>
      </c>
      <c r="J124" s="172" t="str">
        <f t="shared" si="2"/>
        <v>No</v>
      </c>
      <c r="K124" s="173" t="str">
        <f t="shared" si="3"/>
        <v>No</v>
      </c>
    </row>
    <row r="125" spans="1:11" x14ac:dyDescent="0.3">
      <c r="A125" s="182" t="s">
        <v>108</v>
      </c>
      <c r="B125" s="281" t="s">
        <v>175</v>
      </c>
      <c r="C125" s="183">
        <v>46234</v>
      </c>
      <c r="D125" s="184" t="s">
        <v>28</v>
      </c>
      <c r="E125" s="185">
        <v>1001</v>
      </c>
      <c r="F125" s="186">
        <v>0.40851799999999999</v>
      </c>
      <c r="G125" s="187">
        <v>9.5214099999999996E-2</v>
      </c>
      <c r="H125" s="177">
        <f>IFERROR(AVERAGEIFS($F:$F, $A:$A, $A125, $B:$B,$B125, $C:$C,$C125),"")</f>
        <v>0.35394088888888903</v>
      </c>
      <c r="I125" s="178">
        <f>IFERROR(AVERAGEIFS($G:$G, $A:$A, $A125, $B:$B,$B125, $C:$C,$C125),"")</f>
        <v>8.5412650000000007E-2</v>
      </c>
      <c r="J125" s="172" t="str">
        <f t="shared" si="2"/>
        <v>No</v>
      </c>
      <c r="K125" s="173" t="str">
        <f t="shared" si="3"/>
        <v>No</v>
      </c>
    </row>
    <row r="126" spans="1:11" x14ac:dyDescent="0.3">
      <c r="A126" s="182" t="s">
        <v>108</v>
      </c>
      <c r="B126" s="281" t="s">
        <v>175</v>
      </c>
      <c r="C126" s="183">
        <v>46234</v>
      </c>
      <c r="D126" s="184" t="s">
        <v>29</v>
      </c>
      <c r="E126" s="185">
        <v>2829</v>
      </c>
      <c r="F126" s="186">
        <v>0.40667599999999998</v>
      </c>
      <c r="G126" s="187">
        <v>8.2854800000000006E-2</v>
      </c>
      <c r="H126" s="177">
        <f>IFERROR(AVERAGEIFS($F:$F, $A:$A, $A126, $B:$B,$B126, $C:$C,$C126),"")</f>
        <v>0.35394088888888903</v>
      </c>
      <c r="I126" s="178">
        <f>IFERROR(AVERAGEIFS($G:$G, $A:$A, $A126, $B:$B,$B126, $C:$C,$C126),"")</f>
        <v>8.5412650000000007E-2</v>
      </c>
      <c r="J126" s="172" t="str">
        <f t="shared" si="2"/>
        <v>No</v>
      </c>
      <c r="K126" s="173" t="str">
        <f t="shared" si="3"/>
        <v>Yes</v>
      </c>
    </row>
    <row r="127" spans="1:11" x14ac:dyDescent="0.3">
      <c r="A127" s="182" t="s">
        <v>108</v>
      </c>
      <c r="B127" s="281" t="s">
        <v>175</v>
      </c>
      <c r="C127" s="183">
        <v>46234</v>
      </c>
      <c r="D127" s="184" t="s">
        <v>30</v>
      </c>
      <c r="E127" s="185">
        <v>1504</v>
      </c>
      <c r="F127" s="186">
        <v>0.495338</v>
      </c>
      <c r="G127" s="187">
        <v>0.101115</v>
      </c>
      <c r="H127" s="177">
        <f>IFERROR(AVERAGEIFS($F:$F, $A:$A, $A127, $B:$B,$B127, $C:$C,$C127),"")</f>
        <v>0.35394088888888903</v>
      </c>
      <c r="I127" s="178">
        <f>IFERROR(AVERAGEIFS($G:$G, $A:$A, $A127, $B:$B,$B127, $C:$C,$C127),"")</f>
        <v>8.5412650000000007E-2</v>
      </c>
      <c r="J127" s="172" t="str">
        <f t="shared" si="2"/>
        <v>No</v>
      </c>
      <c r="K127" s="173" t="str">
        <f t="shared" si="3"/>
        <v>No</v>
      </c>
    </row>
    <row r="128" spans="1:11" x14ac:dyDescent="0.3">
      <c r="A128" s="182" t="s">
        <v>107</v>
      </c>
      <c r="B128" s="281" t="s">
        <v>117</v>
      </c>
      <c r="C128" s="183">
        <v>46234</v>
      </c>
      <c r="D128" s="184" t="s">
        <v>14</v>
      </c>
      <c r="E128" s="185">
        <v>3975</v>
      </c>
      <c r="F128" s="186">
        <v>0.52360899999999999</v>
      </c>
      <c r="G128" s="187">
        <v>0.147318</v>
      </c>
      <c r="H128" s="177">
        <f>IFERROR(AVERAGEIFS($F:$F, $A:$A, $A128, $B:$B,$B128, $C:$C,$C128),"")</f>
        <v>0.39170800000000006</v>
      </c>
      <c r="I128" s="178">
        <f>IFERROR(AVERAGEIFS($G:$G, $A:$A, $A128, $B:$B,$B128, $C:$C,$C128),"")</f>
        <v>9.6186149999999998E-2</v>
      </c>
    </row>
    <row r="129" spans="1:9" x14ac:dyDescent="0.3">
      <c r="A129" s="182" t="s">
        <v>107</v>
      </c>
      <c r="B129" s="281" t="s">
        <v>117</v>
      </c>
      <c r="C129" s="183">
        <v>46234</v>
      </c>
      <c r="D129" s="184" t="s">
        <v>15</v>
      </c>
      <c r="E129" s="185">
        <v>3665</v>
      </c>
      <c r="F129" s="186">
        <v>0.45449699999999998</v>
      </c>
      <c r="G129" s="187">
        <v>0.119767</v>
      </c>
      <c r="H129" s="177">
        <f>IFERROR(AVERAGEIFS($F:$F, $A:$A, $A129, $B:$B,$B129, $C:$C,$C129),"")</f>
        <v>0.39170800000000006</v>
      </c>
      <c r="I129" s="178">
        <f>IFERROR(AVERAGEIFS($G:$G, $A:$A, $A129, $B:$B,$B129, $C:$C,$C129),"")</f>
        <v>9.6186149999999998E-2</v>
      </c>
    </row>
    <row r="130" spans="1:9" x14ac:dyDescent="0.3">
      <c r="A130" s="182" t="s">
        <v>107</v>
      </c>
      <c r="B130" s="281" t="s">
        <v>117</v>
      </c>
      <c r="C130" s="183">
        <v>46234</v>
      </c>
      <c r="D130" s="184" t="s">
        <v>16</v>
      </c>
      <c r="E130" s="185">
        <v>2763</v>
      </c>
      <c r="F130" s="186">
        <v>0.40343299999999999</v>
      </c>
      <c r="G130" s="187">
        <v>9.4635200000000003E-2</v>
      </c>
      <c r="H130" s="177">
        <f>IFERROR(AVERAGEIFS($F:$F, $A:$A, $A130, $B:$B,$B130, $C:$C,$C130),"")</f>
        <v>0.39170800000000006</v>
      </c>
      <c r="I130" s="178">
        <f>IFERROR(AVERAGEIFS($G:$G, $A:$A, $A130, $B:$B,$B130, $C:$C,$C130),"")</f>
        <v>9.6186149999999998E-2</v>
      </c>
    </row>
    <row r="131" spans="1:9" x14ac:dyDescent="0.3">
      <c r="A131" s="182" t="s">
        <v>107</v>
      </c>
      <c r="B131" s="281" t="s">
        <v>117</v>
      </c>
      <c r="C131" s="183">
        <v>46234</v>
      </c>
      <c r="D131" s="184" t="s">
        <v>17</v>
      </c>
      <c r="E131" s="185">
        <v>2377</v>
      </c>
      <c r="F131" s="186">
        <v>0.53664000000000001</v>
      </c>
      <c r="G131" s="187">
        <v>0.106142</v>
      </c>
      <c r="H131" s="177">
        <f>IFERROR(AVERAGEIFS($F:$F, $A:$A, $A131, $B:$B,$B131, $C:$C,$C131),"")</f>
        <v>0.39170800000000006</v>
      </c>
      <c r="I131" s="178">
        <f>IFERROR(AVERAGEIFS($G:$G, $A:$A, $A131, $B:$B,$B131, $C:$C,$C131),"")</f>
        <v>9.6186149999999998E-2</v>
      </c>
    </row>
    <row r="132" spans="1:9" x14ac:dyDescent="0.3">
      <c r="A132" s="182" t="s">
        <v>107</v>
      </c>
      <c r="B132" s="281" t="s">
        <v>117</v>
      </c>
      <c r="C132" s="183">
        <v>46234</v>
      </c>
      <c r="D132" s="184" t="s">
        <v>18</v>
      </c>
      <c r="E132" s="185">
        <v>3135</v>
      </c>
      <c r="F132" s="186">
        <v>0.218719</v>
      </c>
      <c r="G132" s="187">
        <v>5.20276E-2</v>
      </c>
      <c r="H132" s="177">
        <f>IFERROR(AVERAGEIFS($F:$F, $A:$A, $A132, $B:$B,$B132, $C:$C,$C132),"")</f>
        <v>0.39170800000000006</v>
      </c>
      <c r="I132" s="178">
        <f>IFERROR(AVERAGEIFS($G:$G, $A:$A, $A132, $B:$B,$B132, $C:$C,$C132),"")</f>
        <v>9.6186149999999998E-2</v>
      </c>
    </row>
    <row r="133" spans="1:9" x14ac:dyDescent="0.3">
      <c r="A133" s="182" t="s">
        <v>107</v>
      </c>
      <c r="B133" s="281" t="s">
        <v>117</v>
      </c>
      <c r="C133" s="183">
        <v>46234</v>
      </c>
      <c r="D133" s="184" t="s">
        <v>19</v>
      </c>
      <c r="E133" s="185">
        <v>2511</v>
      </c>
      <c r="F133" s="186">
        <v>0.355244</v>
      </c>
      <c r="G133" s="187">
        <v>7.4700000000000003E-2</v>
      </c>
      <c r="H133" s="177">
        <f>IFERROR(AVERAGEIFS($F:$F, $A:$A, $A133, $B:$B,$B133, $C:$C,$C133),"")</f>
        <v>0.39170800000000006</v>
      </c>
      <c r="I133" s="178">
        <f>IFERROR(AVERAGEIFS($G:$G, $A:$A, $A133, $B:$B,$B133, $C:$C,$C133),"")</f>
        <v>9.6186149999999998E-2</v>
      </c>
    </row>
    <row r="134" spans="1:9" x14ac:dyDescent="0.3">
      <c r="A134" s="182" t="s">
        <v>107</v>
      </c>
      <c r="B134" s="281" t="s">
        <v>117</v>
      </c>
      <c r="C134" s="183">
        <v>46234</v>
      </c>
      <c r="D134" s="184" t="s">
        <v>20</v>
      </c>
      <c r="E134" s="185">
        <v>2587</v>
      </c>
      <c r="F134" s="186">
        <v>0.37267099999999997</v>
      </c>
      <c r="G134" s="187">
        <v>7.7942899999999996E-2</v>
      </c>
      <c r="H134" s="177">
        <f>IFERROR(AVERAGEIFS($F:$F, $A:$A, $A134, $B:$B,$B134, $C:$C,$C134),"")</f>
        <v>0.39170800000000006</v>
      </c>
      <c r="I134" s="178">
        <f>IFERROR(AVERAGEIFS($G:$G, $A:$A, $A134, $B:$B,$B134, $C:$C,$C134),"")</f>
        <v>9.6186149999999998E-2</v>
      </c>
    </row>
    <row r="135" spans="1:9" x14ac:dyDescent="0.3">
      <c r="A135" s="182" t="s">
        <v>107</v>
      </c>
      <c r="B135" s="281" t="s">
        <v>117</v>
      </c>
      <c r="C135" s="183">
        <v>46234</v>
      </c>
      <c r="D135" s="184" t="s">
        <v>44</v>
      </c>
      <c r="E135" s="185">
        <v>1502</v>
      </c>
      <c r="F135" s="186">
        <v>0.264567</v>
      </c>
      <c r="G135" s="187">
        <v>8.0192100000000002E-2</v>
      </c>
      <c r="H135" s="177">
        <f>IFERROR(AVERAGEIFS($F:$F, $A:$A, $A135, $B:$B,$B135, $C:$C,$C135),"")</f>
        <v>0.39170800000000006</v>
      </c>
      <c r="I135" s="178">
        <f>IFERROR(AVERAGEIFS($G:$G, $A:$A, $A135, $B:$B,$B135, $C:$C,$C135),"")</f>
        <v>9.6186149999999998E-2</v>
      </c>
    </row>
    <row r="136" spans="1:9" x14ac:dyDescent="0.3">
      <c r="A136" s="182" t="s">
        <v>107</v>
      </c>
      <c r="B136" s="281" t="s">
        <v>117</v>
      </c>
      <c r="C136" s="183">
        <v>46234</v>
      </c>
      <c r="D136" s="184" t="s">
        <v>21</v>
      </c>
      <c r="E136" s="185">
        <v>3787</v>
      </c>
      <c r="F136" s="186">
        <v>0.47795700000000002</v>
      </c>
      <c r="G136" s="187">
        <v>9.3003100000000005E-2</v>
      </c>
      <c r="H136" s="177">
        <f>IFERROR(AVERAGEIFS($F:$F, $A:$A, $A136, $B:$B,$B136, $C:$C,$C136),"")</f>
        <v>0.39170800000000006</v>
      </c>
      <c r="I136" s="178">
        <f>IFERROR(AVERAGEIFS($G:$G, $A:$A, $A136, $B:$B,$B136, $C:$C,$C136),"")</f>
        <v>9.6186149999999998E-2</v>
      </c>
    </row>
    <row r="137" spans="1:9" x14ac:dyDescent="0.3">
      <c r="A137" s="182" t="s">
        <v>107</v>
      </c>
      <c r="B137" s="281" t="s">
        <v>117</v>
      </c>
      <c r="C137" s="183">
        <v>46234</v>
      </c>
      <c r="D137" s="184" t="s">
        <v>22</v>
      </c>
      <c r="E137" s="185">
        <v>2437</v>
      </c>
      <c r="F137" s="186">
        <v>0.51614400000000005</v>
      </c>
      <c r="G137" s="187">
        <v>0.14021400000000001</v>
      </c>
      <c r="H137" s="177">
        <f>IFERROR(AVERAGEIFS($F:$F, $A:$A, $A137, $B:$B,$B137, $C:$C,$C137),"")</f>
        <v>0.39170800000000006</v>
      </c>
      <c r="I137" s="178">
        <f>IFERROR(AVERAGEIFS($G:$G, $A:$A, $A137, $B:$B,$B137, $C:$C,$C137),"")</f>
        <v>9.6186149999999998E-2</v>
      </c>
    </row>
    <row r="138" spans="1:9" x14ac:dyDescent="0.3">
      <c r="A138" s="182" t="s">
        <v>107</v>
      </c>
      <c r="B138" s="281" t="s">
        <v>117</v>
      </c>
      <c r="C138" s="183">
        <v>46234</v>
      </c>
      <c r="D138" s="184" t="s">
        <v>23</v>
      </c>
      <c r="E138" s="185">
        <v>2126</v>
      </c>
      <c r="F138" s="186">
        <v>0.61609199999999997</v>
      </c>
      <c r="G138" s="187">
        <v>0.202345</v>
      </c>
      <c r="H138" s="177">
        <f>IFERROR(AVERAGEIFS($F:$F, $A:$A, $A138, $B:$B,$B138, $C:$C,$C138),"")</f>
        <v>0.39170800000000006</v>
      </c>
      <c r="I138" s="178">
        <f>IFERROR(AVERAGEIFS($G:$G, $A:$A, $A138, $B:$B,$B138, $C:$C,$C138),"")</f>
        <v>9.6186149999999998E-2</v>
      </c>
    </row>
    <row r="139" spans="1:9" x14ac:dyDescent="0.3">
      <c r="A139" s="182" t="s">
        <v>107</v>
      </c>
      <c r="B139" s="281" t="s">
        <v>117</v>
      </c>
      <c r="C139" s="183">
        <v>46234</v>
      </c>
      <c r="D139" s="184" t="s">
        <v>24</v>
      </c>
      <c r="E139" s="185">
        <v>4033</v>
      </c>
      <c r="F139" s="186">
        <v>0.26639000000000002</v>
      </c>
      <c r="G139" s="187">
        <v>8.19878E-2</v>
      </c>
      <c r="H139" s="177">
        <f>IFERROR(AVERAGEIFS($F:$F, $A:$A, $A139, $B:$B,$B139, $C:$C,$C139),"")</f>
        <v>0.39170800000000006</v>
      </c>
      <c r="I139" s="178">
        <f>IFERROR(AVERAGEIFS($G:$G, $A:$A, $A139, $B:$B,$B139, $C:$C,$C139),"")</f>
        <v>9.6186149999999998E-2</v>
      </c>
    </row>
    <row r="140" spans="1:9" x14ac:dyDescent="0.3">
      <c r="A140" s="182" t="s">
        <v>107</v>
      </c>
      <c r="B140" s="281" t="s">
        <v>117</v>
      </c>
      <c r="C140" s="183">
        <v>46234</v>
      </c>
      <c r="D140" s="184" t="s">
        <v>25</v>
      </c>
      <c r="E140" s="185">
        <v>1548</v>
      </c>
      <c r="F140" s="186">
        <v>0.24405299999999999</v>
      </c>
      <c r="G140" s="187">
        <v>5.8651200000000001E-2</v>
      </c>
      <c r="H140" s="177">
        <f>IFERROR(AVERAGEIFS($F:$F, $A:$A, $A140, $B:$B,$B140, $C:$C,$C140),"")</f>
        <v>0.39170800000000006</v>
      </c>
      <c r="I140" s="178">
        <f>IFERROR(AVERAGEIFS($G:$G, $A:$A, $A140, $B:$B,$B140, $C:$C,$C140),"")</f>
        <v>9.6186149999999998E-2</v>
      </c>
    </row>
    <row r="141" spans="1:9" x14ac:dyDescent="0.3">
      <c r="A141" s="182" t="s">
        <v>107</v>
      </c>
      <c r="B141" s="281" t="s">
        <v>117</v>
      </c>
      <c r="C141" s="183">
        <v>46234</v>
      </c>
      <c r="D141" s="184" t="s">
        <v>26</v>
      </c>
      <c r="E141" s="185">
        <v>2915</v>
      </c>
      <c r="F141" s="186">
        <v>0.163774</v>
      </c>
      <c r="G141" s="187">
        <v>5.2653600000000002E-2</v>
      </c>
      <c r="H141" s="177">
        <f>IFERROR(AVERAGEIFS($F:$F, $A:$A, $A141, $B:$B,$B141, $C:$C,$C141),"")</f>
        <v>0.39170800000000006</v>
      </c>
      <c r="I141" s="178">
        <f>IFERROR(AVERAGEIFS($G:$G, $A:$A, $A141, $B:$B,$B141, $C:$C,$C141),"")</f>
        <v>9.6186149999999998E-2</v>
      </c>
    </row>
    <row r="142" spans="1:9" x14ac:dyDescent="0.3">
      <c r="A142" s="182" t="s">
        <v>107</v>
      </c>
      <c r="B142" s="281" t="s">
        <v>117</v>
      </c>
      <c r="C142" s="183">
        <v>46234</v>
      </c>
      <c r="D142" s="184" t="s">
        <v>27</v>
      </c>
      <c r="E142" s="185">
        <v>2017</v>
      </c>
      <c r="F142" s="186">
        <v>0.41799900000000001</v>
      </c>
      <c r="G142" s="187">
        <v>9.4883999999999996E-2</v>
      </c>
      <c r="H142" s="177">
        <f>IFERROR(AVERAGEIFS($F:$F, $A:$A, $A142, $B:$B,$B142, $C:$C,$C142),"")</f>
        <v>0.39170800000000006</v>
      </c>
      <c r="I142" s="178">
        <f>IFERROR(AVERAGEIFS($G:$G, $A:$A, $A142, $B:$B,$B142, $C:$C,$C142),"")</f>
        <v>9.6186149999999998E-2</v>
      </c>
    </row>
    <row r="143" spans="1:9" x14ac:dyDescent="0.3">
      <c r="A143" s="182" t="s">
        <v>107</v>
      </c>
      <c r="B143" s="281" t="s">
        <v>117</v>
      </c>
      <c r="C143" s="183">
        <v>46234</v>
      </c>
      <c r="D143" s="184" t="s">
        <v>28</v>
      </c>
      <c r="E143" s="185">
        <v>1610</v>
      </c>
      <c r="F143" s="186">
        <v>0.32311099999999998</v>
      </c>
      <c r="G143" s="187">
        <v>7.2502700000000003E-2</v>
      </c>
      <c r="H143" s="177">
        <f>IFERROR(AVERAGEIFS($F:$F, $A:$A, $A143, $B:$B,$B143, $C:$C,$C143),"")</f>
        <v>0.39170800000000006</v>
      </c>
      <c r="I143" s="178">
        <f>IFERROR(AVERAGEIFS($G:$G, $A:$A, $A143, $B:$B,$B143, $C:$C,$C143),"")</f>
        <v>9.6186149999999998E-2</v>
      </c>
    </row>
    <row r="144" spans="1:9" x14ac:dyDescent="0.3">
      <c r="A144" s="182" t="s">
        <v>107</v>
      </c>
      <c r="B144" s="281" t="s">
        <v>117</v>
      </c>
      <c r="C144" s="183">
        <v>46234</v>
      </c>
      <c r="D144" s="184" t="s">
        <v>29</v>
      </c>
      <c r="E144" s="185">
        <v>2718</v>
      </c>
      <c r="F144" s="186">
        <v>0.375027</v>
      </c>
      <c r="G144" s="187">
        <v>7.7646499999999993E-2</v>
      </c>
      <c r="H144" s="177">
        <f>IFERROR(AVERAGEIFS($F:$F, $A:$A, $A144, $B:$B,$B144, $C:$C,$C144),"")</f>
        <v>0.39170800000000006</v>
      </c>
      <c r="I144" s="178">
        <f>IFERROR(AVERAGEIFS($G:$G, $A:$A, $A144, $B:$B,$B144, $C:$C,$C144),"")</f>
        <v>9.6186149999999998E-2</v>
      </c>
    </row>
    <row r="145" spans="1:9" x14ac:dyDescent="0.3">
      <c r="A145" s="182" t="s">
        <v>107</v>
      </c>
      <c r="B145" s="281" t="s">
        <v>117</v>
      </c>
      <c r="C145" s="183">
        <v>46234</v>
      </c>
      <c r="D145" s="184" t="s">
        <v>30</v>
      </c>
      <c r="E145" s="185">
        <v>2001</v>
      </c>
      <c r="F145" s="186">
        <v>0.52081699999999997</v>
      </c>
      <c r="G145" s="187">
        <v>0.104738</v>
      </c>
      <c r="H145" s="177">
        <f>IFERROR(AVERAGEIFS($F:$F, $A:$A, $A145, $B:$B,$B145, $C:$C,$C145),"")</f>
        <v>0.39170800000000006</v>
      </c>
      <c r="I145" s="178">
        <f>IFERROR(AVERAGEIFS($G:$G, $A:$A, $A145, $B:$B,$B145, $C:$C,$C145),"")</f>
        <v>9.6186149999999998E-2</v>
      </c>
    </row>
    <row r="146" spans="1:9" x14ac:dyDescent="0.3">
      <c r="A146" s="182" t="s">
        <v>107</v>
      </c>
      <c r="B146" s="281" t="s">
        <v>117</v>
      </c>
      <c r="C146" s="183">
        <v>46235</v>
      </c>
      <c r="D146" s="184" t="s">
        <v>14</v>
      </c>
      <c r="E146" s="185">
        <v>3111</v>
      </c>
      <c r="F146" s="186">
        <v>0.38656600000000002</v>
      </c>
      <c r="G146" s="187">
        <v>0.10890900000000001</v>
      </c>
      <c r="H146" s="177">
        <f>IFERROR(AVERAGEIFS($F:$F, $A:$A, $A146, $B:$B,$B146, $C:$C,$C146),"")</f>
        <v>0.5529641111111111</v>
      </c>
      <c r="I146" s="178">
        <f>IFERROR(AVERAGEIFS($G:$G, $A:$A, $A146, $B:$B,$B146, $C:$C,$C146),"")</f>
        <v>0.12669717222222221</v>
      </c>
    </row>
    <row r="147" spans="1:9" x14ac:dyDescent="0.3">
      <c r="A147" s="182" t="s">
        <v>107</v>
      </c>
      <c r="B147" s="281" t="s">
        <v>117</v>
      </c>
      <c r="C147" s="183">
        <v>46235</v>
      </c>
      <c r="D147" s="184" t="s">
        <v>15</v>
      </c>
      <c r="E147" s="185">
        <v>2814</v>
      </c>
      <c r="F147" s="186">
        <v>0.48407099999999997</v>
      </c>
      <c r="G147" s="187">
        <v>0.127695</v>
      </c>
      <c r="H147" s="177">
        <f>IFERROR(AVERAGEIFS($F:$F, $A:$A, $A147, $B:$B,$B147, $C:$C,$C147),"")</f>
        <v>0.5529641111111111</v>
      </c>
      <c r="I147" s="178">
        <f>IFERROR(AVERAGEIFS($G:$G, $A:$A, $A147, $B:$B,$B147, $C:$C,$C147),"")</f>
        <v>0.12669717222222221</v>
      </c>
    </row>
    <row r="148" spans="1:9" x14ac:dyDescent="0.3">
      <c r="A148" s="182" t="s">
        <v>107</v>
      </c>
      <c r="B148" s="281" t="s">
        <v>117</v>
      </c>
      <c r="C148" s="183">
        <v>46235</v>
      </c>
      <c r="D148" s="184" t="s">
        <v>16</v>
      </c>
      <c r="E148" s="185">
        <v>2201</v>
      </c>
      <c r="F148" s="186">
        <v>0.54380600000000001</v>
      </c>
      <c r="G148" s="187">
        <v>0.12779199999999999</v>
      </c>
      <c r="H148" s="177">
        <f>IFERROR(AVERAGEIFS($F:$F, $A:$A, $A148, $B:$B,$B148, $C:$C,$C148),"")</f>
        <v>0.5529641111111111</v>
      </c>
      <c r="I148" s="178">
        <f>IFERROR(AVERAGEIFS($G:$G, $A:$A, $A148, $B:$B,$B148, $C:$C,$C148),"")</f>
        <v>0.12669717222222221</v>
      </c>
    </row>
    <row r="149" spans="1:9" x14ac:dyDescent="0.3">
      <c r="A149" s="182" t="s">
        <v>107</v>
      </c>
      <c r="B149" s="281" t="s">
        <v>117</v>
      </c>
      <c r="C149" s="183">
        <v>46235</v>
      </c>
      <c r="D149" s="184" t="s">
        <v>17</v>
      </c>
      <c r="E149" s="185">
        <v>2352</v>
      </c>
      <c r="F149" s="186">
        <v>0.47246100000000002</v>
      </c>
      <c r="G149" s="187">
        <v>9.3412599999999998E-2</v>
      </c>
      <c r="H149" s="177">
        <f>IFERROR(AVERAGEIFS($F:$F, $A:$A, $A149, $B:$B,$B149, $C:$C,$C149),"")</f>
        <v>0.5529641111111111</v>
      </c>
      <c r="I149" s="178">
        <f>IFERROR(AVERAGEIFS($G:$G, $A:$A, $A149, $B:$B,$B149, $C:$C,$C149),"")</f>
        <v>0.12669717222222221</v>
      </c>
    </row>
    <row r="150" spans="1:9" x14ac:dyDescent="0.3">
      <c r="A150" s="182" t="s">
        <v>107</v>
      </c>
      <c r="B150" s="281" t="s">
        <v>117</v>
      </c>
      <c r="C150" s="183">
        <v>46235</v>
      </c>
      <c r="D150" s="184" t="s">
        <v>18</v>
      </c>
      <c r="E150" s="185">
        <v>2814</v>
      </c>
      <c r="F150" s="186">
        <v>0.38531199999999999</v>
      </c>
      <c r="G150" s="187">
        <v>9.1877600000000004E-2</v>
      </c>
      <c r="H150" s="177">
        <f>IFERROR(AVERAGEIFS($F:$F, $A:$A, $A150, $B:$B,$B150, $C:$C,$C150),"")</f>
        <v>0.5529641111111111</v>
      </c>
      <c r="I150" s="178">
        <f>IFERROR(AVERAGEIFS($G:$G, $A:$A, $A150, $B:$B,$B150, $C:$C,$C150),"")</f>
        <v>0.12669717222222221</v>
      </c>
    </row>
    <row r="151" spans="1:9" x14ac:dyDescent="0.3">
      <c r="A151" s="182" t="s">
        <v>107</v>
      </c>
      <c r="B151" s="281" t="s">
        <v>117</v>
      </c>
      <c r="C151" s="183">
        <v>46235</v>
      </c>
      <c r="D151" s="184" t="s">
        <v>19</v>
      </c>
      <c r="E151" s="185">
        <v>2708</v>
      </c>
      <c r="F151" s="186">
        <v>1.47159</v>
      </c>
      <c r="G151" s="187">
        <v>0.31046400000000002</v>
      </c>
      <c r="H151" s="177">
        <f>IFERROR(AVERAGEIFS($F:$F, $A:$A, $A151, $B:$B,$B151, $C:$C,$C151),"")</f>
        <v>0.5529641111111111</v>
      </c>
      <c r="I151" s="178">
        <f>IFERROR(AVERAGEIFS($G:$G, $A:$A, $A151, $B:$B,$B151, $C:$C,$C151),"")</f>
        <v>0.12669717222222221</v>
      </c>
    </row>
    <row r="152" spans="1:9" x14ac:dyDescent="0.3">
      <c r="A152" s="182" t="s">
        <v>107</v>
      </c>
      <c r="B152" s="281" t="s">
        <v>117</v>
      </c>
      <c r="C152" s="183">
        <v>46235</v>
      </c>
      <c r="D152" s="184" t="s">
        <v>20</v>
      </c>
      <c r="E152" s="185">
        <v>2700</v>
      </c>
      <c r="F152" s="186">
        <v>0.81003099999999995</v>
      </c>
      <c r="G152" s="187">
        <v>0.169795</v>
      </c>
      <c r="H152" s="177">
        <f>IFERROR(AVERAGEIFS($F:$F, $A:$A, $A152, $B:$B,$B152, $C:$C,$C152),"")</f>
        <v>0.5529641111111111</v>
      </c>
      <c r="I152" s="178">
        <f>IFERROR(AVERAGEIFS($G:$G, $A:$A, $A152, $B:$B,$B152, $C:$C,$C152),"")</f>
        <v>0.12669717222222221</v>
      </c>
    </row>
    <row r="153" spans="1:9" x14ac:dyDescent="0.3">
      <c r="A153" s="182" t="s">
        <v>107</v>
      </c>
      <c r="B153" s="281" t="s">
        <v>117</v>
      </c>
      <c r="C153" s="183">
        <v>46235</v>
      </c>
      <c r="D153" s="184" t="s">
        <v>44</v>
      </c>
      <c r="E153" s="185">
        <v>1503</v>
      </c>
      <c r="F153" s="186">
        <v>0.204627</v>
      </c>
      <c r="G153" s="187">
        <v>6.2046299999999999E-2</v>
      </c>
      <c r="H153" s="177">
        <f>IFERROR(AVERAGEIFS($F:$F, $A:$A, $A153, $B:$B,$B153, $C:$C,$C153),"")</f>
        <v>0.5529641111111111</v>
      </c>
      <c r="I153" s="178">
        <f>IFERROR(AVERAGEIFS($G:$G, $A:$A, $A153, $B:$B,$B153, $C:$C,$C153),"")</f>
        <v>0.12669717222222221</v>
      </c>
    </row>
    <row r="154" spans="1:9" x14ac:dyDescent="0.3">
      <c r="A154" s="182" t="s">
        <v>107</v>
      </c>
      <c r="B154" s="281" t="s">
        <v>117</v>
      </c>
      <c r="C154" s="183">
        <v>46235</v>
      </c>
      <c r="D154" s="184" t="s">
        <v>21</v>
      </c>
      <c r="E154" s="185">
        <v>3742</v>
      </c>
      <c r="F154" s="186">
        <v>1.2650600000000001</v>
      </c>
      <c r="G154" s="187">
        <v>0.246172</v>
      </c>
      <c r="H154" s="177">
        <f>IFERROR(AVERAGEIFS($F:$F, $A:$A, $A154, $B:$B,$B154, $C:$C,$C154),"")</f>
        <v>0.5529641111111111</v>
      </c>
      <c r="I154" s="178">
        <f>IFERROR(AVERAGEIFS($G:$G, $A:$A, $A154, $B:$B,$B154, $C:$C,$C154),"")</f>
        <v>0.12669717222222221</v>
      </c>
    </row>
    <row r="155" spans="1:9" x14ac:dyDescent="0.3">
      <c r="A155" s="182" t="s">
        <v>107</v>
      </c>
      <c r="B155" s="281" t="s">
        <v>117</v>
      </c>
      <c r="C155" s="183">
        <v>46235</v>
      </c>
      <c r="D155" s="184" t="s">
        <v>22</v>
      </c>
      <c r="E155" s="185">
        <v>2339</v>
      </c>
      <c r="F155" s="186">
        <v>0.37946099999999999</v>
      </c>
      <c r="G155" s="187">
        <v>0.10304000000000001</v>
      </c>
      <c r="H155" s="177">
        <f>IFERROR(AVERAGEIFS($F:$F, $A:$A, $A155, $B:$B,$B155, $C:$C,$C155),"")</f>
        <v>0.5529641111111111</v>
      </c>
      <c r="I155" s="178">
        <f>IFERROR(AVERAGEIFS($G:$G, $A:$A, $A155, $B:$B,$B155, $C:$C,$C155),"")</f>
        <v>0.12669717222222221</v>
      </c>
    </row>
    <row r="156" spans="1:9" x14ac:dyDescent="0.3">
      <c r="A156" s="182" t="s">
        <v>107</v>
      </c>
      <c r="B156" s="281" t="s">
        <v>117</v>
      </c>
      <c r="C156" s="183">
        <v>46235</v>
      </c>
      <c r="D156" s="184" t="s">
        <v>23</v>
      </c>
      <c r="E156" s="185">
        <v>1576</v>
      </c>
      <c r="F156" s="186">
        <v>0.21701799999999999</v>
      </c>
      <c r="G156" s="187">
        <v>7.1269700000000005E-2</v>
      </c>
      <c r="H156" s="177">
        <f>IFERROR(AVERAGEIFS($F:$F, $A:$A, $A156, $B:$B,$B156, $C:$C,$C156),"")</f>
        <v>0.5529641111111111</v>
      </c>
      <c r="I156" s="178">
        <f>IFERROR(AVERAGEIFS($G:$G, $A:$A, $A156, $B:$B,$B156, $C:$C,$C156),"")</f>
        <v>0.12669717222222221</v>
      </c>
    </row>
    <row r="157" spans="1:9" x14ac:dyDescent="0.3">
      <c r="A157" s="182" t="s">
        <v>107</v>
      </c>
      <c r="B157" s="281" t="s">
        <v>117</v>
      </c>
      <c r="C157" s="183">
        <v>46235</v>
      </c>
      <c r="D157" s="184" t="s">
        <v>24</v>
      </c>
      <c r="E157" s="185">
        <v>2915</v>
      </c>
      <c r="F157" s="186">
        <v>0.22855900000000001</v>
      </c>
      <c r="G157" s="187">
        <v>7.0344799999999999E-2</v>
      </c>
      <c r="H157" s="177">
        <f>IFERROR(AVERAGEIFS($F:$F, $A:$A, $A157, $B:$B,$B157, $C:$C,$C157),"")</f>
        <v>0.5529641111111111</v>
      </c>
      <c r="I157" s="178">
        <f>IFERROR(AVERAGEIFS($G:$G, $A:$A, $A157, $B:$B,$B157, $C:$C,$C157),"")</f>
        <v>0.12669717222222221</v>
      </c>
    </row>
    <row r="158" spans="1:9" x14ac:dyDescent="0.3">
      <c r="A158" s="182" t="s">
        <v>107</v>
      </c>
      <c r="B158" s="281" t="s">
        <v>117</v>
      </c>
      <c r="C158" s="183">
        <v>46235</v>
      </c>
      <c r="D158" s="184" t="s">
        <v>25</v>
      </c>
      <c r="E158" s="185">
        <v>1546</v>
      </c>
      <c r="F158" s="186">
        <v>0.228106</v>
      </c>
      <c r="G158" s="187">
        <v>5.4853300000000001E-2</v>
      </c>
      <c r="H158" s="177">
        <f>IFERROR(AVERAGEIFS($F:$F, $A:$A, $A158, $B:$B,$B158, $C:$C,$C158),"")</f>
        <v>0.5529641111111111</v>
      </c>
      <c r="I158" s="178">
        <f>IFERROR(AVERAGEIFS($G:$G, $A:$A, $A158, $B:$B,$B158, $C:$C,$C158),"")</f>
        <v>0.12669717222222221</v>
      </c>
    </row>
    <row r="159" spans="1:9" x14ac:dyDescent="0.3">
      <c r="A159" s="182" t="s">
        <v>107</v>
      </c>
      <c r="B159" s="281" t="s">
        <v>117</v>
      </c>
      <c r="C159" s="183">
        <v>46235</v>
      </c>
      <c r="D159" s="184" t="s">
        <v>26</v>
      </c>
      <c r="E159" s="185">
        <v>2440</v>
      </c>
      <c r="F159" s="186">
        <v>0.24538699999999999</v>
      </c>
      <c r="G159" s="187">
        <v>7.8953300000000004E-2</v>
      </c>
      <c r="H159" s="177">
        <f>IFERROR(AVERAGEIFS($F:$F, $A:$A, $A159, $B:$B,$B159, $C:$C,$C159),"")</f>
        <v>0.5529641111111111</v>
      </c>
      <c r="I159" s="178">
        <f>IFERROR(AVERAGEIFS($G:$G, $A:$A, $A159, $B:$B,$B159, $C:$C,$C159),"")</f>
        <v>0.12669717222222221</v>
      </c>
    </row>
    <row r="160" spans="1:9" x14ac:dyDescent="0.3">
      <c r="A160" s="182" t="s">
        <v>107</v>
      </c>
      <c r="B160" s="281" t="s">
        <v>117</v>
      </c>
      <c r="C160" s="183">
        <v>46235</v>
      </c>
      <c r="D160" s="184" t="s">
        <v>27</v>
      </c>
      <c r="E160" s="185">
        <v>1812</v>
      </c>
      <c r="F160" s="186">
        <v>0.716615</v>
      </c>
      <c r="G160" s="187">
        <v>0.16242100000000001</v>
      </c>
      <c r="H160" s="177">
        <f>IFERROR(AVERAGEIFS($F:$F, $A:$A, $A160, $B:$B,$B160, $C:$C,$C160),"")</f>
        <v>0.5529641111111111</v>
      </c>
      <c r="I160" s="178">
        <f>IFERROR(AVERAGEIFS($G:$G, $A:$A, $A160, $B:$B,$B160, $C:$C,$C160),"")</f>
        <v>0.12669717222222221</v>
      </c>
    </row>
    <row r="161" spans="1:11" x14ac:dyDescent="0.3">
      <c r="A161" s="182" t="s">
        <v>107</v>
      </c>
      <c r="B161" s="281" t="s">
        <v>117</v>
      </c>
      <c r="C161" s="183">
        <v>46235</v>
      </c>
      <c r="D161" s="184" t="s">
        <v>28</v>
      </c>
      <c r="E161" s="185">
        <v>1530</v>
      </c>
      <c r="F161" s="186">
        <v>0.38388800000000001</v>
      </c>
      <c r="G161" s="187">
        <v>8.6132899999999998E-2</v>
      </c>
      <c r="H161" s="177">
        <f>IFERROR(AVERAGEIFS($F:$F, $A:$A, $A161, $B:$B,$B161, $C:$C,$C161),"")</f>
        <v>0.5529641111111111</v>
      </c>
      <c r="I161" s="178">
        <f>IFERROR(AVERAGEIFS($G:$G, $A:$A, $A161, $B:$B,$B161, $C:$C,$C161),"")</f>
        <v>0.12669717222222221</v>
      </c>
    </row>
    <row r="162" spans="1:11" x14ac:dyDescent="0.3">
      <c r="A162" s="182" t="s">
        <v>107</v>
      </c>
      <c r="B162" s="281" t="s">
        <v>117</v>
      </c>
      <c r="C162" s="183">
        <v>46235</v>
      </c>
      <c r="D162" s="184" t="s">
        <v>29</v>
      </c>
      <c r="E162" s="185">
        <v>2305</v>
      </c>
      <c r="F162" s="186">
        <v>1.05867</v>
      </c>
      <c r="G162" s="187">
        <v>0.22051299999999999</v>
      </c>
      <c r="H162" s="177">
        <f>IFERROR(AVERAGEIFS($F:$F, $A:$A, $A162, $B:$B,$B162, $C:$C,$C162),"")</f>
        <v>0.5529641111111111</v>
      </c>
      <c r="I162" s="178">
        <f>IFERROR(AVERAGEIFS($G:$G, $A:$A, $A162, $B:$B,$B162, $C:$C,$C162),"")</f>
        <v>0.12669717222222221</v>
      </c>
    </row>
    <row r="163" spans="1:11" x14ac:dyDescent="0.3">
      <c r="A163" s="182" t="s">
        <v>107</v>
      </c>
      <c r="B163" s="281" t="s">
        <v>117</v>
      </c>
      <c r="C163" s="183">
        <v>46235</v>
      </c>
      <c r="D163" s="184" t="s">
        <v>30</v>
      </c>
      <c r="E163" s="185">
        <v>2080</v>
      </c>
      <c r="F163" s="186">
        <v>0.47212599999999999</v>
      </c>
      <c r="G163" s="187">
        <v>9.48576E-2</v>
      </c>
      <c r="H163" s="177">
        <f>IFERROR(AVERAGEIFS($F:$F, $A:$A, $A163, $B:$B,$B163, $C:$C,$C163),"")</f>
        <v>0.5529641111111111</v>
      </c>
      <c r="I163" s="178">
        <f>IFERROR(AVERAGEIFS($G:$G, $A:$A, $A163, $B:$B,$B163, $C:$C,$C163),"")</f>
        <v>0.12669717222222221</v>
      </c>
    </row>
    <row r="164" spans="1:11" x14ac:dyDescent="0.3">
      <c r="A164" s="182" t="s">
        <v>108</v>
      </c>
      <c r="B164" s="281" t="s">
        <v>176</v>
      </c>
      <c r="C164" s="183">
        <v>46237</v>
      </c>
      <c r="D164" s="184" t="s">
        <v>14</v>
      </c>
      <c r="E164" s="185">
        <v>3346</v>
      </c>
      <c r="F164" s="186">
        <v>0.32430599999999998</v>
      </c>
      <c r="G164" s="187">
        <v>9.8802500000000001E-2</v>
      </c>
      <c r="H164" s="177">
        <f>IFERROR(AVERAGEIFS($F:$F, $A:$A, $A164, $B:$B,$B164, $C:$C,$C164),"")</f>
        <v>0.31301488888888884</v>
      </c>
      <c r="I164" s="178">
        <f>IFERROR(AVERAGEIFS($G:$G, $A:$A, $A164, $B:$B,$B164, $C:$C,$C164),"")</f>
        <v>7.651850555555556E-2</v>
      </c>
      <c r="J164" s="172" t="str">
        <f t="shared" si="2"/>
        <v>No</v>
      </c>
      <c r="K164" s="173" t="str">
        <f t="shared" si="3"/>
        <v>No</v>
      </c>
    </row>
    <row r="165" spans="1:11" x14ac:dyDescent="0.3">
      <c r="A165" s="182" t="s">
        <v>108</v>
      </c>
      <c r="B165" s="281" t="s">
        <v>176</v>
      </c>
      <c r="C165" s="183">
        <v>46237</v>
      </c>
      <c r="D165" s="184" t="s">
        <v>15</v>
      </c>
      <c r="E165" s="185">
        <v>3063</v>
      </c>
      <c r="F165" s="186">
        <v>0.35386699999999999</v>
      </c>
      <c r="G165" s="187">
        <v>9.9645899999999996E-2</v>
      </c>
      <c r="H165" s="177">
        <f>IFERROR(AVERAGEIFS($F:$F, $A:$A, $A165, $B:$B,$B165, $C:$C,$C165),"")</f>
        <v>0.31301488888888884</v>
      </c>
      <c r="I165" s="178">
        <f>IFERROR(AVERAGEIFS($G:$G, $A:$A, $A165, $B:$B,$B165, $C:$C,$C165),"")</f>
        <v>7.651850555555556E-2</v>
      </c>
      <c r="J165" s="172" t="str">
        <f t="shared" si="2"/>
        <v>No</v>
      </c>
      <c r="K165" s="173" t="str">
        <f t="shared" si="3"/>
        <v>No</v>
      </c>
    </row>
    <row r="166" spans="1:11" x14ac:dyDescent="0.3">
      <c r="A166" s="182" t="s">
        <v>108</v>
      </c>
      <c r="B166" s="281" t="s">
        <v>176</v>
      </c>
      <c r="C166" s="183">
        <v>46237</v>
      </c>
      <c r="D166" s="184" t="s">
        <v>16</v>
      </c>
      <c r="E166" s="185">
        <v>2034</v>
      </c>
      <c r="F166" s="186">
        <v>0.34923700000000002</v>
      </c>
      <c r="G166" s="187">
        <v>8.7392399999999995E-2</v>
      </c>
      <c r="H166" s="177">
        <f>IFERROR(AVERAGEIFS($F:$F, $A:$A, $A166, $B:$B,$B166, $C:$C,$C166),"")</f>
        <v>0.31301488888888884</v>
      </c>
      <c r="I166" s="178">
        <f>IFERROR(AVERAGEIFS($G:$G, $A:$A, $A166, $B:$B,$B166, $C:$C,$C166),"")</f>
        <v>7.651850555555556E-2</v>
      </c>
      <c r="J166" s="172" t="str">
        <f t="shared" si="2"/>
        <v>No</v>
      </c>
      <c r="K166" s="173" t="str">
        <f t="shared" si="3"/>
        <v>No</v>
      </c>
    </row>
    <row r="167" spans="1:11" x14ac:dyDescent="0.3">
      <c r="A167" s="182" t="s">
        <v>108</v>
      </c>
      <c r="B167" s="281" t="s">
        <v>176</v>
      </c>
      <c r="C167" s="183">
        <v>46237</v>
      </c>
      <c r="D167" s="184" t="s">
        <v>17</v>
      </c>
      <c r="E167" s="185">
        <v>2205</v>
      </c>
      <c r="F167" s="186">
        <v>0.47246100000000002</v>
      </c>
      <c r="G167" s="187">
        <v>9.3412599999999998E-2</v>
      </c>
      <c r="H167" s="177">
        <f>IFERROR(AVERAGEIFS($F:$F, $A:$A, $A167, $B:$B,$B167, $C:$C,$C167),"")</f>
        <v>0.31301488888888884</v>
      </c>
      <c r="I167" s="178">
        <f>IFERROR(AVERAGEIFS($G:$G, $A:$A, $A167, $B:$B,$B167, $C:$C,$C167),"")</f>
        <v>7.651850555555556E-2</v>
      </c>
      <c r="J167" s="172" t="str">
        <f t="shared" si="2"/>
        <v>No</v>
      </c>
      <c r="K167" s="173" t="str">
        <f t="shared" si="3"/>
        <v>No</v>
      </c>
    </row>
    <row r="168" spans="1:11" x14ac:dyDescent="0.3">
      <c r="A168" s="182" t="s">
        <v>108</v>
      </c>
      <c r="B168" s="281" t="s">
        <v>176</v>
      </c>
      <c r="C168" s="183">
        <v>46237</v>
      </c>
      <c r="D168" s="184" t="s">
        <v>18</v>
      </c>
      <c r="E168" s="185">
        <v>2383</v>
      </c>
      <c r="F168" s="186">
        <v>0.23527000000000001</v>
      </c>
      <c r="G168" s="187">
        <v>5.8520999999999997E-2</v>
      </c>
      <c r="H168" s="177">
        <f>IFERROR(AVERAGEIFS($F:$F, $A:$A, $A168, $B:$B,$B168, $C:$C,$C168),"")</f>
        <v>0.31301488888888884</v>
      </c>
      <c r="I168" s="178">
        <f>IFERROR(AVERAGEIFS($G:$G, $A:$A, $A168, $B:$B,$B168, $C:$C,$C168),"")</f>
        <v>7.651850555555556E-2</v>
      </c>
      <c r="J168" s="172" t="str">
        <f t="shared" si="2"/>
        <v>Yes</v>
      </c>
      <c r="K168" s="173" t="str">
        <f t="shared" si="3"/>
        <v>Yes</v>
      </c>
    </row>
    <row r="169" spans="1:11" x14ac:dyDescent="0.3">
      <c r="A169" s="182" t="s">
        <v>108</v>
      </c>
      <c r="B169" s="281" t="s">
        <v>176</v>
      </c>
      <c r="C169" s="183">
        <v>46237</v>
      </c>
      <c r="D169" s="184" t="s">
        <v>19</v>
      </c>
      <c r="E169" s="185">
        <v>2170</v>
      </c>
      <c r="F169" s="186">
        <v>0.31478899999999999</v>
      </c>
      <c r="G169" s="187">
        <v>6.7531099999999997E-2</v>
      </c>
      <c r="H169" s="177">
        <f>IFERROR(AVERAGEIFS($F:$F, $A:$A, $A169, $B:$B,$B169, $C:$C,$C169),"")</f>
        <v>0.31301488888888884</v>
      </c>
      <c r="I169" s="178">
        <f>IFERROR(AVERAGEIFS($G:$G, $A:$A, $A169, $B:$B,$B169, $C:$C,$C169),"")</f>
        <v>7.651850555555556E-2</v>
      </c>
      <c r="J169" s="172" t="str">
        <f t="shared" si="2"/>
        <v>No</v>
      </c>
      <c r="K169" s="173" t="str">
        <f t="shared" si="3"/>
        <v>Yes</v>
      </c>
    </row>
    <row r="170" spans="1:11" x14ac:dyDescent="0.3">
      <c r="A170" s="182" t="s">
        <v>108</v>
      </c>
      <c r="B170" s="281" t="s">
        <v>176</v>
      </c>
      <c r="C170" s="183">
        <v>46237</v>
      </c>
      <c r="D170" s="184" t="s">
        <v>20</v>
      </c>
      <c r="E170" s="185">
        <v>2313</v>
      </c>
      <c r="F170" s="186">
        <v>0.30069600000000002</v>
      </c>
      <c r="G170" s="187">
        <v>6.3357800000000006E-2</v>
      </c>
      <c r="H170" s="177">
        <f>IFERROR(AVERAGEIFS($F:$F, $A:$A, $A170, $B:$B,$B170, $C:$C,$C170),"")</f>
        <v>0.31301488888888884</v>
      </c>
      <c r="I170" s="178">
        <f>IFERROR(AVERAGEIFS($G:$G, $A:$A, $A170, $B:$B,$B170, $C:$C,$C170),"")</f>
        <v>7.651850555555556E-2</v>
      </c>
      <c r="J170" s="172" t="str">
        <f t="shared" si="2"/>
        <v>Yes</v>
      </c>
      <c r="K170" s="173" t="str">
        <f t="shared" si="3"/>
        <v>Yes</v>
      </c>
    </row>
    <row r="171" spans="1:11" x14ac:dyDescent="0.3">
      <c r="A171" s="182" t="s">
        <v>108</v>
      </c>
      <c r="B171" s="281" t="s">
        <v>176</v>
      </c>
      <c r="C171" s="183">
        <v>46237</v>
      </c>
      <c r="D171" s="184" t="s">
        <v>44</v>
      </c>
      <c r="E171" s="185">
        <v>1596</v>
      </c>
      <c r="F171" s="186">
        <v>0.167988</v>
      </c>
      <c r="G171" s="187">
        <v>4.9786400000000001E-2</v>
      </c>
      <c r="H171" s="177">
        <f>IFERROR(AVERAGEIFS($F:$F, $A:$A, $A171, $B:$B,$B171, $C:$C,$C171),"")</f>
        <v>0.31301488888888884</v>
      </c>
      <c r="I171" s="178">
        <f>IFERROR(AVERAGEIFS($G:$G, $A:$A, $A171, $B:$B,$B171, $C:$C,$C171),"")</f>
        <v>7.651850555555556E-2</v>
      </c>
      <c r="J171" s="172" t="str">
        <f t="shared" si="2"/>
        <v>Yes</v>
      </c>
      <c r="K171" s="173" t="str">
        <f t="shared" si="3"/>
        <v>Yes</v>
      </c>
    </row>
    <row r="172" spans="1:11" x14ac:dyDescent="0.3">
      <c r="A172" s="182" t="s">
        <v>108</v>
      </c>
      <c r="B172" s="281" t="s">
        <v>176</v>
      </c>
      <c r="C172" s="183">
        <v>46237</v>
      </c>
      <c r="D172" s="184" t="s">
        <v>21</v>
      </c>
      <c r="E172" s="185">
        <v>3368</v>
      </c>
      <c r="F172" s="186">
        <v>0.44997300000000001</v>
      </c>
      <c r="G172" s="187">
        <v>8.5777199999999998E-2</v>
      </c>
      <c r="H172" s="177">
        <f>IFERROR(AVERAGEIFS($F:$F, $A:$A, $A172, $B:$B,$B172, $C:$C,$C172),"")</f>
        <v>0.31301488888888884</v>
      </c>
      <c r="I172" s="178">
        <f>IFERROR(AVERAGEIFS($G:$G, $A:$A, $A172, $B:$B,$B172, $C:$C,$C172),"")</f>
        <v>7.651850555555556E-2</v>
      </c>
      <c r="J172" s="172" t="str">
        <f t="shared" si="2"/>
        <v>No</v>
      </c>
      <c r="K172" s="173" t="str">
        <f t="shared" si="3"/>
        <v>No</v>
      </c>
    </row>
    <row r="173" spans="1:11" x14ac:dyDescent="0.3">
      <c r="A173" s="182" t="s">
        <v>108</v>
      </c>
      <c r="B173" s="281" t="s">
        <v>176</v>
      </c>
      <c r="C173" s="183">
        <v>46237</v>
      </c>
      <c r="D173" s="184" t="s">
        <v>22</v>
      </c>
      <c r="E173" s="185">
        <v>1671</v>
      </c>
      <c r="F173" s="186">
        <v>0.47886200000000001</v>
      </c>
      <c r="G173" s="187">
        <v>0.12086</v>
      </c>
      <c r="H173" s="177">
        <f>IFERROR(AVERAGEIFS($F:$F, $A:$A, $A173, $B:$B,$B173, $C:$C,$C173),"")</f>
        <v>0.31301488888888884</v>
      </c>
      <c r="I173" s="178">
        <f>IFERROR(AVERAGEIFS($G:$G, $A:$A, $A173, $B:$B,$B173, $C:$C,$C173),"")</f>
        <v>7.651850555555556E-2</v>
      </c>
      <c r="J173" s="172" t="str">
        <f t="shared" si="2"/>
        <v>No</v>
      </c>
      <c r="K173" s="173" t="str">
        <f t="shared" si="3"/>
        <v>No</v>
      </c>
    </row>
    <row r="174" spans="1:11" x14ac:dyDescent="0.3">
      <c r="A174" s="182" t="s">
        <v>108</v>
      </c>
      <c r="B174" s="281" t="s">
        <v>176</v>
      </c>
      <c r="C174" s="183">
        <v>46237</v>
      </c>
      <c r="D174" s="184" t="s">
        <v>23</v>
      </c>
      <c r="E174" s="185">
        <v>1504</v>
      </c>
      <c r="F174" s="186">
        <v>0.31255899999999998</v>
      </c>
      <c r="G174" s="187">
        <v>0.110626</v>
      </c>
      <c r="H174" s="177">
        <f>IFERROR(AVERAGEIFS($F:$F, $A:$A, $A174, $B:$B,$B174, $C:$C,$C174),"")</f>
        <v>0.31301488888888884</v>
      </c>
      <c r="I174" s="178">
        <f>IFERROR(AVERAGEIFS($G:$G, $A:$A, $A174, $B:$B,$B174, $C:$C,$C174),"")</f>
        <v>7.651850555555556E-2</v>
      </c>
      <c r="J174" s="172" t="str">
        <f t="shared" si="2"/>
        <v>Yes</v>
      </c>
      <c r="K174" s="173" t="str">
        <f t="shared" si="3"/>
        <v>No</v>
      </c>
    </row>
    <row r="175" spans="1:11" x14ac:dyDescent="0.3">
      <c r="A175" s="182" t="s">
        <v>108</v>
      </c>
      <c r="B175" s="281" t="s">
        <v>176</v>
      </c>
      <c r="C175" s="183">
        <v>46237</v>
      </c>
      <c r="D175" s="184" t="s">
        <v>24</v>
      </c>
      <c r="E175" s="185">
        <v>2776</v>
      </c>
      <c r="F175" s="186">
        <v>0.242114</v>
      </c>
      <c r="G175" s="187">
        <v>7.6394299999999998E-2</v>
      </c>
      <c r="H175" s="177">
        <f>IFERROR(AVERAGEIFS($F:$F, $A:$A, $A175, $B:$B,$B175, $C:$C,$C175),"")</f>
        <v>0.31301488888888884</v>
      </c>
      <c r="I175" s="178">
        <f>IFERROR(AVERAGEIFS($G:$G, $A:$A, $A175, $B:$B,$B175, $C:$C,$C175),"")</f>
        <v>7.651850555555556E-2</v>
      </c>
      <c r="J175" s="172" t="str">
        <f t="shared" si="2"/>
        <v>Yes</v>
      </c>
      <c r="K175" s="173" t="str">
        <f t="shared" si="3"/>
        <v>Yes</v>
      </c>
    </row>
    <row r="176" spans="1:11" x14ac:dyDescent="0.3">
      <c r="A176" s="182" t="s">
        <v>108</v>
      </c>
      <c r="B176" s="281" t="s">
        <v>176</v>
      </c>
      <c r="C176" s="183">
        <v>46237</v>
      </c>
      <c r="D176" s="184" t="s">
        <v>25</v>
      </c>
      <c r="E176" s="185">
        <v>1564</v>
      </c>
      <c r="F176" s="186">
        <v>0.26510299999999998</v>
      </c>
      <c r="G176" s="187">
        <v>6.3127500000000003E-2</v>
      </c>
      <c r="H176" s="177">
        <f>IFERROR(AVERAGEIFS($F:$F, $A:$A, $A176, $B:$B,$B176, $C:$C,$C176),"")</f>
        <v>0.31301488888888884</v>
      </c>
      <c r="I176" s="178">
        <f>IFERROR(AVERAGEIFS($G:$G, $A:$A, $A176, $B:$B,$B176, $C:$C,$C176),"")</f>
        <v>7.651850555555556E-2</v>
      </c>
      <c r="J176" s="172" t="str">
        <f t="shared" si="2"/>
        <v>Yes</v>
      </c>
      <c r="K176" s="173" t="str">
        <f t="shared" si="3"/>
        <v>Yes</v>
      </c>
    </row>
    <row r="177" spans="1:11" x14ac:dyDescent="0.3">
      <c r="A177" s="182" t="s">
        <v>108</v>
      </c>
      <c r="B177" s="281" t="s">
        <v>176</v>
      </c>
      <c r="C177" s="183">
        <v>46237</v>
      </c>
      <c r="D177" s="184" t="s">
        <v>26</v>
      </c>
      <c r="E177" s="185">
        <v>2134</v>
      </c>
      <c r="F177" s="186">
        <v>0.18260199999999999</v>
      </c>
      <c r="G177" s="187">
        <v>5.5004400000000002E-2</v>
      </c>
      <c r="H177" s="177">
        <f>IFERROR(AVERAGEIFS($F:$F, $A:$A, $A177, $B:$B,$B177, $C:$C,$C177),"")</f>
        <v>0.31301488888888884</v>
      </c>
      <c r="I177" s="178">
        <f>IFERROR(AVERAGEIFS($G:$G, $A:$A, $A177, $B:$B,$B177, $C:$C,$C177),"")</f>
        <v>7.651850555555556E-2</v>
      </c>
      <c r="J177" s="172" t="str">
        <f t="shared" si="2"/>
        <v>Yes</v>
      </c>
      <c r="K177" s="173" t="str">
        <f t="shared" si="3"/>
        <v>Yes</v>
      </c>
    </row>
    <row r="178" spans="1:11" x14ac:dyDescent="0.3">
      <c r="A178" s="182" t="s">
        <v>108</v>
      </c>
      <c r="B178" s="281" t="s">
        <v>176</v>
      </c>
      <c r="C178" s="183">
        <v>46237</v>
      </c>
      <c r="D178" s="184" t="s">
        <v>27</v>
      </c>
      <c r="E178" s="185">
        <v>1805</v>
      </c>
      <c r="F178" s="186">
        <v>0.33567200000000003</v>
      </c>
      <c r="G178" s="187">
        <v>7.3140200000000002E-2</v>
      </c>
      <c r="H178" s="177">
        <f>IFERROR(AVERAGEIFS($F:$F, $A:$A, $A178, $B:$B,$B178, $C:$C,$C178),"")</f>
        <v>0.31301488888888884</v>
      </c>
      <c r="I178" s="178">
        <f>IFERROR(AVERAGEIFS($G:$G, $A:$A, $A178, $B:$B,$B178, $C:$C,$C178),"")</f>
        <v>7.651850555555556E-2</v>
      </c>
      <c r="J178" s="172" t="str">
        <f t="shared" si="2"/>
        <v>No</v>
      </c>
      <c r="K178" s="173" t="str">
        <f t="shared" si="3"/>
        <v>Yes</v>
      </c>
    </row>
    <row r="179" spans="1:11" x14ac:dyDescent="0.3">
      <c r="A179" s="182" t="s">
        <v>108</v>
      </c>
      <c r="B179" s="281" t="s">
        <v>176</v>
      </c>
      <c r="C179" s="183">
        <v>46237</v>
      </c>
      <c r="D179" s="184" t="s">
        <v>28</v>
      </c>
      <c r="E179" s="185">
        <v>1506</v>
      </c>
      <c r="F179" s="186">
        <v>0.237599</v>
      </c>
      <c r="G179" s="187">
        <v>5.0320799999999999E-2</v>
      </c>
      <c r="H179" s="177">
        <f>IFERROR(AVERAGEIFS($F:$F, $A:$A, $A179, $B:$B,$B179, $C:$C,$C179),"")</f>
        <v>0.31301488888888884</v>
      </c>
      <c r="I179" s="178">
        <f>IFERROR(AVERAGEIFS($G:$G, $A:$A, $A179, $B:$B,$B179, $C:$C,$C179),"")</f>
        <v>7.651850555555556E-2</v>
      </c>
      <c r="J179" s="172" t="str">
        <f t="shared" si="2"/>
        <v>Yes</v>
      </c>
      <c r="K179" s="173" t="str">
        <f t="shared" si="3"/>
        <v>Yes</v>
      </c>
    </row>
    <row r="180" spans="1:11" x14ac:dyDescent="0.3">
      <c r="A180" s="182" t="s">
        <v>108</v>
      </c>
      <c r="B180" s="281" t="s">
        <v>176</v>
      </c>
      <c r="C180" s="183">
        <v>46237</v>
      </c>
      <c r="D180" s="184" t="s">
        <v>29</v>
      </c>
      <c r="E180" s="185">
        <v>2592</v>
      </c>
      <c r="F180" s="186">
        <v>0.24665599999999999</v>
      </c>
      <c r="G180" s="187">
        <v>5.4342500000000002E-2</v>
      </c>
      <c r="H180" s="177">
        <f>IFERROR(AVERAGEIFS($F:$F, $A:$A, $A180, $B:$B,$B180, $C:$C,$C180),"")</f>
        <v>0.31301488888888884</v>
      </c>
      <c r="I180" s="178">
        <f>IFERROR(AVERAGEIFS($G:$G, $A:$A, $A180, $B:$B,$B180, $C:$C,$C180),"")</f>
        <v>7.651850555555556E-2</v>
      </c>
      <c r="J180" s="172" t="str">
        <f t="shared" si="2"/>
        <v>Yes</v>
      </c>
      <c r="K180" s="173" t="str">
        <f t="shared" si="3"/>
        <v>Yes</v>
      </c>
    </row>
    <row r="181" spans="1:11" x14ac:dyDescent="0.3">
      <c r="A181" s="182" t="s">
        <v>108</v>
      </c>
      <c r="B181" s="281" t="s">
        <v>176</v>
      </c>
      <c r="C181" s="183">
        <v>46237</v>
      </c>
      <c r="D181" s="184" t="s">
        <v>30</v>
      </c>
      <c r="E181" s="185">
        <v>1991</v>
      </c>
      <c r="F181" s="186">
        <v>0.364514</v>
      </c>
      <c r="G181" s="187">
        <v>6.9290500000000005E-2</v>
      </c>
      <c r="H181" s="177">
        <f>IFERROR(AVERAGEIFS($F:$F, $A:$A, $A181, $B:$B,$B181, $C:$C,$C181),"")</f>
        <v>0.31301488888888884</v>
      </c>
      <c r="I181" s="178">
        <f>IFERROR(AVERAGEIFS($G:$G, $A:$A, $A181, $B:$B,$B181, $C:$C,$C181),"")</f>
        <v>7.651850555555556E-2</v>
      </c>
      <c r="J181" s="172" t="str">
        <f t="shared" si="2"/>
        <v>No</v>
      </c>
      <c r="K181" s="173" t="str">
        <f t="shared" si="3"/>
        <v>Yes</v>
      </c>
    </row>
    <row r="182" spans="1:11" x14ac:dyDescent="0.3">
      <c r="A182" s="182" t="s">
        <v>108</v>
      </c>
      <c r="B182" s="281" t="s">
        <v>177</v>
      </c>
      <c r="C182" s="183">
        <v>46237</v>
      </c>
      <c r="D182" s="184" t="s">
        <v>14</v>
      </c>
      <c r="E182" s="185">
        <v>2529</v>
      </c>
      <c r="F182" s="186">
        <v>0.19736899999999999</v>
      </c>
      <c r="G182" s="187">
        <v>5.3979199999999998E-2</v>
      </c>
      <c r="H182" s="177">
        <f>IFERROR(AVERAGEIFS($F:$F, $A:$A, $A182, $B:$B,$B182, $C:$C,$C182),"")</f>
        <v>0.32503816666666663</v>
      </c>
      <c r="I182" s="178">
        <f>IFERROR(AVERAGEIFS($G:$G, $A:$A, $A182, $B:$B,$B182, $C:$C,$C182),"")</f>
        <v>7.8212433333333331E-2</v>
      </c>
      <c r="J182" s="172" t="str">
        <f t="shared" si="2"/>
        <v>Yes</v>
      </c>
      <c r="K182" s="173" t="str">
        <f t="shared" si="3"/>
        <v>Yes</v>
      </c>
    </row>
    <row r="183" spans="1:11" x14ac:dyDescent="0.3">
      <c r="A183" s="182" t="s">
        <v>108</v>
      </c>
      <c r="B183" s="281" t="s">
        <v>177</v>
      </c>
      <c r="C183" s="183">
        <v>46237</v>
      </c>
      <c r="D183" s="184" t="s">
        <v>15</v>
      </c>
      <c r="E183" s="185">
        <v>2434</v>
      </c>
      <c r="F183" s="186">
        <v>0.40239999999999998</v>
      </c>
      <c r="G183" s="187">
        <v>0.102562</v>
      </c>
      <c r="H183" s="177">
        <f>IFERROR(AVERAGEIFS($F:$F, $A:$A, $A183, $B:$B,$B183, $C:$C,$C183),"")</f>
        <v>0.32503816666666663</v>
      </c>
      <c r="I183" s="178">
        <f>IFERROR(AVERAGEIFS($G:$G, $A:$A, $A183, $B:$B,$B183, $C:$C,$C183),"")</f>
        <v>7.8212433333333331E-2</v>
      </c>
      <c r="J183" s="172" t="str">
        <f t="shared" si="2"/>
        <v>No</v>
      </c>
      <c r="K183" s="173" t="str">
        <f t="shared" si="3"/>
        <v>No</v>
      </c>
    </row>
    <row r="184" spans="1:11" x14ac:dyDescent="0.3">
      <c r="A184" s="182" t="s">
        <v>108</v>
      </c>
      <c r="B184" s="281" t="s">
        <v>177</v>
      </c>
      <c r="C184" s="183">
        <v>46237</v>
      </c>
      <c r="D184" s="184" t="s">
        <v>16</v>
      </c>
      <c r="E184" s="185">
        <v>2472</v>
      </c>
      <c r="F184" s="186">
        <v>0.373303</v>
      </c>
      <c r="G184" s="187">
        <v>8.31152E-2</v>
      </c>
      <c r="H184" s="177">
        <f>IFERROR(AVERAGEIFS($F:$F, $A:$A, $A184, $B:$B,$B184, $C:$C,$C184),"")</f>
        <v>0.32503816666666663</v>
      </c>
      <c r="I184" s="178">
        <f>IFERROR(AVERAGEIFS($G:$G, $A:$A, $A184, $B:$B,$B184, $C:$C,$C184),"")</f>
        <v>7.8212433333333331E-2</v>
      </c>
      <c r="J184" s="172" t="str">
        <f t="shared" si="2"/>
        <v>No</v>
      </c>
      <c r="K184" s="173" t="str">
        <f t="shared" si="3"/>
        <v>No</v>
      </c>
    </row>
    <row r="185" spans="1:11" x14ac:dyDescent="0.3">
      <c r="A185" s="182" t="s">
        <v>108</v>
      </c>
      <c r="B185" s="281" t="s">
        <v>177</v>
      </c>
      <c r="C185" s="183">
        <v>46237</v>
      </c>
      <c r="D185" s="184" t="s">
        <v>17</v>
      </c>
      <c r="E185" s="185">
        <v>2227</v>
      </c>
      <c r="F185" s="186">
        <v>0.44384499999999999</v>
      </c>
      <c r="G185" s="187">
        <v>9.0625700000000003E-2</v>
      </c>
      <c r="H185" s="177">
        <f>IFERROR(AVERAGEIFS($F:$F, $A:$A, $A185, $B:$B,$B185, $C:$C,$C185),"")</f>
        <v>0.32503816666666663</v>
      </c>
      <c r="I185" s="178">
        <f>IFERROR(AVERAGEIFS($G:$G, $A:$A, $A185, $B:$B,$B185, $C:$C,$C185),"")</f>
        <v>7.8212433333333331E-2</v>
      </c>
      <c r="J185" s="172" t="str">
        <f t="shared" si="2"/>
        <v>No</v>
      </c>
      <c r="K185" s="173" t="str">
        <f t="shared" si="3"/>
        <v>No</v>
      </c>
    </row>
    <row r="186" spans="1:11" x14ac:dyDescent="0.3">
      <c r="A186" s="182" t="s">
        <v>108</v>
      </c>
      <c r="B186" s="281" t="s">
        <v>177</v>
      </c>
      <c r="C186" s="183">
        <v>46237</v>
      </c>
      <c r="D186" s="184" t="s">
        <v>18</v>
      </c>
      <c r="E186" s="185">
        <v>2847</v>
      </c>
      <c r="F186" s="186">
        <v>0.23527000000000001</v>
      </c>
      <c r="G186" s="187">
        <v>5.8520999999999997E-2</v>
      </c>
      <c r="H186" s="177">
        <f>IFERROR(AVERAGEIFS($F:$F, $A:$A, $A186, $B:$B,$B186, $C:$C,$C186),"")</f>
        <v>0.32503816666666663</v>
      </c>
      <c r="I186" s="178">
        <f>IFERROR(AVERAGEIFS($G:$G, $A:$A, $A186, $B:$B,$B186, $C:$C,$C186),"")</f>
        <v>7.8212433333333331E-2</v>
      </c>
      <c r="J186" s="172" t="str">
        <f t="shared" si="2"/>
        <v>Yes</v>
      </c>
      <c r="K186" s="173" t="str">
        <f t="shared" si="3"/>
        <v>Yes</v>
      </c>
    </row>
    <row r="187" spans="1:11" x14ac:dyDescent="0.3">
      <c r="A187" s="182" t="s">
        <v>108</v>
      </c>
      <c r="B187" s="281" t="s">
        <v>177</v>
      </c>
      <c r="C187" s="183">
        <v>46237</v>
      </c>
      <c r="D187" s="184" t="s">
        <v>19</v>
      </c>
      <c r="E187" s="185">
        <v>2586</v>
      </c>
      <c r="F187" s="186">
        <v>0.384272</v>
      </c>
      <c r="G187" s="187">
        <v>7.7091900000000005E-2</v>
      </c>
      <c r="H187" s="177">
        <f>IFERROR(AVERAGEIFS($F:$F, $A:$A, $A187, $B:$B,$B187, $C:$C,$C187),"")</f>
        <v>0.32503816666666663</v>
      </c>
      <c r="I187" s="178">
        <f>IFERROR(AVERAGEIFS($G:$G, $A:$A, $A187, $B:$B,$B187, $C:$C,$C187),"")</f>
        <v>7.8212433333333331E-2</v>
      </c>
      <c r="J187" s="172" t="str">
        <f t="shared" si="2"/>
        <v>No</v>
      </c>
      <c r="K187" s="173" t="str">
        <f t="shared" si="3"/>
        <v>Yes</v>
      </c>
    </row>
    <row r="188" spans="1:11" x14ac:dyDescent="0.3">
      <c r="A188" s="182" t="s">
        <v>108</v>
      </c>
      <c r="B188" s="281" t="s">
        <v>177</v>
      </c>
      <c r="C188" s="183">
        <v>46237</v>
      </c>
      <c r="D188" s="184" t="s">
        <v>20</v>
      </c>
      <c r="E188" s="185">
        <v>2350</v>
      </c>
      <c r="F188" s="186">
        <v>0.36795899999999998</v>
      </c>
      <c r="G188" s="187">
        <v>7.3715699999999995E-2</v>
      </c>
      <c r="H188" s="177">
        <f>IFERROR(AVERAGEIFS($F:$F, $A:$A, $A188, $B:$B,$B188, $C:$C,$C188),"")</f>
        <v>0.32503816666666663</v>
      </c>
      <c r="I188" s="178">
        <f>IFERROR(AVERAGEIFS($G:$G, $A:$A, $A188, $B:$B,$B188, $C:$C,$C188),"")</f>
        <v>7.8212433333333331E-2</v>
      </c>
      <c r="J188" s="172" t="str">
        <f t="shared" si="2"/>
        <v>No</v>
      </c>
      <c r="K188" s="173" t="str">
        <f t="shared" si="3"/>
        <v>Yes</v>
      </c>
    </row>
    <row r="189" spans="1:11" x14ac:dyDescent="0.3">
      <c r="A189" s="182" t="s">
        <v>108</v>
      </c>
      <c r="B189" s="281" t="s">
        <v>177</v>
      </c>
      <c r="C189" s="183">
        <v>46237</v>
      </c>
      <c r="D189" s="184" t="s">
        <v>44</v>
      </c>
      <c r="E189" s="185">
        <v>1620</v>
      </c>
      <c r="F189" s="186">
        <v>0.18529899999999999</v>
      </c>
      <c r="G189" s="187">
        <v>5.3656599999999999E-2</v>
      </c>
      <c r="H189" s="177">
        <f>IFERROR(AVERAGEIFS($F:$F, $A:$A, $A189, $B:$B,$B189, $C:$C,$C189),"")</f>
        <v>0.32503816666666663</v>
      </c>
      <c r="I189" s="178">
        <f>IFERROR(AVERAGEIFS($G:$G, $A:$A, $A189, $B:$B,$B189, $C:$C,$C189),"")</f>
        <v>7.8212433333333331E-2</v>
      </c>
      <c r="J189" s="172" t="str">
        <f t="shared" si="2"/>
        <v>Yes</v>
      </c>
      <c r="K189" s="173" t="str">
        <f t="shared" si="3"/>
        <v>Yes</v>
      </c>
    </row>
    <row r="190" spans="1:11" x14ac:dyDescent="0.3">
      <c r="A190" s="182" t="s">
        <v>108</v>
      </c>
      <c r="B190" s="281" t="s">
        <v>177</v>
      </c>
      <c r="C190" s="183">
        <v>46237</v>
      </c>
      <c r="D190" s="184" t="s">
        <v>21</v>
      </c>
      <c r="E190" s="185">
        <v>4051</v>
      </c>
      <c r="F190" s="186">
        <v>0.44907000000000002</v>
      </c>
      <c r="G190" s="187">
        <v>9.1503399999999999E-2</v>
      </c>
      <c r="H190" s="177">
        <f>IFERROR(AVERAGEIFS($F:$F, $A:$A, $A190, $B:$B,$B190, $C:$C,$C190),"")</f>
        <v>0.32503816666666663</v>
      </c>
      <c r="I190" s="178">
        <f>IFERROR(AVERAGEIFS($G:$G, $A:$A, $A190, $B:$B,$B190, $C:$C,$C190),"")</f>
        <v>7.8212433333333331E-2</v>
      </c>
      <c r="J190" s="172" t="str">
        <f t="shared" si="2"/>
        <v>No</v>
      </c>
      <c r="K190" s="173" t="str">
        <f t="shared" si="3"/>
        <v>No</v>
      </c>
    </row>
    <row r="191" spans="1:11" x14ac:dyDescent="0.3">
      <c r="A191" s="182" t="s">
        <v>108</v>
      </c>
      <c r="B191" s="281" t="s">
        <v>177</v>
      </c>
      <c r="C191" s="183">
        <v>46237</v>
      </c>
      <c r="D191" s="184" t="s">
        <v>22</v>
      </c>
      <c r="E191" s="185">
        <v>2289</v>
      </c>
      <c r="F191" s="186">
        <v>0.40045399999999998</v>
      </c>
      <c r="G191" s="187">
        <v>0.111335</v>
      </c>
      <c r="H191" s="177">
        <f>IFERROR(AVERAGEIFS($F:$F, $A:$A, $A191, $B:$B,$B191, $C:$C,$C191),"")</f>
        <v>0.32503816666666663</v>
      </c>
      <c r="I191" s="178">
        <f>IFERROR(AVERAGEIFS($G:$G, $A:$A, $A191, $B:$B,$B191, $C:$C,$C191),"")</f>
        <v>7.8212433333333331E-2</v>
      </c>
      <c r="J191" s="172" t="str">
        <f t="shared" si="2"/>
        <v>No</v>
      </c>
      <c r="K191" s="173" t="str">
        <f t="shared" si="3"/>
        <v>No</v>
      </c>
    </row>
    <row r="192" spans="1:11" x14ac:dyDescent="0.3">
      <c r="A192" s="182" t="s">
        <v>108</v>
      </c>
      <c r="B192" s="281" t="s">
        <v>177</v>
      </c>
      <c r="C192" s="183">
        <v>46237</v>
      </c>
      <c r="D192" s="184" t="s">
        <v>23</v>
      </c>
      <c r="E192" s="185">
        <v>1649</v>
      </c>
      <c r="F192" s="186">
        <v>0.31080999999999998</v>
      </c>
      <c r="G192" s="187">
        <v>0.101536</v>
      </c>
      <c r="H192" s="177">
        <f>IFERROR(AVERAGEIFS($F:$F, $A:$A, $A192, $B:$B,$B192, $C:$C,$C192),"")</f>
        <v>0.32503816666666663</v>
      </c>
      <c r="I192" s="178">
        <f>IFERROR(AVERAGEIFS($G:$G, $A:$A, $A192, $B:$B,$B192, $C:$C,$C192),"")</f>
        <v>7.8212433333333331E-2</v>
      </c>
      <c r="J192" s="172" t="str">
        <f t="shared" si="2"/>
        <v>Yes</v>
      </c>
      <c r="K192" s="173" t="str">
        <f t="shared" si="3"/>
        <v>No</v>
      </c>
    </row>
    <row r="193" spans="1:11" x14ac:dyDescent="0.3">
      <c r="A193" s="182" t="s">
        <v>108</v>
      </c>
      <c r="B193" s="281" t="s">
        <v>177</v>
      </c>
      <c r="C193" s="183">
        <v>46237</v>
      </c>
      <c r="D193" s="184" t="s">
        <v>24</v>
      </c>
      <c r="E193" s="185">
        <v>3170</v>
      </c>
      <c r="F193" s="186">
        <v>0.20591000000000001</v>
      </c>
      <c r="G193" s="187">
        <v>6.5986100000000006E-2</v>
      </c>
      <c r="H193" s="177">
        <f>IFERROR(AVERAGEIFS($F:$F, $A:$A, $A193, $B:$B,$B193, $C:$C,$C193),"")</f>
        <v>0.32503816666666663</v>
      </c>
      <c r="I193" s="178">
        <f>IFERROR(AVERAGEIFS($G:$G, $A:$A, $A193, $B:$B,$B193, $C:$C,$C193),"")</f>
        <v>7.8212433333333331E-2</v>
      </c>
      <c r="J193" s="172" t="str">
        <f t="shared" ref="J193:J199" si="4">IF(AND(F193&lt;&gt;"", H193&lt;&gt;""), IF(F193&lt;H193,"Yes","No"), "")</f>
        <v>Yes</v>
      </c>
      <c r="K193" s="173" t="str">
        <f t="shared" ref="K193:K199" si="5">IF(AND(G193&lt;&gt;"", I193&lt;&gt;""), IF(G193&lt;I193,"Yes","No"), "")</f>
        <v>Yes</v>
      </c>
    </row>
    <row r="194" spans="1:11" x14ac:dyDescent="0.3">
      <c r="A194" s="182" t="s">
        <v>108</v>
      </c>
      <c r="B194" s="281" t="s">
        <v>177</v>
      </c>
      <c r="C194" s="183">
        <v>46237</v>
      </c>
      <c r="D194" s="184" t="s">
        <v>25</v>
      </c>
      <c r="E194" s="185">
        <v>1504</v>
      </c>
      <c r="F194" s="186">
        <v>0.21273800000000001</v>
      </c>
      <c r="G194" s="187">
        <v>5.37966E-2</v>
      </c>
      <c r="H194" s="177">
        <f>IFERROR(AVERAGEIFS($F:$F, $A:$A, $A194, $B:$B,$B194, $C:$C,$C194),"")</f>
        <v>0.32503816666666663</v>
      </c>
      <c r="I194" s="178">
        <f>IFERROR(AVERAGEIFS($G:$G, $A:$A, $A194, $B:$B,$B194, $C:$C,$C194),"")</f>
        <v>7.8212433333333331E-2</v>
      </c>
      <c r="J194" s="172" t="str">
        <f t="shared" si="4"/>
        <v>Yes</v>
      </c>
      <c r="K194" s="173" t="str">
        <f t="shared" si="5"/>
        <v>Yes</v>
      </c>
    </row>
    <row r="195" spans="1:11" x14ac:dyDescent="0.3">
      <c r="A195" s="182" t="s">
        <v>108</v>
      </c>
      <c r="B195" s="281" t="s">
        <v>177</v>
      </c>
      <c r="C195" s="183">
        <v>46237</v>
      </c>
      <c r="D195" s="184" t="s">
        <v>26</v>
      </c>
      <c r="E195" s="185">
        <v>1926</v>
      </c>
      <c r="F195" s="186">
        <v>0.206868</v>
      </c>
      <c r="G195" s="187">
        <v>6.5720299999999995E-2</v>
      </c>
      <c r="H195" s="177">
        <f>IFERROR(AVERAGEIFS($F:$F, $A:$A, $A195, $B:$B,$B195, $C:$C,$C195),"")</f>
        <v>0.32503816666666663</v>
      </c>
      <c r="I195" s="178">
        <f>IFERROR(AVERAGEIFS($G:$G, $A:$A, $A195, $B:$B,$B195, $C:$C,$C195),"")</f>
        <v>7.8212433333333331E-2</v>
      </c>
      <c r="J195" s="172" t="str">
        <f t="shared" si="4"/>
        <v>Yes</v>
      </c>
      <c r="K195" s="173" t="str">
        <f t="shared" si="5"/>
        <v>Yes</v>
      </c>
    </row>
    <row r="196" spans="1:11" x14ac:dyDescent="0.3">
      <c r="A196" s="182" t="s">
        <v>108</v>
      </c>
      <c r="B196" s="281" t="s">
        <v>177</v>
      </c>
      <c r="C196" s="183">
        <v>46237</v>
      </c>
      <c r="D196" s="184" t="s">
        <v>27</v>
      </c>
      <c r="E196" s="185">
        <v>2047</v>
      </c>
      <c r="F196" s="186">
        <v>0.34014499999999998</v>
      </c>
      <c r="G196" s="187">
        <v>8.1698800000000002E-2</v>
      </c>
      <c r="H196" s="177">
        <f>IFERROR(AVERAGEIFS($F:$F, $A:$A, $A196, $B:$B,$B196, $C:$C,$C196),"")</f>
        <v>0.32503816666666663</v>
      </c>
      <c r="I196" s="178">
        <f>IFERROR(AVERAGEIFS($G:$G, $A:$A, $A196, $B:$B,$B196, $C:$C,$C196),"")</f>
        <v>7.8212433333333331E-2</v>
      </c>
      <c r="J196" s="172" t="str">
        <f t="shared" si="4"/>
        <v>No</v>
      </c>
      <c r="K196" s="173" t="str">
        <f t="shared" si="5"/>
        <v>No</v>
      </c>
    </row>
    <row r="197" spans="1:11" x14ac:dyDescent="0.3">
      <c r="A197" s="182" t="s">
        <v>108</v>
      </c>
      <c r="B197" s="281" t="s">
        <v>177</v>
      </c>
      <c r="C197" s="183">
        <v>46237</v>
      </c>
      <c r="D197" s="184" t="s">
        <v>28</v>
      </c>
      <c r="E197" s="185">
        <v>1611</v>
      </c>
      <c r="F197" s="186">
        <v>0.33842299999999997</v>
      </c>
      <c r="G197" s="187">
        <v>8.0177899999999996E-2</v>
      </c>
      <c r="H197" s="177">
        <f>IFERROR(AVERAGEIFS($F:$F, $A:$A, $A197, $B:$B,$B197, $C:$C,$C197),"")</f>
        <v>0.32503816666666663</v>
      </c>
      <c r="I197" s="178">
        <f>IFERROR(AVERAGEIFS($G:$G, $A:$A, $A197, $B:$B,$B197, $C:$C,$C197),"")</f>
        <v>7.8212433333333331E-2</v>
      </c>
      <c r="J197" s="172" t="str">
        <f t="shared" si="4"/>
        <v>No</v>
      </c>
      <c r="K197" s="173" t="str">
        <f t="shared" si="5"/>
        <v>No</v>
      </c>
    </row>
    <row r="198" spans="1:11" x14ac:dyDescent="0.3">
      <c r="A198" s="182" t="s">
        <v>108</v>
      </c>
      <c r="B198" s="281" t="s">
        <v>177</v>
      </c>
      <c r="C198" s="183">
        <v>46237</v>
      </c>
      <c r="D198" s="184" t="s">
        <v>29</v>
      </c>
      <c r="E198" s="185">
        <v>2467</v>
      </c>
      <c r="F198" s="186">
        <v>0.383046</v>
      </c>
      <c r="G198" s="187">
        <v>7.6463900000000001E-2</v>
      </c>
      <c r="H198" s="177">
        <f>IFERROR(AVERAGEIFS($F:$F, $A:$A, $A198, $B:$B,$B198, $C:$C,$C198),"")</f>
        <v>0.32503816666666663</v>
      </c>
      <c r="I198" s="178">
        <f>IFERROR(AVERAGEIFS($G:$G, $A:$A, $A198, $B:$B,$B198, $C:$C,$C198),"")</f>
        <v>7.8212433333333331E-2</v>
      </c>
      <c r="J198" s="172" t="str">
        <f t="shared" si="4"/>
        <v>No</v>
      </c>
      <c r="K198" s="173" t="str">
        <f t="shared" si="5"/>
        <v>Yes</v>
      </c>
    </row>
    <row r="199" spans="1:11" x14ac:dyDescent="0.3">
      <c r="A199" s="182" t="s">
        <v>108</v>
      </c>
      <c r="B199" s="281" t="s">
        <v>177</v>
      </c>
      <c r="C199" s="183">
        <v>46237</v>
      </c>
      <c r="D199" s="184" t="s">
        <v>30</v>
      </c>
      <c r="E199" s="185">
        <v>1997</v>
      </c>
      <c r="F199" s="186">
        <v>0.41350599999999998</v>
      </c>
      <c r="G199" s="187">
        <v>8.6338499999999999E-2</v>
      </c>
      <c r="H199" s="177">
        <f>IFERROR(AVERAGEIFS($F:$F, $A:$A, $A199, $B:$B,$B199, $C:$C,$C199),"")</f>
        <v>0.32503816666666663</v>
      </c>
      <c r="I199" s="178">
        <f>IFERROR(AVERAGEIFS($G:$G, $A:$A, $A199, $B:$B,$B199, $C:$C,$C199),"")</f>
        <v>7.8212433333333331E-2</v>
      </c>
      <c r="J199" s="172" t="str">
        <f t="shared" si="4"/>
        <v>No</v>
      </c>
      <c r="K199" s="173" t="str">
        <f t="shared" si="5"/>
        <v>No</v>
      </c>
    </row>
    <row r="200" spans="1:11" x14ac:dyDescent="0.3">
      <c r="A200" s="182" t="s">
        <v>107</v>
      </c>
      <c r="B200" s="281" t="s">
        <v>117</v>
      </c>
      <c r="C200" s="183">
        <v>46237</v>
      </c>
      <c r="D200" s="184" t="s">
        <v>14</v>
      </c>
      <c r="E200" s="185">
        <v>2303</v>
      </c>
      <c r="F200" s="186">
        <v>0.18865100000000001</v>
      </c>
      <c r="G200" s="187">
        <v>5.7477100000000003E-2</v>
      </c>
      <c r="H200" s="177">
        <f>IFERROR(AVERAGEIFS($F:$F, $A:$A, $A200, $B:$B,$B200, $C:$C,$C200),"")</f>
        <v>0.37600283333333329</v>
      </c>
      <c r="I200" s="178">
        <f>IFERROR(AVERAGEIFS($G:$G, $A:$A, $A200, $B:$B,$B200, $C:$C,$C200),"")</f>
        <v>9.034650000000001E-2</v>
      </c>
    </row>
    <row r="201" spans="1:11" x14ac:dyDescent="0.3">
      <c r="A201" s="182" t="s">
        <v>107</v>
      </c>
      <c r="B201" s="281" t="s">
        <v>117</v>
      </c>
      <c r="C201" s="183">
        <v>46237</v>
      </c>
      <c r="D201" s="184" t="s">
        <v>15</v>
      </c>
      <c r="E201" s="185">
        <v>2379</v>
      </c>
      <c r="F201" s="186">
        <v>0.37706499999999998</v>
      </c>
      <c r="G201" s="187">
        <v>0.10617699999999999</v>
      </c>
      <c r="H201" s="177">
        <f>IFERROR(AVERAGEIFS($F:$F, $A:$A, $A201, $B:$B,$B201, $C:$C,$C201),"")</f>
        <v>0.37600283333333329</v>
      </c>
      <c r="I201" s="178">
        <f>IFERROR(AVERAGEIFS($G:$G, $A:$A, $A201, $B:$B,$B201, $C:$C,$C201),"")</f>
        <v>9.034650000000001E-2</v>
      </c>
    </row>
    <row r="202" spans="1:11" x14ac:dyDescent="0.3">
      <c r="A202" s="182" t="s">
        <v>107</v>
      </c>
      <c r="B202" s="281" t="s">
        <v>117</v>
      </c>
      <c r="C202" s="183">
        <v>46237</v>
      </c>
      <c r="D202" s="184" t="s">
        <v>16</v>
      </c>
      <c r="E202" s="185">
        <v>2183</v>
      </c>
      <c r="F202" s="186">
        <v>0.47255399999999997</v>
      </c>
      <c r="G202" s="187">
        <v>0.118227</v>
      </c>
      <c r="H202" s="177">
        <f>IFERROR(AVERAGEIFS($F:$F, $A:$A, $A202, $B:$B,$B202, $C:$C,$C202),"")</f>
        <v>0.37600283333333329</v>
      </c>
      <c r="I202" s="178">
        <f>IFERROR(AVERAGEIFS($G:$G, $A:$A, $A202, $B:$B,$B202, $C:$C,$C202),"")</f>
        <v>9.034650000000001E-2</v>
      </c>
    </row>
    <row r="203" spans="1:11" x14ac:dyDescent="0.3">
      <c r="A203" s="182" t="s">
        <v>107</v>
      </c>
      <c r="B203" s="281" t="s">
        <v>117</v>
      </c>
      <c r="C203" s="183">
        <v>46237</v>
      </c>
      <c r="D203" s="184" t="s">
        <v>17</v>
      </c>
      <c r="E203" s="185">
        <v>2342</v>
      </c>
      <c r="F203" s="186">
        <v>0.44384499999999999</v>
      </c>
      <c r="G203" s="187">
        <v>9.0625700000000003E-2</v>
      </c>
      <c r="H203" s="177">
        <f>IFERROR(AVERAGEIFS($F:$F, $A:$A, $A203, $B:$B,$B203, $C:$C,$C203),"")</f>
        <v>0.37600283333333329</v>
      </c>
      <c r="I203" s="178">
        <f>IFERROR(AVERAGEIFS($G:$G, $A:$A, $A203, $B:$B,$B203, $C:$C,$C203),"")</f>
        <v>9.034650000000001E-2</v>
      </c>
    </row>
    <row r="204" spans="1:11" x14ac:dyDescent="0.3">
      <c r="A204" s="182" t="s">
        <v>107</v>
      </c>
      <c r="B204" s="281" t="s">
        <v>117</v>
      </c>
      <c r="C204" s="183">
        <v>46237</v>
      </c>
      <c r="D204" s="184" t="s">
        <v>18</v>
      </c>
      <c r="E204" s="185">
        <v>2076</v>
      </c>
      <c r="F204" s="186">
        <v>0.28808499999999998</v>
      </c>
      <c r="G204" s="187">
        <v>7.16387E-2</v>
      </c>
      <c r="H204" s="177">
        <f>IFERROR(AVERAGEIFS($F:$F, $A:$A, $A204, $B:$B,$B204, $C:$C,$C204),"")</f>
        <v>0.37600283333333329</v>
      </c>
      <c r="I204" s="178">
        <f>IFERROR(AVERAGEIFS($G:$G, $A:$A, $A204, $B:$B,$B204, $C:$C,$C204),"")</f>
        <v>9.034650000000001E-2</v>
      </c>
    </row>
    <row r="205" spans="1:11" x14ac:dyDescent="0.3">
      <c r="A205" s="182" t="s">
        <v>107</v>
      </c>
      <c r="B205" s="281" t="s">
        <v>117</v>
      </c>
      <c r="C205" s="183">
        <v>46237</v>
      </c>
      <c r="D205" s="184" t="s">
        <v>19</v>
      </c>
      <c r="E205" s="185">
        <v>2133</v>
      </c>
      <c r="F205" s="186">
        <v>0.44758999999999999</v>
      </c>
      <c r="G205" s="187">
        <v>9.6034400000000006E-2</v>
      </c>
      <c r="H205" s="177">
        <f>IFERROR(AVERAGEIFS($F:$F, $A:$A, $A205, $B:$B,$B205, $C:$C,$C205),"")</f>
        <v>0.37600283333333329</v>
      </c>
      <c r="I205" s="178">
        <f>IFERROR(AVERAGEIFS($G:$G, $A:$A, $A205, $B:$B,$B205, $C:$C,$C205),"")</f>
        <v>9.034650000000001E-2</v>
      </c>
    </row>
    <row r="206" spans="1:11" x14ac:dyDescent="0.3">
      <c r="A206" s="182" t="s">
        <v>107</v>
      </c>
      <c r="B206" s="281" t="s">
        <v>117</v>
      </c>
      <c r="C206" s="183">
        <v>46237</v>
      </c>
      <c r="D206" s="184" t="s">
        <v>20</v>
      </c>
      <c r="E206" s="185">
        <v>2387</v>
      </c>
      <c r="F206" s="186">
        <v>0.48196299999999997</v>
      </c>
      <c r="G206" s="187">
        <v>0.10152</v>
      </c>
      <c r="H206" s="177">
        <f>IFERROR(AVERAGEIFS($F:$F, $A:$A, $A206, $B:$B,$B206, $C:$C,$C206),"")</f>
        <v>0.37600283333333329</v>
      </c>
      <c r="I206" s="178">
        <f>IFERROR(AVERAGEIFS($G:$G, $A:$A, $A206, $B:$B,$B206, $C:$C,$C206),"")</f>
        <v>9.034650000000001E-2</v>
      </c>
    </row>
    <row r="207" spans="1:11" x14ac:dyDescent="0.3">
      <c r="A207" s="182" t="s">
        <v>107</v>
      </c>
      <c r="B207" s="281" t="s">
        <v>117</v>
      </c>
      <c r="C207" s="183">
        <v>46237</v>
      </c>
      <c r="D207" s="184" t="s">
        <v>44</v>
      </c>
      <c r="E207" s="185">
        <v>1147</v>
      </c>
      <c r="F207" s="186">
        <v>0.29599300000000001</v>
      </c>
      <c r="G207" s="187">
        <v>8.7792800000000004E-2</v>
      </c>
      <c r="H207" s="177">
        <f>IFERROR(AVERAGEIFS($F:$F, $A:$A, $A207, $B:$B,$B207, $C:$C,$C207),"")</f>
        <v>0.37600283333333329</v>
      </c>
      <c r="I207" s="178">
        <f>IFERROR(AVERAGEIFS($G:$G, $A:$A, $A207, $B:$B,$B207, $C:$C,$C207),"")</f>
        <v>9.034650000000001E-2</v>
      </c>
    </row>
    <row r="208" spans="1:11" x14ac:dyDescent="0.3">
      <c r="A208" s="182" t="s">
        <v>107</v>
      </c>
      <c r="B208" s="281" t="s">
        <v>117</v>
      </c>
      <c r="C208" s="183">
        <v>46237</v>
      </c>
      <c r="D208" s="184" t="s">
        <v>21</v>
      </c>
      <c r="E208" s="185">
        <v>3654</v>
      </c>
      <c r="F208" s="186">
        <v>0.40145799999999998</v>
      </c>
      <c r="G208" s="187">
        <v>7.6540499999999997E-2</v>
      </c>
      <c r="H208" s="177">
        <f>IFERROR(AVERAGEIFS($F:$F, $A:$A, $A208, $B:$B,$B208, $C:$C,$C208),"")</f>
        <v>0.37600283333333329</v>
      </c>
      <c r="I208" s="178">
        <f>IFERROR(AVERAGEIFS($G:$G, $A:$A, $A208, $B:$B,$B208, $C:$C,$C208),"")</f>
        <v>9.034650000000001E-2</v>
      </c>
    </row>
    <row r="209" spans="1:9" x14ac:dyDescent="0.3">
      <c r="A209" s="182" t="s">
        <v>107</v>
      </c>
      <c r="B209" s="281" t="s">
        <v>117</v>
      </c>
      <c r="C209" s="183">
        <v>46237</v>
      </c>
      <c r="D209" s="184" t="s">
        <v>22</v>
      </c>
      <c r="E209" s="185">
        <v>2570</v>
      </c>
      <c r="F209" s="186">
        <v>0.32884799999999997</v>
      </c>
      <c r="G209" s="187">
        <v>8.3027799999999999E-2</v>
      </c>
      <c r="H209" s="177">
        <f>IFERROR(AVERAGEIFS($F:$F, $A:$A, $A209, $B:$B,$B209, $C:$C,$C209),"")</f>
        <v>0.37600283333333329</v>
      </c>
      <c r="I209" s="178">
        <f>IFERROR(AVERAGEIFS($G:$G, $A:$A, $A209, $B:$B,$B209, $C:$C,$C209),"")</f>
        <v>9.034650000000001E-2</v>
      </c>
    </row>
    <row r="210" spans="1:9" x14ac:dyDescent="0.3">
      <c r="A210" s="182" t="s">
        <v>107</v>
      </c>
      <c r="B210" s="281" t="s">
        <v>117</v>
      </c>
      <c r="C210" s="183">
        <v>46237</v>
      </c>
      <c r="D210" s="184" t="s">
        <v>23</v>
      </c>
      <c r="E210" s="185">
        <v>1090</v>
      </c>
      <c r="F210" s="186">
        <v>0.27263700000000002</v>
      </c>
      <c r="G210" s="187">
        <v>9.6549800000000005E-2</v>
      </c>
      <c r="H210" s="177">
        <f>IFERROR(AVERAGEIFS($F:$F, $A:$A, $A210, $B:$B,$B210, $C:$C,$C210),"")</f>
        <v>0.37600283333333329</v>
      </c>
      <c r="I210" s="178">
        <f>IFERROR(AVERAGEIFS($G:$G, $A:$A, $A210, $B:$B,$B210, $C:$C,$C210),"")</f>
        <v>9.034650000000001E-2</v>
      </c>
    </row>
    <row r="211" spans="1:9" x14ac:dyDescent="0.3">
      <c r="A211" s="182" t="s">
        <v>107</v>
      </c>
      <c r="B211" s="281" t="s">
        <v>117</v>
      </c>
      <c r="C211" s="183">
        <v>46237</v>
      </c>
      <c r="D211" s="184" t="s">
        <v>24</v>
      </c>
      <c r="E211" s="185">
        <v>2661</v>
      </c>
      <c r="F211" s="186">
        <v>0.389735</v>
      </c>
      <c r="G211" s="187">
        <v>0.12311800000000001</v>
      </c>
      <c r="H211" s="177">
        <f>IFERROR(AVERAGEIFS($F:$F, $A:$A, $A211, $B:$B,$B211, $C:$C,$C211),"")</f>
        <v>0.37600283333333329</v>
      </c>
      <c r="I211" s="178">
        <f>IFERROR(AVERAGEIFS($G:$G, $A:$A, $A211, $B:$B,$B211, $C:$C,$C211),"")</f>
        <v>9.034650000000001E-2</v>
      </c>
    </row>
    <row r="212" spans="1:9" x14ac:dyDescent="0.3">
      <c r="A212" s="182" t="s">
        <v>107</v>
      </c>
      <c r="B212" s="281" t="s">
        <v>117</v>
      </c>
      <c r="C212" s="183">
        <v>46237</v>
      </c>
      <c r="D212" s="184" t="s">
        <v>25</v>
      </c>
      <c r="E212" s="185">
        <v>1004</v>
      </c>
      <c r="F212" s="186">
        <v>0.179206</v>
      </c>
      <c r="G212" s="187">
        <v>4.2684399999999997E-2</v>
      </c>
      <c r="H212" s="177">
        <f>IFERROR(AVERAGEIFS($F:$F, $A:$A, $A212, $B:$B,$B212, $C:$C,$C212),"")</f>
        <v>0.37600283333333329</v>
      </c>
      <c r="I212" s="178">
        <f>IFERROR(AVERAGEIFS($G:$G, $A:$A, $A212, $B:$B,$B212, $C:$C,$C212),"")</f>
        <v>9.034650000000001E-2</v>
      </c>
    </row>
    <row r="213" spans="1:9" x14ac:dyDescent="0.3">
      <c r="A213" s="182" t="s">
        <v>107</v>
      </c>
      <c r="B213" s="281" t="s">
        <v>117</v>
      </c>
      <c r="C213" s="183">
        <v>46237</v>
      </c>
      <c r="D213" s="184" t="s">
        <v>26</v>
      </c>
      <c r="E213" s="185">
        <v>2844</v>
      </c>
      <c r="F213" s="186">
        <v>0.230881</v>
      </c>
      <c r="G213" s="187">
        <v>6.9537399999999999E-2</v>
      </c>
      <c r="H213" s="177">
        <f>IFERROR(AVERAGEIFS($F:$F, $A:$A, $A213, $B:$B,$B213, $C:$C,$C213),"")</f>
        <v>0.37600283333333329</v>
      </c>
      <c r="I213" s="178">
        <f>IFERROR(AVERAGEIFS($G:$G, $A:$A, $A213, $B:$B,$B213, $C:$C,$C213),"")</f>
        <v>9.034650000000001E-2</v>
      </c>
    </row>
    <row r="214" spans="1:9" x14ac:dyDescent="0.3">
      <c r="A214" s="182" t="s">
        <v>107</v>
      </c>
      <c r="B214" s="281" t="s">
        <v>117</v>
      </c>
      <c r="C214" s="183">
        <v>46237</v>
      </c>
      <c r="D214" s="184" t="s">
        <v>27</v>
      </c>
      <c r="E214" s="185">
        <v>2740</v>
      </c>
      <c r="F214" s="186">
        <v>0.37662899999999999</v>
      </c>
      <c r="G214" s="187">
        <v>8.2053500000000001E-2</v>
      </c>
      <c r="H214" s="177">
        <f>IFERROR(AVERAGEIFS($F:$F, $A:$A, $A214, $B:$B,$B214, $C:$C,$C214),"")</f>
        <v>0.37600283333333329</v>
      </c>
      <c r="I214" s="178">
        <f>IFERROR(AVERAGEIFS($G:$G, $A:$A, $A214, $B:$B,$B214, $C:$C,$C214),"")</f>
        <v>9.034650000000001E-2</v>
      </c>
    </row>
    <row r="215" spans="1:9" x14ac:dyDescent="0.3">
      <c r="A215" s="182" t="s">
        <v>107</v>
      </c>
      <c r="B215" s="281" t="s">
        <v>117</v>
      </c>
      <c r="C215" s="183">
        <v>46237</v>
      </c>
      <c r="D215" s="184" t="s">
        <v>28</v>
      </c>
      <c r="E215" s="185">
        <v>1675</v>
      </c>
      <c r="F215" s="186">
        <v>0.451706</v>
      </c>
      <c r="G215" s="187">
        <v>9.5755999999999994E-2</v>
      </c>
      <c r="H215" s="177">
        <f>IFERROR(AVERAGEIFS($F:$F, $A:$A, $A215, $B:$B,$B215, $C:$C,$C215),"")</f>
        <v>0.37600283333333329</v>
      </c>
      <c r="I215" s="178">
        <f>IFERROR(AVERAGEIFS($G:$G, $A:$A, $A215, $B:$B,$B215, $C:$C,$C215),"")</f>
        <v>9.034650000000001E-2</v>
      </c>
    </row>
    <row r="216" spans="1:9" x14ac:dyDescent="0.3">
      <c r="A216" s="182" t="s">
        <v>107</v>
      </c>
      <c r="B216" s="281" t="s">
        <v>117</v>
      </c>
      <c r="C216" s="183">
        <v>46237</v>
      </c>
      <c r="D216" s="184" t="s">
        <v>29</v>
      </c>
      <c r="E216" s="185">
        <v>1654</v>
      </c>
      <c r="F216" s="186">
        <v>0.34387499999999999</v>
      </c>
      <c r="G216" s="187">
        <v>7.5786900000000004E-2</v>
      </c>
      <c r="H216" s="177">
        <f>IFERROR(AVERAGEIFS($F:$F, $A:$A, $A216, $B:$B,$B216, $C:$C,$C216),"")</f>
        <v>0.37600283333333329</v>
      </c>
      <c r="I216" s="178">
        <f>IFERROR(AVERAGEIFS($G:$G, $A:$A, $A216, $B:$B,$B216, $C:$C,$C216),"")</f>
        <v>9.034650000000001E-2</v>
      </c>
    </row>
    <row r="217" spans="1:9" x14ac:dyDescent="0.3">
      <c r="A217" s="182" t="s">
        <v>107</v>
      </c>
      <c r="B217" s="281" t="s">
        <v>117</v>
      </c>
      <c r="C217" s="183">
        <v>46237</v>
      </c>
      <c r="D217" s="184" t="s">
        <v>30</v>
      </c>
      <c r="E217" s="185">
        <v>1257</v>
      </c>
      <c r="F217" s="186">
        <v>0.79732999999999998</v>
      </c>
      <c r="G217" s="187">
        <v>0.15168999999999999</v>
      </c>
      <c r="H217" s="177">
        <f>IFERROR(AVERAGEIFS($F:$F, $A:$A, $A217, $B:$B,$B217, $C:$C,$C217),"")</f>
        <v>0.37600283333333329</v>
      </c>
      <c r="I217" s="178">
        <f>IFERROR(AVERAGEIFS($G:$G, $A:$A, $A217, $B:$B,$B217, $C:$C,$C217),"")</f>
        <v>9.034650000000001E-2</v>
      </c>
    </row>
    <row r="218" spans="1:9" x14ac:dyDescent="0.3">
      <c r="A218" s="182" t="s">
        <v>107</v>
      </c>
      <c r="B218" s="281" t="s">
        <v>117</v>
      </c>
      <c r="C218" s="183">
        <v>46238</v>
      </c>
      <c r="D218" s="184" t="s">
        <v>14</v>
      </c>
      <c r="E218" s="185">
        <v>2658</v>
      </c>
      <c r="F218" s="186">
        <v>0.44472400000000001</v>
      </c>
      <c r="G218" s="187">
        <v>0.12504399999999999</v>
      </c>
      <c r="H218" s="177">
        <f>IFERROR(AVERAGEIFS($F:$F, $A:$A, $A218, $B:$B,$B218, $C:$C,$C218),"")</f>
        <v>0.40401527777777774</v>
      </c>
      <c r="I218" s="178">
        <f>IFERROR(AVERAGEIFS($G:$G, $A:$A, $A218, $B:$B,$B218, $C:$C,$C218),"")</f>
        <v>9.6629455555555549E-2</v>
      </c>
    </row>
    <row r="219" spans="1:9" x14ac:dyDescent="0.3">
      <c r="A219" s="182" t="s">
        <v>107</v>
      </c>
      <c r="B219" s="281" t="s">
        <v>117</v>
      </c>
      <c r="C219" s="183">
        <v>46238</v>
      </c>
      <c r="D219" s="184" t="s">
        <v>15</v>
      </c>
      <c r="E219" s="185">
        <v>2455</v>
      </c>
      <c r="F219" s="186">
        <v>0.42122500000000002</v>
      </c>
      <c r="G219" s="187">
        <v>0.110958</v>
      </c>
      <c r="H219" s="177">
        <f>IFERROR(AVERAGEIFS($F:$F, $A:$A, $A219, $B:$B,$B219, $C:$C,$C219),"")</f>
        <v>0.40401527777777774</v>
      </c>
      <c r="I219" s="178">
        <f>IFERROR(AVERAGEIFS($G:$G, $A:$A, $A219, $B:$B,$B219, $C:$C,$C219),"")</f>
        <v>9.6629455555555549E-2</v>
      </c>
    </row>
    <row r="220" spans="1:9" x14ac:dyDescent="0.3">
      <c r="A220" s="182" t="s">
        <v>107</v>
      </c>
      <c r="B220" s="281" t="s">
        <v>117</v>
      </c>
      <c r="C220" s="183">
        <v>46238</v>
      </c>
      <c r="D220" s="184" t="s">
        <v>16</v>
      </c>
      <c r="E220" s="185">
        <v>1886</v>
      </c>
      <c r="F220" s="186">
        <v>0.52118500000000001</v>
      </c>
      <c r="G220" s="187">
        <v>0.122268</v>
      </c>
      <c r="H220" s="177">
        <f>IFERROR(AVERAGEIFS($F:$F, $A:$A, $A220, $B:$B,$B220, $C:$C,$C220),"")</f>
        <v>0.40401527777777774</v>
      </c>
      <c r="I220" s="178">
        <f>IFERROR(AVERAGEIFS($G:$G, $A:$A, $A220, $B:$B,$B220, $C:$C,$C220),"")</f>
        <v>9.6629455555555549E-2</v>
      </c>
    </row>
    <row r="221" spans="1:9" x14ac:dyDescent="0.3">
      <c r="A221" s="182" t="s">
        <v>107</v>
      </c>
      <c r="B221" s="281" t="s">
        <v>117</v>
      </c>
      <c r="C221" s="183">
        <v>46238</v>
      </c>
      <c r="D221" s="184" t="s">
        <v>17</v>
      </c>
      <c r="E221" s="185">
        <v>2407</v>
      </c>
      <c r="F221" s="186">
        <v>0.57407399999999997</v>
      </c>
      <c r="G221" s="187">
        <v>0.113594</v>
      </c>
      <c r="H221" s="177">
        <f>IFERROR(AVERAGEIFS($F:$F, $A:$A, $A221, $B:$B,$B221, $C:$C,$C221),"")</f>
        <v>0.40401527777777774</v>
      </c>
      <c r="I221" s="178">
        <f>IFERROR(AVERAGEIFS($G:$G, $A:$A, $A221, $B:$B,$B221, $C:$C,$C221),"")</f>
        <v>9.6629455555555549E-2</v>
      </c>
    </row>
    <row r="222" spans="1:9" x14ac:dyDescent="0.3">
      <c r="A222" s="182" t="s">
        <v>107</v>
      </c>
      <c r="B222" s="281" t="s">
        <v>117</v>
      </c>
      <c r="C222" s="183">
        <v>46238</v>
      </c>
      <c r="D222" s="184" t="s">
        <v>18</v>
      </c>
      <c r="E222" s="185">
        <v>2194</v>
      </c>
      <c r="F222" s="186">
        <v>0.301788</v>
      </c>
      <c r="G222" s="187">
        <v>7.17666E-2</v>
      </c>
      <c r="H222" s="177">
        <f>IFERROR(AVERAGEIFS($F:$F, $A:$A, $A222, $B:$B,$B222, $C:$C,$C222),"")</f>
        <v>0.40401527777777774</v>
      </c>
      <c r="I222" s="178">
        <f>IFERROR(AVERAGEIFS($G:$G, $A:$A, $A222, $B:$B,$B222, $C:$C,$C222),"")</f>
        <v>9.6629455555555549E-2</v>
      </c>
    </row>
    <row r="223" spans="1:9" x14ac:dyDescent="0.3">
      <c r="A223" s="182" t="s">
        <v>107</v>
      </c>
      <c r="B223" s="281" t="s">
        <v>117</v>
      </c>
      <c r="C223" s="183">
        <v>46238</v>
      </c>
      <c r="D223" s="184" t="s">
        <v>19</v>
      </c>
      <c r="E223" s="185">
        <v>2273</v>
      </c>
      <c r="F223" s="186">
        <v>0.49380499999999999</v>
      </c>
      <c r="G223" s="187">
        <v>0.103851</v>
      </c>
      <c r="H223" s="177">
        <f>IFERROR(AVERAGEIFS($F:$F, $A:$A, $A223, $B:$B,$B223, $C:$C,$C223),"")</f>
        <v>0.40401527777777774</v>
      </c>
      <c r="I223" s="178">
        <f>IFERROR(AVERAGEIFS($G:$G, $A:$A, $A223, $B:$B,$B223, $C:$C,$C223),"")</f>
        <v>9.6629455555555549E-2</v>
      </c>
    </row>
    <row r="224" spans="1:9" x14ac:dyDescent="0.3">
      <c r="A224" s="182" t="s">
        <v>107</v>
      </c>
      <c r="B224" s="281" t="s">
        <v>117</v>
      </c>
      <c r="C224" s="183">
        <v>46238</v>
      </c>
      <c r="D224" s="184" t="s">
        <v>20</v>
      </c>
      <c r="E224" s="185">
        <v>2556</v>
      </c>
      <c r="F224" s="186">
        <v>0.50172899999999998</v>
      </c>
      <c r="G224" s="187">
        <v>0.10496</v>
      </c>
      <c r="H224" s="177">
        <f>IFERROR(AVERAGEIFS($F:$F, $A:$A, $A224, $B:$B,$B224, $C:$C,$C224),"")</f>
        <v>0.40401527777777774</v>
      </c>
      <c r="I224" s="178">
        <f>IFERROR(AVERAGEIFS($G:$G, $A:$A, $A224, $B:$B,$B224, $C:$C,$C224),"")</f>
        <v>9.6629455555555549E-2</v>
      </c>
    </row>
    <row r="225" spans="1:9" x14ac:dyDescent="0.3">
      <c r="A225" s="182" t="s">
        <v>107</v>
      </c>
      <c r="B225" s="281" t="s">
        <v>117</v>
      </c>
      <c r="C225" s="183">
        <v>46238</v>
      </c>
      <c r="D225" s="184" t="s">
        <v>44</v>
      </c>
      <c r="E225" s="185">
        <v>1061</v>
      </c>
      <c r="F225" s="186">
        <v>0.28934799999999999</v>
      </c>
      <c r="G225" s="187">
        <v>8.7746599999999994E-2</v>
      </c>
      <c r="H225" s="177">
        <f>IFERROR(AVERAGEIFS($F:$F, $A:$A, $A225, $B:$B,$B225, $C:$C,$C225),"")</f>
        <v>0.40401527777777774</v>
      </c>
      <c r="I225" s="178">
        <f>IFERROR(AVERAGEIFS($G:$G, $A:$A, $A225, $B:$B,$B225, $C:$C,$C225),"")</f>
        <v>9.6629455555555549E-2</v>
      </c>
    </row>
    <row r="226" spans="1:9" x14ac:dyDescent="0.3">
      <c r="A226" s="182" t="s">
        <v>107</v>
      </c>
      <c r="B226" s="281" t="s">
        <v>117</v>
      </c>
      <c r="C226" s="183">
        <v>46238</v>
      </c>
      <c r="D226" s="184" t="s">
        <v>21</v>
      </c>
      <c r="E226" s="185">
        <v>3274</v>
      </c>
      <c r="F226" s="186">
        <v>0.51152799999999998</v>
      </c>
      <c r="G226" s="187">
        <v>9.9526400000000001E-2</v>
      </c>
      <c r="H226" s="177">
        <f>IFERROR(AVERAGEIFS($F:$F, $A:$A, $A226, $B:$B,$B226, $C:$C,$C226),"")</f>
        <v>0.40401527777777774</v>
      </c>
      <c r="I226" s="178">
        <f>IFERROR(AVERAGEIFS($G:$G, $A:$A, $A226, $B:$B,$B226, $C:$C,$C226),"")</f>
        <v>9.6629455555555549E-2</v>
      </c>
    </row>
    <row r="227" spans="1:9" x14ac:dyDescent="0.3">
      <c r="A227" s="182" t="s">
        <v>107</v>
      </c>
      <c r="B227" s="281" t="s">
        <v>117</v>
      </c>
      <c r="C227" s="183">
        <v>46238</v>
      </c>
      <c r="D227" s="184" t="s">
        <v>22</v>
      </c>
      <c r="E227" s="185">
        <v>2571</v>
      </c>
      <c r="F227" s="186">
        <v>0.39043499999999998</v>
      </c>
      <c r="G227" s="187">
        <v>0.106061</v>
      </c>
      <c r="H227" s="177">
        <f>IFERROR(AVERAGEIFS($F:$F, $A:$A, $A227, $B:$B,$B227, $C:$C,$C227),"")</f>
        <v>0.40401527777777774</v>
      </c>
      <c r="I227" s="178">
        <f>IFERROR(AVERAGEIFS($G:$G, $A:$A, $A227, $B:$B,$B227, $C:$C,$C227),"")</f>
        <v>9.6629455555555549E-2</v>
      </c>
    </row>
    <row r="228" spans="1:9" x14ac:dyDescent="0.3">
      <c r="A228" s="182" t="s">
        <v>107</v>
      </c>
      <c r="B228" s="281" t="s">
        <v>117</v>
      </c>
      <c r="C228" s="183">
        <v>46238</v>
      </c>
      <c r="D228" s="184" t="s">
        <v>23</v>
      </c>
      <c r="E228" s="185">
        <v>1306</v>
      </c>
      <c r="F228" s="186">
        <v>0.38515700000000003</v>
      </c>
      <c r="G228" s="187">
        <v>0.12640199999999999</v>
      </c>
      <c r="H228" s="177">
        <f>IFERROR(AVERAGEIFS($F:$F, $A:$A, $A228, $B:$B,$B228, $C:$C,$C228),"")</f>
        <v>0.40401527777777774</v>
      </c>
      <c r="I228" s="178">
        <f>IFERROR(AVERAGEIFS($G:$G, $A:$A, $A228, $B:$B,$B228, $C:$C,$C228),"")</f>
        <v>9.6629455555555549E-2</v>
      </c>
    </row>
    <row r="229" spans="1:9" x14ac:dyDescent="0.3">
      <c r="A229" s="182" t="s">
        <v>107</v>
      </c>
      <c r="B229" s="281" t="s">
        <v>117</v>
      </c>
      <c r="C229" s="183">
        <v>46238</v>
      </c>
      <c r="D229" s="184" t="s">
        <v>24</v>
      </c>
      <c r="E229" s="185">
        <v>2861</v>
      </c>
      <c r="F229" s="186">
        <v>0.22939999999999999</v>
      </c>
      <c r="G229" s="187">
        <v>7.0670399999999994E-2</v>
      </c>
      <c r="H229" s="177">
        <f>IFERROR(AVERAGEIFS($F:$F, $A:$A, $A229, $B:$B,$B229, $C:$C,$C229),"")</f>
        <v>0.40401527777777774</v>
      </c>
      <c r="I229" s="178">
        <f>IFERROR(AVERAGEIFS($G:$G, $A:$A, $A229, $B:$B,$B229, $C:$C,$C229),"")</f>
        <v>9.6629455555555549E-2</v>
      </c>
    </row>
    <row r="230" spans="1:9" x14ac:dyDescent="0.3">
      <c r="A230" s="182" t="s">
        <v>107</v>
      </c>
      <c r="B230" s="281" t="s">
        <v>117</v>
      </c>
      <c r="C230" s="183">
        <v>46238</v>
      </c>
      <c r="D230" s="184" t="s">
        <v>25</v>
      </c>
      <c r="E230" s="185">
        <v>1006</v>
      </c>
      <c r="F230" s="186">
        <v>0.249472</v>
      </c>
      <c r="G230" s="187">
        <v>6.0045899999999999E-2</v>
      </c>
      <c r="H230" s="177">
        <f>IFERROR(AVERAGEIFS($F:$F, $A:$A, $A230, $B:$B,$B230, $C:$C,$C230),"")</f>
        <v>0.40401527777777774</v>
      </c>
      <c r="I230" s="178">
        <f>IFERROR(AVERAGEIFS($G:$G, $A:$A, $A230, $B:$B,$B230, $C:$C,$C230),"")</f>
        <v>9.6629455555555549E-2</v>
      </c>
    </row>
    <row r="231" spans="1:9" x14ac:dyDescent="0.3">
      <c r="A231" s="182" t="s">
        <v>107</v>
      </c>
      <c r="B231" s="281" t="s">
        <v>117</v>
      </c>
      <c r="C231" s="183">
        <v>46238</v>
      </c>
      <c r="D231" s="184" t="s">
        <v>26</v>
      </c>
      <c r="E231" s="185">
        <v>2699</v>
      </c>
      <c r="F231" s="186">
        <v>0.174374</v>
      </c>
      <c r="G231" s="187">
        <v>5.6044799999999999E-2</v>
      </c>
      <c r="H231" s="177">
        <f>IFERROR(AVERAGEIFS($F:$F, $A:$A, $A231, $B:$B,$B231, $C:$C,$C231),"")</f>
        <v>0.40401527777777774</v>
      </c>
      <c r="I231" s="178">
        <f>IFERROR(AVERAGEIFS($G:$G, $A:$A, $A231, $B:$B,$B231, $C:$C,$C231),"")</f>
        <v>9.6629455555555549E-2</v>
      </c>
    </row>
    <row r="232" spans="1:9" x14ac:dyDescent="0.3">
      <c r="A232" s="182" t="s">
        <v>107</v>
      </c>
      <c r="B232" s="281" t="s">
        <v>117</v>
      </c>
      <c r="C232" s="183">
        <v>46238</v>
      </c>
      <c r="D232" s="184" t="s">
        <v>27</v>
      </c>
      <c r="E232" s="185">
        <v>2638</v>
      </c>
      <c r="F232" s="186">
        <v>0.48188799999999998</v>
      </c>
      <c r="G232" s="187">
        <v>0.10938199999999999</v>
      </c>
      <c r="H232" s="177">
        <f>IFERROR(AVERAGEIFS($F:$F, $A:$A, $A232, $B:$B,$B232, $C:$C,$C232),"")</f>
        <v>0.40401527777777774</v>
      </c>
      <c r="I232" s="178">
        <f>IFERROR(AVERAGEIFS($G:$G, $A:$A, $A232, $B:$B,$B232, $C:$C,$C232),"")</f>
        <v>9.6629455555555549E-2</v>
      </c>
    </row>
    <row r="233" spans="1:9" x14ac:dyDescent="0.3">
      <c r="A233" s="182" t="s">
        <v>107</v>
      </c>
      <c r="B233" s="281" t="s">
        <v>117</v>
      </c>
      <c r="C233" s="183">
        <v>46238</v>
      </c>
      <c r="D233" s="184" t="s">
        <v>28</v>
      </c>
      <c r="E233" s="185">
        <v>1563</v>
      </c>
      <c r="F233" s="186">
        <v>0.27595399999999998</v>
      </c>
      <c r="G233" s="187">
        <v>6.1940599999999998E-2</v>
      </c>
      <c r="H233" s="177">
        <f>IFERROR(AVERAGEIFS($F:$F, $A:$A, $A233, $B:$B,$B233, $C:$C,$C233),"")</f>
        <v>0.40401527777777774</v>
      </c>
      <c r="I233" s="178">
        <f>IFERROR(AVERAGEIFS($G:$G, $A:$A, $A233, $B:$B,$B233, $C:$C,$C233),"")</f>
        <v>9.6629455555555549E-2</v>
      </c>
    </row>
    <row r="234" spans="1:9" x14ac:dyDescent="0.3">
      <c r="A234" s="182" t="s">
        <v>107</v>
      </c>
      <c r="B234" s="281" t="s">
        <v>117</v>
      </c>
      <c r="C234" s="183">
        <v>46238</v>
      </c>
      <c r="D234" s="184" t="s">
        <v>29</v>
      </c>
      <c r="E234" s="185">
        <v>1591</v>
      </c>
      <c r="F234" s="186">
        <v>0.43242900000000001</v>
      </c>
      <c r="G234" s="187">
        <v>8.9546899999999999E-2</v>
      </c>
      <c r="H234" s="177">
        <f>IFERROR(AVERAGEIFS($F:$F, $A:$A, $A234, $B:$B,$B234, $C:$C,$C234),"")</f>
        <v>0.40401527777777774</v>
      </c>
      <c r="I234" s="178">
        <f>IFERROR(AVERAGEIFS($G:$G, $A:$A, $A234, $B:$B,$B234, $C:$C,$C234),"")</f>
        <v>9.6629455555555549E-2</v>
      </c>
    </row>
    <row r="235" spans="1:9" x14ac:dyDescent="0.3">
      <c r="A235" s="182" t="s">
        <v>107</v>
      </c>
      <c r="B235" s="281" t="s">
        <v>117</v>
      </c>
      <c r="C235" s="183">
        <v>46238</v>
      </c>
      <c r="D235" s="184" t="s">
        <v>30</v>
      </c>
      <c r="E235" s="185">
        <v>1604</v>
      </c>
      <c r="F235" s="186">
        <v>0.59375999999999995</v>
      </c>
      <c r="G235" s="187">
        <v>0.119522</v>
      </c>
      <c r="H235" s="177">
        <f>IFERROR(AVERAGEIFS($F:$F, $A:$A, $A235, $B:$B,$B235, $C:$C,$C235),"")</f>
        <v>0.40401527777777774</v>
      </c>
      <c r="I235" s="178">
        <f>IFERROR(AVERAGEIFS($G:$G, $A:$A, $A235, $B:$B,$B235, $C:$C,$C235),"")</f>
        <v>9.6629455555555549E-2</v>
      </c>
    </row>
    <row r="236" spans="1:9" x14ac:dyDescent="0.3">
      <c r="A236" s="182" t="s">
        <v>107</v>
      </c>
      <c r="B236" s="281" t="s">
        <v>117</v>
      </c>
      <c r="C236" s="183">
        <v>46239</v>
      </c>
      <c r="D236" s="188" t="s">
        <v>14</v>
      </c>
      <c r="E236" s="189">
        <v>2808</v>
      </c>
      <c r="F236" s="190">
        <v>0.40617799999999998</v>
      </c>
      <c r="G236" s="191">
        <v>0.114288</v>
      </c>
      <c r="H236" s="177">
        <f>IFERROR(AVERAGEIFS($F:$F, $A:$A, $A236, $B:$B,$B236, $C:$C,$C236),"")</f>
        <v>0.37193638888888891</v>
      </c>
      <c r="I236" s="178">
        <f>IFERROR(AVERAGEIFS($G:$G, $A:$A, $A236, $B:$B,$B236, $C:$C,$C236),"")</f>
        <v>8.8825327777777782E-2</v>
      </c>
    </row>
    <row r="237" spans="1:9" x14ac:dyDescent="0.3">
      <c r="A237" s="182" t="s">
        <v>107</v>
      </c>
      <c r="B237" s="281" t="s">
        <v>117</v>
      </c>
      <c r="C237" s="183">
        <v>46239</v>
      </c>
      <c r="D237" s="188" t="s">
        <v>15</v>
      </c>
      <c r="E237" s="189">
        <v>2452</v>
      </c>
      <c r="F237" s="190">
        <v>0.42817899999999998</v>
      </c>
      <c r="G237" s="191">
        <v>0.11280999999999999</v>
      </c>
      <c r="H237" s="177">
        <f>IFERROR(AVERAGEIFS($F:$F, $A:$A, $A237, $B:$B,$B237, $C:$C,$C237),"")</f>
        <v>0.37193638888888891</v>
      </c>
      <c r="I237" s="178">
        <f>IFERROR(AVERAGEIFS($G:$G, $A:$A, $A237, $B:$B,$B237, $C:$C,$C237),"")</f>
        <v>8.8825327777777782E-2</v>
      </c>
    </row>
    <row r="238" spans="1:9" x14ac:dyDescent="0.3">
      <c r="A238" s="182" t="s">
        <v>107</v>
      </c>
      <c r="B238" s="281" t="s">
        <v>117</v>
      </c>
      <c r="C238" s="183">
        <v>46239</v>
      </c>
      <c r="D238" s="188" t="s">
        <v>16</v>
      </c>
      <c r="E238" s="189">
        <v>1825</v>
      </c>
      <c r="F238" s="190">
        <v>0.48584699999999997</v>
      </c>
      <c r="G238" s="191">
        <v>0.114023</v>
      </c>
      <c r="H238" s="177">
        <f>IFERROR(AVERAGEIFS($F:$F, $A:$A, $A238, $B:$B,$B238, $C:$C,$C238),"")</f>
        <v>0.37193638888888891</v>
      </c>
      <c r="I238" s="178">
        <f>IFERROR(AVERAGEIFS($G:$G, $A:$A, $A238, $B:$B,$B238, $C:$C,$C238),"")</f>
        <v>8.8825327777777782E-2</v>
      </c>
    </row>
    <row r="239" spans="1:9" x14ac:dyDescent="0.3">
      <c r="A239" s="182" t="s">
        <v>107</v>
      </c>
      <c r="B239" s="281" t="s">
        <v>117</v>
      </c>
      <c r="C239" s="183">
        <v>46239</v>
      </c>
      <c r="D239" s="188" t="s">
        <v>17</v>
      </c>
      <c r="E239" s="189">
        <v>2023</v>
      </c>
      <c r="F239" s="190">
        <v>0.58760599999999996</v>
      </c>
      <c r="G239" s="191">
        <v>0.11620800000000001</v>
      </c>
      <c r="H239" s="177">
        <f>IFERROR(AVERAGEIFS($F:$F, $A:$A, $A239, $B:$B,$B239, $C:$C,$C239),"")</f>
        <v>0.37193638888888891</v>
      </c>
      <c r="I239" s="178">
        <f>IFERROR(AVERAGEIFS($G:$G, $A:$A, $A239, $B:$B,$B239, $C:$C,$C239),"")</f>
        <v>8.8825327777777782E-2</v>
      </c>
    </row>
    <row r="240" spans="1:9" x14ac:dyDescent="0.3">
      <c r="A240" s="182" t="s">
        <v>107</v>
      </c>
      <c r="B240" s="281" t="s">
        <v>117</v>
      </c>
      <c r="C240" s="183">
        <v>46239</v>
      </c>
      <c r="D240" s="188" t="s">
        <v>18</v>
      </c>
      <c r="E240" s="189">
        <v>2020</v>
      </c>
      <c r="F240" s="190">
        <v>0.26507900000000001</v>
      </c>
      <c r="G240" s="191">
        <v>6.3077099999999997E-2</v>
      </c>
      <c r="H240" s="177">
        <f>IFERROR(AVERAGEIFS($F:$F, $A:$A, $A240, $B:$B,$B240, $C:$C,$C240),"")</f>
        <v>0.37193638888888891</v>
      </c>
      <c r="I240" s="178">
        <f>IFERROR(AVERAGEIFS($G:$G, $A:$A, $A240, $B:$B,$B240, $C:$C,$C240),"")</f>
        <v>8.8825327777777782E-2</v>
      </c>
    </row>
    <row r="241" spans="1:9" x14ac:dyDescent="0.3">
      <c r="A241" s="182" t="s">
        <v>107</v>
      </c>
      <c r="B241" s="281" t="s">
        <v>117</v>
      </c>
      <c r="C241" s="183">
        <v>46239</v>
      </c>
      <c r="D241" s="188" t="s">
        <v>19</v>
      </c>
      <c r="E241" s="189">
        <v>2016</v>
      </c>
      <c r="F241" s="190">
        <v>0.46160000000000001</v>
      </c>
      <c r="G241" s="191">
        <v>9.7109000000000001E-2</v>
      </c>
      <c r="H241" s="177">
        <f>IFERROR(AVERAGEIFS($F:$F, $A:$A, $A241, $B:$B,$B241, $C:$C,$C241),"")</f>
        <v>0.37193638888888891</v>
      </c>
      <c r="I241" s="178">
        <f>IFERROR(AVERAGEIFS($G:$G, $A:$A, $A241, $B:$B,$B241, $C:$C,$C241),"")</f>
        <v>8.8825327777777782E-2</v>
      </c>
    </row>
    <row r="242" spans="1:9" x14ac:dyDescent="0.3">
      <c r="A242" s="182" t="s">
        <v>107</v>
      </c>
      <c r="B242" s="281" t="s">
        <v>117</v>
      </c>
      <c r="C242" s="183">
        <v>46239</v>
      </c>
      <c r="D242" s="188" t="s">
        <v>20</v>
      </c>
      <c r="E242" s="189">
        <v>2117</v>
      </c>
      <c r="F242" s="190">
        <v>0.45994200000000002</v>
      </c>
      <c r="G242" s="191">
        <v>9.6224199999999996E-2</v>
      </c>
      <c r="H242" s="177">
        <f>IFERROR(AVERAGEIFS($F:$F, $A:$A, $A242, $B:$B,$B242, $C:$C,$C242),"")</f>
        <v>0.37193638888888891</v>
      </c>
      <c r="I242" s="178">
        <f>IFERROR(AVERAGEIFS($G:$G, $A:$A, $A242, $B:$B,$B242, $C:$C,$C242),"")</f>
        <v>8.8825327777777782E-2</v>
      </c>
    </row>
    <row r="243" spans="1:9" x14ac:dyDescent="0.3">
      <c r="A243" s="182" t="s">
        <v>107</v>
      </c>
      <c r="B243" s="281" t="s">
        <v>117</v>
      </c>
      <c r="C243" s="183">
        <v>46239</v>
      </c>
      <c r="D243" s="188" t="s">
        <v>44</v>
      </c>
      <c r="E243" s="189">
        <v>1003</v>
      </c>
      <c r="F243" s="190">
        <v>0.19050800000000001</v>
      </c>
      <c r="G243" s="191">
        <v>5.7725699999999998E-2</v>
      </c>
      <c r="H243" s="177">
        <f>IFERROR(AVERAGEIFS($F:$F, $A:$A, $A243, $B:$B,$B243, $C:$C,$C243),"")</f>
        <v>0.37193638888888891</v>
      </c>
      <c r="I243" s="178">
        <f>IFERROR(AVERAGEIFS($G:$G, $A:$A, $A243, $B:$B,$B243, $C:$C,$C243),"")</f>
        <v>8.8825327777777782E-2</v>
      </c>
    </row>
    <row r="244" spans="1:9" x14ac:dyDescent="0.3">
      <c r="A244" s="182" t="s">
        <v>107</v>
      </c>
      <c r="B244" s="281" t="s">
        <v>117</v>
      </c>
      <c r="C244" s="183">
        <v>46239</v>
      </c>
      <c r="D244" s="188" t="s">
        <v>21</v>
      </c>
      <c r="E244" s="189">
        <v>3247</v>
      </c>
      <c r="F244" s="190">
        <v>0.40866400000000003</v>
      </c>
      <c r="G244" s="191">
        <v>7.9509399999999994E-2</v>
      </c>
      <c r="H244" s="177">
        <f>IFERROR(AVERAGEIFS($F:$F, $A:$A, $A244, $B:$B,$B244, $C:$C,$C244),"")</f>
        <v>0.37193638888888891</v>
      </c>
      <c r="I244" s="178">
        <f>IFERROR(AVERAGEIFS($G:$G, $A:$A, $A244, $B:$B,$B244, $C:$C,$C244),"")</f>
        <v>8.8825327777777782E-2</v>
      </c>
    </row>
    <row r="245" spans="1:9" x14ac:dyDescent="0.3">
      <c r="A245" s="182" t="s">
        <v>107</v>
      </c>
      <c r="B245" s="281" t="s">
        <v>117</v>
      </c>
      <c r="C245" s="183">
        <v>46239</v>
      </c>
      <c r="D245" s="188" t="s">
        <v>22</v>
      </c>
      <c r="E245" s="189">
        <v>2199</v>
      </c>
      <c r="F245" s="190">
        <v>0.37973400000000002</v>
      </c>
      <c r="G245" s="191">
        <v>0.10316400000000001</v>
      </c>
      <c r="H245" s="177">
        <f>IFERROR(AVERAGEIFS($F:$F, $A:$A, $A245, $B:$B,$B245, $C:$C,$C245),"")</f>
        <v>0.37193638888888891</v>
      </c>
      <c r="I245" s="178">
        <f>IFERROR(AVERAGEIFS($G:$G, $A:$A, $A245, $B:$B,$B245, $C:$C,$C245),"")</f>
        <v>8.8825327777777782E-2</v>
      </c>
    </row>
    <row r="246" spans="1:9" x14ac:dyDescent="0.3">
      <c r="A246" s="182" t="s">
        <v>107</v>
      </c>
      <c r="B246" s="281" t="s">
        <v>117</v>
      </c>
      <c r="C246" s="183">
        <v>46239</v>
      </c>
      <c r="D246" s="188" t="s">
        <v>23</v>
      </c>
      <c r="E246" s="189">
        <v>1131</v>
      </c>
      <c r="F246" s="190">
        <v>0.31687300000000002</v>
      </c>
      <c r="G246" s="191">
        <v>0.103961</v>
      </c>
      <c r="H246" s="177">
        <f>IFERROR(AVERAGEIFS($F:$F, $A:$A, $A246, $B:$B,$B246, $C:$C,$C246),"")</f>
        <v>0.37193638888888891</v>
      </c>
      <c r="I246" s="178">
        <f>IFERROR(AVERAGEIFS($G:$G, $A:$A, $A246, $B:$B,$B246, $C:$C,$C246),"")</f>
        <v>8.8825327777777782E-2</v>
      </c>
    </row>
    <row r="247" spans="1:9" x14ac:dyDescent="0.3">
      <c r="A247" s="182" t="s">
        <v>107</v>
      </c>
      <c r="B247" s="281" t="s">
        <v>117</v>
      </c>
      <c r="C247" s="183">
        <v>46239</v>
      </c>
      <c r="D247" s="188" t="s">
        <v>24</v>
      </c>
      <c r="E247" s="189">
        <v>2875</v>
      </c>
      <c r="F247" s="190">
        <v>0.16952999999999999</v>
      </c>
      <c r="G247" s="191">
        <v>5.22023E-2</v>
      </c>
      <c r="H247" s="177">
        <f>IFERROR(AVERAGEIFS($F:$F, $A:$A, $A247, $B:$B,$B247, $C:$C,$C247),"")</f>
        <v>0.37193638888888891</v>
      </c>
      <c r="I247" s="178">
        <f>IFERROR(AVERAGEIFS($G:$G, $A:$A, $A247, $B:$B,$B247, $C:$C,$C247),"")</f>
        <v>8.8825327777777782E-2</v>
      </c>
    </row>
    <row r="248" spans="1:9" x14ac:dyDescent="0.3">
      <c r="A248" s="182" t="s">
        <v>107</v>
      </c>
      <c r="B248" s="281" t="s">
        <v>117</v>
      </c>
      <c r="C248" s="183">
        <v>46239</v>
      </c>
      <c r="D248" s="188" t="s">
        <v>25</v>
      </c>
      <c r="E248" s="189">
        <v>1068</v>
      </c>
      <c r="F248" s="190">
        <v>0.21698300000000001</v>
      </c>
      <c r="G248" s="191">
        <v>5.2189399999999997E-2</v>
      </c>
      <c r="H248" s="177">
        <f>IFERROR(AVERAGEIFS($F:$F, $A:$A, $A248, $B:$B,$B248, $C:$C,$C248),"")</f>
        <v>0.37193638888888891</v>
      </c>
      <c r="I248" s="178">
        <f>IFERROR(AVERAGEIFS($G:$G, $A:$A, $A248, $B:$B,$B248, $C:$C,$C248),"")</f>
        <v>8.8825327777777782E-2</v>
      </c>
    </row>
    <row r="249" spans="1:9" x14ac:dyDescent="0.3">
      <c r="A249" s="182" t="s">
        <v>107</v>
      </c>
      <c r="B249" s="281" t="s">
        <v>117</v>
      </c>
      <c r="C249" s="183">
        <v>46239</v>
      </c>
      <c r="D249" s="188" t="s">
        <v>26</v>
      </c>
      <c r="E249" s="189">
        <v>2305</v>
      </c>
      <c r="F249" s="190">
        <v>0.23683999999999999</v>
      </c>
      <c r="G249" s="191">
        <v>7.6153299999999993E-2</v>
      </c>
      <c r="H249" s="177">
        <f>IFERROR(AVERAGEIFS($F:$F, $A:$A, $A249, $B:$B,$B249, $C:$C,$C249),"")</f>
        <v>0.37193638888888891</v>
      </c>
      <c r="I249" s="178">
        <f>IFERROR(AVERAGEIFS($G:$G, $A:$A, $A249, $B:$B,$B249, $C:$C,$C249),"")</f>
        <v>8.8825327777777782E-2</v>
      </c>
    </row>
    <row r="250" spans="1:9" x14ac:dyDescent="0.3">
      <c r="A250" s="182" t="s">
        <v>107</v>
      </c>
      <c r="B250" s="281" t="s">
        <v>117</v>
      </c>
      <c r="C250" s="183">
        <v>46239</v>
      </c>
      <c r="D250" s="188" t="s">
        <v>27</v>
      </c>
      <c r="E250" s="189">
        <v>2082</v>
      </c>
      <c r="F250" s="190">
        <v>0.36638300000000001</v>
      </c>
      <c r="G250" s="191">
        <v>8.3133600000000002E-2</v>
      </c>
      <c r="H250" s="177">
        <f>IFERROR(AVERAGEIFS($F:$F, $A:$A, $A250, $B:$B,$B250, $C:$C,$C250),"")</f>
        <v>0.37193638888888891</v>
      </c>
      <c r="I250" s="178">
        <f>IFERROR(AVERAGEIFS($G:$G, $A:$A, $A250, $B:$B,$B250, $C:$C,$C250),"")</f>
        <v>8.8825327777777782E-2</v>
      </c>
    </row>
    <row r="251" spans="1:9" x14ac:dyDescent="0.3">
      <c r="A251" s="182" t="s">
        <v>107</v>
      </c>
      <c r="B251" s="281" t="s">
        <v>117</v>
      </c>
      <c r="C251" s="183">
        <v>46239</v>
      </c>
      <c r="D251" s="188" t="s">
        <v>28</v>
      </c>
      <c r="E251" s="189">
        <v>1186</v>
      </c>
      <c r="F251" s="190">
        <v>0.45028400000000002</v>
      </c>
      <c r="G251" s="191">
        <v>0.101206</v>
      </c>
      <c r="H251" s="177">
        <f>IFERROR(AVERAGEIFS($F:$F, $A:$A, $A251, $B:$B,$B251, $C:$C,$C251),"")</f>
        <v>0.37193638888888891</v>
      </c>
      <c r="I251" s="178">
        <f>IFERROR(AVERAGEIFS($G:$G, $A:$A, $A251, $B:$B,$B251, $C:$C,$C251),"")</f>
        <v>8.8825327777777782E-2</v>
      </c>
    </row>
    <row r="252" spans="1:9" x14ac:dyDescent="0.3">
      <c r="A252" s="182" t="s">
        <v>107</v>
      </c>
      <c r="B252" s="281" t="s">
        <v>117</v>
      </c>
      <c r="C252" s="183">
        <v>46239</v>
      </c>
      <c r="D252" s="188" t="s">
        <v>29</v>
      </c>
      <c r="E252" s="189">
        <v>1775</v>
      </c>
      <c r="F252" s="190">
        <v>0.33224999999999999</v>
      </c>
      <c r="G252" s="191">
        <v>6.8822900000000006E-2</v>
      </c>
      <c r="H252" s="177">
        <f>IFERROR(AVERAGEIFS($F:$F, $A:$A, $A252, $B:$B,$B252, $C:$C,$C252),"")</f>
        <v>0.37193638888888891</v>
      </c>
      <c r="I252" s="178">
        <f>IFERROR(AVERAGEIFS($G:$G, $A:$A, $A252, $B:$B,$B252, $C:$C,$C252),"")</f>
        <v>8.8825327777777782E-2</v>
      </c>
    </row>
    <row r="253" spans="1:9" x14ac:dyDescent="0.3">
      <c r="A253" s="182" t="s">
        <v>107</v>
      </c>
      <c r="B253" s="281" t="s">
        <v>117</v>
      </c>
      <c r="C253" s="183">
        <v>46239</v>
      </c>
      <c r="D253" s="188" t="s">
        <v>30</v>
      </c>
      <c r="E253" s="189">
        <v>1426</v>
      </c>
      <c r="F253" s="190">
        <v>0.53237500000000004</v>
      </c>
      <c r="G253" s="191">
        <v>0.10704900000000001</v>
      </c>
      <c r="H253" s="177">
        <f>IFERROR(AVERAGEIFS($F:$F, $A:$A, $A253, $B:$B,$B253, $C:$C,$C253),"")</f>
        <v>0.37193638888888891</v>
      </c>
      <c r="I253" s="178">
        <f>IFERROR(AVERAGEIFS($G:$G, $A:$A, $A253, $B:$B,$B253, $C:$C,$C253),"")</f>
        <v>8.8825327777777782E-2</v>
      </c>
    </row>
    <row r="254" spans="1:9" x14ac:dyDescent="0.3">
      <c r="A254" s="182" t="s">
        <v>107</v>
      </c>
      <c r="B254" s="281" t="s">
        <v>117</v>
      </c>
      <c r="C254" s="183">
        <v>46240</v>
      </c>
      <c r="D254" s="188" t="s">
        <v>14</v>
      </c>
      <c r="E254" s="189">
        <v>3135</v>
      </c>
      <c r="F254" s="190">
        <v>0.38012600000000002</v>
      </c>
      <c r="G254" s="191">
        <v>0.10691000000000001</v>
      </c>
      <c r="H254" s="177">
        <f>IFERROR(AVERAGEIFS($F:$F, $A:$A, $A254, $B:$B,$B254, $C:$C,$C254),"")</f>
        <v>0.37121238888888891</v>
      </c>
      <c r="I254" s="178">
        <f>IFERROR(AVERAGEIFS($G:$G, $A:$A, $A254, $B:$B,$B254, $C:$C,$C254),"")</f>
        <v>8.8747716666666671E-2</v>
      </c>
    </row>
    <row r="255" spans="1:9" x14ac:dyDescent="0.3">
      <c r="A255" s="182" t="s">
        <v>107</v>
      </c>
      <c r="B255" s="281" t="s">
        <v>117</v>
      </c>
      <c r="C255" s="183">
        <v>46240</v>
      </c>
      <c r="D255" s="188" t="s">
        <v>15</v>
      </c>
      <c r="E255" s="189">
        <v>2636</v>
      </c>
      <c r="F255" s="190">
        <v>0.39143699999999998</v>
      </c>
      <c r="G255" s="191">
        <v>0.10311099999999999</v>
      </c>
      <c r="H255" s="177">
        <f>IFERROR(AVERAGEIFS($F:$F, $A:$A, $A255, $B:$B,$B255, $C:$C,$C255),"")</f>
        <v>0.37121238888888891</v>
      </c>
      <c r="I255" s="178">
        <f>IFERROR(AVERAGEIFS($G:$G, $A:$A, $A255, $B:$B,$B255, $C:$C,$C255),"")</f>
        <v>8.8747716666666671E-2</v>
      </c>
    </row>
    <row r="256" spans="1:9" x14ac:dyDescent="0.3">
      <c r="A256" s="182" t="s">
        <v>107</v>
      </c>
      <c r="B256" s="281" t="s">
        <v>117</v>
      </c>
      <c r="C256" s="183">
        <v>46240</v>
      </c>
      <c r="D256" s="188" t="s">
        <v>16</v>
      </c>
      <c r="E256" s="189">
        <v>1995</v>
      </c>
      <c r="F256" s="190">
        <v>0.46648899999999999</v>
      </c>
      <c r="G256" s="191">
        <v>0.10940999999999999</v>
      </c>
      <c r="H256" s="177">
        <f>IFERROR(AVERAGEIFS($F:$F, $A:$A, $A256, $B:$B,$B256, $C:$C,$C256),"")</f>
        <v>0.37121238888888891</v>
      </c>
      <c r="I256" s="178">
        <f>IFERROR(AVERAGEIFS($G:$G, $A:$A, $A256, $B:$B,$B256, $C:$C,$C256),"")</f>
        <v>8.8747716666666671E-2</v>
      </c>
    </row>
    <row r="257" spans="1:9" x14ac:dyDescent="0.3">
      <c r="A257" s="182" t="s">
        <v>107</v>
      </c>
      <c r="B257" s="281" t="s">
        <v>117</v>
      </c>
      <c r="C257" s="183">
        <v>46240</v>
      </c>
      <c r="D257" s="188" t="s">
        <v>17</v>
      </c>
      <c r="E257" s="189">
        <v>2105</v>
      </c>
      <c r="F257" s="190">
        <v>0.52784600000000004</v>
      </c>
      <c r="G257" s="191">
        <v>0.10437299999999999</v>
      </c>
      <c r="H257" s="177">
        <f>IFERROR(AVERAGEIFS($F:$F, $A:$A, $A257, $B:$B,$B257, $C:$C,$C257),"")</f>
        <v>0.37121238888888891</v>
      </c>
      <c r="I257" s="178">
        <f>IFERROR(AVERAGEIFS($G:$G, $A:$A, $A257, $B:$B,$B257, $C:$C,$C257),"")</f>
        <v>8.8747716666666671E-2</v>
      </c>
    </row>
    <row r="258" spans="1:9" x14ac:dyDescent="0.3">
      <c r="A258" s="182" t="s">
        <v>107</v>
      </c>
      <c r="B258" s="281" t="s">
        <v>117</v>
      </c>
      <c r="C258" s="183">
        <v>46240</v>
      </c>
      <c r="D258" s="188" t="s">
        <v>18</v>
      </c>
      <c r="E258" s="189">
        <v>2401</v>
      </c>
      <c r="F258" s="190">
        <v>0.29474400000000001</v>
      </c>
      <c r="G258" s="191">
        <v>7.01209E-2</v>
      </c>
      <c r="H258" s="177">
        <f>IFERROR(AVERAGEIFS($F:$F, $A:$A, $A258, $B:$B,$B258, $C:$C,$C258),"")</f>
        <v>0.37121238888888891</v>
      </c>
      <c r="I258" s="178">
        <f>IFERROR(AVERAGEIFS($G:$G, $A:$A, $A258, $B:$B,$B258, $C:$C,$C258),"")</f>
        <v>8.8747716666666671E-2</v>
      </c>
    </row>
    <row r="259" spans="1:9" x14ac:dyDescent="0.3">
      <c r="A259" s="182" t="s">
        <v>107</v>
      </c>
      <c r="B259" s="281" t="s">
        <v>117</v>
      </c>
      <c r="C259" s="183">
        <v>46240</v>
      </c>
      <c r="D259" s="188" t="s">
        <v>19</v>
      </c>
      <c r="E259" s="189">
        <v>2035</v>
      </c>
      <c r="F259" s="190">
        <v>0.469972</v>
      </c>
      <c r="G259" s="191">
        <v>9.88203E-2</v>
      </c>
      <c r="H259" s="177">
        <f>IFERROR(AVERAGEIFS($F:$F, $A:$A, $A259, $B:$B,$B259, $C:$C,$C259),"")</f>
        <v>0.37121238888888891</v>
      </c>
      <c r="I259" s="178">
        <f>IFERROR(AVERAGEIFS($G:$G, $A:$A, $A259, $B:$B,$B259, $C:$C,$C259),"")</f>
        <v>8.8747716666666671E-2</v>
      </c>
    </row>
    <row r="260" spans="1:9" x14ac:dyDescent="0.3">
      <c r="A260" s="182" t="s">
        <v>107</v>
      </c>
      <c r="B260" s="281" t="s">
        <v>117</v>
      </c>
      <c r="C260" s="183">
        <v>46240</v>
      </c>
      <c r="D260" s="188" t="s">
        <v>20</v>
      </c>
      <c r="E260" s="189">
        <v>2155</v>
      </c>
      <c r="F260" s="190">
        <v>0.44455299999999998</v>
      </c>
      <c r="G260" s="191">
        <v>9.2985300000000007E-2</v>
      </c>
      <c r="H260" s="177">
        <f>IFERROR(AVERAGEIFS($F:$F, $A:$A, $A260, $B:$B,$B260, $C:$C,$C260),"")</f>
        <v>0.37121238888888891</v>
      </c>
      <c r="I260" s="178">
        <f>IFERROR(AVERAGEIFS($G:$G, $A:$A, $A260, $B:$B,$B260, $C:$C,$C260),"")</f>
        <v>8.8747716666666671E-2</v>
      </c>
    </row>
    <row r="261" spans="1:9" x14ac:dyDescent="0.3">
      <c r="A261" s="182" t="s">
        <v>107</v>
      </c>
      <c r="B261" s="281" t="s">
        <v>117</v>
      </c>
      <c r="C261" s="183">
        <v>46240</v>
      </c>
      <c r="D261" s="188" t="s">
        <v>44</v>
      </c>
      <c r="E261" s="189">
        <v>1002</v>
      </c>
      <c r="F261" s="190">
        <v>0.239033</v>
      </c>
      <c r="G261" s="191">
        <v>7.24495E-2</v>
      </c>
      <c r="H261" s="177">
        <f>IFERROR(AVERAGEIFS($F:$F, $A:$A, $A261, $B:$B,$B261, $C:$C,$C261),"")</f>
        <v>0.37121238888888891</v>
      </c>
      <c r="I261" s="178">
        <f>IFERROR(AVERAGEIFS($G:$G, $A:$A, $A261, $B:$B,$B261, $C:$C,$C261),"")</f>
        <v>8.8747716666666671E-2</v>
      </c>
    </row>
    <row r="262" spans="1:9" x14ac:dyDescent="0.3">
      <c r="A262" s="182" t="s">
        <v>107</v>
      </c>
      <c r="B262" s="281" t="s">
        <v>117</v>
      </c>
      <c r="C262" s="183">
        <v>46240</v>
      </c>
      <c r="D262" s="188" t="s">
        <v>21</v>
      </c>
      <c r="E262" s="189">
        <v>2691</v>
      </c>
      <c r="F262" s="190">
        <v>0.49062899999999998</v>
      </c>
      <c r="G262" s="191">
        <v>9.5427200000000004E-2</v>
      </c>
      <c r="H262" s="177">
        <f>IFERROR(AVERAGEIFS($F:$F, $A:$A, $A262, $B:$B,$B262, $C:$C,$C262),"")</f>
        <v>0.37121238888888891</v>
      </c>
      <c r="I262" s="178">
        <f>IFERROR(AVERAGEIFS($G:$G, $A:$A, $A262, $B:$B,$B262, $C:$C,$C262),"")</f>
        <v>8.8747716666666671E-2</v>
      </c>
    </row>
    <row r="263" spans="1:9" x14ac:dyDescent="0.3">
      <c r="A263" s="182" t="s">
        <v>107</v>
      </c>
      <c r="B263" s="281" t="s">
        <v>117</v>
      </c>
      <c r="C263" s="183">
        <v>46240</v>
      </c>
      <c r="D263" s="188" t="s">
        <v>22</v>
      </c>
      <c r="E263" s="189">
        <v>2302</v>
      </c>
      <c r="F263" s="190">
        <v>0.313778</v>
      </c>
      <c r="G263" s="191">
        <v>8.52522E-2</v>
      </c>
      <c r="H263" s="177">
        <f>IFERROR(AVERAGEIFS($F:$F, $A:$A, $A263, $B:$B,$B263, $C:$C,$C263),"")</f>
        <v>0.37121238888888891</v>
      </c>
      <c r="I263" s="178">
        <f>IFERROR(AVERAGEIFS($G:$G, $A:$A, $A263, $B:$B,$B263, $C:$C,$C263),"")</f>
        <v>8.8747716666666671E-2</v>
      </c>
    </row>
    <row r="264" spans="1:9" x14ac:dyDescent="0.3">
      <c r="A264" s="182" t="s">
        <v>107</v>
      </c>
      <c r="B264" s="281" t="s">
        <v>117</v>
      </c>
      <c r="C264" s="183">
        <v>46240</v>
      </c>
      <c r="D264" s="188" t="s">
        <v>23</v>
      </c>
      <c r="E264" s="189">
        <v>1549</v>
      </c>
      <c r="F264" s="190">
        <v>0.26917099999999999</v>
      </c>
      <c r="G264" s="191">
        <v>8.8343599999999994E-2</v>
      </c>
      <c r="H264" s="177">
        <f>IFERROR(AVERAGEIFS($F:$F, $A:$A, $A264, $B:$B,$B264, $C:$C,$C264),"")</f>
        <v>0.37121238888888891</v>
      </c>
      <c r="I264" s="178">
        <f>IFERROR(AVERAGEIFS($G:$G, $A:$A, $A264, $B:$B,$B264, $C:$C,$C264),"")</f>
        <v>8.8747716666666671E-2</v>
      </c>
    </row>
    <row r="265" spans="1:9" x14ac:dyDescent="0.3">
      <c r="A265" s="182" t="s">
        <v>107</v>
      </c>
      <c r="B265" s="281" t="s">
        <v>117</v>
      </c>
      <c r="C265" s="183">
        <v>46240</v>
      </c>
      <c r="D265" s="188" t="s">
        <v>24</v>
      </c>
      <c r="E265" s="189">
        <v>2964</v>
      </c>
      <c r="F265" s="190">
        <v>0.23794100000000001</v>
      </c>
      <c r="G265" s="191">
        <v>7.3253399999999996E-2</v>
      </c>
      <c r="H265" s="177">
        <f>IFERROR(AVERAGEIFS($F:$F, $A:$A, $A265, $B:$B,$B265, $C:$C,$C265),"")</f>
        <v>0.37121238888888891</v>
      </c>
      <c r="I265" s="178">
        <f>IFERROR(AVERAGEIFS($G:$G, $A:$A, $A265, $B:$B,$B265, $C:$C,$C265),"")</f>
        <v>8.8747716666666671E-2</v>
      </c>
    </row>
    <row r="266" spans="1:9" x14ac:dyDescent="0.3">
      <c r="A266" s="182" t="s">
        <v>107</v>
      </c>
      <c r="B266" s="281" t="s">
        <v>117</v>
      </c>
      <c r="C266" s="183">
        <v>46240</v>
      </c>
      <c r="D266" s="188" t="s">
        <v>25</v>
      </c>
      <c r="E266" s="189">
        <v>1027</v>
      </c>
      <c r="F266" s="190">
        <v>0.20263600000000001</v>
      </c>
      <c r="G266" s="191">
        <v>4.8736000000000002E-2</v>
      </c>
      <c r="H266" s="177">
        <f>IFERROR(AVERAGEIFS($F:$F, $A:$A, $A266, $B:$B,$B266, $C:$C,$C266),"")</f>
        <v>0.37121238888888891</v>
      </c>
      <c r="I266" s="178">
        <f>IFERROR(AVERAGEIFS($G:$G, $A:$A, $A266, $B:$B,$B266, $C:$C,$C266),"")</f>
        <v>8.8747716666666671E-2</v>
      </c>
    </row>
    <row r="267" spans="1:9" x14ac:dyDescent="0.3">
      <c r="A267" s="182" t="s">
        <v>107</v>
      </c>
      <c r="B267" s="281" t="s">
        <v>117</v>
      </c>
      <c r="C267" s="183">
        <v>46240</v>
      </c>
      <c r="D267" s="188" t="s">
        <v>26</v>
      </c>
      <c r="E267" s="189">
        <v>2335</v>
      </c>
      <c r="F267" s="190">
        <v>0.27803099999999997</v>
      </c>
      <c r="G267" s="191">
        <v>8.9409199999999994E-2</v>
      </c>
      <c r="H267" s="177">
        <f>IFERROR(AVERAGEIFS($F:$F, $A:$A, $A267, $B:$B,$B267, $C:$C,$C267),"")</f>
        <v>0.37121238888888891</v>
      </c>
      <c r="I267" s="178">
        <f>IFERROR(AVERAGEIFS($G:$G, $A:$A, $A267, $B:$B,$B267, $C:$C,$C267),"")</f>
        <v>8.8747716666666671E-2</v>
      </c>
    </row>
    <row r="268" spans="1:9" x14ac:dyDescent="0.3">
      <c r="A268" s="182" t="s">
        <v>107</v>
      </c>
      <c r="B268" s="281" t="s">
        <v>117</v>
      </c>
      <c r="C268" s="183">
        <v>46240</v>
      </c>
      <c r="D268" s="188" t="s">
        <v>27</v>
      </c>
      <c r="E268" s="189">
        <v>2212</v>
      </c>
      <c r="F268" s="190">
        <v>0.41084799999999999</v>
      </c>
      <c r="G268" s="191">
        <v>9.3203400000000006E-2</v>
      </c>
      <c r="H268" s="177">
        <f>IFERROR(AVERAGEIFS($F:$F, $A:$A, $A268, $B:$B,$B268, $C:$C,$C268),"")</f>
        <v>0.37121238888888891</v>
      </c>
      <c r="I268" s="178">
        <f>IFERROR(AVERAGEIFS($G:$G, $A:$A, $A268, $B:$B,$B268, $C:$C,$C268),"")</f>
        <v>8.8747716666666671E-2</v>
      </c>
    </row>
    <row r="269" spans="1:9" x14ac:dyDescent="0.3">
      <c r="A269" s="182" t="s">
        <v>107</v>
      </c>
      <c r="B269" s="281" t="s">
        <v>117</v>
      </c>
      <c r="C269" s="183">
        <v>46240</v>
      </c>
      <c r="D269" s="188" t="s">
        <v>28</v>
      </c>
      <c r="E269" s="189">
        <v>1581</v>
      </c>
      <c r="F269" s="190">
        <v>0.38925500000000002</v>
      </c>
      <c r="G269" s="191">
        <v>8.7431800000000004E-2</v>
      </c>
      <c r="H269" s="177">
        <f>IFERROR(AVERAGEIFS($F:$F, $A:$A, $A269, $B:$B,$B269, $C:$C,$C269),"")</f>
        <v>0.37121238888888891</v>
      </c>
      <c r="I269" s="178">
        <f>IFERROR(AVERAGEIFS($G:$G, $A:$A, $A269, $B:$B,$B269, $C:$C,$C269),"")</f>
        <v>8.8747716666666671E-2</v>
      </c>
    </row>
    <row r="270" spans="1:9" x14ac:dyDescent="0.3">
      <c r="A270" s="182" t="s">
        <v>107</v>
      </c>
      <c r="B270" s="281" t="s">
        <v>117</v>
      </c>
      <c r="C270" s="183">
        <v>46240</v>
      </c>
      <c r="D270" s="188" t="s">
        <v>29</v>
      </c>
      <c r="E270" s="189">
        <v>1639</v>
      </c>
      <c r="F270" s="190">
        <v>0.36172500000000002</v>
      </c>
      <c r="G270" s="191">
        <v>7.4926099999999995E-2</v>
      </c>
      <c r="H270" s="177">
        <f>IFERROR(AVERAGEIFS($F:$F, $A:$A, $A270, $B:$B,$B270, $C:$C,$C270),"")</f>
        <v>0.37121238888888891</v>
      </c>
      <c r="I270" s="178">
        <f>IFERROR(AVERAGEIFS($G:$G, $A:$A, $A270, $B:$B,$B270, $C:$C,$C270),"")</f>
        <v>8.8747716666666671E-2</v>
      </c>
    </row>
    <row r="271" spans="1:9" x14ac:dyDescent="0.3">
      <c r="A271" s="182" t="s">
        <v>107</v>
      </c>
      <c r="B271" s="281" t="s">
        <v>117</v>
      </c>
      <c r="C271" s="183">
        <v>46240</v>
      </c>
      <c r="D271" s="188" t="s">
        <v>30</v>
      </c>
      <c r="E271" s="189">
        <v>1495</v>
      </c>
      <c r="F271" s="190">
        <v>0.51360899999999998</v>
      </c>
      <c r="G271" s="191">
        <v>0.103296</v>
      </c>
      <c r="H271" s="177">
        <f>IFERROR(AVERAGEIFS($F:$F, $A:$A, $A271, $B:$B,$B271, $C:$C,$C271),"")</f>
        <v>0.37121238888888891</v>
      </c>
      <c r="I271" s="178">
        <f>IFERROR(AVERAGEIFS($G:$G, $A:$A, $A271, $B:$B,$B271, $C:$C,$C271),"")</f>
        <v>8.8747716666666671E-2</v>
      </c>
    </row>
    <row r="272" spans="1:9" x14ac:dyDescent="0.3">
      <c r="A272" s="182" t="s">
        <v>115</v>
      </c>
      <c r="B272" s="282" t="s">
        <v>172</v>
      </c>
      <c r="C272" s="183">
        <v>46240</v>
      </c>
      <c r="D272" s="188" t="s">
        <v>14</v>
      </c>
      <c r="E272" s="189">
        <v>2797</v>
      </c>
      <c r="F272" s="190">
        <v>0.43401499999999998</v>
      </c>
      <c r="G272" s="191">
        <v>0.122126</v>
      </c>
      <c r="H272" s="177">
        <f>IFERROR(AVERAGEIFS($F:$F, $A:$A, $A272, $B:$B,$B272, $C:$C,$C272),"")</f>
        <v>0.42452883333333341</v>
      </c>
      <c r="I272" s="178">
        <f>IFERROR(AVERAGEIFS($G:$G, $A:$A, $A272, $B:$B,$B272, $C:$C,$C272),"")</f>
        <v>0.10059798888888888</v>
      </c>
    </row>
    <row r="273" spans="1:9" x14ac:dyDescent="0.3">
      <c r="A273" s="182" t="s">
        <v>115</v>
      </c>
      <c r="B273" s="282" t="s">
        <v>172</v>
      </c>
      <c r="C273" s="183">
        <v>46240</v>
      </c>
      <c r="D273" s="188" t="s">
        <v>15</v>
      </c>
      <c r="E273" s="189">
        <v>2550</v>
      </c>
      <c r="F273" s="190">
        <v>0.44123600000000002</v>
      </c>
      <c r="G273" s="191">
        <v>0.11627899999999999</v>
      </c>
      <c r="H273" s="177">
        <f>IFERROR(AVERAGEIFS($F:$F, $A:$A, $A273, $B:$B,$B273, $C:$C,$C273),"")</f>
        <v>0.42452883333333341</v>
      </c>
      <c r="I273" s="178">
        <f>IFERROR(AVERAGEIFS($G:$G, $A:$A, $A273, $B:$B,$B273, $C:$C,$C273),"")</f>
        <v>0.10059798888888888</v>
      </c>
    </row>
    <row r="274" spans="1:9" x14ac:dyDescent="0.3">
      <c r="A274" s="182" t="s">
        <v>115</v>
      </c>
      <c r="B274" s="282" t="s">
        <v>172</v>
      </c>
      <c r="C274" s="183">
        <v>46240</v>
      </c>
      <c r="D274" s="188" t="s">
        <v>16</v>
      </c>
      <c r="E274" s="189">
        <v>1714</v>
      </c>
      <c r="F274" s="190">
        <v>0.546682</v>
      </c>
      <c r="G274" s="191">
        <v>0.128278</v>
      </c>
      <c r="H274" s="177">
        <f>IFERROR(AVERAGEIFS($F:$F, $A:$A, $A274, $B:$B,$B274, $C:$C,$C274),"")</f>
        <v>0.42452883333333341</v>
      </c>
      <c r="I274" s="178">
        <f>IFERROR(AVERAGEIFS($G:$G, $A:$A, $A274, $B:$B,$B274, $C:$C,$C274),"")</f>
        <v>0.10059798888888888</v>
      </c>
    </row>
    <row r="275" spans="1:9" x14ac:dyDescent="0.3">
      <c r="A275" s="182" t="s">
        <v>115</v>
      </c>
      <c r="B275" s="282" t="s">
        <v>172</v>
      </c>
      <c r="C275" s="183">
        <v>46240</v>
      </c>
      <c r="D275" s="188" t="s">
        <v>17</v>
      </c>
      <c r="E275" s="189">
        <v>2180</v>
      </c>
      <c r="F275" s="190">
        <v>0.615757</v>
      </c>
      <c r="G275" s="191">
        <v>0.12180100000000001</v>
      </c>
      <c r="H275" s="177">
        <f>IFERROR(AVERAGEIFS($F:$F, $A:$A, $A275, $B:$B,$B275, $C:$C,$C275),"")</f>
        <v>0.42452883333333341</v>
      </c>
      <c r="I275" s="178">
        <f>IFERROR(AVERAGEIFS($G:$G, $A:$A, $A275, $B:$B,$B275, $C:$C,$C275),"")</f>
        <v>0.10059798888888888</v>
      </c>
    </row>
    <row r="276" spans="1:9" x14ac:dyDescent="0.3">
      <c r="A276" s="182" t="s">
        <v>115</v>
      </c>
      <c r="B276" s="282" t="s">
        <v>172</v>
      </c>
      <c r="C276" s="183">
        <v>46240</v>
      </c>
      <c r="D276" s="188" t="s">
        <v>18</v>
      </c>
      <c r="E276" s="189">
        <v>1786</v>
      </c>
      <c r="F276" s="190">
        <v>0.38157099999999999</v>
      </c>
      <c r="G276" s="191">
        <v>9.0749499999999997E-2</v>
      </c>
      <c r="H276" s="177">
        <f>IFERROR(AVERAGEIFS($F:$F, $A:$A, $A276, $B:$B,$B276, $C:$C,$C276),"")</f>
        <v>0.42452883333333341</v>
      </c>
      <c r="I276" s="178">
        <f>IFERROR(AVERAGEIFS($G:$G, $A:$A, $A276, $B:$B,$B276, $C:$C,$C276),"")</f>
        <v>0.10059798888888888</v>
      </c>
    </row>
    <row r="277" spans="1:9" x14ac:dyDescent="0.3">
      <c r="A277" s="182" t="s">
        <v>115</v>
      </c>
      <c r="B277" s="282" t="s">
        <v>172</v>
      </c>
      <c r="C277" s="183">
        <v>46240</v>
      </c>
      <c r="D277" s="188" t="s">
        <v>19</v>
      </c>
      <c r="E277" s="189">
        <v>1846</v>
      </c>
      <c r="F277" s="190">
        <v>0.52055300000000004</v>
      </c>
      <c r="G277" s="191">
        <v>0.109483</v>
      </c>
      <c r="H277" s="177">
        <f>IFERROR(AVERAGEIFS($F:$F, $A:$A, $A277, $B:$B,$B277, $C:$C,$C277),"")</f>
        <v>0.42452883333333341</v>
      </c>
      <c r="I277" s="178">
        <f>IFERROR(AVERAGEIFS($G:$G, $A:$A, $A277, $B:$B,$B277, $C:$C,$C277),"")</f>
        <v>0.10059798888888888</v>
      </c>
    </row>
    <row r="278" spans="1:9" x14ac:dyDescent="0.3">
      <c r="A278" s="182" t="s">
        <v>115</v>
      </c>
      <c r="B278" s="282" t="s">
        <v>172</v>
      </c>
      <c r="C278" s="183">
        <v>46240</v>
      </c>
      <c r="D278" s="188" t="s">
        <v>20</v>
      </c>
      <c r="E278" s="189">
        <v>1966</v>
      </c>
      <c r="F278" s="190">
        <v>0.51282000000000005</v>
      </c>
      <c r="G278" s="191">
        <v>0.10731599999999999</v>
      </c>
      <c r="H278" s="177">
        <f>IFERROR(AVERAGEIFS($F:$F, $A:$A, $A278, $B:$B,$B278, $C:$C,$C278),"")</f>
        <v>0.42452883333333341</v>
      </c>
      <c r="I278" s="178">
        <f>IFERROR(AVERAGEIFS($G:$G, $A:$A, $A278, $B:$B,$B278, $C:$C,$C278),"")</f>
        <v>0.10059798888888888</v>
      </c>
    </row>
    <row r="279" spans="1:9" x14ac:dyDescent="0.3">
      <c r="A279" s="182" t="s">
        <v>115</v>
      </c>
      <c r="B279" s="282" t="s">
        <v>172</v>
      </c>
      <c r="C279" s="183">
        <v>46240</v>
      </c>
      <c r="D279" s="188" t="s">
        <v>44</v>
      </c>
      <c r="E279" s="189">
        <v>1119</v>
      </c>
      <c r="F279" s="190">
        <v>0.281113</v>
      </c>
      <c r="G279" s="191">
        <v>8.52189E-2</v>
      </c>
      <c r="H279" s="177">
        <f>IFERROR(AVERAGEIFS($F:$F, $A:$A, $A279, $B:$B,$B279, $C:$C,$C279),"")</f>
        <v>0.42452883333333341</v>
      </c>
      <c r="I279" s="178">
        <f>IFERROR(AVERAGEIFS($G:$G, $A:$A, $A279, $B:$B,$B279, $C:$C,$C279),"")</f>
        <v>0.10059798888888888</v>
      </c>
    </row>
    <row r="280" spans="1:9" x14ac:dyDescent="0.3">
      <c r="A280" s="182" t="s">
        <v>115</v>
      </c>
      <c r="B280" s="282" t="s">
        <v>172</v>
      </c>
      <c r="C280" s="183">
        <v>46240</v>
      </c>
      <c r="D280" s="188" t="s">
        <v>21</v>
      </c>
      <c r="E280" s="189">
        <v>3478</v>
      </c>
      <c r="F280" s="190">
        <v>0.44732899999999998</v>
      </c>
      <c r="G280" s="191">
        <v>8.7060100000000001E-2</v>
      </c>
      <c r="H280" s="177">
        <f>IFERROR(AVERAGEIFS($F:$F, $A:$A, $A280, $B:$B,$B280, $C:$C,$C280),"")</f>
        <v>0.42452883333333341</v>
      </c>
      <c r="I280" s="178">
        <f>IFERROR(AVERAGEIFS($G:$G, $A:$A, $A280, $B:$B,$B280, $C:$C,$C280),"")</f>
        <v>0.10059798888888888</v>
      </c>
    </row>
    <row r="281" spans="1:9" x14ac:dyDescent="0.3">
      <c r="A281" s="182" t="s">
        <v>115</v>
      </c>
      <c r="B281" s="282" t="s">
        <v>172</v>
      </c>
      <c r="C281" s="183">
        <v>46240</v>
      </c>
      <c r="D281" s="188" t="s">
        <v>22</v>
      </c>
      <c r="E281" s="189">
        <v>2482</v>
      </c>
      <c r="F281" s="190">
        <v>0.45203700000000002</v>
      </c>
      <c r="G281" s="191">
        <v>0.12279</v>
      </c>
      <c r="H281" s="177">
        <f>IFERROR(AVERAGEIFS($F:$F, $A:$A, $A281, $B:$B,$B281, $C:$C,$C281),"")</f>
        <v>0.42452883333333341</v>
      </c>
      <c r="I281" s="178">
        <f>IFERROR(AVERAGEIFS($G:$G, $A:$A, $A281, $B:$B,$B281, $C:$C,$C281),"")</f>
        <v>0.10059798888888888</v>
      </c>
    </row>
    <row r="282" spans="1:9" x14ac:dyDescent="0.3">
      <c r="A282" s="182" t="s">
        <v>115</v>
      </c>
      <c r="B282" s="282" t="s">
        <v>172</v>
      </c>
      <c r="C282" s="183">
        <v>46240</v>
      </c>
      <c r="D282" s="188" t="s">
        <v>23</v>
      </c>
      <c r="E282" s="189">
        <v>1228</v>
      </c>
      <c r="F282" s="190">
        <v>0.293929</v>
      </c>
      <c r="G282" s="191">
        <v>9.6478900000000006E-2</v>
      </c>
      <c r="H282" s="177">
        <f>IFERROR(AVERAGEIFS($F:$F, $A:$A, $A282, $B:$B,$B282, $C:$C,$C282),"")</f>
        <v>0.42452883333333341</v>
      </c>
      <c r="I282" s="178">
        <f>IFERROR(AVERAGEIFS($G:$G, $A:$A, $A282, $B:$B,$B282, $C:$C,$C282),"")</f>
        <v>0.10059798888888888</v>
      </c>
    </row>
    <row r="283" spans="1:9" x14ac:dyDescent="0.3">
      <c r="A283" s="182" t="s">
        <v>115</v>
      </c>
      <c r="B283" s="282" t="s">
        <v>172</v>
      </c>
      <c r="C283" s="183">
        <v>46240</v>
      </c>
      <c r="D283" s="188" t="s">
        <v>24</v>
      </c>
      <c r="E283" s="189">
        <v>2779</v>
      </c>
      <c r="F283" s="190">
        <v>0.19153899999999999</v>
      </c>
      <c r="G283" s="191">
        <v>5.9011300000000003E-2</v>
      </c>
      <c r="H283" s="177">
        <f>IFERROR(AVERAGEIFS($F:$F, $A:$A, $A283, $B:$B,$B283, $C:$C,$C283),"")</f>
        <v>0.42452883333333341</v>
      </c>
      <c r="I283" s="178">
        <f>IFERROR(AVERAGEIFS($G:$G, $A:$A, $A283, $B:$B,$B283, $C:$C,$C283),"")</f>
        <v>0.10059798888888888</v>
      </c>
    </row>
    <row r="284" spans="1:9" x14ac:dyDescent="0.3">
      <c r="A284" s="182" t="s">
        <v>115</v>
      </c>
      <c r="B284" s="282" t="s">
        <v>172</v>
      </c>
      <c r="C284" s="183">
        <v>46240</v>
      </c>
      <c r="D284" s="188" t="s">
        <v>25</v>
      </c>
      <c r="E284" s="189">
        <v>1058</v>
      </c>
      <c r="F284" s="190">
        <v>0.199429</v>
      </c>
      <c r="G284" s="191">
        <v>4.7962699999999997E-2</v>
      </c>
      <c r="H284" s="177">
        <f>IFERROR(AVERAGEIFS($F:$F, $A:$A, $A284, $B:$B,$B284, $C:$C,$C284),"")</f>
        <v>0.42452883333333341</v>
      </c>
      <c r="I284" s="178">
        <f>IFERROR(AVERAGEIFS($G:$G, $A:$A, $A284, $B:$B,$B284, $C:$C,$C284),"")</f>
        <v>0.10059798888888888</v>
      </c>
    </row>
    <row r="285" spans="1:9" x14ac:dyDescent="0.3">
      <c r="A285" s="182" t="s">
        <v>115</v>
      </c>
      <c r="B285" s="282" t="s">
        <v>172</v>
      </c>
      <c r="C285" s="183">
        <v>46240</v>
      </c>
      <c r="D285" s="188" t="s">
        <v>26</v>
      </c>
      <c r="E285" s="189">
        <v>2610</v>
      </c>
      <c r="F285" s="190">
        <v>0.19561600000000001</v>
      </c>
      <c r="G285" s="191">
        <v>6.2890600000000005E-2</v>
      </c>
      <c r="H285" s="177">
        <f>IFERROR(AVERAGEIFS($F:$F, $A:$A, $A285, $B:$B,$B285, $C:$C,$C285),"")</f>
        <v>0.42452883333333341</v>
      </c>
      <c r="I285" s="178">
        <f>IFERROR(AVERAGEIFS($G:$G, $A:$A, $A285, $B:$B,$B285, $C:$C,$C285),"")</f>
        <v>0.10059798888888888</v>
      </c>
    </row>
    <row r="286" spans="1:9" x14ac:dyDescent="0.3">
      <c r="A286" s="182" t="s">
        <v>115</v>
      </c>
      <c r="B286" s="282" t="s">
        <v>172</v>
      </c>
      <c r="C286" s="183">
        <v>46240</v>
      </c>
      <c r="D286" s="188" t="s">
        <v>27</v>
      </c>
      <c r="E286" s="189">
        <v>2508</v>
      </c>
      <c r="F286" s="190">
        <v>0.38116</v>
      </c>
      <c r="G286" s="191">
        <v>8.6512500000000006E-2</v>
      </c>
      <c r="H286" s="177">
        <f>IFERROR(AVERAGEIFS($F:$F, $A:$A, $A286, $B:$B,$B286, $C:$C,$C286),"")</f>
        <v>0.42452883333333341</v>
      </c>
      <c r="I286" s="178">
        <f>IFERROR(AVERAGEIFS($G:$G, $A:$A, $A286, $B:$B,$B286, $C:$C,$C286),"")</f>
        <v>0.10059798888888888</v>
      </c>
    </row>
    <row r="287" spans="1:9" x14ac:dyDescent="0.3">
      <c r="A287" s="182" t="s">
        <v>115</v>
      </c>
      <c r="B287" s="282" t="s">
        <v>172</v>
      </c>
      <c r="C287" s="183">
        <v>46240</v>
      </c>
      <c r="D287" s="188" t="s">
        <v>28</v>
      </c>
      <c r="E287" s="189">
        <v>1261</v>
      </c>
      <c r="F287" s="190">
        <v>0.54010899999999995</v>
      </c>
      <c r="G287" s="191">
        <v>0.121348</v>
      </c>
      <c r="H287" s="177">
        <f>IFERROR(AVERAGEIFS($F:$F, $A:$A, $A287, $B:$B,$B287, $C:$C,$C287),"")</f>
        <v>0.42452883333333341</v>
      </c>
      <c r="I287" s="178">
        <f>IFERROR(AVERAGEIFS($G:$G, $A:$A, $A287, $B:$B,$B287, $C:$C,$C287),"")</f>
        <v>0.10059798888888888</v>
      </c>
    </row>
    <row r="288" spans="1:9" x14ac:dyDescent="0.3">
      <c r="A288" s="182" t="s">
        <v>115</v>
      </c>
      <c r="B288" s="282" t="s">
        <v>172</v>
      </c>
      <c r="C288" s="183">
        <v>46240</v>
      </c>
      <c r="D288" s="188" t="s">
        <v>29</v>
      </c>
      <c r="E288" s="189">
        <v>1538</v>
      </c>
      <c r="F288" s="190">
        <v>0.45475500000000002</v>
      </c>
      <c r="G288" s="191">
        <v>9.4206300000000007E-2</v>
      </c>
      <c r="H288" s="177">
        <f>IFERROR(AVERAGEIFS($F:$F, $A:$A, $A288, $B:$B,$B288, $C:$C,$C288),"")</f>
        <v>0.42452883333333341</v>
      </c>
      <c r="I288" s="178">
        <f>IFERROR(AVERAGEIFS($G:$G, $A:$A, $A288, $B:$B,$B288, $C:$C,$C288),"")</f>
        <v>0.10059798888888888</v>
      </c>
    </row>
    <row r="289" spans="1:9" x14ac:dyDescent="0.3">
      <c r="A289" s="182" t="s">
        <v>115</v>
      </c>
      <c r="B289" s="282" t="s">
        <v>172</v>
      </c>
      <c r="C289" s="183">
        <v>46240</v>
      </c>
      <c r="D289" s="188" t="s">
        <v>30</v>
      </c>
      <c r="E289" s="189">
        <v>1002</v>
      </c>
      <c r="F289" s="190">
        <v>0.75186900000000001</v>
      </c>
      <c r="G289" s="191">
        <v>0.151252</v>
      </c>
      <c r="H289" s="177">
        <f>IFERROR(AVERAGEIFS($F:$F, $A:$A, $A289, $B:$B,$B289, $C:$C,$C289),"")</f>
        <v>0.42452883333333341</v>
      </c>
      <c r="I289" s="178">
        <f>IFERROR(AVERAGEIFS($G:$G, $A:$A, $A289, $B:$B,$B289, $C:$C,$C289),"")</f>
        <v>0.10059798888888888</v>
      </c>
    </row>
    <row r="290" spans="1:9" x14ac:dyDescent="0.3">
      <c r="A290" s="182" t="s">
        <v>115</v>
      </c>
      <c r="B290" s="282" t="s">
        <v>173</v>
      </c>
      <c r="C290" s="183">
        <v>46240</v>
      </c>
      <c r="D290" s="188" t="s">
        <v>14</v>
      </c>
      <c r="E290" s="189">
        <v>3201</v>
      </c>
      <c r="F290" s="190">
        <v>0.44218600000000002</v>
      </c>
      <c r="G290" s="191">
        <v>0.120863</v>
      </c>
      <c r="H290" s="177">
        <f>IFERROR(AVERAGEIFS($F:$F, $A:$A, $A290, $B:$B,$B290, $C:$C,$C290),"")</f>
        <v>0.45376905555555552</v>
      </c>
      <c r="I290" s="178">
        <f>IFERROR(AVERAGEIFS($G:$G, $A:$A, $A290, $B:$B,$B290, $C:$C,$C290),"")</f>
        <v>0.10801037222222223</v>
      </c>
    </row>
    <row r="291" spans="1:9" x14ac:dyDescent="0.3">
      <c r="A291" s="182" t="s">
        <v>115</v>
      </c>
      <c r="B291" s="282" t="s">
        <v>173</v>
      </c>
      <c r="C291" s="183">
        <v>46240</v>
      </c>
      <c r="D291" s="188" t="s">
        <v>15</v>
      </c>
      <c r="E291" s="189">
        <v>3040</v>
      </c>
      <c r="F291" s="190">
        <v>0.44613000000000003</v>
      </c>
      <c r="G291" s="191">
        <v>0.113722</v>
      </c>
      <c r="H291" s="177">
        <f>IFERROR(AVERAGEIFS($F:$F, $A:$A, $A291, $B:$B,$B291, $C:$C,$C291),"")</f>
        <v>0.45376905555555552</v>
      </c>
      <c r="I291" s="178">
        <f>IFERROR(AVERAGEIFS($G:$G, $A:$A, $A291, $B:$B,$B291, $C:$C,$C291),"")</f>
        <v>0.10801037222222223</v>
      </c>
    </row>
    <row r="292" spans="1:9" x14ac:dyDescent="0.3">
      <c r="A292" s="182" t="s">
        <v>115</v>
      </c>
      <c r="B292" s="282" t="s">
        <v>173</v>
      </c>
      <c r="C292" s="183">
        <v>46240</v>
      </c>
      <c r="D292" s="188" t="s">
        <v>16</v>
      </c>
      <c r="E292" s="189">
        <v>2087</v>
      </c>
      <c r="F292" s="190">
        <v>0.601603</v>
      </c>
      <c r="G292" s="191">
        <v>0.13392100000000001</v>
      </c>
      <c r="H292" s="177">
        <f>IFERROR(AVERAGEIFS($F:$F, $A:$A, $A292, $B:$B,$B292, $C:$C,$C292),"")</f>
        <v>0.45376905555555552</v>
      </c>
      <c r="I292" s="178">
        <f>IFERROR(AVERAGEIFS($G:$G, $A:$A, $A292, $B:$B,$B292, $C:$C,$C292),"")</f>
        <v>0.10801037222222223</v>
      </c>
    </row>
    <row r="293" spans="1:9" x14ac:dyDescent="0.3">
      <c r="A293" s="182" t="s">
        <v>115</v>
      </c>
      <c r="B293" s="282" t="s">
        <v>173</v>
      </c>
      <c r="C293" s="183">
        <v>46240</v>
      </c>
      <c r="D293" s="188" t="s">
        <v>17</v>
      </c>
      <c r="E293" s="189">
        <v>2579</v>
      </c>
      <c r="F293" s="190">
        <v>0.65812000000000004</v>
      </c>
      <c r="G293" s="191">
        <v>0.13445299999999999</v>
      </c>
      <c r="H293" s="177">
        <f>IFERROR(AVERAGEIFS($F:$F, $A:$A, $A293, $B:$B,$B293, $C:$C,$C293),"")</f>
        <v>0.45376905555555552</v>
      </c>
      <c r="I293" s="178">
        <f>IFERROR(AVERAGEIFS($G:$G, $A:$A, $A293, $B:$B,$B293, $C:$C,$C293),"")</f>
        <v>0.10801037222222223</v>
      </c>
    </row>
    <row r="294" spans="1:9" x14ac:dyDescent="0.3">
      <c r="A294" s="182" t="s">
        <v>115</v>
      </c>
      <c r="B294" s="282" t="s">
        <v>173</v>
      </c>
      <c r="C294" s="183">
        <v>46240</v>
      </c>
      <c r="D294" s="188" t="s">
        <v>18</v>
      </c>
      <c r="E294" s="189">
        <v>2328</v>
      </c>
      <c r="F294" s="190">
        <v>0.38157099999999999</v>
      </c>
      <c r="G294" s="191">
        <v>9.0749499999999997E-2</v>
      </c>
      <c r="H294" s="177">
        <f>IFERROR(AVERAGEIFS($F:$F, $A:$A, $A294, $B:$B,$B294, $C:$C,$C294),"")</f>
        <v>0.45376905555555552</v>
      </c>
      <c r="I294" s="178">
        <f>IFERROR(AVERAGEIFS($G:$G, $A:$A, $A294, $B:$B,$B294, $C:$C,$C294),"")</f>
        <v>0.10801037222222223</v>
      </c>
    </row>
    <row r="295" spans="1:9" x14ac:dyDescent="0.3">
      <c r="A295" s="182" t="s">
        <v>115</v>
      </c>
      <c r="B295" s="282" t="s">
        <v>173</v>
      </c>
      <c r="C295" s="183">
        <v>46240</v>
      </c>
      <c r="D295" s="188" t="s">
        <v>19</v>
      </c>
      <c r="E295" s="189">
        <v>2407</v>
      </c>
      <c r="F295" s="190">
        <v>0.58857599999999999</v>
      </c>
      <c r="G295" s="191">
        <v>0.118063</v>
      </c>
      <c r="H295" s="177">
        <f>IFERROR(AVERAGEIFS($F:$F, $A:$A, $A295, $B:$B,$B295, $C:$C,$C295),"")</f>
        <v>0.45376905555555552</v>
      </c>
      <c r="I295" s="178">
        <f>IFERROR(AVERAGEIFS($G:$G, $A:$A, $A295, $B:$B,$B295, $C:$C,$C295),"")</f>
        <v>0.10801037222222223</v>
      </c>
    </row>
    <row r="296" spans="1:9" x14ac:dyDescent="0.3">
      <c r="A296" s="182" t="s">
        <v>115</v>
      </c>
      <c r="B296" s="282" t="s">
        <v>173</v>
      </c>
      <c r="C296" s="183">
        <v>46240</v>
      </c>
      <c r="D296" s="188" t="s">
        <v>20</v>
      </c>
      <c r="E296" s="189">
        <v>2648</v>
      </c>
      <c r="F296" s="190">
        <v>0.66278000000000004</v>
      </c>
      <c r="G296" s="191">
        <v>0.13273699999999999</v>
      </c>
      <c r="H296" s="177">
        <f>IFERROR(AVERAGEIFS($F:$F, $A:$A, $A296, $B:$B,$B296, $C:$C,$C296),"")</f>
        <v>0.45376905555555552</v>
      </c>
      <c r="I296" s="178">
        <f>IFERROR(AVERAGEIFS($G:$G, $A:$A, $A296, $B:$B,$B296, $C:$C,$C296),"")</f>
        <v>0.10801037222222223</v>
      </c>
    </row>
    <row r="297" spans="1:9" x14ac:dyDescent="0.3">
      <c r="A297" s="182" t="s">
        <v>115</v>
      </c>
      <c r="B297" s="282" t="s">
        <v>173</v>
      </c>
      <c r="C297" s="183">
        <v>46240</v>
      </c>
      <c r="D297" s="188" t="s">
        <v>44</v>
      </c>
      <c r="E297" s="189">
        <v>1045</v>
      </c>
      <c r="F297" s="190">
        <v>0.30008299999999999</v>
      </c>
      <c r="G297" s="191">
        <v>8.6968599999999993E-2</v>
      </c>
      <c r="H297" s="177">
        <f>IFERROR(AVERAGEIFS($F:$F, $A:$A, $A297, $B:$B,$B297, $C:$C,$C297),"")</f>
        <v>0.45376905555555552</v>
      </c>
      <c r="I297" s="178">
        <f>IFERROR(AVERAGEIFS($G:$G, $A:$A, $A297, $B:$B,$B297, $C:$C,$C297),"")</f>
        <v>0.10801037222222223</v>
      </c>
    </row>
    <row r="298" spans="1:9" x14ac:dyDescent="0.3">
      <c r="A298" s="182" t="s">
        <v>115</v>
      </c>
      <c r="B298" s="282" t="s">
        <v>173</v>
      </c>
      <c r="C298" s="183">
        <v>46240</v>
      </c>
      <c r="D298" s="188" t="s">
        <v>21</v>
      </c>
      <c r="E298" s="189">
        <v>3707</v>
      </c>
      <c r="F298" s="190">
        <v>0.43379899999999999</v>
      </c>
      <c r="G298" s="191">
        <v>8.84128E-2</v>
      </c>
      <c r="H298" s="177">
        <f>IFERROR(AVERAGEIFS($F:$F, $A:$A, $A298, $B:$B,$B298, $C:$C,$C298),"")</f>
        <v>0.45376905555555552</v>
      </c>
      <c r="I298" s="178">
        <f>IFERROR(AVERAGEIFS($G:$G, $A:$A, $A298, $B:$B,$B298, $C:$C,$C298),"")</f>
        <v>0.10801037222222223</v>
      </c>
    </row>
    <row r="299" spans="1:9" x14ac:dyDescent="0.3">
      <c r="A299" s="182" t="s">
        <v>115</v>
      </c>
      <c r="B299" s="282" t="s">
        <v>173</v>
      </c>
      <c r="C299" s="183">
        <v>46240</v>
      </c>
      <c r="D299" s="188" t="s">
        <v>22</v>
      </c>
      <c r="E299" s="189">
        <v>2762</v>
      </c>
      <c r="F299" s="190">
        <v>0.46423999999999999</v>
      </c>
      <c r="G299" s="191">
        <v>0.12906100000000001</v>
      </c>
      <c r="H299" s="177">
        <f>IFERROR(AVERAGEIFS($F:$F, $A:$A, $A299, $B:$B,$B299, $C:$C,$C299),"")</f>
        <v>0.45376905555555552</v>
      </c>
      <c r="I299" s="178">
        <f>IFERROR(AVERAGEIFS($G:$G, $A:$A, $A299, $B:$B,$B299, $C:$C,$C299),"")</f>
        <v>0.10801037222222223</v>
      </c>
    </row>
    <row r="300" spans="1:9" x14ac:dyDescent="0.3">
      <c r="A300" s="182" t="s">
        <v>115</v>
      </c>
      <c r="B300" s="282" t="s">
        <v>173</v>
      </c>
      <c r="C300" s="183">
        <v>46240</v>
      </c>
      <c r="D300" s="188" t="s">
        <v>23</v>
      </c>
      <c r="E300" s="189">
        <v>1001</v>
      </c>
      <c r="F300" s="190">
        <v>0.40006399999999998</v>
      </c>
      <c r="G300" s="191">
        <v>0.13063900000000001</v>
      </c>
      <c r="H300" s="177">
        <f>IFERROR(AVERAGEIFS($F:$F, $A:$A, $A300, $B:$B,$B300, $C:$C,$C300),"")</f>
        <v>0.45376905555555552</v>
      </c>
      <c r="I300" s="178">
        <f>IFERROR(AVERAGEIFS($G:$G, $A:$A, $A300, $B:$B,$B300, $C:$C,$C300),"")</f>
        <v>0.10801037222222223</v>
      </c>
    </row>
    <row r="301" spans="1:9" x14ac:dyDescent="0.3">
      <c r="A301" s="182" t="s">
        <v>115</v>
      </c>
      <c r="B301" s="282" t="s">
        <v>173</v>
      </c>
      <c r="C301" s="183">
        <v>46240</v>
      </c>
      <c r="D301" s="188" t="s">
        <v>24</v>
      </c>
      <c r="E301" s="189">
        <v>3040</v>
      </c>
      <c r="F301" s="190">
        <v>0.25951999999999997</v>
      </c>
      <c r="G301" s="191">
        <v>8.3202100000000001E-2</v>
      </c>
      <c r="H301" s="177">
        <f>IFERROR(AVERAGEIFS($F:$F, $A:$A, $A301, $B:$B,$B301, $C:$C,$C301),"")</f>
        <v>0.45376905555555552</v>
      </c>
      <c r="I301" s="178">
        <f>IFERROR(AVERAGEIFS($G:$G, $A:$A, $A301, $B:$B,$B301, $C:$C,$C301),"")</f>
        <v>0.10801037222222223</v>
      </c>
    </row>
    <row r="302" spans="1:9" x14ac:dyDescent="0.3">
      <c r="A302" s="182" t="s">
        <v>115</v>
      </c>
      <c r="B302" s="282" t="s">
        <v>173</v>
      </c>
      <c r="C302" s="183">
        <v>46240</v>
      </c>
      <c r="D302" s="188" t="s">
        <v>25</v>
      </c>
      <c r="E302" s="189">
        <v>1081</v>
      </c>
      <c r="F302" s="190">
        <v>0.19483200000000001</v>
      </c>
      <c r="G302" s="191">
        <v>4.92673E-2</v>
      </c>
      <c r="H302" s="177">
        <f>IFERROR(AVERAGEIFS($F:$F, $A:$A, $A302, $B:$B,$B302, $C:$C,$C302),"")</f>
        <v>0.45376905555555552</v>
      </c>
      <c r="I302" s="178">
        <f>IFERROR(AVERAGEIFS($G:$G, $A:$A, $A302, $B:$B,$B302, $C:$C,$C302),"")</f>
        <v>0.10801037222222223</v>
      </c>
    </row>
    <row r="303" spans="1:9" x14ac:dyDescent="0.3">
      <c r="A303" s="182" t="s">
        <v>115</v>
      </c>
      <c r="B303" s="282" t="s">
        <v>173</v>
      </c>
      <c r="C303" s="183">
        <v>46240</v>
      </c>
      <c r="D303" s="188" t="s">
        <v>26</v>
      </c>
      <c r="E303" s="189">
        <v>2824</v>
      </c>
      <c r="F303" s="190">
        <v>0.257988</v>
      </c>
      <c r="G303" s="191">
        <v>8.1980600000000001E-2</v>
      </c>
      <c r="H303" s="177">
        <f>IFERROR(AVERAGEIFS($F:$F, $A:$A, $A303, $B:$B,$B303, $C:$C,$C303),"")</f>
        <v>0.45376905555555552</v>
      </c>
      <c r="I303" s="178">
        <f>IFERROR(AVERAGEIFS($G:$G, $A:$A, $A303, $B:$B,$B303, $C:$C,$C303),"")</f>
        <v>0.10801037222222223</v>
      </c>
    </row>
    <row r="304" spans="1:9" x14ac:dyDescent="0.3">
      <c r="A304" s="182" t="s">
        <v>115</v>
      </c>
      <c r="B304" s="282" t="s">
        <v>173</v>
      </c>
      <c r="C304" s="183">
        <v>46240</v>
      </c>
      <c r="D304" s="188" t="s">
        <v>27</v>
      </c>
      <c r="E304" s="189">
        <v>2935</v>
      </c>
      <c r="F304" s="190">
        <v>0.35716399999999998</v>
      </c>
      <c r="G304" s="191">
        <v>8.5796200000000003E-2</v>
      </c>
      <c r="H304" s="177">
        <f>IFERROR(AVERAGEIFS($F:$F, $A:$A, $A304, $B:$B,$B304, $C:$C,$C304),"")</f>
        <v>0.45376905555555552</v>
      </c>
      <c r="I304" s="178">
        <f>IFERROR(AVERAGEIFS($G:$G, $A:$A, $A304, $B:$B,$B304, $C:$C,$C304),"")</f>
        <v>0.10801037222222223</v>
      </c>
    </row>
    <row r="305" spans="1:9" x14ac:dyDescent="0.3">
      <c r="A305" s="182" t="s">
        <v>115</v>
      </c>
      <c r="B305" s="282" t="s">
        <v>173</v>
      </c>
      <c r="C305" s="183">
        <v>46240</v>
      </c>
      <c r="D305" s="188" t="s">
        <v>28</v>
      </c>
      <c r="E305" s="189">
        <v>2001</v>
      </c>
      <c r="F305" s="190">
        <v>0.32775199999999999</v>
      </c>
      <c r="G305" s="191">
        <v>7.7657400000000001E-2</v>
      </c>
      <c r="H305" s="177">
        <f>IFERROR(AVERAGEIFS($F:$F, $A:$A, $A305, $B:$B,$B305, $C:$C,$C305),"")</f>
        <v>0.45376905555555552</v>
      </c>
      <c r="I305" s="178">
        <f>IFERROR(AVERAGEIFS($G:$G, $A:$A, $A305, $B:$B,$B305, $C:$C,$C305),"")</f>
        <v>0.10801037222222223</v>
      </c>
    </row>
    <row r="306" spans="1:9" x14ac:dyDescent="0.3">
      <c r="A306" s="182" t="s">
        <v>115</v>
      </c>
      <c r="B306" s="282" t="s">
        <v>173</v>
      </c>
      <c r="C306" s="183">
        <v>46240</v>
      </c>
      <c r="D306" s="188" t="s">
        <v>29</v>
      </c>
      <c r="E306" s="189">
        <v>1747</v>
      </c>
      <c r="F306" s="190">
        <v>0.44507000000000002</v>
      </c>
      <c r="G306" s="191">
        <v>8.8841199999999995E-2</v>
      </c>
      <c r="H306" s="177">
        <f>IFERROR(AVERAGEIFS($F:$F, $A:$A, $A306, $B:$B,$B306, $C:$C,$C306),"")</f>
        <v>0.45376905555555552</v>
      </c>
      <c r="I306" s="178">
        <f>IFERROR(AVERAGEIFS($G:$G, $A:$A, $A306, $B:$B,$B306, $C:$C,$C306),"")</f>
        <v>0.10801037222222223</v>
      </c>
    </row>
    <row r="307" spans="1:9" x14ac:dyDescent="0.3">
      <c r="A307" s="182" t="s">
        <v>115</v>
      </c>
      <c r="B307" s="282" t="s">
        <v>173</v>
      </c>
      <c r="C307" s="183">
        <v>46240</v>
      </c>
      <c r="D307" s="188" t="s">
        <v>30</v>
      </c>
      <c r="E307" s="189">
        <v>1106</v>
      </c>
      <c r="F307" s="190">
        <v>0.94636500000000001</v>
      </c>
      <c r="G307" s="191">
        <v>0.197852</v>
      </c>
      <c r="H307" s="177">
        <f>IFERROR(AVERAGEIFS($F:$F, $A:$A, $A307, $B:$B,$B307, $C:$C,$C307),"")</f>
        <v>0.45376905555555552</v>
      </c>
      <c r="I307" s="178">
        <f>IFERROR(AVERAGEIFS($G:$G, $A:$A, $A307, $B:$B,$B307, $C:$C,$C307),"")</f>
        <v>0.10801037222222223</v>
      </c>
    </row>
    <row r="308" spans="1:9" x14ac:dyDescent="0.3">
      <c r="A308" s="182" t="s">
        <v>107</v>
      </c>
      <c r="B308" s="281" t="s">
        <v>117</v>
      </c>
      <c r="C308" s="183">
        <v>46242</v>
      </c>
      <c r="D308" s="188" t="s">
        <v>14</v>
      </c>
      <c r="E308" s="189">
        <v>2347</v>
      </c>
      <c r="F308" s="190">
        <v>0.44430900000000001</v>
      </c>
      <c r="G308" s="191">
        <v>0.121479</v>
      </c>
      <c r="H308" s="177">
        <f>IFERROR(AVERAGEIFS($F:$F, $A:$A, $A308, $B:$B,$B308, $C:$C,$C308),"")</f>
        <v>0.38615661111111116</v>
      </c>
      <c r="I308" s="178">
        <f>IFERROR(AVERAGEIFS($G:$G, $A:$A, $A308, $B:$B,$B308, $C:$C,$C308),"")</f>
        <v>9.2878877777777771E-2</v>
      </c>
    </row>
    <row r="309" spans="1:9" x14ac:dyDescent="0.3">
      <c r="A309" s="182" t="s">
        <v>107</v>
      </c>
      <c r="B309" s="281" t="s">
        <v>117</v>
      </c>
      <c r="C309" s="183">
        <v>46242</v>
      </c>
      <c r="D309" s="188" t="s">
        <v>15</v>
      </c>
      <c r="E309" s="189">
        <v>2222</v>
      </c>
      <c r="F309" s="190">
        <v>0.42294799999999999</v>
      </c>
      <c r="G309" s="191">
        <v>0.107791</v>
      </c>
      <c r="H309" s="177">
        <f>IFERROR(AVERAGEIFS($F:$F, $A:$A, $A309, $B:$B,$B309, $C:$C,$C309),"")</f>
        <v>0.38615661111111116</v>
      </c>
      <c r="I309" s="178">
        <f>IFERROR(AVERAGEIFS($G:$G, $A:$A, $A309, $B:$B,$B309, $C:$C,$C309),"")</f>
        <v>9.2878877777777771E-2</v>
      </c>
    </row>
    <row r="310" spans="1:9" x14ac:dyDescent="0.3">
      <c r="A310" s="182" t="s">
        <v>107</v>
      </c>
      <c r="B310" s="281" t="s">
        <v>117</v>
      </c>
      <c r="C310" s="183">
        <v>46242</v>
      </c>
      <c r="D310" s="188" t="s">
        <v>16</v>
      </c>
      <c r="E310" s="189">
        <v>2021</v>
      </c>
      <c r="F310" s="190">
        <v>0.51043099999999997</v>
      </c>
      <c r="G310" s="191">
        <v>0.113635</v>
      </c>
      <c r="H310" s="177">
        <f>IFERROR(AVERAGEIFS($F:$F, $A:$A, $A310, $B:$B,$B310, $C:$C,$C310),"")</f>
        <v>0.38615661111111116</v>
      </c>
      <c r="I310" s="178">
        <f>IFERROR(AVERAGEIFS($G:$G, $A:$A, $A310, $B:$B,$B310, $C:$C,$C310),"")</f>
        <v>9.2878877777777771E-2</v>
      </c>
    </row>
    <row r="311" spans="1:9" x14ac:dyDescent="0.3">
      <c r="A311" s="182" t="s">
        <v>107</v>
      </c>
      <c r="B311" s="281" t="s">
        <v>117</v>
      </c>
      <c r="C311" s="183">
        <v>46242</v>
      </c>
      <c r="D311" s="188" t="s">
        <v>17</v>
      </c>
      <c r="E311" s="189">
        <v>1719</v>
      </c>
      <c r="F311" s="190">
        <v>0.54024799999999995</v>
      </c>
      <c r="G311" s="191">
        <v>0.11029799999999999</v>
      </c>
      <c r="H311" s="177">
        <f>IFERROR(AVERAGEIFS($F:$F, $A:$A, $A311, $B:$B,$B311, $C:$C,$C311),"")</f>
        <v>0.38615661111111116</v>
      </c>
      <c r="I311" s="178">
        <f>IFERROR(AVERAGEIFS($G:$G, $A:$A, $A311, $B:$B,$B311, $C:$C,$C311),"")</f>
        <v>9.2878877777777771E-2</v>
      </c>
    </row>
    <row r="312" spans="1:9" x14ac:dyDescent="0.3">
      <c r="A312" s="182" t="s">
        <v>107</v>
      </c>
      <c r="B312" s="281" t="s">
        <v>117</v>
      </c>
      <c r="C312" s="183">
        <v>46242</v>
      </c>
      <c r="D312" s="188" t="s">
        <v>18</v>
      </c>
      <c r="E312" s="189">
        <v>1950</v>
      </c>
      <c r="F312" s="190">
        <v>0.38157099999999999</v>
      </c>
      <c r="G312" s="191">
        <v>9.0749499999999997E-2</v>
      </c>
      <c r="H312" s="177">
        <f>IFERROR(AVERAGEIFS($F:$F, $A:$A, $A312, $B:$B,$B312, $C:$C,$C312),"")</f>
        <v>0.38615661111111116</v>
      </c>
      <c r="I312" s="178">
        <f>IFERROR(AVERAGEIFS($G:$G, $A:$A, $A312, $B:$B,$B312, $C:$C,$C312),"")</f>
        <v>9.2878877777777771E-2</v>
      </c>
    </row>
    <row r="313" spans="1:9" x14ac:dyDescent="0.3">
      <c r="A313" s="182" t="s">
        <v>107</v>
      </c>
      <c r="B313" s="281" t="s">
        <v>117</v>
      </c>
      <c r="C313" s="183">
        <v>46242</v>
      </c>
      <c r="D313" s="188" t="s">
        <v>19</v>
      </c>
      <c r="E313" s="189">
        <v>1979</v>
      </c>
      <c r="F313" s="190">
        <v>0.40723799999999999</v>
      </c>
      <c r="G313" s="191">
        <v>8.1662799999999994E-2</v>
      </c>
      <c r="H313" s="177">
        <f>IFERROR(AVERAGEIFS($F:$F, $A:$A, $A313, $B:$B,$B313, $C:$C,$C313),"")</f>
        <v>0.38615661111111116</v>
      </c>
      <c r="I313" s="178">
        <f>IFERROR(AVERAGEIFS($G:$G, $A:$A, $A313, $B:$B,$B313, $C:$C,$C313),"")</f>
        <v>9.2878877777777771E-2</v>
      </c>
    </row>
    <row r="314" spans="1:9" x14ac:dyDescent="0.3">
      <c r="A314" s="182" t="s">
        <v>107</v>
      </c>
      <c r="B314" s="281" t="s">
        <v>117</v>
      </c>
      <c r="C314" s="183">
        <v>46242</v>
      </c>
      <c r="D314" s="188" t="s">
        <v>20</v>
      </c>
      <c r="E314" s="189">
        <v>2245</v>
      </c>
      <c r="F314" s="190">
        <v>0.44565500000000002</v>
      </c>
      <c r="G314" s="191">
        <v>8.9242699999999994E-2</v>
      </c>
      <c r="H314" s="177">
        <f>IFERROR(AVERAGEIFS($F:$F, $A:$A, $A314, $B:$B,$B314, $C:$C,$C314),"")</f>
        <v>0.38615661111111116</v>
      </c>
      <c r="I314" s="178">
        <f>IFERROR(AVERAGEIFS($G:$G, $A:$A, $A314, $B:$B,$B314, $C:$C,$C314),"")</f>
        <v>9.2878877777777771E-2</v>
      </c>
    </row>
    <row r="315" spans="1:9" x14ac:dyDescent="0.3">
      <c r="A315" s="182" t="s">
        <v>107</v>
      </c>
      <c r="B315" s="281" t="s">
        <v>117</v>
      </c>
      <c r="C315" s="183">
        <v>46242</v>
      </c>
      <c r="D315" s="188" t="s">
        <v>44</v>
      </c>
      <c r="E315" s="189">
        <v>1145</v>
      </c>
      <c r="F315" s="190">
        <v>0.28156700000000001</v>
      </c>
      <c r="G315" s="191">
        <v>8.1516099999999994E-2</v>
      </c>
      <c r="H315" s="177">
        <f>IFERROR(AVERAGEIFS($F:$F, $A:$A, $A315, $B:$B,$B315, $C:$C,$C315),"")</f>
        <v>0.38615661111111116</v>
      </c>
      <c r="I315" s="178">
        <f>IFERROR(AVERAGEIFS($G:$G, $A:$A, $A315, $B:$B,$B315, $C:$C,$C315),"")</f>
        <v>9.2878877777777771E-2</v>
      </c>
    </row>
    <row r="316" spans="1:9" x14ac:dyDescent="0.3">
      <c r="A316" s="182" t="s">
        <v>107</v>
      </c>
      <c r="B316" s="281" t="s">
        <v>117</v>
      </c>
      <c r="C316" s="183">
        <v>46242</v>
      </c>
      <c r="D316" s="188" t="s">
        <v>21</v>
      </c>
      <c r="E316" s="189">
        <v>2984</v>
      </c>
      <c r="F316" s="190">
        <v>0.42464800000000003</v>
      </c>
      <c r="G316" s="191">
        <v>8.65345E-2</v>
      </c>
      <c r="H316" s="177">
        <f>IFERROR(AVERAGEIFS($F:$F, $A:$A, $A316, $B:$B,$B316, $C:$C,$C316),"")</f>
        <v>0.38615661111111116</v>
      </c>
      <c r="I316" s="178">
        <f>IFERROR(AVERAGEIFS($G:$G, $A:$A, $A316, $B:$B,$B316, $C:$C,$C316),"")</f>
        <v>9.2878877777777771E-2</v>
      </c>
    </row>
    <row r="317" spans="1:9" x14ac:dyDescent="0.3">
      <c r="A317" s="182" t="s">
        <v>107</v>
      </c>
      <c r="B317" s="281" t="s">
        <v>117</v>
      </c>
      <c r="C317" s="183">
        <v>46242</v>
      </c>
      <c r="D317" s="188" t="s">
        <v>22</v>
      </c>
      <c r="E317" s="189">
        <v>1992</v>
      </c>
      <c r="F317" s="190">
        <v>0.37770399999999998</v>
      </c>
      <c r="G317" s="191">
        <v>0.104974</v>
      </c>
      <c r="H317" s="177">
        <f>IFERROR(AVERAGEIFS($F:$F, $A:$A, $A317, $B:$B,$B317, $C:$C,$C317),"")</f>
        <v>0.38615661111111116</v>
      </c>
      <c r="I317" s="178">
        <f>IFERROR(AVERAGEIFS($G:$G, $A:$A, $A317, $B:$B,$B317, $C:$C,$C317),"")</f>
        <v>9.2878877777777771E-2</v>
      </c>
    </row>
    <row r="318" spans="1:9" x14ac:dyDescent="0.3">
      <c r="A318" s="182" t="s">
        <v>107</v>
      </c>
      <c r="B318" s="281" t="s">
        <v>117</v>
      </c>
      <c r="C318" s="183">
        <v>46242</v>
      </c>
      <c r="D318" s="188" t="s">
        <v>23</v>
      </c>
      <c r="E318" s="189">
        <v>1328</v>
      </c>
      <c r="F318" s="190">
        <v>0.42462699999999998</v>
      </c>
      <c r="G318" s="191">
        <v>0.13869799999999999</v>
      </c>
      <c r="H318" s="177">
        <f>IFERROR(AVERAGEIFS($F:$F, $A:$A, $A318, $B:$B,$B318, $C:$C,$C318),"")</f>
        <v>0.38615661111111116</v>
      </c>
      <c r="I318" s="178">
        <f>IFERROR(AVERAGEIFS($G:$G, $A:$A, $A318, $B:$B,$B318, $C:$C,$C318),"")</f>
        <v>9.2878877777777771E-2</v>
      </c>
    </row>
    <row r="319" spans="1:9" x14ac:dyDescent="0.3">
      <c r="A319" s="182" t="s">
        <v>107</v>
      </c>
      <c r="B319" s="281" t="s">
        <v>117</v>
      </c>
      <c r="C319" s="183">
        <v>46242</v>
      </c>
      <c r="D319" s="188" t="s">
        <v>24</v>
      </c>
      <c r="E319" s="189">
        <v>2725</v>
      </c>
      <c r="F319" s="190">
        <v>0.174926</v>
      </c>
      <c r="G319" s="191">
        <v>5.6090300000000003E-2</v>
      </c>
      <c r="H319" s="177">
        <f>IFERROR(AVERAGEIFS($F:$F, $A:$A, $A319, $B:$B,$B319, $C:$C,$C319),"")</f>
        <v>0.38615661111111116</v>
      </c>
      <c r="I319" s="178">
        <f>IFERROR(AVERAGEIFS($G:$G, $A:$A, $A319, $B:$B,$B319, $C:$C,$C319),"")</f>
        <v>9.2878877777777771E-2</v>
      </c>
    </row>
    <row r="320" spans="1:9" x14ac:dyDescent="0.3">
      <c r="A320" s="182" t="s">
        <v>107</v>
      </c>
      <c r="B320" s="281" t="s">
        <v>117</v>
      </c>
      <c r="C320" s="183">
        <v>46242</v>
      </c>
      <c r="D320" s="188" t="s">
        <v>25</v>
      </c>
      <c r="E320" s="189">
        <v>1108</v>
      </c>
      <c r="F320" s="190">
        <v>0.17077700000000001</v>
      </c>
      <c r="G320" s="191">
        <v>4.3160200000000003E-2</v>
      </c>
      <c r="H320" s="177">
        <f>IFERROR(AVERAGEIFS($F:$F, $A:$A, $A320, $B:$B,$B320, $C:$C,$C320),"")</f>
        <v>0.38615661111111116</v>
      </c>
      <c r="I320" s="178">
        <f>IFERROR(AVERAGEIFS($G:$G, $A:$A, $A320, $B:$B,$B320, $C:$C,$C320),"")</f>
        <v>9.2878877777777771E-2</v>
      </c>
    </row>
    <row r="321" spans="1:9" x14ac:dyDescent="0.3">
      <c r="A321" s="182" t="s">
        <v>107</v>
      </c>
      <c r="B321" s="281" t="s">
        <v>117</v>
      </c>
      <c r="C321" s="183">
        <v>46242</v>
      </c>
      <c r="D321" s="188" t="s">
        <v>26</v>
      </c>
      <c r="E321" s="189">
        <v>2406</v>
      </c>
      <c r="F321" s="190">
        <v>0.17474799999999999</v>
      </c>
      <c r="G321" s="191">
        <v>5.5523200000000002E-2</v>
      </c>
      <c r="H321" s="177">
        <f>IFERROR(AVERAGEIFS($F:$F, $A:$A, $A321, $B:$B,$B321, $C:$C,$C321),"")</f>
        <v>0.38615661111111116</v>
      </c>
      <c r="I321" s="178">
        <f>IFERROR(AVERAGEIFS($G:$G, $A:$A, $A321, $B:$B,$B321, $C:$C,$C321),"")</f>
        <v>9.2878877777777771E-2</v>
      </c>
    </row>
    <row r="322" spans="1:9" x14ac:dyDescent="0.3">
      <c r="A322" s="182" t="s">
        <v>107</v>
      </c>
      <c r="B322" s="281" t="s">
        <v>117</v>
      </c>
      <c r="C322" s="183">
        <v>46242</v>
      </c>
      <c r="D322" s="188" t="s">
        <v>27</v>
      </c>
      <c r="E322" s="189">
        <v>1994</v>
      </c>
      <c r="F322" s="190">
        <v>0.33553899999999998</v>
      </c>
      <c r="G322" s="191">
        <v>8.0594700000000005E-2</v>
      </c>
      <c r="H322" s="177">
        <f>IFERROR(AVERAGEIFS($F:$F, $A:$A, $A322, $B:$B,$B322, $C:$C,$C322),"")</f>
        <v>0.38615661111111116</v>
      </c>
      <c r="I322" s="178">
        <f>IFERROR(AVERAGEIFS($G:$G, $A:$A, $A322, $B:$B,$B322, $C:$C,$C322),"")</f>
        <v>9.2878877777777771E-2</v>
      </c>
    </row>
    <row r="323" spans="1:9" x14ac:dyDescent="0.3">
      <c r="A323" s="182" t="s">
        <v>107</v>
      </c>
      <c r="B323" s="281" t="s">
        <v>117</v>
      </c>
      <c r="C323" s="183">
        <v>46242</v>
      </c>
      <c r="D323" s="188" t="s">
        <v>28</v>
      </c>
      <c r="E323" s="189">
        <v>1075</v>
      </c>
      <c r="F323" s="190">
        <v>0.501197</v>
      </c>
      <c r="G323" s="191">
        <v>0.118765</v>
      </c>
      <c r="H323" s="177">
        <f>IFERROR(AVERAGEIFS($F:$F, $A:$A, $A323, $B:$B,$B323, $C:$C,$C323),"")</f>
        <v>0.38615661111111116</v>
      </c>
      <c r="I323" s="178">
        <f>IFERROR(AVERAGEIFS($G:$G, $A:$A, $A323, $B:$B,$B323, $C:$C,$C323),"")</f>
        <v>9.2878877777777771E-2</v>
      </c>
    </row>
    <row r="324" spans="1:9" x14ac:dyDescent="0.3">
      <c r="A324" s="182" t="s">
        <v>107</v>
      </c>
      <c r="B324" s="281" t="s">
        <v>117</v>
      </c>
      <c r="C324" s="183">
        <v>46242</v>
      </c>
      <c r="D324" s="188" t="s">
        <v>29</v>
      </c>
      <c r="E324" s="189">
        <v>1623</v>
      </c>
      <c r="F324" s="190">
        <v>0.39379799999999998</v>
      </c>
      <c r="G324" s="191">
        <v>7.8585799999999997E-2</v>
      </c>
      <c r="H324" s="177">
        <f>IFERROR(AVERAGEIFS($F:$F, $A:$A, $A324, $B:$B,$B324, $C:$C,$C324),"")</f>
        <v>0.38615661111111116</v>
      </c>
      <c r="I324" s="178">
        <f>IFERROR(AVERAGEIFS($G:$G, $A:$A, $A324, $B:$B,$B324, $C:$C,$C324),"")</f>
        <v>9.2878877777777771E-2</v>
      </c>
    </row>
    <row r="325" spans="1:9" x14ac:dyDescent="0.3">
      <c r="A325" s="182" t="s">
        <v>107</v>
      </c>
      <c r="B325" s="281" t="s">
        <v>117</v>
      </c>
      <c r="C325" s="183">
        <v>46242</v>
      </c>
      <c r="D325" s="188" t="s">
        <v>30</v>
      </c>
      <c r="E325" s="189">
        <v>1003</v>
      </c>
      <c r="F325" s="190">
        <v>0.53888800000000003</v>
      </c>
      <c r="G325" s="191">
        <v>0.11252</v>
      </c>
      <c r="H325" s="177">
        <f>IFERROR(AVERAGEIFS($F:$F, $A:$A, $A325, $B:$B,$B325, $C:$C,$C325),"")</f>
        <v>0.38615661111111116</v>
      </c>
      <c r="I325" s="178">
        <f>IFERROR(AVERAGEIFS($G:$G, $A:$A, $A325, $B:$B,$B325, $C:$C,$C325),"")</f>
        <v>9.2878877777777771E-2</v>
      </c>
    </row>
    <row r="326" spans="1:9" x14ac:dyDescent="0.3">
      <c r="A326" s="182" t="s">
        <v>115</v>
      </c>
      <c r="B326" s="282" t="s">
        <v>192</v>
      </c>
      <c r="C326" s="183">
        <v>46242</v>
      </c>
      <c r="D326" s="188" t="s">
        <v>14</v>
      </c>
      <c r="E326" s="189">
        <v>2347</v>
      </c>
      <c r="F326" s="190">
        <v>0.44430900000000001</v>
      </c>
      <c r="G326" s="191">
        <v>0.121479</v>
      </c>
      <c r="H326" s="177">
        <f>IFERROR(AVERAGEIFS($F:$F, $A:$A, $A326, $B:$B,$B326, $C:$C,$C326),"")</f>
        <v>0.38615661111111116</v>
      </c>
      <c r="I326" s="178">
        <f>IFERROR(AVERAGEIFS($G:$G, $A:$A, $A326, $B:$B,$B326, $C:$C,$C326),"")</f>
        <v>9.2878877777777771E-2</v>
      </c>
    </row>
    <row r="327" spans="1:9" x14ac:dyDescent="0.3">
      <c r="A327" s="182" t="s">
        <v>115</v>
      </c>
      <c r="B327" s="282" t="s">
        <v>192</v>
      </c>
      <c r="C327" s="183">
        <v>46242</v>
      </c>
      <c r="D327" s="188" t="s">
        <v>15</v>
      </c>
      <c r="E327" s="189">
        <v>2222</v>
      </c>
      <c r="F327" s="190">
        <v>0.42294799999999999</v>
      </c>
      <c r="G327" s="191">
        <v>0.107791</v>
      </c>
      <c r="H327" s="177">
        <f>IFERROR(AVERAGEIFS($F:$F, $A:$A, $A327, $B:$B,$B327, $C:$C,$C327),"")</f>
        <v>0.38615661111111116</v>
      </c>
      <c r="I327" s="178">
        <f>IFERROR(AVERAGEIFS($G:$G, $A:$A, $A327, $B:$B,$B327, $C:$C,$C327),"")</f>
        <v>9.2878877777777771E-2</v>
      </c>
    </row>
    <row r="328" spans="1:9" x14ac:dyDescent="0.3">
      <c r="A328" s="182" t="s">
        <v>115</v>
      </c>
      <c r="B328" s="282" t="s">
        <v>192</v>
      </c>
      <c r="C328" s="183">
        <v>46242</v>
      </c>
      <c r="D328" s="188" t="s">
        <v>16</v>
      </c>
      <c r="E328" s="189">
        <v>2021</v>
      </c>
      <c r="F328" s="190">
        <v>0.51043099999999997</v>
      </c>
      <c r="G328" s="191">
        <v>0.113635</v>
      </c>
      <c r="H328" s="177">
        <f>IFERROR(AVERAGEIFS($F:$F, $A:$A, $A328, $B:$B,$B328, $C:$C,$C328),"")</f>
        <v>0.38615661111111116</v>
      </c>
      <c r="I328" s="178">
        <f>IFERROR(AVERAGEIFS($G:$G, $A:$A, $A328, $B:$B,$B328, $C:$C,$C328),"")</f>
        <v>9.2878877777777771E-2</v>
      </c>
    </row>
    <row r="329" spans="1:9" x14ac:dyDescent="0.3">
      <c r="A329" s="182" t="s">
        <v>115</v>
      </c>
      <c r="B329" s="282" t="s">
        <v>192</v>
      </c>
      <c r="C329" s="183">
        <v>46242</v>
      </c>
      <c r="D329" s="188" t="s">
        <v>17</v>
      </c>
      <c r="E329" s="189">
        <v>1719</v>
      </c>
      <c r="F329" s="190">
        <v>0.54024799999999995</v>
      </c>
      <c r="G329" s="191">
        <v>0.11029799999999999</v>
      </c>
      <c r="H329" s="177">
        <f>IFERROR(AVERAGEIFS($F:$F, $A:$A, $A329, $B:$B,$B329, $C:$C,$C329),"")</f>
        <v>0.38615661111111116</v>
      </c>
      <c r="I329" s="178">
        <f>IFERROR(AVERAGEIFS($G:$G, $A:$A, $A329, $B:$B,$B329, $C:$C,$C329),"")</f>
        <v>9.2878877777777771E-2</v>
      </c>
    </row>
    <row r="330" spans="1:9" x14ac:dyDescent="0.3">
      <c r="A330" s="182" t="s">
        <v>115</v>
      </c>
      <c r="B330" s="282" t="s">
        <v>192</v>
      </c>
      <c r="C330" s="183">
        <v>46242</v>
      </c>
      <c r="D330" s="188" t="s">
        <v>18</v>
      </c>
      <c r="E330" s="189">
        <v>1950</v>
      </c>
      <c r="F330" s="190">
        <v>0.38157099999999999</v>
      </c>
      <c r="G330" s="191">
        <v>9.0749499999999997E-2</v>
      </c>
      <c r="H330" s="177">
        <f>IFERROR(AVERAGEIFS($F:$F, $A:$A, $A330, $B:$B,$B330, $C:$C,$C330),"")</f>
        <v>0.38615661111111116</v>
      </c>
      <c r="I330" s="178">
        <f>IFERROR(AVERAGEIFS($G:$G, $A:$A, $A330, $B:$B,$B330, $C:$C,$C330),"")</f>
        <v>9.2878877777777771E-2</v>
      </c>
    </row>
    <row r="331" spans="1:9" x14ac:dyDescent="0.3">
      <c r="A331" s="182" t="s">
        <v>115</v>
      </c>
      <c r="B331" s="282" t="s">
        <v>192</v>
      </c>
      <c r="C331" s="183">
        <v>46242</v>
      </c>
      <c r="D331" s="188" t="s">
        <v>19</v>
      </c>
      <c r="E331" s="189">
        <v>1979</v>
      </c>
      <c r="F331" s="190">
        <v>0.40723799999999999</v>
      </c>
      <c r="G331" s="191">
        <v>8.1662799999999994E-2</v>
      </c>
      <c r="H331" s="177">
        <f>IFERROR(AVERAGEIFS($F:$F, $A:$A, $A331, $B:$B,$B331, $C:$C,$C331),"")</f>
        <v>0.38615661111111116</v>
      </c>
      <c r="I331" s="178">
        <f>IFERROR(AVERAGEIFS($G:$G, $A:$A, $A331, $B:$B,$B331, $C:$C,$C331),"")</f>
        <v>9.2878877777777771E-2</v>
      </c>
    </row>
    <row r="332" spans="1:9" x14ac:dyDescent="0.3">
      <c r="A332" s="182" t="s">
        <v>115</v>
      </c>
      <c r="B332" s="282" t="s">
        <v>192</v>
      </c>
      <c r="C332" s="183">
        <v>46242</v>
      </c>
      <c r="D332" s="188" t="s">
        <v>20</v>
      </c>
      <c r="E332" s="189">
        <v>2245</v>
      </c>
      <c r="F332" s="190">
        <v>0.44565500000000002</v>
      </c>
      <c r="G332" s="191">
        <v>8.9242699999999994E-2</v>
      </c>
      <c r="H332" s="177">
        <f>IFERROR(AVERAGEIFS($F:$F, $A:$A, $A332, $B:$B,$B332, $C:$C,$C332),"")</f>
        <v>0.38615661111111116</v>
      </c>
      <c r="I332" s="178">
        <f>IFERROR(AVERAGEIFS($G:$G, $A:$A, $A332, $B:$B,$B332, $C:$C,$C332),"")</f>
        <v>9.2878877777777771E-2</v>
      </c>
    </row>
    <row r="333" spans="1:9" x14ac:dyDescent="0.3">
      <c r="A333" s="182" t="s">
        <v>115</v>
      </c>
      <c r="B333" s="282" t="s">
        <v>192</v>
      </c>
      <c r="C333" s="183">
        <v>46242</v>
      </c>
      <c r="D333" s="188" t="s">
        <v>44</v>
      </c>
      <c r="E333" s="189">
        <v>1145</v>
      </c>
      <c r="F333" s="190">
        <v>0.28156700000000001</v>
      </c>
      <c r="G333" s="191">
        <v>8.1516099999999994E-2</v>
      </c>
      <c r="H333" s="177">
        <f>IFERROR(AVERAGEIFS($F:$F, $A:$A, $A333, $B:$B,$B333, $C:$C,$C333),"")</f>
        <v>0.38615661111111116</v>
      </c>
      <c r="I333" s="178">
        <f>IFERROR(AVERAGEIFS($G:$G, $A:$A, $A333, $B:$B,$B333, $C:$C,$C333),"")</f>
        <v>9.2878877777777771E-2</v>
      </c>
    </row>
    <row r="334" spans="1:9" x14ac:dyDescent="0.3">
      <c r="A334" s="182" t="s">
        <v>115</v>
      </c>
      <c r="B334" s="282" t="s">
        <v>192</v>
      </c>
      <c r="C334" s="183">
        <v>46242</v>
      </c>
      <c r="D334" s="188" t="s">
        <v>21</v>
      </c>
      <c r="E334" s="189">
        <v>2984</v>
      </c>
      <c r="F334" s="190">
        <v>0.42464800000000003</v>
      </c>
      <c r="G334" s="191">
        <v>8.65345E-2</v>
      </c>
      <c r="H334" s="177">
        <f>IFERROR(AVERAGEIFS($F:$F, $A:$A, $A334, $B:$B,$B334, $C:$C,$C334),"")</f>
        <v>0.38615661111111116</v>
      </c>
      <c r="I334" s="178">
        <f>IFERROR(AVERAGEIFS($G:$G, $A:$A, $A334, $B:$B,$B334, $C:$C,$C334),"")</f>
        <v>9.2878877777777771E-2</v>
      </c>
    </row>
    <row r="335" spans="1:9" x14ac:dyDescent="0.3">
      <c r="A335" s="182" t="s">
        <v>115</v>
      </c>
      <c r="B335" s="282" t="s">
        <v>192</v>
      </c>
      <c r="C335" s="183">
        <v>46242</v>
      </c>
      <c r="D335" s="188" t="s">
        <v>22</v>
      </c>
      <c r="E335" s="189">
        <v>1992</v>
      </c>
      <c r="F335" s="190">
        <v>0.37770399999999998</v>
      </c>
      <c r="G335" s="191">
        <v>0.104974</v>
      </c>
      <c r="H335" s="177">
        <f>IFERROR(AVERAGEIFS($F:$F, $A:$A, $A335, $B:$B,$B335, $C:$C,$C335),"")</f>
        <v>0.38615661111111116</v>
      </c>
      <c r="I335" s="178">
        <f>IFERROR(AVERAGEIFS($G:$G, $A:$A, $A335, $B:$B,$B335, $C:$C,$C335),"")</f>
        <v>9.2878877777777771E-2</v>
      </c>
    </row>
    <row r="336" spans="1:9" x14ac:dyDescent="0.3">
      <c r="A336" s="182" t="s">
        <v>115</v>
      </c>
      <c r="B336" s="282" t="s">
        <v>192</v>
      </c>
      <c r="C336" s="183">
        <v>46242</v>
      </c>
      <c r="D336" s="188" t="s">
        <v>23</v>
      </c>
      <c r="E336" s="189">
        <v>1328</v>
      </c>
      <c r="F336" s="190">
        <v>0.42462699999999998</v>
      </c>
      <c r="G336" s="191">
        <v>0.13869799999999999</v>
      </c>
      <c r="H336" s="177">
        <f>IFERROR(AVERAGEIFS($F:$F, $A:$A, $A336, $B:$B,$B336, $C:$C,$C336),"")</f>
        <v>0.38615661111111116</v>
      </c>
      <c r="I336" s="178">
        <f>IFERROR(AVERAGEIFS($G:$G, $A:$A, $A336, $B:$B,$B336, $C:$C,$C336),"")</f>
        <v>9.2878877777777771E-2</v>
      </c>
    </row>
    <row r="337" spans="1:9" x14ac:dyDescent="0.3">
      <c r="A337" s="182" t="s">
        <v>115</v>
      </c>
      <c r="B337" s="282" t="s">
        <v>192</v>
      </c>
      <c r="C337" s="183">
        <v>46242</v>
      </c>
      <c r="D337" s="188" t="s">
        <v>24</v>
      </c>
      <c r="E337" s="189">
        <v>2725</v>
      </c>
      <c r="F337" s="190">
        <v>0.174926</v>
      </c>
      <c r="G337" s="191">
        <v>5.6090300000000003E-2</v>
      </c>
      <c r="H337" s="177">
        <f>IFERROR(AVERAGEIFS($F:$F, $A:$A, $A337, $B:$B,$B337, $C:$C,$C337),"")</f>
        <v>0.38615661111111116</v>
      </c>
      <c r="I337" s="178">
        <f>IFERROR(AVERAGEIFS($G:$G, $A:$A, $A337, $B:$B,$B337, $C:$C,$C337),"")</f>
        <v>9.2878877777777771E-2</v>
      </c>
    </row>
    <row r="338" spans="1:9" x14ac:dyDescent="0.3">
      <c r="A338" s="182" t="s">
        <v>115</v>
      </c>
      <c r="B338" s="282" t="s">
        <v>192</v>
      </c>
      <c r="C338" s="183">
        <v>46242</v>
      </c>
      <c r="D338" s="188" t="s">
        <v>25</v>
      </c>
      <c r="E338" s="189">
        <v>1108</v>
      </c>
      <c r="F338" s="190">
        <v>0.17077700000000001</v>
      </c>
      <c r="G338" s="191">
        <v>4.3160200000000003E-2</v>
      </c>
      <c r="H338" s="177">
        <f>IFERROR(AVERAGEIFS($F:$F, $A:$A, $A338, $B:$B,$B338, $C:$C,$C338),"")</f>
        <v>0.38615661111111116</v>
      </c>
      <c r="I338" s="178">
        <f>IFERROR(AVERAGEIFS($G:$G, $A:$A, $A338, $B:$B,$B338, $C:$C,$C338),"")</f>
        <v>9.2878877777777771E-2</v>
      </c>
    </row>
    <row r="339" spans="1:9" x14ac:dyDescent="0.3">
      <c r="A339" s="182" t="s">
        <v>115</v>
      </c>
      <c r="B339" s="282" t="s">
        <v>192</v>
      </c>
      <c r="C339" s="183">
        <v>46242</v>
      </c>
      <c r="D339" s="188" t="s">
        <v>26</v>
      </c>
      <c r="E339" s="189">
        <v>2406</v>
      </c>
      <c r="F339" s="190">
        <v>0.17474799999999999</v>
      </c>
      <c r="G339" s="191">
        <v>5.5523200000000002E-2</v>
      </c>
      <c r="H339" s="177">
        <f>IFERROR(AVERAGEIFS($F:$F, $A:$A, $A339, $B:$B,$B339, $C:$C,$C339),"")</f>
        <v>0.38615661111111116</v>
      </c>
      <c r="I339" s="178">
        <f>IFERROR(AVERAGEIFS($G:$G, $A:$A, $A339, $B:$B,$B339, $C:$C,$C339),"")</f>
        <v>9.2878877777777771E-2</v>
      </c>
    </row>
    <row r="340" spans="1:9" x14ac:dyDescent="0.3">
      <c r="A340" s="182" t="s">
        <v>115</v>
      </c>
      <c r="B340" s="282" t="s">
        <v>192</v>
      </c>
      <c r="C340" s="183">
        <v>46242</v>
      </c>
      <c r="D340" s="188" t="s">
        <v>27</v>
      </c>
      <c r="E340" s="189">
        <v>1994</v>
      </c>
      <c r="F340" s="190">
        <v>0.33553899999999998</v>
      </c>
      <c r="G340" s="191">
        <v>8.0594700000000005E-2</v>
      </c>
      <c r="H340" s="177">
        <f>IFERROR(AVERAGEIFS($F:$F, $A:$A, $A340, $B:$B,$B340, $C:$C,$C340),"")</f>
        <v>0.38615661111111116</v>
      </c>
      <c r="I340" s="178">
        <f>IFERROR(AVERAGEIFS($G:$G, $A:$A, $A340, $B:$B,$B340, $C:$C,$C340),"")</f>
        <v>9.2878877777777771E-2</v>
      </c>
    </row>
    <row r="341" spans="1:9" x14ac:dyDescent="0.3">
      <c r="A341" s="182" t="s">
        <v>115</v>
      </c>
      <c r="B341" s="282" t="s">
        <v>192</v>
      </c>
      <c r="C341" s="183">
        <v>46242</v>
      </c>
      <c r="D341" s="188" t="s">
        <v>28</v>
      </c>
      <c r="E341" s="189">
        <v>1075</v>
      </c>
      <c r="F341" s="190">
        <v>0.501197</v>
      </c>
      <c r="G341" s="191">
        <v>0.118765</v>
      </c>
      <c r="H341" s="177">
        <f>IFERROR(AVERAGEIFS($F:$F, $A:$A, $A341, $B:$B,$B341, $C:$C,$C341),"")</f>
        <v>0.38615661111111116</v>
      </c>
      <c r="I341" s="178">
        <f>IFERROR(AVERAGEIFS($G:$G, $A:$A, $A341, $B:$B,$B341, $C:$C,$C341),"")</f>
        <v>9.2878877777777771E-2</v>
      </c>
    </row>
    <row r="342" spans="1:9" x14ac:dyDescent="0.3">
      <c r="A342" s="182" t="s">
        <v>115</v>
      </c>
      <c r="B342" s="282" t="s">
        <v>192</v>
      </c>
      <c r="C342" s="183">
        <v>46242</v>
      </c>
      <c r="D342" s="188" t="s">
        <v>29</v>
      </c>
      <c r="E342" s="189">
        <v>1623</v>
      </c>
      <c r="F342" s="190">
        <v>0.39379799999999998</v>
      </c>
      <c r="G342" s="191">
        <v>7.8585799999999997E-2</v>
      </c>
      <c r="H342" s="177">
        <f>IFERROR(AVERAGEIFS($F:$F, $A:$A, $A342, $B:$B,$B342, $C:$C,$C342),"")</f>
        <v>0.38615661111111116</v>
      </c>
      <c r="I342" s="178">
        <f>IFERROR(AVERAGEIFS($G:$G, $A:$A, $A342, $B:$B,$B342, $C:$C,$C342),"")</f>
        <v>9.2878877777777771E-2</v>
      </c>
    </row>
    <row r="343" spans="1:9" x14ac:dyDescent="0.3">
      <c r="A343" s="182" t="s">
        <v>115</v>
      </c>
      <c r="B343" s="282" t="s">
        <v>192</v>
      </c>
      <c r="C343" s="183">
        <v>46242</v>
      </c>
      <c r="D343" s="188" t="s">
        <v>30</v>
      </c>
      <c r="E343" s="189">
        <v>1003</v>
      </c>
      <c r="F343" s="190">
        <v>0.53888800000000003</v>
      </c>
      <c r="G343" s="191">
        <v>0.11252</v>
      </c>
      <c r="H343" s="177">
        <f>IFERROR(AVERAGEIFS($F:$F, $A:$A, $A343, $B:$B,$B343, $C:$C,$C343),"")</f>
        <v>0.38615661111111116</v>
      </c>
      <c r="I343" s="178">
        <f>IFERROR(AVERAGEIFS($G:$G, $A:$A, $A343, $B:$B,$B343, $C:$C,$C343),"")</f>
        <v>9.2878877777777771E-2</v>
      </c>
    </row>
    <row r="344" spans="1:9" x14ac:dyDescent="0.3">
      <c r="A344" s="182" t="s">
        <v>115</v>
      </c>
      <c r="B344" s="282" t="s">
        <v>191</v>
      </c>
      <c r="C344" s="183">
        <v>46242</v>
      </c>
      <c r="D344" s="188" t="s">
        <v>14</v>
      </c>
      <c r="E344" s="189">
        <v>4250</v>
      </c>
      <c r="F344" s="190">
        <v>0.499662</v>
      </c>
      <c r="G344" s="191">
        <v>0.13658699999999999</v>
      </c>
      <c r="H344" s="177">
        <f>IFERROR(AVERAGEIFS($F:$F, $A:$A, $A344, $B:$B,$B344, $C:$C,$C344),"")</f>
        <v>0.36258505555555548</v>
      </c>
      <c r="I344" s="178">
        <f>IFERROR(AVERAGEIFS($G:$G, $A:$A, $A344, $B:$B,$B344, $C:$C,$C344),"")</f>
        <v>8.7321022222222211E-2</v>
      </c>
    </row>
    <row r="345" spans="1:9" x14ac:dyDescent="0.3">
      <c r="A345" s="182" t="s">
        <v>115</v>
      </c>
      <c r="B345" s="282" t="s">
        <v>191</v>
      </c>
      <c r="C345" s="183">
        <v>46242</v>
      </c>
      <c r="D345" s="188" t="s">
        <v>15</v>
      </c>
      <c r="E345" s="189">
        <v>4013</v>
      </c>
      <c r="F345" s="190">
        <v>0.39092500000000002</v>
      </c>
      <c r="G345" s="191">
        <v>9.9597900000000003E-2</v>
      </c>
      <c r="H345" s="177">
        <f>IFERROR(AVERAGEIFS($F:$F, $A:$A, $A345, $B:$B,$B345, $C:$C,$C345),"")</f>
        <v>0.36258505555555548</v>
      </c>
      <c r="I345" s="178">
        <f>IFERROR(AVERAGEIFS($G:$G, $A:$A, $A345, $B:$B,$B345, $C:$C,$C345),"")</f>
        <v>8.7321022222222211E-2</v>
      </c>
    </row>
    <row r="346" spans="1:9" x14ac:dyDescent="0.3">
      <c r="A346" s="182" t="s">
        <v>115</v>
      </c>
      <c r="B346" s="282" t="s">
        <v>191</v>
      </c>
      <c r="C346" s="183">
        <v>46242</v>
      </c>
      <c r="D346" s="188" t="s">
        <v>16</v>
      </c>
      <c r="E346" s="189">
        <v>3278</v>
      </c>
      <c r="F346" s="190">
        <v>0.46836800000000001</v>
      </c>
      <c r="G346" s="191">
        <v>0.10427599999999999</v>
      </c>
      <c r="H346" s="177">
        <f>IFERROR(AVERAGEIFS($F:$F, $A:$A, $A346, $B:$B,$B346, $C:$C,$C346),"")</f>
        <v>0.36258505555555548</v>
      </c>
      <c r="I346" s="178">
        <f>IFERROR(AVERAGEIFS($G:$G, $A:$A, $A346, $B:$B,$B346, $C:$C,$C346),"")</f>
        <v>8.7321022222222211E-2</v>
      </c>
    </row>
    <row r="347" spans="1:9" x14ac:dyDescent="0.3">
      <c r="A347" s="182" t="s">
        <v>115</v>
      </c>
      <c r="B347" s="282" t="s">
        <v>191</v>
      </c>
      <c r="C347" s="183">
        <v>46242</v>
      </c>
      <c r="D347" s="188" t="s">
        <v>17</v>
      </c>
      <c r="E347" s="189">
        <v>3575</v>
      </c>
      <c r="F347" s="190">
        <v>0.48782999999999999</v>
      </c>
      <c r="G347" s="191">
        <v>9.9588999999999997E-2</v>
      </c>
      <c r="H347" s="177">
        <f>IFERROR(AVERAGEIFS($F:$F, $A:$A, $A347, $B:$B,$B347, $C:$C,$C347),"")</f>
        <v>0.36258505555555548</v>
      </c>
      <c r="I347" s="178">
        <f>IFERROR(AVERAGEIFS($G:$G, $A:$A, $A347, $B:$B,$B347, $C:$C,$C347),"")</f>
        <v>8.7321022222222211E-2</v>
      </c>
    </row>
    <row r="348" spans="1:9" x14ac:dyDescent="0.3">
      <c r="A348" s="182" t="s">
        <v>115</v>
      </c>
      <c r="B348" s="282" t="s">
        <v>191</v>
      </c>
      <c r="C348" s="183">
        <v>46242</v>
      </c>
      <c r="D348" s="188" t="s">
        <v>18</v>
      </c>
      <c r="E348" s="189">
        <v>3902</v>
      </c>
      <c r="F348" s="190">
        <v>0.38157099999999999</v>
      </c>
      <c r="G348" s="191">
        <v>9.0749499999999997E-2</v>
      </c>
      <c r="H348" s="177">
        <f>IFERROR(AVERAGEIFS($F:$F, $A:$A, $A348, $B:$B,$B348, $C:$C,$C348),"")</f>
        <v>0.36258505555555548</v>
      </c>
      <c r="I348" s="178">
        <f>IFERROR(AVERAGEIFS($G:$G, $A:$A, $A348, $B:$B,$B348, $C:$C,$C348),"")</f>
        <v>8.7321022222222211E-2</v>
      </c>
    </row>
    <row r="349" spans="1:9" x14ac:dyDescent="0.3">
      <c r="A349" s="182" t="s">
        <v>115</v>
      </c>
      <c r="B349" s="282" t="s">
        <v>191</v>
      </c>
      <c r="C349" s="183">
        <v>46242</v>
      </c>
      <c r="D349" s="188" t="s">
        <v>19</v>
      </c>
      <c r="E349" s="189">
        <v>3468</v>
      </c>
      <c r="F349" s="190">
        <v>0.43530799999999997</v>
      </c>
      <c r="G349" s="191">
        <v>8.7284600000000004E-2</v>
      </c>
      <c r="H349" s="177">
        <f>IFERROR(AVERAGEIFS($F:$F, $A:$A, $A349, $B:$B,$B349, $C:$C,$C349),"")</f>
        <v>0.36258505555555548</v>
      </c>
      <c r="I349" s="178">
        <f>IFERROR(AVERAGEIFS($G:$G, $A:$A, $A349, $B:$B,$B349, $C:$C,$C349),"")</f>
        <v>8.7321022222222211E-2</v>
      </c>
    </row>
    <row r="350" spans="1:9" x14ac:dyDescent="0.3">
      <c r="A350" s="182" t="s">
        <v>115</v>
      </c>
      <c r="B350" s="282" t="s">
        <v>191</v>
      </c>
      <c r="C350" s="183">
        <v>46242</v>
      </c>
      <c r="D350" s="188" t="s">
        <v>20</v>
      </c>
      <c r="E350" s="189">
        <v>3519</v>
      </c>
      <c r="F350" s="190">
        <v>0.41318700000000003</v>
      </c>
      <c r="G350" s="191">
        <v>8.2780800000000002E-2</v>
      </c>
      <c r="H350" s="177">
        <f>IFERROR(AVERAGEIFS($F:$F, $A:$A, $A350, $B:$B,$B350, $C:$C,$C350),"")</f>
        <v>0.36258505555555548</v>
      </c>
      <c r="I350" s="178">
        <f>IFERROR(AVERAGEIFS($G:$G, $A:$A, $A350, $B:$B,$B350, $C:$C,$C350),"")</f>
        <v>8.7321022222222211E-2</v>
      </c>
    </row>
    <row r="351" spans="1:9" x14ac:dyDescent="0.3">
      <c r="A351" s="182" t="s">
        <v>115</v>
      </c>
      <c r="B351" s="282" t="s">
        <v>191</v>
      </c>
      <c r="C351" s="183">
        <v>46242</v>
      </c>
      <c r="D351" s="188" t="s">
        <v>44</v>
      </c>
      <c r="E351" s="189">
        <v>2130</v>
      </c>
      <c r="F351" s="190">
        <v>0.25536300000000001</v>
      </c>
      <c r="G351" s="191">
        <v>7.3986300000000005E-2</v>
      </c>
      <c r="H351" s="177">
        <f>IFERROR(AVERAGEIFS($F:$F, $A:$A, $A351, $B:$B,$B351, $C:$C,$C351),"")</f>
        <v>0.36258505555555548</v>
      </c>
      <c r="I351" s="178">
        <f>IFERROR(AVERAGEIFS($G:$G, $A:$A, $A351, $B:$B,$B351, $C:$C,$C351),"")</f>
        <v>8.7321022222222211E-2</v>
      </c>
    </row>
    <row r="352" spans="1:9" x14ac:dyDescent="0.3">
      <c r="A352" s="182" t="s">
        <v>115</v>
      </c>
      <c r="B352" s="282" t="s">
        <v>191</v>
      </c>
      <c r="C352" s="183">
        <v>46242</v>
      </c>
      <c r="D352" s="188" t="s">
        <v>21</v>
      </c>
      <c r="E352" s="189">
        <v>4973</v>
      </c>
      <c r="F352" s="190">
        <v>0.45008999999999999</v>
      </c>
      <c r="G352" s="191">
        <v>9.1700000000000004E-2</v>
      </c>
      <c r="H352" s="177">
        <f>IFERROR(AVERAGEIFS($F:$F, $A:$A, $A352, $B:$B,$B352, $C:$C,$C352),"")</f>
        <v>0.36258505555555548</v>
      </c>
      <c r="I352" s="178">
        <f>IFERROR(AVERAGEIFS($G:$G, $A:$A, $A352, $B:$B,$B352, $C:$C,$C352),"")</f>
        <v>8.7321022222222211E-2</v>
      </c>
    </row>
    <row r="353" spans="1:9" x14ac:dyDescent="0.3">
      <c r="A353" s="182" t="s">
        <v>115</v>
      </c>
      <c r="B353" s="282" t="s">
        <v>191</v>
      </c>
      <c r="C353" s="183">
        <v>46242</v>
      </c>
      <c r="D353" s="188" t="s">
        <v>22</v>
      </c>
      <c r="E353" s="189">
        <v>3766</v>
      </c>
      <c r="F353" s="190">
        <v>0.39692499999999997</v>
      </c>
      <c r="G353" s="191">
        <v>0.110336</v>
      </c>
      <c r="H353" s="177">
        <f>IFERROR(AVERAGEIFS($F:$F, $A:$A, $A353, $B:$B,$B353, $C:$C,$C353),"")</f>
        <v>0.36258505555555548</v>
      </c>
      <c r="I353" s="178">
        <f>IFERROR(AVERAGEIFS($G:$G, $A:$A, $A353, $B:$B,$B353, $C:$C,$C353),"")</f>
        <v>8.7321022222222211E-2</v>
      </c>
    </row>
    <row r="354" spans="1:9" x14ac:dyDescent="0.3">
      <c r="A354" s="182" t="s">
        <v>115</v>
      </c>
      <c r="B354" s="282" t="s">
        <v>191</v>
      </c>
      <c r="C354" s="183">
        <v>46242</v>
      </c>
      <c r="D354" s="188" t="s">
        <v>23</v>
      </c>
      <c r="E354" s="189">
        <v>2002</v>
      </c>
      <c r="F354" s="190">
        <v>0.193358</v>
      </c>
      <c r="G354" s="191">
        <v>6.3104099999999996E-2</v>
      </c>
      <c r="H354" s="177">
        <f>IFERROR(AVERAGEIFS($F:$F, $A:$A, $A354, $B:$B,$B354, $C:$C,$C354),"")</f>
        <v>0.36258505555555548</v>
      </c>
      <c r="I354" s="178">
        <f>IFERROR(AVERAGEIFS($G:$G, $A:$A, $A354, $B:$B,$B354, $C:$C,$C354),"")</f>
        <v>8.7321022222222211E-2</v>
      </c>
    </row>
    <row r="355" spans="1:9" x14ac:dyDescent="0.3">
      <c r="A355" s="182" t="s">
        <v>115</v>
      </c>
      <c r="B355" s="282" t="s">
        <v>191</v>
      </c>
      <c r="C355" s="183">
        <v>46242</v>
      </c>
      <c r="D355" s="188" t="s">
        <v>24</v>
      </c>
      <c r="E355" s="189">
        <v>4266</v>
      </c>
      <c r="F355" s="190">
        <v>0.31382900000000002</v>
      </c>
      <c r="G355" s="191">
        <v>0.100622</v>
      </c>
      <c r="H355" s="177">
        <f>IFERROR(AVERAGEIFS($F:$F, $A:$A, $A355, $B:$B,$B355, $C:$C,$C355),"")</f>
        <v>0.36258505555555548</v>
      </c>
      <c r="I355" s="178">
        <f>IFERROR(AVERAGEIFS($G:$G, $A:$A, $A355, $B:$B,$B355, $C:$C,$C355),"")</f>
        <v>8.7321022222222211E-2</v>
      </c>
    </row>
    <row r="356" spans="1:9" x14ac:dyDescent="0.3">
      <c r="A356" s="182" t="s">
        <v>115</v>
      </c>
      <c r="B356" s="282" t="s">
        <v>191</v>
      </c>
      <c r="C356" s="183">
        <v>46242</v>
      </c>
      <c r="D356" s="188" t="s">
        <v>25</v>
      </c>
      <c r="E356" s="189">
        <v>2182</v>
      </c>
      <c r="F356" s="190">
        <v>0.13646</v>
      </c>
      <c r="G356" s="191">
        <v>3.44975E-2</v>
      </c>
      <c r="H356" s="177">
        <f>IFERROR(AVERAGEIFS($F:$F, $A:$A, $A356, $B:$B,$B356, $C:$C,$C356),"")</f>
        <v>0.36258505555555548</v>
      </c>
      <c r="I356" s="178">
        <f>IFERROR(AVERAGEIFS($G:$G, $A:$A, $A356, $B:$B,$B356, $C:$C,$C356),"")</f>
        <v>8.7321022222222211E-2</v>
      </c>
    </row>
    <row r="357" spans="1:9" x14ac:dyDescent="0.3">
      <c r="A357" s="182" t="s">
        <v>115</v>
      </c>
      <c r="B357" s="282" t="s">
        <v>191</v>
      </c>
      <c r="C357" s="183">
        <v>46242</v>
      </c>
      <c r="D357" s="188" t="s">
        <v>26</v>
      </c>
      <c r="E357" s="189">
        <v>4106</v>
      </c>
      <c r="F357" s="190">
        <v>0.21410299999999999</v>
      </c>
      <c r="G357" s="191">
        <v>6.8046899999999994E-2</v>
      </c>
      <c r="H357" s="177">
        <f>IFERROR(AVERAGEIFS($F:$F, $A:$A, $A357, $B:$B,$B357, $C:$C,$C357),"")</f>
        <v>0.36258505555555548</v>
      </c>
      <c r="I357" s="178">
        <f>IFERROR(AVERAGEIFS($G:$G, $A:$A, $A357, $B:$B,$B357, $C:$C,$C357),"")</f>
        <v>8.7321022222222211E-2</v>
      </c>
    </row>
    <row r="358" spans="1:9" x14ac:dyDescent="0.3">
      <c r="A358" s="182" t="s">
        <v>115</v>
      </c>
      <c r="B358" s="282" t="s">
        <v>191</v>
      </c>
      <c r="C358" s="183">
        <v>46242</v>
      </c>
      <c r="D358" s="188" t="s">
        <v>27</v>
      </c>
      <c r="E358" s="189">
        <v>3478</v>
      </c>
      <c r="F358" s="190">
        <v>0.36802800000000002</v>
      </c>
      <c r="G358" s="191">
        <v>8.8501300000000005E-2</v>
      </c>
      <c r="H358" s="177">
        <f>IFERROR(AVERAGEIFS($F:$F, $A:$A, $A358, $B:$B,$B358, $C:$C,$C358),"")</f>
        <v>0.36258505555555548</v>
      </c>
      <c r="I358" s="178">
        <f>IFERROR(AVERAGEIFS($G:$G, $A:$A, $A358, $B:$B,$B358, $C:$C,$C358),"")</f>
        <v>8.7321022222222211E-2</v>
      </c>
    </row>
    <row r="359" spans="1:9" x14ac:dyDescent="0.3">
      <c r="A359" s="182" t="s">
        <v>115</v>
      </c>
      <c r="B359" s="282" t="s">
        <v>191</v>
      </c>
      <c r="C359" s="183">
        <v>46242</v>
      </c>
      <c r="D359" s="188" t="s">
        <v>28</v>
      </c>
      <c r="E359" s="189">
        <v>2379</v>
      </c>
      <c r="F359" s="190">
        <v>0.316606</v>
      </c>
      <c r="G359" s="191">
        <v>7.4974899999999997E-2</v>
      </c>
      <c r="H359" s="177">
        <f>IFERROR(AVERAGEIFS($F:$F, $A:$A, $A359, $B:$B,$B359, $C:$C,$C359),"")</f>
        <v>0.36258505555555548</v>
      </c>
      <c r="I359" s="178">
        <f>IFERROR(AVERAGEIFS($G:$G, $A:$A, $A359, $B:$B,$B359, $C:$C,$C359),"")</f>
        <v>8.7321022222222211E-2</v>
      </c>
    </row>
    <row r="360" spans="1:9" x14ac:dyDescent="0.3">
      <c r="A360" s="182" t="s">
        <v>115</v>
      </c>
      <c r="B360" s="282" t="s">
        <v>191</v>
      </c>
      <c r="C360" s="183">
        <v>46242</v>
      </c>
      <c r="D360" s="188" t="s">
        <v>29</v>
      </c>
      <c r="E360" s="189">
        <v>3003</v>
      </c>
      <c r="F360" s="190">
        <v>0.31798100000000001</v>
      </c>
      <c r="G360" s="191">
        <v>6.3462599999999994E-2</v>
      </c>
      <c r="H360" s="177">
        <f>IFERROR(AVERAGEIFS($F:$F, $A:$A, $A360, $B:$B,$B360, $C:$C,$C360),"")</f>
        <v>0.36258505555555548</v>
      </c>
      <c r="I360" s="178">
        <f>IFERROR(AVERAGEIFS($G:$G, $A:$A, $A360, $B:$B,$B360, $C:$C,$C360),"")</f>
        <v>8.7321022222222211E-2</v>
      </c>
    </row>
    <row r="361" spans="1:9" x14ac:dyDescent="0.3">
      <c r="A361" s="182" t="s">
        <v>115</v>
      </c>
      <c r="B361" s="282" t="s">
        <v>191</v>
      </c>
      <c r="C361" s="183">
        <v>46242</v>
      </c>
      <c r="D361" s="188" t="s">
        <v>30</v>
      </c>
      <c r="E361" s="189">
        <v>2431</v>
      </c>
      <c r="F361" s="190">
        <v>0.48693700000000001</v>
      </c>
      <c r="G361" s="191">
        <v>0.10168199999999999</v>
      </c>
      <c r="H361" s="177">
        <f>IFERROR(AVERAGEIFS($F:$F, $A:$A, $A361, $B:$B,$B361, $C:$C,$C361),"")</f>
        <v>0.36258505555555548</v>
      </c>
      <c r="I361" s="178">
        <f>IFERROR(AVERAGEIFS($G:$G, $A:$A, $A361, $B:$B,$B361, $C:$C,$C361),"")</f>
        <v>8.7321022222222211E-2</v>
      </c>
    </row>
    <row r="362" spans="1:9" x14ac:dyDescent="0.3">
      <c r="A362" s="182" t="s">
        <v>115</v>
      </c>
      <c r="B362" s="282" t="s">
        <v>193</v>
      </c>
      <c r="C362" s="183">
        <v>46242</v>
      </c>
      <c r="D362" s="188" t="s">
        <v>14</v>
      </c>
      <c r="E362" s="189">
        <v>4425</v>
      </c>
      <c r="F362" s="190">
        <v>0.48222399999999999</v>
      </c>
      <c r="G362" s="191">
        <v>0.135518</v>
      </c>
      <c r="H362" s="177">
        <f>IFERROR(AVERAGEIFS($F:$F, $A:$A, $A362, $B:$B,$B362, $C:$C,$C362),"")</f>
        <v>0.38776061111111115</v>
      </c>
      <c r="I362" s="178">
        <f>IFERROR(AVERAGEIFS($G:$G, $A:$A, $A362, $B:$B,$B362, $C:$C,$C362),"")</f>
        <v>9.35569611111111E-2</v>
      </c>
    </row>
    <row r="363" spans="1:9" x14ac:dyDescent="0.3">
      <c r="A363" s="182" t="s">
        <v>115</v>
      </c>
      <c r="B363" s="282" t="s">
        <v>193</v>
      </c>
      <c r="C363" s="183">
        <v>46242</v>
      </c>
      <c r="D363" s="188" t="s">
        <v>15</v>
      </c>
      <c r="E363" s="189">
        <v>4008</v>
      </c>
      <c r="F363" s="190">
        <v>0.43496099999999999</v>
      </c>
      <c r="G363" s="191">
        <v>0.114574</v>
      </c>
      <c r="H363" s="177">
        <f>IFERROR(AVERAGEIFS($F:$F, $A:$A, $A363, $B:$B,$B363, $C:$C,$C363),"")</f>
        <v>0.38776061111111115</v>
      </c>
      <c r="I363" s="178">
        <f>IFERROR(AVERAGEIFS($G:$G, $A:$A, $A363, $B:$B,$B363, $C:$C,$C363),"")</f>
        <v>9.35569611111111E-2</v>
      </c>
    </row>
    <row r="364" spans="1:9" x14ac:dyDescent="0.3">
      <c r="A364" s="182" t="s">
        <v>115</v>
      </c>
      <c r="B364" s="282" t="s">
        <v>193</v>
      </c>
      <c r="C364" s="183">
        <v>46242</v>
      </c>
      <c r="D364" s="188" t="s">
        <v>16</v>
      </c>
      <c r="E364" s="189">
        <v>3145</v>
      </c>
      <c r="F364" s="190">
        <v>0.48401</v>
      </c>
      <c r="G364" s="191">
        <v>0.113509</v>
      </c>
      <c r="H364" s="177">
        <f>IFERROR(AVERAGEIFS($F:$F, $A:$A, $A364, $B:$B,$B364, $C:$C,$C364),"")</f>
        <v>0.38776061111111115</v>
      </c>
      <c r="I364" s="178">
        <f>IFERROR(AVERAGEIFS($G:$G, $A:$A, $A364, $B:$B,$B364, $C:$C,$C364),"")</f>
        <v>9.35569611111111E-2</v>
      </c>
    </row>
    <row r="365" spans="1:9" x14ac:dyDescent="0.3">
      <c r="A365" s="182" t="s">
        <v>115</v>
      </c>
      <c r="B365" s="282" t="s">
        <v>193</v>
      </c>
      <c r="C365" s="183">
        <v>46242</v>
      </c>
      <c r="D365" s="188" t="s">
        <v>17</v>
      </c>
      <c r="E365" s="189">
        <v>3620</v>
      </c>
      <c r="F365" s="190">
        <v>0.51928300000000005</v>
      </c>
      <c r="G365" s="191">
        <v>0.102715</v>
      </c>
      <c r="H365" s="177">
        <f>IFERROR(AVERAGEIFS($F:$F, $A:$A, $A365, $B:$B,$B365, $C:$C,$C365),"")</f>
        <v>0.38776061111111115</v>
      </c>
      <c r="I365" s="178">
        <f>IFERROR(AVERAGEIFS($G:$G, $A:$A, $A365, $B:$B,$B365, $C:$C,$C365),"")</f>
        <v>9.35569611111111E-2</v>
      </c>
    </row>
    <row r="366" spans="1:9" x14ac:dyDescent="0.3">
      <c r="A366" s="182" t="s">
        <v>115</v>
      </c>
      <c r="B366" s="282" t="s">
        <v>193</v>
      </c>
      <c r="C366" s="183">
        <v>46242</v>
      </c>
      <c r="D366" s="188" t="s">
        <v>18</v>
      </c>
      <c r="E366" s="189">
        <v>3451</v>
      </c>
      <c r="F366" s="190">
        <v>0.28758899999999998</v>
      </c>
      <c r="G366" s="191">
        <v>6.8395600000000001E-2</v>
      </c>
      <c r="H366" s="177">
        <f>IFERROR(AVERAGEIFS($F:$F, $A:$A, $A366, $B:$B,$B366, $C:$C,$C366),"")</f>
        <v>0.38776061111111115</v>
      </c>
      <c r="I366" s="178">
        <f>IFERROR(AVERAGEIFS($G:$G, $A:$A, $A366, $B:$B,$B366, $C:$C,$C366),"")</f>
        <v>9.35569611111111E-2</v>
      </c>
    </row>
    <row r="367" spans="1:9" x14ac:dyDescent="0.3">
      <c r="A367" s="182" t="s">
        <v>115</v>
      </c>
      <c r="B367" s="282" t="s">
        <v>193</v>
      </c>
      <c r="C367" s="183">
        <v>46242</v>
      </c>
      <c r="D367" s="188" t="s">
        <v>19</v>
      </c>
      <c r="E367" s="189">
        <v>3099</v>
      </c>
      <c r="F367" s="190">
        <v>0.462119</v>
      </c>
      <c r="G367" s="191">
        <v>9.7178799999999996E-2</v>
      </c>
      <c r="H367" s="177">
        <f>IFERROR(AVERAGEIFS($F:$F, $A:$A, $A367, $B:$B,$B367, $C:$C,$C367),"")</f>
        <v>0.38776061111111115</v>
      </c>
      <c r="I367" s="178">
        <f>IFERROR(AVERAGEIFS($G:$G, $A:$A, $A367, $B:$B,$B367, $C:$C,$C367),"")</f>
        <v>9.35569611111111E-2</v>
      </c>
    </row>
    <row r="368" spans="1:9" x14ac:dyDescent="0.3">
      <c r="A368" s="182" t="s">
        <v>115</v>
      </c>
      <c r="B368" s="282" t="s">
        <v>193</v>
      </c>
      <c r="C368" s="183">
        <v>46242</v>
      </c>
      <c r="D368" s="188" t="s">
        <v>20</v>
      </c>
      <c r="E368" s="189">
        <v>3076</v>
      </c>
      <c r="F368" s="190">
        <v>0.42457699999999998</v>
      </c>
      <c r="G368" s="191">
        <v>8.8813299999999998E-2</v>
      </c>
      <c r="H368" s="177">
        <f>IFERROR(AVERAGEIFS($F:$F, $A:$A, $A368, $B:$B,$B368, $C:$C,$C368),"")</f>
        <v>0.38776061111111115</v>
      </c>
      <c r="I368" s="178">
        <f>IFERROR(AVERAGEIFS($G:$G, $A:$A, $A368, $B:$B,$B368, $C:$C,$C368),"")</f>
        <v>9.35569611111111E-2</v>
      </c>
    </row>
    <row r="369" spans="1:9" x14ac:dyDescent="0.3">
      <c r="A369" s="182" t="s">
        <v>115</v>
      </c>
      <c r="B369" s="282" t="s">
        <v>193</v>
      </c>
      <c r="C369" s="183">
        <v>46242</v>
      </c>
      <c r="D369" s="188" t="s">
        <v>44</v>
      </c>
      <c r="E369" s="189">
        <v>2000</v>
      </c>
      <c r="F369" s="190">
        <v>0.231267</v>
      </c>
      <c r="G369" s="191">
        <v>7.0090899999999998E-2</v>
      </c>
      <c r="H369" s="177">
        <f>IFERROR(AVERAGEIFS($F:$F, $A:$A, $A369, $B:$B,$B369, $C:$C,$C369),"")</f>
        <v>0.38776061111111115</v>
      </c>
      <c r="I369" s="178">
        <f>IFERROR(AVERAGEIFS($G:$G, $A:$A, $A369, $B:$B,$B369, $C:$C,$C369),"")</f>
        <v>9.35569611111111E-2</v>
      </c>
    </row>
    <row r="370" spans="1:9" x14ac:dyDescent="0.3">
      <c r="A370" s="182" t="s">
        <v>115</v>
      </c>
      <c r="B370" s="282" t="s">
        <v>193</v>
      </c>
      <c r="C370" s="183">
        <v>46242</v>
      </c>
      <c r="D370" s="188" t="s">
        <v>21</v>
      </c>
      <c r="E370" s="189">
        <v>5467</v>
      </c>
      <c r="F370" s="190">
        <v>0.52926799999999996</v>
      </c>
      <c r="G370" s="191">
        <v>0.10294300000000001</v>
      </c>
      <c r="H370" s="177">
        <f>IFERROR(AVERAGEIFS($F:$F, $A:$A, $A370, $B:$B,$B370, $C:$C,$C370),"")</f>
        <v>0.38776061111111115</v>
      </c>
      <c r="I370" s="178">
        <f>IFERROR(AVERAGEIFS($G:$G, $A:$A, $A370, $B:$B,$B370, $C:$C,$C370),"")</f>
        <v>9.35569611111111E-2</v>
      </c>
    </row>
    <row r="371" spans="1:9" x14ac:dyDescent="0.3">
      <c r="A371" s="182" t="s">
        <v>115</v>
      </c>
      <c r="B371" s="282" t="s">
        <v>193</v>
      </c>
      <c r="C371" s="183">
        <v>46242</v>
      </c>
      <c r="D371" s="188" t="s">
        <v>22</v>
      </c>
      <c r="E371" s="189">
        <v>4120</v>
      </c>
      <c r="F371" s="190">
        <v>0.391957</v>
      </c>
      <c r="G371" s="191">
        <v>0.106457</v>
      </c>
      <c r="H371" s="177">
        <f>IFERROR(AVERAGEIFS($F:$F, $A:$A, $A371, $B:$B,$B371, $C:$C,$C371),"")</f>
        <v>0.38776061111111115</v>
      </c>
      <c r="I371" s="178">
        <f>IFERROR(AVERAGEIFS($G:$G, $A:$A, $A371, $B:$B,$B371, $C:$C,$C371),"")</f>
        <v>9.35569611111111E-2</v>
      </c>
    </row>
    <row r="372" spans="1:9" x14ac:dyDescent="0.3">
      <c r="A372" s="182" t="s">
        <v>115</v>
      </c>
      <c r="B372" s="282" t="s">
        <v>193</v>
      </c>
      <c r="C372" s="183">
        <v>46242</v>
      </c>
      <c r="D372" s="188" t="s">
        <v>23</v>
      </c>
      <c r="E372" s="189">
        <v>2054</v>
      </c>
      <c r="F372" s="190">
        <v>0.45885799999999999</v>
      </c>
      <c r="G372" s="191">
        <v>0.15055499999999999</v>
      </c>
      <c r="H372" s="177">
        <f>IFERROR(AVERAGEIFS($F:$F, $A:$A, $A372, $B:$B,$B372, $C:$C,$C372),"")</f>
        <v>0.38776061111111115</v>
      </c>
      <c r="I372" s="178">
        <f>IFERROR(AVERAGEIFS($G:$G, $A:$A, $A372, $B:$B,$B372, $C:$C,$C372),"")</f>
        <v>9.35569611111111E-2</v>
      </c>
    </row>
    <row r="373" spans="1:9" x14ac:dyDescent="0.3">
      <c r="A373" s="182" t="s">
        <v>115</v>
      </c>
      <c r="B373" s="282" t="s">
        <v>193</v>
      </c>
      <c r="C373" s="183">
        <v>46242</v>
      </c>
      <c r="D373" s="188" t="s">
        <v>24</v>
      </c>
      <c r="E373" s="189">
        <v>4755</v>
      </c>
      <c r="F373" s="190">
        <v>0.219692</v>
      </c>
      <c r="G373" s="191">
        <v>6.7661299999999994E-2</v>
      </c>
      <c r="H373" s="177">
        <f>IFERROR(AVERAGEIFS($F:$F, $A:$A, $A373, $B:$B,$B373, $C:$C,$C373),"")</f>
        <v>0.38776061111111115</v>
      </c>
      <c r="I373" s="178">
        <f>IFERROR(AVERAGEIFS($G:$G, $A:$A, $A373, $B:$B,$B373, $C:$C,$C373),"")</f>
        <v>9.35569611111111E-2</v>
      </c>
    </row>
    <row r="374" spans="1:9" x14ac:dyDescent="0.3">
      <c r="A374" s="182" t="s">
        <v>115</v>
      </c>
      <c r="B374" s="282" t="s">
        <v>193</v>
      </c>
      <c r="C374" s="183">
        <v>46242</v>
      </c>
      <c r="D374" s="188" t="s">
        <v>25</v>
      </c>
      <c r="E374" s="189">
        <v>2136</v>
      </c>
      <c r="F374" s="190">
        <v>0.17380200000000001</v>
      </c>
      <c r="G374" s="191">
        <v>4.1760899999999997E-2</v>
      </c>
      <c r="H374" s="177">
        <f>IFERROR(AVERAGEIFS($F:$F, $A:$A, $A374, $B:$B,$B374, $C:$C,$C374),"")</f>
        <v>0.38776061111111115</v>
      </c>
      <c r="I374" s="178">
        <f>IFERROR(AVERAGEIFS($G:$G, $A:$A, $A374, $B:$B,$B374, $C:$C,$C374),"")</f>
        <v>9.35569611111111E-2</v>
      </c>
    </row>
    <row r="375" spans="1:9" x14ac:dyDescent="0.3">
      <c r="A375" s="182" t="s">
        <v>115</v>
      </c>
      <c r="B375" s="282" t="s">
        <v>193</v>
      </c>
      <c r="C375" s="183">
        <v>46242</v>
      </c>
      <c r="D375" s="188" t="s">
        <v>26</v>
      </c>
      <c r="E375" s="189">
        <v>4251</v>
      </c>
      <c r="F375" s="190">
        <v>0.18208099999999999</v>
      </c>
      <c r="G375" s="191">
        <v>5.8534200000000002E-2</v>
      </c>
      <c r="H375" s="177">
        <f>IFERROR(AVERAGEIFS($F:$F, $A:$A, $A375, $B:$B,$B375, $C:$C,$C375),"")</f>
        <v>0.38776061111111115</v>
      </c>
      <c r="I375" s="178">
        <f>IFERROR(AVERAGEIFS($G:$G, $A:$A, $A375, $B:$B,$B375, $C:$C,$C375),"")</f>
        <v>9.35569611111111E-2</v>
      </c>
    </row>
    <row r="376" spans="1:9" x14ac:dyDescent="0.3">
      <c r="A376" s="182" t="s">
        <v>115</v>
      </c>
      <c r="B376" s="282" t="s">
        <v>193</v>
      </c>
      <c r="C376" s="183">
        <v>46242</v>
      </c>
      <c r="D376" s="188" t="s">
        <v>27</v>
      </c>
      <c r="E376" s="189">
        <v>3625</v>
      </c>
      <c r="F376" s="190">
        <v>0.47998299999999999</v>
      </c>
      <c r="G376" s="191">
        <v>0.108922</v>
      </c>
      <c r="H376" s="177">
        <f>IFERROR(AVERAGEIFS($F:$F, $A:$A, $A376, $B:$B,$B376, $C:$C,$C376),"")</f>
        <v>0.38776061111111115</v>
      </c>
      <c r="I376" s="178">
        <f>IFERROR(AVERAGEIFS($G:$G, $A:$A, $A376, $B:$B,$B376, $C:$C,$C376),"")</f>
        <v>9.35569611111111E-2</v>
      </c>
    </row>
    <row r="377" spans="1:9" x14ac:dyDescent="0.3">
      <c r="A377" s="182" t="s">
        <v>115</v>
      </c>
      <c r="B377" s="282" t="s">
        <v>193</v>
      </c>
      <c r="C377" s="183">
        <v>46242</v>
      </c>
      <c r="D377" s="188" t="s">
        <v>28</v>
      </c>
      <c r="E377" s="189">
        <v>2174</v>
      </c>
      <c r="F377" s="190">
        <v>0.39772299999999999</v>
      </c>
      <c r="G377" s="191">
        <v>8.9244299999999999E-2</v>
      </c>
      <c r="H377" s="177">
        <f>IFERROR(AVERAGEIFS($F:$F, $A:$A, $A377, $B:$B,$B377, $C:$C,$C377),"")</f>
        <v>0.38776061111111115</v>
      </c>
      <c r="I377" s="178">
        <f>IFERROR(AVERAGEIFS($G:$G, $A:$A, $A377, $B:$B,$B377, $C:$C,$C377),"")</f>
        <v>9.35569611111111E-2</v>
      </c>
    </row>
    <row r="378" spans="1:9" x14ac:dyDescent="0.3">
      <c r="A378" s="182" t="s">
        <v>115</v>
      </c>
      <c r="B378" s="282" t="s">
        <v>193</v>
      </c>
      <c r="C378" s="183">
        <v>46242</v>
      </c>
      <c r="D378" s="188" t="s">
        <v>29</v>
      </c>
      <c r="E378" s="189">
        <v>2927</v>
      </c>
      <c r="F378" s="190">
        <v>0.36677399999999999</v>
      </c>
      <c r="G378" s="191">
        <v>7.5941999999999996E-2</v>
      </c>
      <c r="H378" s="177">
        <f>IFERROR(AVERAGEIFS($F:$F, $A:$A, $A378, $B:$B,$B378, $C:$C,$C378),"")</f>
        <v>0.38776061111111115</v>
      </c>
      <c r="I378" s="178">
        <f>IFERROR(AVERAGEIFS($G:$G, $A:$A, $A378, $B:$B,$B378, $C:$C,$C378),"")</f>
        <v>9.35569611111111E-2</v>
      </c>
    </row>
    <row r="379" spans="1:9" x14ac:dyDescent="0.3">
      <c r="A379" s="182" t="s">
        <v>115</v>
      </c>
      <c r="B379" s="282" t="s">
        <v>193</v>
      </c>
      <c r="C379" s="183">
        <v>46242</v>
      </c>
      <c r="D379" s="188" t="s">
        <v>30</v>
      </c>
      <c r="E379" s="189">
        <v>2407</v>
      </c>
      <c r="F379" s="190">
        <v>0.45352300000000001</v>
      </c>
      <c r="G379" s="191">
        <v>9.1211E-2</v>
      </c>
      <c r="H379" s="177">
        <f>IFERROR(AVERAGEIFS($F:$F, $A:$A, $A379, $B:$B,$B379, $C:$C,$C379),"")</f>
        <v>0.38776061111111115</v>
      </c>
      <c r="I379" s="178">
        <f>IFERROR(AVERAGEIFS($G:$G, $A:$A, $A379, $B:$B,$B379, $C:$C,$C379),"")</f>
        <v>9.35569611111111E-2</v>
      </c>
    </row>
    <row r="380" spans="1:9" x14ac:dyDescent="0.3">
      <c r="A380" s="182" t="s">
        <v>115</v>
      </c>
      <c r="B380" s="282" t="s">
        <v>197</v>
      </c>
      <c r="C380" s="183">
        <v>46242</v>
      </c>
      <c r="D380" s="188" t="s">
        <v>14</v>
      </c>
      <c r="E380" s="189">
        <v>3155</v>
      </c>
      <c r="F380" s="190">
        <v>0.57739700000000005</v>
      </c>
      <c r="G380" s="191">
        <v>0.16231799999999999</v>
      </c>
      <c r="H380" s="177">
        <f>IFERROR(AVERAGEIFS($F:$F, $A:$A, $A380, $B:$B,$B380, $C:$C,$C380),"")</f>
        <v>0.38401872222222228</v>
      </c>
      <c r="I380" s="178">
        <f>IFERROR(AVERAGEIFS($G:$G, $A:$A, $A380, $B:$B,$B380, $C:$C,$C380),"")</f>
        <v>9.2438494444444463E-2</v>
      </c>
    </row>
    <row r="381" spans="1:9" x14ac:dyDescent="0.3">
      <c r="A381" s="182" t="s">
        <v>115</v>
      </c>
      <c r="B381" s="282" t="s">
        <v>197</v>
      </c>
      <c r="C381" s="183">
        <v>46242</v>
      </c>
      <c r="D381" s="188" t="s">
        <v>15</v>
      </c>
      <c r="E381" s="189">
        <v>2891</v>
      </c>
      <c r="F381" s="190">
        <v>0.43059700000000001</v>
      </c>
      <c r="G381" s="191">
        <v>0.113423</v>
      </c>
      <c r="H381" s="177">
        <f>IFERROR(AVERAGEIFS($F:$F, $A:$A, $A381, $B:$B,$B381, $C:$C,$C381),"")</f>
        <v>0.38401872222222228</v>
      </c>
      <c r="I381" s="178">
        <f>IFERROR(AVERAGEIFS($G:$G, $A:$A, $A381, $B:$B,$B381, $C:$C,$C381),"")</f>
        <v>9.2438494444444463E-2</v>
      </c>
    </row>
    <row r="382" spans="1:9" x14ac:dyDescent="0.3">
      <c r="A382" s="182" t="s">
        <v>115</v>
      </c>
      <c r="B382" s="282" t="s">
        <v>197</v>
      </c>
      <c r="C382" s="183">
        <v>46242</v>
      </c>
      <c r="D382" s="188" t="s">
        <v>16</v>
      </c>
      <c r="E382" s="189">
        <v>2299</v>
      </c>
      <c r="F382" s="190">
        <v>0.52703900000000004</v>
      </c>
      <c r="G382" s="191">
        <v>0.123679</v>
      </c>
      <c r="H382" s="177">
        <f>IFERROR(AVERAGEIFS($F:$F, $A:$A, $A382, $B:$B,$B382, $C:$C,$C382),"")</f>
        <v>0.38401872222222228</v>
      </c>
      <c r="I382" s="178">
        <f>IFERROR(AVERAGEIFS($G:$G, $A:$A, $A382, $B:$B,$B382, $C:$C,$C382),"")</f>
        <v>9.2438494444444463E-2</v>
      </c>
    </row>
    <row r="383" spans="1:9" x14ac:dyDescent="0.3">
      <c r="A383" s="182" t="s">
        <v>115</v>
      </c>
      <c r="B383" s="282" t="s">
        <v>197</v>
      </c>
      <c r="C383" s="183">
        <v>46242</v>
      </c>
      <c r="D383" s="188" t="s">
        <v>17</v>
      </c>
      <c r="E383" s="189">
        <v>2738</v>
      </c>
      <c r="F383" s="190">
        <v>0.51810599999999996</v>
      </c>
      <c r="G383" s="191">
        <v>0.102448</v>
      </c>
      <c r="H383" s="177">
        <f>IFERROR(AVERAGEIFS($F:$F, $A:$A, $A383, $B:$B,$B383, $C:$C,$C383),"")</f>
        <v>0.38401872222222228</v>
      </c>
      <c r="I383" s="178">
        <f>IFERROR(AVERAGEIFS($G:$G, $A:$A, $A383, $B:$B,$B383, $C:$C,$C383),"")</f>
        <v>9.2438494444444463E-2</v>
      </c>
    </row>
    <row r="384" spans="1:9" x14ac:dyDescent="0.3">
      <c r="A384" s="182" t="s">
        <v>115</v>
      </c>
      <c r="B384" s="282" t="s">
        <v>197</v>
      </c>
      <c r="C384" s="183">
        <v>46242</v>
      </c>
      <c r="D384" s="188" t="s">
        <v>18</v>
      </c>
      <c r="E384" s="189">
        <v>2642</v>
      </c>
      <c r="F384" s="190">
        <v>0.35040900000000003</v>
      </c>
      <c r="G384" s="191">
        <v>8.33541E-2</v>
      </c>
      <c r="H384" s="177">
        <f>IFERROR(AVERAGEIFS($F:$F, $A:$A, $A384, $B:$B,$B384, $C:$C,$C384),"")</f>
        <v>0.38401872222222228</v>
      </c>
      <c r="I384" s="178">
        <f>IFERROR(AVERAGEIFS($G:$G, $A:$A, $A384, $B:$B,$B384, $C:$C,$C384),"")</f>
        <v>9.2438494444444463E-2</v>
      </c>
    </row>
    <row r="385" spans="1:9" x14ac:dyDescent="0.3">
      <c r="A385" s="182" t="s">
        <v>115</v>
      </c>
      <c r="B385" s="282" t="s">
        <v>197</v>
      </c>
      <c r="C385" s="183">
        <v>46242</v>
      </c>
      <c r="D385" s="188" t="s">
        <v>19</v>
      </c>
      <c r="E385" s="189">
        <v>2543</v>
      </c>
      <c r="F385" s="190">
        <v>0.40422599999999997</v>
      </c>
      <c r="G385" s="191">
        <v>8.4992899999999996E-2</v>
      </c>
      <c r="H385" s="177">
        <f>IFERROR(AVERAGEIFS($F:$F, $A:$A, $A385, $B:$B,$B385, $C:$C,$C385),"")</f>
        <v>0.38401872222222228</v>
      </c>
      <c r="I385" s="178">
        <f>IFERROR(AVERAGEIFS($G:$G, $A:$A, $A385, $B:$B,$B385, $C:$C,$C385),"")</f>
        <v>9.2438494444444463E-2</v>
      </c>
    </row>
    <row r="386" spans="1:9" x14ac:dyDescent="0.3">
      <c r="A386" s="182" t="s">
        <v>115</v>
      </c>
      <c r="B386" s="282" t="s">
        <v>197</v>
      </c>
      <c r="C386" s="183">
        <v>46242</v>
      </c>
      <c r="D386" s="188" t="s">
        <v>20</v>
      </c>
      <c r="E386" s="189">
        <v>2798</v>
      </c>
      <c r="F386" s="190">
        <v>0.40842800000000001</v>
      </c>
      <c r="G386" s="191">
        <v>8.5418400000000005E-2</v>
      </c>
      <c r="H386" s="177">
        <f>IFERROR(AVERAGEIFS($F:$F, $A:$A, $A386, $B:$B,$B386, $C:$C,$C386),"")</f>
        <v>0.38401872222222228</v>
      </c>
      <c r="I386" s="178">
        <f>IFERROR(AVERAGEIFS($G:$G, $A:$A, $A386, $B:$B,$B386, $C:$C,$C386),"")</f>
        <v>9.2438494444444463E-2</v>
      </c>
    </row>
    <row r="387" spans="1:9" x14ac:dyDescent="0.3">
      <c r="A387" s="182" t="s">
        <v>115</v>
      </c>
      <c r="B387" s="282" t="s">
        <v>197</v>
      </c>
      <c r="C387" s="183">
        <v>46242</v>
      </c>
      <c r="D387" s="188" t="s">
        <v>44</v>
      </c>
      <c r="E387" s="189">
        <v>1503</v>
      </c>
      <c r="F387" s="190">
        <v>0.235595</v>
      </c>
      <c r="G387" s="191">
        <v>7.1409100000000003E-2</v>
      </c>
      <c r="H387" s="177">
        <f>IFERROR(AVERAGEIFS($F:$F, $A:$A, $A387, $B:$B,$B387, $C:$C,$C387),"")</f>
        <v>0.38401872222222228</v>
      </c>
      <c r="I387" s="178">
        <f>IFERROR(AVERAGEIFS($G:$G, $A:$A, $A387, $B:$B,$B387, $C:$C,$C387),"")</f>
        <v>9.2438494444444463E-2</v>
      </c>
    </row>
    <row r="388" spans="1:9" x14ac:dyDescent="0.3">
      <c r="A388" s="182" t="s">
        <v>115</v>
      </c>
      <c r="B388" s="282" t="s">
        <v>197</v>
      </c>
      <c r="C388" s="183">
        <v>46242</v>
      </c>
      <c r="D388" s="188" t="s">
        <v>21</v>
      </c>
      <c r="E388" s="189">
        <v>4385</v>
      </c>
      <c r="F388" s="190">
        <v>0.48657400000000001</v>
      </c>
      <c r="G388" s="191">
        <v>9.4610299999999994E-2</v>
      </c>
      <c r="H388" s="177">
        <f>IFERROR(AVERAGEIFS($F:$F, $A:$A, $A388, $B:$B,$B388, $C:$C,$C388),"")</f>
        <v>0.38401872222222228</v>
      </c>
      <c r="I388" s="178">
        <f>IFERROR(AVERAGEIFS($G:$G, $A:$A, $A388, $B:$B,$B388, $C:$C,$C388),"")</f>
        <v>9.2438494444444463E-2</v>
      </c>
    </row>
    <row r="389" spans="1:9" x14ac:dyDescent="0.3">
      <c r="A389" s="182" t="s">
        <v>115</v>
      </c>
      <c r="B389" s="282" t="s">
        <v>197</v>
      </c>
      <c r="C389" s="183">
        <v>46242</v>
      </c>
      <c r="D389" s="188" t="s">
        <v>22</v>
      </c>
      <c r="E389" s="189">
        <v>3444</v>
      </c>
      <c r="F389" s="190">
        <v>0.32663300000000001</v>
      </c>
      <c r="G389" s="191">
        <v>8.8690500000000005E-2</v>
      </c>
      <c r="H389" s="177">
        <f>IFERROR(AVERAGEIFS($F:$F, $A:$A, $A389, $B:$B,$B389, $C:$C,$C389),"")</f>
        <v>0.38401872222222228</v>
      </c>
      <c r="I389" s="178">
        <f>IFERROR(AVERAGEIFS($G:$G, $A:$A, $A389, $B:$B,$B389, $C:$C,$C389),"")</f>
        <v>9.2438494444444463E-2</v>
      </c>
    </row>
    <row r="390" spans="1:9" x14ac:dyDescent="0.3">
      <c r="A390" s="182" t="s">
        <v>115</v>
      </c>
      <c r="B390" s="282" t="s">
        <v>197</v>
      </c>
      <c r="C390" s="183">
        <v>46242</v>
      </c>
      <c r="D390" s="188" t="s">
        <v>23</v>
      </c>
      <c r="E390" s="189">
        <v>1629</v>
      </c>
      <c r="F390" s="190">
        <v>0.244034</v>
      </c>
      <c r="G390" s="191">
        <v>8.0064999999999997E-2</v>
      </c>
      <c r="H390" s="177">
        <f>IFERROR(AVERAGEIFS($F:$F, $A:$A, $A390, $B:$B,$B390, $C:$C,$C390),"")</f>
        <v>0.38401872222222228</v>
      </c>
      <c r="I390" s="178">
        <f>IFERROR(AVERAGEIFS($G:$G, $A:$A, $A390, $B:$B,$B390, $C:$C,$C390),"")</f>
        <v>9.2438494444444463E-2</v>
      </c>
    </row>
    <row r="391" spans="1:9" x14ac:dyDescent="0.3">
      <c r="A391" s="182" t="s">
        <v>115</v>
      </c>
      <c r="B391" s="282" t="s">
        <v>197</v>
      </c>
      <c r="C391" s="183">
        <v>46242</v>
      </c>
      <c r="D391" s="188" t="s">
        <v>24</v>
      </c>
      <c r="E391" s="189">
        <v>4006</v>
      </c>
      <c r="F391" s="190">
        <v>0.24411099999999999</v>
      </c>
      <c r="G391" s="191">
        <v>7.5211600000000003E-2</v>
      </c>
      <c r="H391" s="177">
        <f>IFERROR(AVERAGEIFS($F:$F, $A:$A, $A391, $B:$B,$B391, $C:$C,$C391),"")</f>
        <v>0.38401872222222228</v>
      </c>
      <c r="I391" s="178">
        <f>IFERROR(AVERAGEIFS($G:$G, $A:$A, $A391, $B:$B,$B391, $C:$C,$C391),"")</f>
        <v>9.2438494444444463E-2</v>
      </c>
    </row>
    <row r="392" spans="1:9" x14ac:dyDescent="0.3">
      <c r="A392" s="182" t="s">
        <v>115</v>
      </c>
      <c r="B392" s="282" t="s">
        <v>197</v>
      </c>
      <c r="C392" s="183">
        <v>46242</v>
      </c>
      <c r="D392" s="188" t="s">
        <v>25</v>
      </c>
      <c r="E392" s="189">
        <v>1586</v>
      </c>
      <c r="F392" s="190">
        <v>0.17731</v>
      </c>
      <c r="G392" s="191">
        <v>4.2629300000000002E-2</v>
      </c>
      <c r="H392" s="177">
        <f>IFERROR(AVERAGEIFS($F:$F, $A:$A, $A392, $B:$B,$B392, $C:$C,$C392),"")</f>
        <v>0.38401872222222228</v>
      </c>
      <c r="I392" s="178">
        <f>IFERROR(AVERAGEIFS($G:$G, $A:$A, $A392, $B:$B,$B392, $C:$C,$C392),"")</f>
        <v>9.2438494444444463E-2</v>
      </c>
    </row>
    <row r="393" spans="1:9" x14ac:dyDescent="0.3">
      <c r="A393" s="182" t="s">
        <v>115</v>
      </c>
      <c r="B393" s="282" t="s">
        <v>197</v>
      </c>
      <c r="C393" s="183">
        <v>46242</v>
      </c>
      <c r="D393" s="188" t="s">
        <v>26</v>
      </c>
      <c r="E393" s="189">
        <v>3716</v>
      </c>
      <c r="F393" s="190">
        <v>0.28298299999999998</v>
      </c>
      <c r="G393" s="191">
        <v>9.0974100000000002E-2</v>
      </c>
      <c r="H393" s="177">
        <f>IFERROR(AVERAGEIFS($F:$F, $A:$A, $A393, $B:$B,$B393, $C:$C,$C393),"")</f>
        <v>0.38401872222222228</v>
      </c>
      <c r="I393" s="178">
        <f>IFERROR(AVERAGEIFS($G:$G, $A:$A, $A393, $B:$B,$B393, $C:$C,$C393),"")</f>
        <v>9.2438494444444463E-2</v>
      </c>
    </row>
    <row r="394" spans="1:9" x14ac:dyDescent="0.3">
      <c r="A394" s="182" t="s">
        <v>115</v>
      </c>
      <c r="B394" s="282" t="s">
        <v>197</v>
      </c>
      <c r="C394" s="183">
        <v>46242</v>
      </c>
      <c r="D394" s="188" t="s">
        <v>27</v>
      </c>
      <c r="E394" s="189">
        <v>3103</v>
      </c>
      <c r="F394" s="190">
        <v>0.43031399999999997</v>
      </c>
      <c r="G394" s="191">
        <v>9.7637399999999999E-2</v>
      </c>
      <c r="H394" s="177">
        <f>IFERROR(AVERAGEIFS($F:$F, $A:$A, $A394, $B:$B,$B394, $C:$C,$C394),"")</f>
        <v>0.38401872222222228</v>
      </c>
      <c r="I394" s="178">
        <f>IFERROR(AVERAGEIFS($G:$G, $A:$A, $A394, $B:$B,$B394, $C:$C,$C394),"")</f>
        <v>9.2438494444444463E-2</v>
      </c>
    </row>
    <row r="395" spans="1:9" x14ac:dyDescent="0.3">
      <c r="A395" s="182" t="s">
        <v>115</v>
      </c>
      <c r="B395" s="282" t="s">
        <v>197</v>
      </c>
      <c r="C395" s="183">
        <v>46242</v>
      </c>
      <c r="D395" s="188" t="s">
        <v>28</v>
      </c>
      <c r="E395" s="189">
        <v>1700</v>
      </c>
      <c r="F395" s="190">
        <v>0.414939</v>
      </c>
      <c r="G395" s="191">
        <v>9.3091800000000002E-2</v>
      </c>
      <c r="H395" s="177">
        <f>IFERROR(AVERAGEIFS($F:$F, $A:$A, $A395, $B:$B,$B395, $C:$C,$C395),"")</f>
        <v>0.38401872222222228</v>
      </c>
      <c r="I395" s="178">
        <f>IFERROR(AVERAGEIFS($G:$G, $A:$A, $A395, $B:$B,$B395, $C:$C,$C395),"")</f>
        <v>9.2438494444444463E-2</v>
      </c>
    </row>
    <row r="396" spans="1:9" x14ac:dyDescent="0.3">
      <c r="A396" s="182" t="s">
        <v>115</v>
      </c>
      <c r="B396" s="282" t="s">
        <v>197</v>
      </c>
      <c r="C396" s="183">
        <v>46242</v>
      </c>
      <c r="D396" s="188" t="s">
        <v>29</v>
      </c>
      <c r="E396" s="189">
        <v>2090</v>
      </c>
      <c r="F396" s="190">
        <v>0.37871700000000003</v>
      </c>
      <c r="G396" s="191">
        <v>7.8429700000000005E-2</v>
      </c>
      <c r="H396" s="177">
        <f>IFERROR(AVERAGEIFS($F:$F, $A:$A, $A396, $B:$B,$B396, $C:$C,$C396),"")</f>
        <v>0.38401872222222228</v>
      </c>
      <c r="I396" s="178">
        <f>IFERROR(AVERAGEIFS($G:$G, $A:$A, $A396, $B:$B,$B396, $C:$C,$C396),"")</f>
        <v>9.2438494444444463E-2</v>
      </c>
    </row>
    <row r="397" spans="1:9" x14ac:dyDescent="0.3">
      <c r="A397" s="182" t="s">
        <v>115</v>
      </c>
      <c r="B397" s="282" t="s">
        <v>197</v>
      </c>
      <c r="C397" s="183">
        <v>46242</v>
      </c>
      <c r="D397" s="188" t="s">
        <v>30</v>
      </c>
      <c r="E397" s="189">
        <v>1605</v>
      </c>
      <c r="F397" s="190">
        <v>0.47492499999999999</v>
      </c>
      <c r="G397" s="191">
        <v>9.5510700000000004E-2</v>
      </c>
      <c r="H397" s="177">
        <f>IFERROR(AVERAGEIFS($F:$F, $A:$A, $A397, $B:$B,$B397, $C:$C,$C397),"")</f>
        <v>0.38401872222222228</v>
      </c>
      <c r="I397" s="178">
        <f>IFERROR(AVERAGEIFS($G:$G, $A:$A, $A397, $B:$B,$B397, $C:$C,$C397),"")</f>
        <v>9.2438494444444463E-2</v>
      </c>
    </row>
    <row r="398" spans="1:9" x14ac:dyDescent="0.3">
      <c r="A398" s="182" t="s">
        <v>115</v>
      </c>
      <c r="B398" s="282" t="s">
        <v>199</v>
      </c>
      <c r="C398" s="183">
        <v>46242</v>
      </c>
      <c r="D398" s="188" t="s">
        <v>14</v>
      </c>
      <c r="E398" s="189">
        <v>2662</v>
      </c>
      <c r="F398" s="190">
        <v>0.561473</v>
      </c>
      <c r="G398" s="191">
        <v>0.14718300000000001</v>
      </c>
      <c r="H398" s="177">
        <f>IFERROR(AVERAGEIFS($F:$F, $A:$A, $A398, $B:$B,$B398, $C:$C,$C398),"")</f>
        <v>0.40662061111111103</v>
      </c>
      <c r="I398" s="178">
        <f>IFERROR(AVERAGEIFS($G:$G, $A:$A, $A398, $B:$B,$B398, $C:$C,$C398),"")</f>
        <v>9.7669605555555553E-2</v>
      </c>
    </row>
    <row r="399" spans="1:9" x14ac:dyDescent="0.3">
      <c r="A399" s="182" t="s">
        <v>115</v>
      </c>
      <c r="B399" s="282" t="s">
        <v>199</v>
      </c>
      <c r="C399" s="183">
        <v>46242</v>
      </c>
      <c r="D399" s="188" t="s">
        <v>15</v>
      </c>
      <c r="E399" s="189">
        <v>2629</v>
      </c>
      <c r="F399" s="190">
        <v>0.443971</v>
      </c>
      <c r="G399" s="191">
        <v>0.11015900000000001</v>
      </c>
      <c r="H399" s="177">
        <f>IFERROR(AVERAGEIFS($F:$F, $A:$A, $A399, $B:$B,$B399, $C:$C,$C399),"")</f>
        <v>0.40662061111111103</v>
      </c>
      <c r="I399" s="178">
        <f>IFERROR(AVERAGEIFS($G:$G, $A:$A, $A399, $B:$B,$B399, $C:$C,$C399),"")</f>
        <v>9.7669605555555553E-2</v>
      </c>
    </row>
    <row r="400" spans="1:9" x14ac:dyDescent="0.3">
      <c r="A400" s="182" t="s">
        <v>115</v>
      </c>
      <c r="B400" s="282" t="s">
        <v>199</v>
      </c>
      <c r="C400" s="183">
        <v>46242</v>
      </c>
      <c r="D400" s="188" t="s">
        <v>16</v>
      </c>
      <c r="E400" s="189">
        <v>2240</v>
      </c>
      <c r="F400" s="190">
        <v>0.55237000000000003</v>
      </c>
      <c r="G400" s="191">
        <v>0.12182999999999999</v>
      </c>
      <c r="H400" s="177">
        <f>IFERROR(AVERAGEIFS($F:$F, $A:$A, $A400, $B:$B,$B400, $C:$C,$C400),"")</f>
        <v>0.40662061111111103</v>
      </c>
      <c r="I400" s="178">
        <f>IFERROR(AVERAGEIFS($G:$G, $A:$A, $A400, $B:$B,$B400, $C:$C,$C400),"")</f>
        <v>9.7669605555555553E-2</v>
      </c>
    </row>
    <row r="401" spans="1:9" x14ac:dyDescent="0.3">
      <c r="A401" s="182" t="s">
        <v>115</v>
      </c>
      <c r="B401" s="282" t="s">
        <v>199</v>
      </c>
      <c r="C401" s="183">
        <v>46242</v>
      </c>
      <c r="D401" s="188" t="s">
        <v>17</v>
      </c>
      <c r="E401" s="189">
        <v>2930</v>
      </c>
      <c r="F401" s="190">
        <v>0.54814499999999999</v>
      </c>
      <c r="G401" s="191">
        <v>0.114913</v>
      </c>
      <c r="H401" s="177">
        <f>IFERROR(AVERAGEIFS($F:$F, $A:$A, $A401, $B:$B,$B401, $C:$C,$C401),"")</f>
        <v>0.40662061111111103</v>
      </c>
      <c r="I401" s="178">
        <f>IFERROR(AVERAGEIFS($G:$G, $A:$A, $A401, $B:$B,$B401, $C:$C,$C401),"")</f>
        <v>9.7669605555555553E-2</v>
      </c>
    </row>
    <row r="402" spans="1:9" x14ac:dyDescent="0.3">
      <c r="A402" s="182" t="s">
        <v>115</v>
      </c>
      <c r="B402" s="282" t="s">
        <v>199</v>
      </c>
      <c r="C402" s="183">
        <v>46242</v>
      </c>
      <c r="D402" s="188" t="s">
        <v>18</v>
      </c>
      <c r="E402" s="189">
        <v>2571</v>
      </c>
      <c r="F402" s="190">
        <v>0.29398000000000002</v>
      </c>
      <c r="G402" s="191">
        <v>6.6564499999999999E-2</v>
      </c>
      <c r="H402" s="177">
        <f>IFERROR(AVERAGEIFS($F:$F, $A:$A, $A402, $B:$B,$B402, $C:$C,$C402),"")</f>
        <v>0.40662061111111103</v>
      </c>
      <c r="I402" s="178">
        <f>IFERROR(AVERAGEIFS($G:$G, $A:$A, $A402, $B:$B,$B402, $C:$C,$C402),"")</f>
        <v>9.7669605555555553E-2</v>
      </c>
    </row>
    <row r="403" spans="1:9" x14ac:dyDescent="0.3">
      <c r="A403" s="182" t="s">
        <v>115</v>
      </c>
      <c r="B403" s="282" t="s">
        <v>199</v>
      </c>
      <c r="C403" s="183">
        <v>46242</v>
      </c>
      <c r="D403" s="188" t="s">
        <v>19</v>
      </c>
      <c r="E403" s="189">
        <v>2621</v>
      </c>
      <c r="F403" s="190">
        <v>0.385986</v>
      </c>
      <c r="G403" s="191">
        <v>7.8905500000000003E-2</v>
      </c>
      <c r="H403" s="177">
        <f>IFERROR(AVERAGEIFS($F:$F, $A:$A, $A403, $B:$B,$B403, $C:$C,$C403),"")</f>
        <v>0.40662061111111103</v>
      </c>
      <c r="I403" s="178">
        <f>IFERROR(AVERAGEIFS($G:$G, $A:$A, $A403, $B:$B,$B403, $C:$C,$C403),"")</f>
        <v>9.7669605555555553E-2</v>
      </c>
    </row>
    <row r="404" spans="1:9" x14ac:dyDescent="0.3">
      <c r="A404" s="182" t="s">
        <v>115</v>
      </c>
      <c r="B404" s="282" t="s">
        <v>199</v>
      </c>
      <c r="C404" s="183">
        <v>46242</v>
      </c>
      <c r="D404" s="188" t="s">
        <v>20</v>
      </c>
      <c r="E404" s="189">
        <v>2728</v>
      </c>
      <c r="F404" s="190">
        <v>0.44007600000000002</v>
      </c>
      <c r="G404" s="191">
        <v>9.0508500000000006E-2</v>
      </c>
      <c r="H404" s="177">
        <f>IFERROR(AVERAGEIFS($F:$F, $A:$A, $A404, $B:$B,$B404, $C:$C,$C404),"")</f>
        <v>0.40662061111111103</v>
      </c>
      <c r="I404" s="178">
        <f>IFERROR(AVERAGEIFS($G:$G, $A:$A, $A404, $B:$B,$B404, $C:$C,$C404),"")</f>
        <v>9.7669605555555553E-2</v>
      </c>
    </row>
    <row r="405" spans="1:9" x14ac:dyDescent="0.3">
      <c r="A405" s="182" t="s">
        <v>115</v>
      </c>
      <c r="B405" s="282" t="s">
        <v>199</v>
      </c>
      <c r="C405" s="183">
        <v>46242</v>
      </c>
      <c r="D405" s="188" t="s">
        <v>44</v>
      </c>
      <c r="E405" s="189">
        <v>1628</v>
      </c>
      <c r="F405" s="190">
        <v>0.285381</v>
      </c>
      <c r="G405" s="191">
        <v>8.6932999999999996E-2</v>
      </c>
      <c r="H405" s="177">
        <f>IFERROR(AVERAGEIFS($F:$F, $A:$A, $A405, $B:$B,$B405, $C:$C,$C405),"")</f>
        <v>0.40662061111111103</v>
      </c>
      <c r="I405" s="178">
        <f>IFERROR(AVERAGEIFS($G:$G, $A:$A, $A405, $B:$B,$B405, $C:$C,$C405),"")</f>
        <v>9.7669605555555553E-2</v>
      </c>
    </row>
    <row r="406" spans="1:9" x14ac:dyDescent="0.3">
      <c r="A406" s="182" t="s">
        <v>115</v>
      </c>
      <c r="B406" s="282" t="s">
        <v>199</v>
      </c>
      <c r="C406" s="183">
        <v>46242</v>
      </c>
      <c r="D406" s="188" t="s">
        <v>21</v>
      </c>
      <c r="E406" s="189">
        <v>4872</v>
      </c>
      <c r="F406" s="190">
        <v>0.48413299999999998</v>
      </c>
      <c r="G406" s="191">
        <v>9.6400299999999994E-2</v>
      </c>
      <c r="H406" s="177">
        <f>IFERROR(AVERAGEIFS($F:$F, $A:$A, $A406, $B:$B,$B406, $C:$C,$C406),"")</f>
        <v>0.40662061111111103</v>
      </c>
      <c r="I406" s="178">
        <f>IFERROR(AVERAGEIFS($G:$G, $A:$A, $A406, $B:$B,$B406, $C:$C,$C406),"")</f>
        <v>9.7669605555555553E-2</v>
      </c>
    </row>
    <row r="407" spans="1:9" x14ac:dyDescent="0.3">
      <c r="A407" s="182" t="s">
        <v>115</v>
      </c>
      <c r="B407" s="282" t="s">
        <v>199</v>
      </c>
      <c r="C407" s="183">
        <v>46242</v>
      </c>
      <c r="D407" s="188" t="s">
        <v>22</v>
      </c>
      <c r="E407" s="189">
        <v>3464</v>
      </c>
      <c r="F407" s="190">
        <v>0.43481999999999998</v>
      </c>
      <c r="G407" s="191">
        <v>0.12692300000000001</v>
      </c>
      <c r="H407" s="177">
        <f>IFERROR(AVERAGEIFS($F:$F, $A:$A, $A407, $B:$B,$B407, $C:$C,$C407),"")</f>
        <v>0.40662061111111103</v>
      </c>
      <c r="I407" s="178">
        <f>IFERROR(AVERAGEIFS($G:$G, $A:$A, $A407, $B:$B,$B407, $C:$C,$C407),"")</f>
        <v>9.7669605555555553E-2</v>
      </c>
    </row>
    <row r="408" spans="1:9" x14ac:dyDescent="0.3">
      <c r="A408" s="182" t="s">
        <v>115</v>
      </c>
      <c r="B408" s="282" t="s">
        <v>199</v>
      </c>
      <c r="C408" s="183">
        <v>46242</v>
      </c>
      <c r="D408" s="188" t="s">
        <v>23</v>
      </c>
      <c r="E408" s="189">
        <v>1503</v>
      </c>
      <c r="F408" s="190">
        <v>0.27046399999999998</v>
      </c>
      <c r="G408" s="191">
        <v>8.3149500000000001E-2</v>
      </c>
      <c r="H408" s="177">
        <f>IFERROR(AVERAGEIFS($F:$F, $A:$A, $A408, $B:$B,$B408, $C:$C,$C408),"")</f>
        <v>0.40662061111111103</v>
      </c>
      <c r="I408" s="178">
        <f>IFERROR(AVERAGEIFS($G:$G, $A:$A, $A408, $B:$B,$B408, $C:$C,$C408),"")</f>
        <v>9.7669605555555553E-2</v>
      </c>
    </row>
    <row r="409" spans="1:9" x14ac:dyDescent="0.3">
      <c r="A409" s="182" t="s">
        <v>115</v>
      </c>
      <c r="B409" s="282" t="s">
        <v>199</v>
      </c>
      <c r="C409" s="183">
        <v>46242</v>
      </c>
      <c r="D409" s="188" t="s">
        <v>24</v>
      </c>
      <c r="E409" s="189">
        <v>3813</v>
      </c>
      <c r="F409" s="190">
        <v>0.22234200000000001</v>
      </c>
      <c r="G409" s="191">
        <v>6.7073199999999999E-2</v>
      </c>
      <c r="H409" s="177">
        <f>IFERROR(AVERAGEIFS($F:$F, $A:$A, $A409, $B:$B,$B409, $C:$C,$C409),"")</f>
        <v>0.40662061111111103</v>
      </c>
      <c r="I409" s="178">
        <f>IFERROR(AVERAGEIFS($G:$G, $A:$A, $A409, $B:$B,$B409, $C:$C,$C409),"")</f>
        <v>9.7669605555555553E-2</v>
      </c>
    </row>
    <row r="410" spans="1:9" x14ac:dyDescent="0.3">
      <c r="A410" s="182" t="s">
        <v>115</v>
      </c>
      <c r="B410" s="282" t="s">
        <v>199</v>
      </c>
      <c r="C410" s="183">
        <v>46242</v>
      </c>
      <c r="D410" s="188" t="s">
        <v>25</v>
      </c>
      <c r="E410" s="189">
        <v>1642</v>
      </c>
      <c r="F410" s="190">
        <v>0.49094700000000002</v>
      </c>
      <c r="G410" s="191">
        <v>0.11973200000000001</v>
      </c>
      <c r="H410" s="177">
        <f>IFERROR(AVERAGEIFS($F:$F, $A:$A, $A410, $B:$B,$B410, $C:$C,$C410),"")</f>
        <v>0.40662061111111103</v>
      </c>
      <c r="I410" s="178">
        <f>IFERROR(AVERAGEIFS($G:$G, $A:$A, $A410, $B:$B,$B410, $C:$C,$C410),"")</f>
        <v>9.7669605555555553E-2</v>
      </c>
    </row>
    <row r="411" spans="1:9" x14ac:dyDescent="0.3">
      <c r="A411" s="182" t="s">
        <v>115</v>
      </c>
      <c r="B411" s="282" t="s">
        <v>199</v>
      </c>
      <c r="C411" s="183">
        <v>46242</v>
      </c>
      <c r="D411" s="188" t="s">
        <v>26</v>
      </c>
      <c r="E411" s="189">
        <v>3703</v>
      </c>
      <c r="F411" s="190">
        <v>0.19323199999999999</v>
      </c>
      <c r="G411" s="191">
        <v>6.5538899999999997E-2</v>
      </c>
      <c r="H411" s="177">
        <f>IFERROR(AVERAGEIFS($F:$F, $A:$A, $A411, $B:$B,$B411, $C:$C,$C411),"")</f>
        <v>0.40662061111111103</v>
      </c>
      <c r="I411" s="178">
        <f>IFERROR(AVERAGEIFS($G:$G, $A:$A, $A411, $B:$B,$B411, $C:$C,$C411),"")</f>
        <v>9.7669605555555553E-2</v>
      </c>
    </row>
    <row r="412" spans="1:9" x14ac:dyDescent="0.3">
      <c r="A412" s="182" t="s">
        <v>115</v>
      </c>
      <c r="B412" s="282" t="s">
        <v>199</v>
      </c>
      <c r="C412" s="183">
        <v>46242</v>
      </c>
      <c r="D412" s="188" t="s">
        <v>27</v>
      </c>
      <c r="E412" s="189">
        <v>3377</v>
      </c>
      <c r="F412" s="190">
        <v>0.26088499999999998</v>
      </c>
      <c r="G412" s="191">
        <v>6.1878799999999998E-2</v>
      </c>
      <c r="H412" s="177">
        <f>IFERROR(AVERAGEIFS($F:$F, $A:$A, $A412, $B:$B,$B412, $C:$C,$C412),"")</f>
        <v>0.40662061111111103</v>
      </c>
      <c r="I412" s="178">
        <f>IFERROR(AVERAGEIFS($G:$G, $A:$A, $A412, $B:$B,$B412, $C:$C,$C412),"")</f>
        <v>9.7669605555555553E-2</v>
      </c>
    </row>
    <row r="413" spans="1:9" x14ac:dyDescent="0.3">
      <c r="A413" s="182" t="s">
        <v>115</v>
      </c>
      <c r="B413" s="282" t="s">
        <v>199</v>
      </c>
      <c r="C413" s="183">
        <v>46242</v>
      </c>
      <c r="D413" s="188" t="s">
        <v>28</v>
      </c>
      <c r="E413" s="189">
        <v>1705</v>
      </c>
      <c r="F413" s="190">
        <v>0.51904099999999997</v>
      </c>
      <c r="G413" s="191">
        <v>0.123903</v>
      </c>
      <c r="H413" s="177">
        <f>IFERROR(AVERAGEIFS($F:$F, $A:$A, $A413, $B:$B,$B413, $C:$C,$C413),"")</f>
        <v>0.40662061111111103</v>
      </c>
      <c r="I413" s="178">
        <f>IFERROR(AVERAGEIFS($G:$G, $A:$A, $A413, $B:$B,$B413, $C:$C,$C413),"")</f>
        <v>9.7669605555555553E-2</v>
      </c>
    </row>
    <row r="414" spans="1:9" x14ac:dyDescent="0.3">
      <c r="A414" s="182" t="s">
        <v>115</v>
      </c>
      <c r="B414" s="282" t="s">
        <v>199</v>
      </c>
      <c r="C414" s="183">
        <v>46242</v>
      </c>
      <c r="D414" s="188" t="s">
        <v>29</v>
      </c>
      <c r="E414" s="189">
        <v>2023</v>
      </c>
      <c r="F414" s="190">
        <v>0.37871700000000003</v>
      </c>
      <c r="G414" s="191">
        <v>7.8429700000000005E-2</v>
      </c>
      <c r="H414" s="177">
        <f>IFERROR(AVERAGEIFS($F:$F, $A:$A, $A414, $B:$B,$B414, $C:$C,$C414),"")</f>
        <v>0.40662061111111103</v>
      </c>
      <c r="I414" s="178">
        <f>IFERROR(AVERAGEIFS($G:$G, $A:$A, $A414, $B:$B,$B414, $C:$C,$C414),"")</f>
        <v>9.7669605555555553E-2</v>
      </c>
    </row>
    <row r="415" spans="1:9" x14ac:dyDescent="0.3">
      <c r="A415" s="182" t="s">
        <v>115</v>
      </c>
      <c r="B415" s="282" t="s">
        <v>199</v>
      </c>
      <c r="C415" s="183">
        <v>46242</v>
      </c>
      <c r="D415" s="188" t="s">
        <v>30</v>
      </c>
      <c r="E415" s="189">
        <v>1701</v>
      </c>
      <c r="F415" s="190">
        <v>0.55320800000000003</v>
      </c>
      <c r="G415" s="191">
        <v>0.11802799999999999</v>
      </c>
      <c r="H415" s="177">
        <f>IFERROR(AVERAGEIFS($F:$F, $A:$A, $A415, $B:$B,$B415, $C:$C,$C415),"")</f>
        <v>0.40662061111111103</v>
      </c>
      <c r="I415" s="178">
        <f>IFERROR(AVERAGEIFS($G:$G, $A:$A, $A415, $B:$B,$B415, $C:$C,$C415),"")</f>
        <v>9.7669605555555553E-2</v>
      </c>
    </row>
    <row r="416" spans="1:9" x14ac:dyDescent="0.3">
      <c r="A416" s="182" t="s">
        <v>115</v>
      </c>
      <c r="B416" s="282" t="s">
        <v>200</v>
      </c>
      <c r="C416" s="183">
        <v>46242</v>
      </c>
      <c r="D416" s="188" t="s">
        <v>14</v>
      </c>
      <c r="H416" s="177" t="str">
        <f>IFERROR(AVERAGEIFS($F:$F, $A:$A, $A416, $B:$B,$B416, $C:$C,$C416),"")</f>
        <v/>
      </c>
      <c r="I416" s="178" t="str">
        <f>IFERROR(AVERAGEIFS($G:$G, $A:$A, $A416, $B:$B,$B416, $C:$C,$C416),"")</f>
        <v/>
      </c>
    </row>
    <row r="417" spans="1:9" x14ac:dyDescent="0.3">
      <c r="A417" s="182" t="s">
        <v>115</v>
      </c>
      <c r="B417" s="282" t="s">
        <v>200</v>
      </c>
      <c r="C417" s="183">
        <v>46242</v>
      </c>
      <c r="D417" s="188" t="s">
        <v>15</v>
      </c>
      <c r="H417" s="177" t="str">
        <f>IFERROR(AVERAGEIFS($F:$F, $A:$A, $A417, $B:$B,$B417, $C:$C,$C417),"")</f>
        <v/>
      </c>
      <c r="I417" s="178" t="str">
        <f>IFERROR(AVERAGEIFS($G:$G, $A:$A, $A417, $B:$B,$B417, $C:$C,$C417),"")</f>
        <v/>
      </c>
    </row>
    <row r="418" spans="1:9" x14ac:dyDescent="0.3">
      <c r="A418" s="182" t="s">
        <v>115</v>
      </c>
      <c r="B418" s="282" t="s">
        <v>200</v>
      </c>
      <c r="C418" s="183">
        <v>46242</v>
      </c>
      <c r="D418" s="188" t="s">
        <v>16</v>
      </c>
      <c r="H418" s="177" t="str">
        <f>IFERROR(AVERAGEIFS($F:$F, $A:$A, $A418, $B:$B,$B418, $C:$C,$C418),"")</f>
        <v/>
      </c>
      <c r="I418" s="178" t="str">
        <f>IFERROR(AVERAGEIFS($G:$G, $A:$A, $A418, $B:$B,$B418, $C:$C,$C418),"")</f>
        <v/>
      </c>
    </row>
    <row r="419" spans="1:9" x14ac:dyDescent="0.3">
      <c r="A419" s="182" t="s">
        <v>115</v>
      </c>
      <c r="B419" s="282" t="s">
        <v>200</v>
      </c>
      <c r="C419" s="183">
        <v>46242</v>
      </c>
      <c r="D419" s="188" t="s">
        <v>17</v>
      </c>
      <c r="H419" s="177" t="str">
        <f>IFERROR(AVERAGEIFS($F:$F, $A:$A, $A419, $B:$B,$B419, $C:$C,$C419),"")</f>
        <v/>
      </c>
      <c r="I419" s="178" t="str">
        <f>IFERROR(AVERAGEIFS($G:$G, $A:$A, $A419, $B:$B,$B419, $C:$C,$C419),"")</f>
        <v/>
      </c>
    </row>
    <row r="420" spans="1:9" x14ac:dyDescent="0.3">
      <c r="A420" s="182" t="s">
        <v>115</v>
      </c>
      <c r="B420" s="282" t="s">
        <v>200</v>
      </c>
      <c r="C420" s="183">
        <v>46242</v>
      </c>
      <c r="D420" s="188" t="s">
        <v>18</v>
      </c>
      <c r="H420" s="177" t="str">
        <f>IFERROR(AVERAGEIFS($F:$F, $A:$A, $A420, $B:$B,$B420, $C:$C,$C420),"")</f>
        <v/>
      </c>
      <c r="I420" s="178" t="str">
        <f>IFERROR(AVERAGEIFS($G:$G, $A:$A, $A420, $B:$B,$B420, $C:$C,$C420),"")</f>
        <v/>
      </c>
    </row>
    <row r="421" spans="1:9" x14ac:dyDescent="0.3">
      <c r="A421" s="182" t="s">
        <v>115</v>
      </c>
      <c r="B421" s="282" t="s">
        <v>200</v>
      </c>
      <c r="C421" s="183">
        <v>46242</v>
      </c>
      <c r="D421" s="188" t="s">
        <v>19</v>
      </c>
      <c r="H421" s="177" t="str">
        <f>IFERROR(AVERAGEIFS($F:$F, $A:$A, $A421, $B:$B,$B421, $C:$C,$C421),"")</f>
        <v/>
      </c>
      <c r="I421" s="178" t="str">
        <f>IFERROR(AVERAGEIFS($G:$G, $A:$A, $A421, $B:$B,$B421, $C:$C,$C421),"")</f>
        <v/>
      </c>
    </row>
    <row r="422" spans="1:9" x14ac:dyDescent="0.3">
      <c r="A422" s="182" t="s">
        <v>115</v>
      </c>
      <c r="B422" s="282" t="s">
        <v>200</v>
      </c>
      <c r="C422" s="183">
        <v>46242</v>
      </c>
      <c r="D422" s="188" t="s">
        <v>20</v>
      </c>
      <c r="H422" s="177" t="str">
        <f>IFERROR(AVERAGEIFS($F:$F, $A:$A, $A422, $B:$B,$B422, $C:$C,$C422),"")</f>
        <v/>
      </c>
      <c r="I422" s="178" t="str">
        <f>IFERROR(AVERAGEIFS($G:$G, $A:$A, $A422, $B:$B,$B422, $C:$C,$C422),"")</f>
        <v/>
      </c>
    </row>
    <row r="423" spans="1:9" x14ac:dyDescent="0.3">
      <c r="A423" s="182" t="s">
        <v>115</v>
      </c>
      <c r="B423" s="282" t="s">
        <v>200</v>
      </c>
      <c r="C423" s="183">
        <v>46242</v>
      </c>
      <c r="D423" s="188" t="s">
        <v>44</v>
      </c>
      <c r="H423" s="177" t="str">
        <f>IFERROR(AVERAGEIFS($F:$F, $A:$A, $A423, $B:$B,$B423, $C:$C,$C423),"")</f>
        <v/>
      </c>
      <c r="I423" s="178" t="str">
        <f>IFERROR(AVERAGEIFS($G:$G, $A:$A, $A423, $B:$B,$B423, $C:$C,$C423),"")</f>
        <v/>
      </c>
    </row>
    <row r="424" spans="1:9" x14ac:dyDescent="0.3">
      <c r="A424" s="182" t="s">
        <v>115</v>
      </c>
      <c r="B424" s="282" t="s">
        <v>200</v>
      </c>
      <c r="C424" s="183">
        <v>46242</v>
      </c>
      <c r="D424" s="188" t="s">
        <v>21</v>
      </c>
      <c r="H424" s="177" t="str">
        <f>IFERROR(AVERAGEIFS($F:$F, $A:$A, $A424, $B:$B,$B424, $C:$C,$C424),"")</f>
        <v/>
      </c>
      <c r="I424" s="178" t="str">
        <f>IFERROR(AVERAGEIFS($G:$G, $A:$A, $A424, $B:$B,$B424, $C:$C,$C424),"")</f>
        <v/>
      </c>
    </row>
    <row r="425" spans="1:9" x14ac:dyDescent="0.3">
      <c r="A425" s="182" t="s">
        <v>115</v>
      </c>
      <c r="B425" s="282" t="s">
        <v>200</v>
      </c>
      <c r="C425" s="183">
        <v>46242</v>
      </c>
      <c r="D425" s="188" t="s">
        <v>22</v>
      </c>
      <c r="H425" s="177" t="str">
        <f>IFERROR(AVERAGEIFS($F:$F, $A:$A, $A425, $B:$B,$B425, $C:$C,$C425),"")</f>
        <v/>
      </c>
      <c r="I425" s="178" t="str">
        <f>IFERROR(AVERAGEIFS($G:$G, $A:$A, $A425, $B:$B,$B425, $C:$C,$C425),"")</f>
        <v/>
      </c>
    </row>
    <row r="426" spans="1:9" x14ac:dyDescent="0.3">
      <c r="A426" s="182" t="s">
        <v>115</v>
      </c>
      <c r="B426" s="282" t="s">
        <v>200</v>
      </c>
      <c r="C426" s="183">
        <v>46242</v>
      </c>
      <c r="D426" s="188" t="s">
        <v>23</v>
      </c>
      <c r="H426" s="177" t="str">
        <f>IFERROR(AVERAGEIFS($F:$F, $A:$A, $A426, $B:$B,$B426, $C:$C,$C426),"")</f>
        <v/>
      </c>
      <c r="I426" s="178" t="str">
        <f>IFERROR(AVERAGEIFS($G:$G, $A:$A, $A426, $B:$B,$B426, $C:$C,$C426),"")</f>
        <v/>
      </c>
    </row>
    <row r="427" spans="1:9" x14ac:dyDescent="0.3">
      <c r="A427" s="182" t="s">
        <v>115</v>
      </c>
      <c r="B427" s="282" t="s">
        <v>200</v>
      </c>
      <c r="C427" s="183">
        <v>46242</v>
      </c>
      <c r="D427" s="188" t="s">
        <v>24</v>
      </c>
      <c r="H427" s="177" t="str">
        <f>IFERROR(AVERAGEIFS($F:$F, $A:$A, $A427, $B:$B,$B427, $C:$C,$C427),"")</f>
        <v/>
      </c>
      <c r="I427" s="178" t="str">
        <f>IFERROR(AVERAGEIFS($G:$G, $A:$A, $A427, $B:$B,$B427, $C:$C,$C427),"")</f>
        <v/>
      </c>
    </row>
    <row r="428" spans="1:9" x14ac:dyDescent="0.3">
      <c r="A428" s="182" t="s">
        <v>115</v>
      </c>
      <c r="B428" s="282" t="s">
        <v>200</v>
      </c>
      <c r="C428" s="183">
        <v>46242</v>
      </c>
      <c r="D428" s="188" t="s">
        <v>25</v>
      </c>
      <c r="H428" s="177" t="str">
        <f>IFERROR(AVERAGEIFS($F:$F, $A:$A, $A428, $B:$B,$B428, $C:$C,$C428),"")</f>
        <v/>
      </c>
      <c r="I428" s="178" t="str">
        <f>IFERROR(AVERAGEIFS($G:$G, $A:$A, $A428, $B:$B,$B428, $C:$C,$C428),"")</f>
        <v/>
      </c>
    </row>
    <row r="429" spans="1:9" x14ac:dyDescent="0.3">
      <c r="A429" s="182" t="s">
        <v>115</v>
      </c>
      <c r="B429" s="282" t="s">
        <v>200</v>
      </c>
      <c r="C429" s="183">
        <v>46242</v>
      </c>
      <c r="D429" s="188" t="s">
        <v>26</v>
      </c>
      <c r="H429" s="177" t="str">
        <f>IFERROR(AVERAGEIFS($F:$F, $A:$A, $A429, $B:$B,$B429, $C:$C,$C429),"")</f>
        <v/>
      </c>
      <c r="I429" s="178" t="str">
        <f>IFERROR(AVERAGEIFS($G:$G, $A:$A, $A429, $B:$B,$B429, $C:$C,$C429),"")</f>
        <v/>
      </c>
    </row>
    <row r="430" spans="1:9" x14ac:dyDescent="0.3">
      <c r="A430" s="182" t="s">
        <v>115</v>
      </c>
      <c r="B430" s="282" t="s">
        <v>200</v>
      </c>
      <c r="C430" s="183">
        <v>46242</v>
      </c>
      <c r="D430" s="188" t="s">
        <v>27</v>
      </c>
      <c r="H430" s="177" t="str">
        <f>IFERROR(AVERAGEIFS($F:$F, $A:$A, $A430, $B:$B,$B430, $C:$C,$C430),"")</f>
        <v/>
      </c>
      <c r="I430" s="178" t="str">
        <f>IFERROR(AVERAGEIFS($G:$G, $A:$A, $A430, $B:$B,$B430, $C:$C,$C430),"")</f>
        <v/>
      </c>
    </row>
    <row r="431" spans="1:9" x14ac:dyDescent="0.3">
      <c r="A431" s="182" t="s">
        <v>115</v>
      </c>
      <c r="B431" s="282" t="s">
        <v>200</v>
      </c>
      <c r="C431" s="183">
        <v>46242</v>
      </c>
      <c r="D431" s="188" t="s">
        <v>28</v>
      </c>
      <c r="H431" s="177" t="str">
        <f>IFERROR(AVERAGEIFS($F:$F, $A:$A, $A431, $B:$B,$B431, $C:$C,$C431),"")</f>
        <v/>
      </c>
      <c r="I431" s="178" t="str">
        <f>IFERROR(AVERAGEIFS($G:$G, $A:$A, $A431, $B:$B,$B431, $C:$C,$C431),"")</f>
        <v/>
      </c>
    </row>
    <row r="432" spans="1:9" x14ac:dyDescent="0.3">
      <c r="A432" s="182" t="s">
        <v>115</v>
      </c>
      <c r="B432" s="282" t="s">
        <v>200</v>
      </c>
      <c r="C432" s="183">
        <v>46242</v>
      </c>
      <c r="D432" s="188" t="s">
        <v>29</v>
      </c>
      <c r="H432" s="177" t="str">
        <f>IFERROR(AVERAGEIFS($F:$F, $A:$A, $A432, $B:$B,$B432, $C:$C,$C432),"")</f>
        <v/>
      </c>
      <c r="I432" s="178" t="str">
        <f>IFERROR(AVERAGEIFS($G:$G, $A:$A, $A432, $B:$B,$B432, $C:$C,$C432),"")</f>
        <v/>
      </c>
    </row>
    <row r="433" spans="1:9" x14ac:dyDescent="0.3">
      <c r="A433" s="182" t="s">
        <v>115</v>
      </c>
      <c r="B433" s="282" t="s">
        <v>200</v>
      </c>
      <c r="C433" s="183">
        <v>46242</v>
      </c>
      <c r="D433" s="188" t="s">
        <v>30</v>
      </c>
      <c r="H433" s="177" t="str">
        <f>IFERROR(AVERAGEIFS($F:$F, $A:$A, $A433, $B:$B,$B433, $C:$C,$C433),"")</f>
        <v/>
      </c>
      <c r="I433" s="178" t="str">
        <f>IFERROR(AVERAGEIFS($G:$G, $A:$A, $A433, $B:$B,$B433, $C:$C,$C433),"")</f>
        <v/>
      </c>
    </row>
    <row r="434" spans="1:9" x14ac:dyDescent="0.3">
      <c r="H434" s="177" t="str">
        <f>IFERROR(AVERAGEIFS($F:$F, $A:$A, $A434, $B:$B,$B434, $C:$C,$C434),"")</f>
        <v/>
      </c>
      <c r="I434" s="178" t="str">
        <f>IFERROR(AVERAGEIFS($G:$G, $A:$A, $A434, $B:$B,$B434, $C:$C,$C434),"")</f>
        <v/>
      </c>
    </row>
    <row r="435" spans="1:9" x14ac:dyDescent="0.3">
      <c r="H435" s="177" t="str">
        <f>IFERROR(AVERAGEIFS($F:$F, $A:$A, $A435, $B:$B,$B435, $C:$C,$C435),"")</f>
        <v/>
      </c>
      <c r="I435" s="178" t="str">
        <f>IFERROR(AVERAGEIFS($G:$G, $A:$A, $A435, $B:$B,$B435, $C:$C,$C435),"")</f>
        <v/>
      </c>
    </row>
    <row r="436" spans="1:9" x14ac:dyDescent="0.3">
      <c r="H436" s="177" t="str">
        <f>IFERROR(AVERAGEIFS($F:$F, $A:$A, $A436, $B:$B,$B436, $C:$C,$C436),"")</f>
        <v/>
      </c>
      <c r="I436" s="178" t="str">
        <f>IFERROR(AVERAGEIFS($G:$G, $A:$A, $A436, $B:$B,$B436, $C:$C,$C436),"")</f>
        <v/>
      </c>
    </row>
    <row r="437" spans="1:9" x14ac:dyDescent="0.3">
      <c r="H437" s="177" t="str">
        <f>IFERROR(AVERAGEIFS($F:$F, $A:$A, $A437, $B:$B,$B437, $C:$C,$C437),"")</f>
        <v/>
      </c>
      <c r="I437" s="178" t="str">
        <f>IFERROR(AVERAGEIFS($G:$G, $A:$A, $A437, $B:$B,$B437, $C:$C,$C437),"")</f>
        <v/>
      </c>
    </row>
    <row r="438" spans="1:9" x14ac:dyDescent="0.3">
      <c r="H438" s="177" t="str">
        <f>IFERROR(AVERAGEIFS($F:$F, $A:$A, $A438, $B:$B,$B438, $C:$C,$C438),"")</f>
        <v/>
      </c>
      <c r="I438" s="178" t="str">
        <f>IFERROR(AVERAGEIFS($G:$G, $A:$A, $A438, $B:$B,$B438, $C:$C,$C438),"")</f>
        <v/>
      </c>
    </row>
    <row r="439" spans="1:9" x14ac:dyDescent="0.3">
      <c r="H439" s="177" t="str">
        <f>IFERROR(AVERAGEIFS($F:$F, $A:$A, $A439, $B:$B,$B439, $C:$C,$C439),"")</f>
        <v/>
      </c>
      <c r="I439" s="178" t="str">
        <f>IFERROR(AVERAGEIFS($G:$G, $A:$A, $A439, $B:$B,$B439, $C:$C,$C439),"")</f>
        <v/>
      </c>
    </row>
    <row r="440" spans="1:9" x14ac:dyDescent="0.3">
      <c r="H440" s="177" t="str">
        <f>IFERROR(AVERAGEIFS($F:$F, $A:$A, $A440, $B:$B,$B440, $C:$C,$C440),"")</f>
        <v/>
      </c>
      <c r="I440" s="178" t="str">
        <f>IFERROR(AVERAGEIFS($G:$G, $A:$A, $A440, $B:$B,$B440, $C:$C,$C440),"")</f>
        <v/>
      </c>
    </row>
    <row r="441" spans="1:9" x14ac:dyDescent="0.3">
      <c r="H441" s="177" t="str">
        <f>IFERROR(AVERAGEIFS($F:$F, $A:$A, $A441, $B:$B,$B441, $C:$C,$C441),"")</f>
        <v/>
      </c>
      <c r="I441" s="178" t="str">
        <f>IFERROR(AVERAGEIFS($G:$G, $A:$A, $A441, $B:$B,$B441, $C:$C,$C441),"")</f>
        <v/>
      </c>
    </row>
    <row r="442" spans="1:9" x14ac:dyDescent="0.3">
      <c r="H442" s="177" t="str">
        <f>IFERROR(AVERAGEIFS($F:$F, $A:$A, $A442, $B:$B,$B442, $C:$C,$C442),"")</f>
        <v/>
      </c>
      <c r="I442" s="178" t="str">
        <f>IFERROR(AVERAGEIFS($G:$G, $A:$A, $A442, $B:$B,$B442, $C:$C,$C442),"")</f>
        <v/>
      </c>
    </row>
    <row r="443" spans="1:9" x14ac:dyDescent="0.3">
      <c r="H443" s="177" t="str">
        <f>IFERROR(AVERAGEIFS($F:$F, $A:$A, $A443, $B:$B,$B443, $C:$C,$C443),"")</f>
        <v/>
      </c>
      <c r="I443" s="178" t="str">
        <f>IFERROR(AVERAGEIFS($G:$G, $A:$A, $A443, $B:$B,$B443, $C:$C,$C443),"")</f>
        <v/>
      </c>
    </row>
    <row r="444" spans="1:9" x14ac:dyDescent="0.3">
      <c r="H444" s="177" t="str">
        <f>IFERROR(AVERAGEIFS($F:$F, $A:$A, $A444, $B:$B,$B444, $C:$C,$C444),"")</f>
        <v/>
      </c>
      <c r="I444" s="178" t="str">
        <f>IFERROR(AVERAGEIFS($G:$G, $A:$A, $A444, $B:$B,$B444, $C:$C,$C444),"")</f>
        <v/>
      </c>
    </row>
    <row r="445" spans="1:9" x14ac:dyDescent="0.3">
      <c r="H445" s="177" t="str">
        <f>IFERROR(AVERAGEIFS($F:$F, $A:$A, $A445, $B:$B,$B445, $C:$C,$C445),"")</f>
        <v/>
      </c>
      <c r="I445" s="178" t="str">
        <f>IFERROR(AVERAGEIFS($G:$G, $A:$A, $A445, $B:$B,$B445, $C:$C,$C445),"")</f>
        <v/>
      </c>
    </row>
    <row r="446" spans="1:9" x14ac:dyDescent="0.3">
      <c r="H446" s="177" t="str">
        <f>IFERROR(AVERAGEIFS($F:$F, $A:$A, $A446, $B:$B,$B446, $C:$C,$C446),"")</f>
        <v/>
      </c>
      <c r="I446" s="178" t="str">
        <f>IFERROR(AVERAGEIFS($G:$G, $A:$A, $A446, $B:$B,$B446, $C:$C,$C446),"")</f>
        <v/>
      </c>
    </row>
    <row r="447" spans="1:9" x14ac:dyDescent="0.3">
      <c r="H447" s="177" t="str">
        <f>IFERROR(AVERAGEIFS($F:$F, $A:$A, $A447, $B:$B,$B447, $C:$C,$C447),"")</f>
        <v/>
      </c>
      <c r="I447" s="178" t="str">
        <f>IFERROR(AVERAGEIFS($G:$G, $A:$A, $A447, $B:$B,$B447, $C:$C,$C447),"")</f>
        <v/>
      </c>
    </row>
    <row r="448" spans="1:9" x14ac:dyDescent="0.3">
      <c r="H448" s="177" t="str">
        <f>IFERROR(AVERAGEIFS($F:$F, $A:$A, $A448, $B:$B,$B448, $C:$C,$C448),"")</f>
        <v/>
      </c>
      <c r="I448" s="178" t="str">
        <f>IFERROR(AVERAGEIFS($G:$G, $A:$A, $A448, $B:$B,$B448, $C:$C,$C448),"")</f>
        <v/>
      </c>
    </row>
    <row r="449" spans="8:9" x14ac:dyDescent="0.3">
      <c r="H449" s="177" t="str">
        <f>IFERROR(AVERAGEIFS($F:$F, $A:$A, $A449, $B:$B,$B449, $C:$C,$C449),"")</f>
        <v/>
      </c>
      <c r="I449" s="178" t="str">
        <f>IFERROR(AVERAGEIFS($G:$G, $A:$A, $A449, $B:$B,$B449, $C:$C,$C449),"")</f>
        <v/>
      </c>
    </row>
    <row r="450" spans="8:9" x14ac:dyDescent="0.3">
      <c r="H450" s="177" t="str">
        <f>IFERROR(AVERAGEIFS($F:$F, $A:$A, $A450, $B:$B,$B450, $C:$C,$C450),"")</f>
        <v/>
      </c>
      <c r="I450" s="178" t="str">
        <f>IFERROR(AVERAGEIFS($G:$G, $A:$A, $A450, $B:$B,$B450, $C:$C,$C450),"")</f>
        <v/>
      </c>
    </row>
    <row r="451" spans="8:9" x14ac:dyDescent="0.3">
      <c r="H451" s="177" t="str">
        <f>IFERROR(AVERAGEIFS($F:$F, $A:$A, $A451, $B:$B,$B451, $C:$C,$C451),"")</f>
        <v/>
      </c>
      <c r="I451" s="178" t="str">
        <f>IFERROR(AVERAGEIFS($G:$G, $A:$A, $A451, $B:$B,$B451, $C:$C,$C451),"")</f>
        <v/>
      </c>
    </row>
    <row r="452" spans="8:9" x14ac:dyDescent="0.3">
      <c r="H452" s="177" t="str">
        <f>IFERROR(AVERAGEIFS($F:$F, $A:$A, $A452, $B:$B,$B452, $C:$C,$C452),"")</f>
        <v/>
      </c>
      <c r="I452" s="178" t="str">
        <f>IFERROR(AVERAGEIFS($G:$G, $A:$A, $A452, $B:$B,$B452, $C:$C,$C452),"")</f>
        <v/>
      </c>
    </row>
    <row r="453" spans="8:9" x14ac:dyDescent="0.3">
      <c r="H453" s="177" t="str">
        <f>IFERROR(AVERAGEIFS($F:$F, $A:$A, $A453, $B:$B,$B453, $C:$C,$C453),"")</f>
        <v/>
      </c>
      <c r="I453" s="178" t="str">
        <f>IFERROR(AVERAGEIFS($G:$G, $A:$A, $A453, $B:$B,$B453, $C:$C,$C453),"")</f>
        <v/>
      </c>
    </row>
    <row r="454" spans="8:9" x14ac:dyDescent="0.3">
      <c r="H454" s="177" t="str">
        <f>IFERROR(AVERAGEIFS($F:$F, $A:$A, $A454, $B:$B,$B454, $C:$C,$C454),"")</f>
        <v/>
      </c>
      <c r="I454" s="178" t="str">
        <f>IFERROR(AVERAGEIFS($G:$G, $A:$A, $A454, $B:$B,$B454, $C:$C,$C454),"")</f>
        <v/>
      </c>
    </row>
    <row r="455" spans="8:9" x14ac:dyDescent="0.3">
      <c r="H455" s="177" t="str">
        <f>IFERROR(AVERAGEIFS($F:$F, $A:$A, $A455, $B:$B,$B455, $C:$C,$C455),"")</f>
        <v/>
      </c>
      <c r="I455" s="178" t="str">
        <f>IFERROR(AVERAGEIFS($G:$G, $A:$A, $A455, $B:$B,$B455, $C:$C,$C455),"")</f>
        <v/>
      </c>
    </row>
    <row r="456" spans="8:9" x14ac:dyDescent="0.3">
      <c r="H456" s="177" t="str">
        <f>IFERROR(AVERAGEIFS($F:$F, $A:$A, $A456, $B:$B,$B456, $C:$C,$C456),"")</f>
        <v/>
      </c>
      <c r="I456" s="178" t="str">
        <f>IFERROR(AVERAGEIFS($G:$G, $A:$A, $A456, $B:$B,$B456, $C:$C,$C456),"")</f>
        <v/>
      </c>
    </row>
    <row r="457" spans="8:9" x14ac:dyDescent="0.3">
      <c r="H457" s="177" t="str">
        <f>IFERROR(AVERAGEIFS($F:$F, $A:$A, $A457, $B:$B,$B457, $C:$C,$C457),"")</f>
        <v/>
      </c>
      <c r="I457" s="178" t="str">
        <f>IFERROR(AVERAGEIFS($G:$G, $A:$A, $A457, $B:$B,$B457, $C:$C,$C457),"")</f>
        <v/>
      </c>
    </row>
    <row r="458" spans="8:9" x14ac:dyDescent="0.3">
      <c r="H458" s="177" t="str">
        <f>IFERROR(AVERAGEIFS($F:$F, $A:$A, $A458, $B:$B,$B458, $C:$C,$C458),"")</f>
        <v/>
      </c>
      <c r="I458" s="178" t="str">
        <f>IFERROR(AVERAGEIFS($G:$G, $A:$A, $A458, $B:$B,$B458, $C:$C,$C458),"")</f>
        <v/>
      </c>
    </row>
    <row r="459" spans="8:9" x14ac:dyDescent="0.3">
      <c r="H459" s="177" t="str">
        <f>IFERROR(AVERAGEIFS($F:$F, $A:$A, $A459, $B:$B,$B459, $C:$C,$C459),"")</f>
        <v/>
      </c>
      <c r="I459" s="178" t="str">
        <f>IFERROR(AVERAGEIFS($G:$G, $A:$A, $A459, $B:$B,$B459, $C:$C,$C459),"")</f>
        <v/>
      </c>
    </row>
    <row r="460" spans="8:9" x14ac:dyDescent="0.3">
      <c r="H460" s="177" t="str">
        <f>IFERROR(AVERAGEIFS($F:$F, $A:$A, $A460, $B:$B,$B460, $C:$C,$C460),"")</f>
        <v/>
      </c>
      <c r="I460" s="178" t="str">
        <f>IFERROR(AVERAGEIFS($G:$G, $A:$A, $A460, $B:$B,$B460, $C:$C,$C460),"")</f>
        <v/>
      </c>
    </row>
    <row r="461" spans="8:9" x14ac:dyDescent="0.3">
      <c r="H461" s="177" t="str">
        <f>IFERROR(AVERAGEIFS($F:$F, $A:$A, $A461, $B:$B,$B461, $C:$C,$C461),"")</f>
        <v/>
      </c>
      <c r="I461" s="178" t="str">
        <f>IFERROR(AVERAGEIFS($G:$G, $A:$A, $A461, $B:$B,$B461, $C:$C,$C461),"")</f>
        <v/>
      </c>
    </row>
    <row r="462" spans="8:9" x14ac:dyDescent="0.3">
      <c r="H462" s="177" t="str">
        <f>IFERROR(AVERAGEIFS($F:$F, $A:$A, $A462, $B:$B,$B462, $C:$C,$C462),"")</f>
        <v/>
      </c>
      <c r="I462" s="178" t="str">
        <f>IFERROR(AVERAGEIFS($G:$G, $A:$A, $A462, $B:$B,$B462, $C:$C,$C462),"")</f>
        <v/>
      </c>
    </row>
    <row r="463" spans="8:9" x14ac:dyDescent="0.3">
      <c r="H463" s="177" t="str">
        <f>IFERROR(AVERAGEIFS($F:$F, $A:$A, $A463, $B:$B,$B463, $C:$C,$C463),"")</f>
        <v/>
      </c>
      <c r="I463" s="178" t="str">
        <f>IFERROR(AVERAGEIFS($G:$G, $A:$A, $A463, $B:$B,$B463, $C:$C,$C463),"")</f>
        <v/>
      </c>
    </row>
    <row r="464" spans="8:9" x14ac:dyDescent="0.3">
      <c r="H464" s="177" t="str">
        <f>IFERROR(AVERAGEIFS($F:$F, $A:$A, $A464, $B:$B,$B464, $C:$C,$C464),"")</f>
        <v/>
      </c>
      <c r="I464" s="178" t="str">
        <f>IFERROR(AVERAGEIFS($G:$G, $A:$A, $A464, $B:$B,$B464, $C:$C,$C464),"")</f>
        <v/>
      </c>
    </row>
    <row r="465" spans="8:9" x14ac:dyDescent="0.3">
      <c r="H465" s="177" t="str">
        <f>IFERROR(AVERAGEIFS($F:$F, $A:$A, $A465, $B:$B,$B465, $C:$C,$C465),"")</f>
        <v/>
      </c>
      <c r="I465" s="178" t="str">
        <f>IFERROR(AVERAGEIFS($G:$G, $A:$A, $A465, $B:$B,$B465, $C:$C,$C465),"")</f>
        <v/>
      </c>
    </row>
    <row r="466" spans="8:9" x14ac:dyDescent="0.3">
      <c r="H466" s="177" t="str">
        <f>IFERROR(AVERAGEIFS($F:$F, $A:$A, $A466, $B:$B,$B466, $C:$C,$C466),"")</f>
        <v/>
      </c>
      <c r="I466" s="178" t="str">
        <f>IFERROR(AVERAGEIFS($G:$G, $A:$A, $A466, $B:$B,$B466, $C:$C,$C466),"")</f>
        <v/>
      </c>
    </row>
    <row r="467" spans="8:9" x14ac:dyDescent="0.3">
      <c r="H467" s="177" t="str">
        <f>IFERROR(AVERAGEIFS($F:$F, $A:$A, $A467, $B:$B,$B467, $C:$C,$C467),"")</f>
        <v/>
      </c>
      <c r="I467" s="178" t="str">
        <f>IFERROR(AVERAGEIFS($G:$G, $A:$A, $A467, $B:$B,$B467, $C:$C,$C467),"")</f>
        <v/>
      </c>
    </row>
    <row r="468" spans="8:9" x14ac:dyDescent="0.3">
      <c r="H468" s="177" t="str">
        <f>IFERROR(AVERAGEIFS($F:$F, $A:$A, $A468, $B:$B,$B468, $C:$C,$C468),"")</f>
        <v/>
      </c>
      <c r="I468" s="178" t="str">
        <f>IFERROR(AVERAGEIFS($G:$G, $A:$A, $A468, $B:$B,$B468, $C:$C,$C468),"")</f>
        <v/>
      </c>
    </row>
    <row r="469" spans="8:9" x14ac:dyDescent="0.3">
      <c r="H469" s="177" t="str">
        <f>IFERROR(AVERAGEIFS($F:$F, $A:$A, $A469, $B:$B,$B469, $C:$C,$C469),"")</f>
        <v/>
      </c>
      <c r="I469" s="178" t="str">
        <f>IFERROR(AVERAGEIFS($G:$G, $A:$A, $A469, $B:$B,$B469, $C:$C,$C469),"")</f>
        <v/>
      </c>
    </row>
    <row r="470" spans="8:9" x14ac:dyDescent="0.3">
      <c r="H470" s="177" t="str">
        <f>IFERROR(AVERAGEIFS($F:$F, $A:$A, $A470, $B:$B,$B470, $C:$C,$C470),"")</f>
        <v/>
      </c>
      <c r="I470" s="178" t="str">
        <f>IFERROR(AVERAGEIFS($G:$G, $A:$A, $A470, $B:$B,$B470, $C:$C,$C470),"")</f>
        <v/>
      </c>
    </row>
    <row r="471" spans="8:9" x14ac:dyDescent="0.3">
      <c r="H471" s="177" t="str">
        <f>IFERROR(AVERAGEIFS($F:$F, $A:$A, $A471, $B:$B,$B471, $C:$C,$C471),"")</f>
        <v/>
      </c>
      <c r="I471" s="178" t="str">
        <f>IFERROR(AVERAGEIFS($G:$G, $A:$A, $A471, $B:$B,$B471, $C:$C,$C471),"")</f>
        <v/>
      </c>
    </row>
    <row r="472" spans="8:9" x14ac:dyDescent="0.3">
      <c r="H472" s="177" t="str">
        <f>IFERROR(AVERAGEIFS($F:$F, $A:$A, $A472, $B:$B,$B472, $C:$C,$C472),"")</f>
        <v/>
      </c>
      <c r="I472" s="178" t="str">
        <f>IFERROR(AVERAGEIFS($G:$G, $A:$A, $A472, $B:$B,$B472, $C:$C,$C472),"")</f>
        <v/>
      </c>
    </row>
    <row r="473" spans="8:9" x14ac:dyDescent="0.3">
      <c r="H473" s="177" t="str">
        <f>IFERROR(AVERAGEIFS($F:$F, $A:$A, $A473, $B:$B,$B473, $C:$C,$C473),"")</f>
        <v/>
      </c>
      <c r="I473" s="178" t="str">
        <f>IFERROR(AVERAGEIFS($G:$G, $A:$A, $A473, $B:$B,$B473, $C:$C,$C473),"")</f>
        <v/>
      </c>
    </row>
    <row r="474" spans="8:9" x14ac:dyDescent="0.3">
      <c r="H474" s="177" t="str">
        <f>IFERROR(AVERAGEIFS($F:$F, $A:$A, $A474, $B:$B,$B474, $C:$C,$C474),"")</f>
        <v/>
      </c>
      <c r="I474" s="178" t="str">
        <f>IFERROR(AVERAGEIFS($G:$G, $A:$A, $A474, $B:$B,$B474, $C:$C,$C474),"")</f>
        <v/>
      </c>
    </row>
    <row r="475" spans="8:9" x14ac:dyDescent="0.3">
      <c r="H475" s="177" t="str">
        <f>IFERROR(AVERAGEIFS($F:$F, $A:$A, $A475, $B:$B,$B475, $C:$C,$C475),"")</f>
        <v/>
      </c>
      <c r="I475" s="178" t="str">
        <f>IFERROR(AVERAGEIFS($G:$G, $A:$A, $A475, $B:$B,$B475, $C:$C,$C475),"")</f>
        <v/>
      </c>
    </row>
    <row r="476" spans="8:9" x14ac:dyDescent="0.3">
      <c r="H476" s="177" t="str">
        <f>IFERROR(AVERAGEIFS($F:$F, $A:$A, $A476, $B:$B,$B476, $C:$C,$C476),"")</f>
        <v/>
      </c>
      <c r="I476" s="178" t="str">
        <f>IFERROR(AVERAGEIFS($G:$G, $A:$A, $A476, $B:$B,$B476, $C:$C,$C476),"")</f>
        <v/>
      </c>
    </row>
    <row r="477" spans="8:9" x14ac:dyDescent="0.3">
      <c r="H477" s="177" t="str">
        <f>IFERROR(AVERAGEIFS($F:$F, $A:$A, $A477, $B:$B,$B477, $C:$C,$C477),"")</f>
        <v/>
      </c>
      <c r="I477" s="178" t="str">
        <f>IFERROR(AVERAGEIFS($G:$G, $A:$A, $A477, $B:$B,$B477, $C:$C,$C477),"")</f>
        <v/>
      </c>
    </row>
    <row r="478" spans="8:9" x14ac:dyDescent="0.3">
      <c r="H478" s="177" t="str">
        <f>IFERROR(AVERAGEIFS($F:$F, $A:$A, $A478, $B:$B,$B478, $C:$C,$C478),"")</f>
        <v/>
      </c>
      <c r="I478" s="178" t="str">
        <f>IFERROR(AVERAGEIFS($G:$G, $A:$A, $A478, $B:$B,$B478, $C:$C,$C478),"")</f>
        <v/>
      </c>
    </row>
    <row r="479" spans="8:9" x14ac:dyDescent="0.3">
      <c r="H479" s="177" t="str">
        <f>IFERROR(AVERAGEIFS($F:$F, $A:$A, $A479, $B:$B,$B479, $C:$C,$C479),"")</f>
        <v/>
      </c>
      <c r="I479" s="178" t="str">
        <f>IFERROR(AVERAGEIFS($G:$G, $A:$A, $A479, $B:$B,$B479, $C:$C,$C479),"")</f>
        <v/>
      </c>
    </row>
    <row r="480" spans="8:9" x14ac:dyDescent="0.3">
      <c r="H480" s="177" t="str">
        <f>IFERROR(AVERAGEIFS($F:$F, $A:$A, $A480, $B:$B,$B480, $C:$C,$C480),"")</f>
        <v/>
      </c>
      <c r="I480" s="178" t="str">
        <f>IFERROR(AVERAGEIFS($G:$G, $A:$A, $A480, $B:$B,$B480, $C:$C,$C480),"")</f>
        <v/>
      </c>
    </row>
    <row r="481" spans="8:9" x14ac:dyDescent="0.3">
      <c r="H481" s="177" t="str">
        <f>IFERROR(AVERAGEIFS($F:$F, $A:$A, $A481, $B:$B,$B481, $C:$C,$C481),"")</f>
        <v/>
      </c>
      <c r="I481" s="178" t="str">
        <f>IFERROR(AVERAGEIFS($G:$G, $A:$A, $A481, $B:$B,$B481, $C:$C,$C481),"")</f>
        <v/>
      </c>
    </row>
    <row r="482" spans="8:9" x14ac:dyDescent="0.3">
      <c r="H482" s="177" t="str">
        <f>IFERROR(AVERAGEIFS($F:$F, $A:$A, $A482, $B:$B,$B482, $C:$C,$C482),"")</f>
        <v/>
      </c>
      <c r="I482" s="178" t="str">
        <f>IFERROR(AVERAGEIFS($G:$G, $A:$A, $A482, $B:$B,$B482, $C:$C,$C482),"")</f>
        <v/>
      </c>
    </row>
    <row r="483" spans="8:9" x14ac:dyDescent="0.3">
      <c r="H483" s="177" t="str">
        <f>IFERROR(AVERAGEIFS($F:$F, $A:$A, $A483, $B:$B,$B483, $C:$C,$C483),"")</f>
        <v/>
      </c>
      <c r="I483" s="178" t="str">
        <f>IFERROR(AVERAGEIFS($G:$G, $A:$A, $A483, $B:$B,$B483, $C:$C,$C483),"")</f>
        <v/>
      </c>
    </row>
    <row r="484" spans="8:9" x14ac:dyDescent="0.3">
      <c r="H484" s="177" t="str">
        <f>IFERROR(AVERAGEIFS($F:$F, $A:$A, $A484, $B:$B,$B484, $C:$C,$C484),"")</f>
        <v/>
      </c>
      <c r="I484" s="178" t="str">
        <f>IFERROR(AVERAGEIFS($G:$G, $A:$A, $A484, $B:$B,$B484, $C:$C,$C484),"")</f>
        <v/>
      </c>
    </row>
    <row r="485" spans="8:9" x14ac:dyDescent="0.3">
      <c r="H485" s="177" t="str">
        <f>IFERROR(AVERAGEIFS($F:$F, $A:$A, $A485, $B:$B,$B485, $C:$C,$C485),"")</f>
        <v/>
      </c>
      <c r="I485" s="178" t="str">
        <f>IFERROR(AVERAGEIFS($G:$G, $A:$A, $A485, $B:$B,$B485, $C:$C,$C485),"")</f>
        <v/>
      </c>
    </row>
    <row r="486" spans="8:9" x14ac:dyDescent="0.3">
      <c r="H486" s="177" t="str">
        <f>IFERROR(AVERAGEIFS($F:$F, $A:$A, $A486, $B:$B,$B486, $C:$C,$C486),"")</f>
        <v/>
      </c>
      <c r="I486" s="178" t="str">
        <f>IFERROR(AVERAGEIFS($G:$G, $A:$A, $A486, $B:$B,$B486, $C:$C,$C486),"")</f>
        <v/>
      </c>
    </row>
    <row r="487" spans="8:9" x14ac:dyDescent="0.3">
      <c r="H487" s="177" t="str">
        <f>IFERROR(AVERAGEIFS($F:$F, $A:$A, $A487, $B:$B,$B487, $C:$C,$C487),"")</f>
        <v/>
      </c>
      <c r="I487" s="178" t="str">
        <f>IFERROR(AVERAGEIFS($G:$G, $A:$A, $A487, $B:$B,$B487, $C:$C,$C487),"")</f>
        <v/>
      </c>
    </row>
    <row r="488" spans="8:9" x14ac:dyDescent="0.3">
      <c r="H488" s="177" t="str">
        <f>IFERROR(AVERAGEIFS($F:$F, $A:$A, $A488, $B:$B,$B488, $C:$C,$C488),"")</f>
        <v/>
      </c>
      <c r="I488" s="178" t="str">
        <f>IFERROR(AVERAGEIFS($G:$G, $A:$A, $A488, $B:$B,$B488, $C:$C,$C488),"")</f>
        <v/>
      </c>
    </row>
    <row r="489" spans="8:9" x14ac:dyDescent="0.3">
      <c r="H489" s="177" t="str">
        <f>IFERROR(AVERAGEIFS($F:$F, $A:$A, $A489, $B:$B,$B489, $C:$C,$C489),"")</f>
        <v/>
      </c>
      <c r="I489" s="178" t="str">
        <f>IFERROR(AVERAGEIFS($G:$G, $A:$A, $A489, $B:$B,$B489, $C:$C,$C489),"")</f>
        <v/>
      </c>
    </row>
    <row r="490" spans="8:9" x14ac:dyDescent="0.3">
      <c r="H490" s="177" t="str">
        <f>IFERROR(AVERAGEIFS($F:$F, $A:$A, $A490, $B:$B,$B490, $C:$C,$C490),"")</f>
        <v/>
      </c>
      <c r="I490" s="178" t="str">
        <f>IFERROR(AVERAGEIFS($G:$G, $A:$A, $A490, $B:$B,$B490, $C:$C,$C490),"")</f>
        <v/>
      </c>
    </row>
    <row r="491" spans="8:9" x14ac:dyDescent="0.3">
      <c r="H491" s="177" t="str">
        <f>IFERROR(AVERAGEIFS($F:$F, $A:$A, $A491, $B:$B,$B491, $C:$C,$C491),"")</f>
        <v/>
      </c>
      <c r="I491" s="178" t="str">
        <f>IFERROR(AVERAGEIFS($G:$G, $A:$A, $A491, $B:$B,$B491, $C:$C,$C491),"")</f>
        <v/>
      </c>
    </row>
    <row r="492" spans="8:9" x14ac:dyDescent="0.3">
      <c r="H492" s="177" t="str">
        <f>IFERROR(AVERAGEIFS($F:$F, $A:$A, $A492, $B:$B,$B492, $C:$C,$C492),"")</f>
        <v/>
      </c>
      <c r="I492" s="178" t="str">
        <f>IFERROR(AVERAGEIFS($G:$G, $A:$A, $A492, $B:$B,$B492, $C:$C,$C492),"")</f>
        <v/>
      </c>
    </row>
    <row r="493" spans="8:9" x14ac:dyDescent="0.3">
      <c r="H493" s="177" t="str">
        <f>IFERROR(AVERAGEIFS($F:$F, $A:$A, $A493, $B:$B,$B493, $C:$C,$C493),"")</f>
        <v/>
      </c>
      <c r="I493" s="178" t="str">
        <f>IFERROR(AVERAGEIFS($G:$G, $A:$A, $A493, $B:$B,$B493, $C:$C,$C493),"")</f>
        <v/>
      </c>
    </row>
    <row r="494" spans="8:9" x14ac:dyDescent="0.3">
      <c r="H494" s="177" t="str">
        <f>IFERROR(AVERAGEIFS($F:$F, $A:$A, $A494, $B:$B,$B494, $C:$C,$C494),"")</f>
        <v/>
      </c>
      <c r="I494" s="178" t="str">
        <f>IFERROR(AVERAGEIFS($G:$G, $A:$A, $A494, $B:$B,$B494, $C:$C,$C494),"")</f>
        <v/>
      </c>
    </row>
    <row r="495" spans="8:9" x14ac:dyDescent="0.3">
      <c r="H495" s="177" t="str">
        <f>IFERROR(AVERAGEIFS($F:$F, $A:$A, $A495, $B:$B,$B495, $C:$C,$C495),"")</f>
        <v/>
      </c>
      <c r="I495" s="178" t="str">
        <f>IFERROR(AVERAGEIFS($G:$G, $A:$A, $A495, $B:$B,$B495, $C:$C,$C495),"")</f>
        <v/>
      </c>
    </row>
    <row r="496" spans="8:9" x14ac:dyDescent="0.3">
      <c r="H496" s="177" t="str">
        <f>IFERROR(AVERAGEIFS($F:$F, $A:$A, $A496, $B:$B,$B496, $C:$C,$C496),"")</f>
        <v/>
      </c>
      <c r="I496" s="178" t="str">
        <f>IFERROR(AVERAGEIFS($G:$G, $A:$A, $A496, $B:$B,$B496, $C:$C,$C496),"")</f>
        <v/>
      </c>
    </row>
    <row r="497" spans="8:9" x14ac:dyDescent="0.3">
      <c r="H497" s="177" t="str">
        <f>IFERROR(AVERAGEIFS($F:$F, $A:$A, $A497, $B:$B,$B497, $C:$C,$C497),"")</f>
        <v/>
      </c>
      <c r="I497" s="178" t="str">
        <f>IFERROR(AVERAGEIFS($G:$G, $A:$A, $A497, $B:$B,$B497, $C:$C,$C497),"")</f>
        <v/>
      </c>
    </row>
    <row r="498" spans="8:9" x14ac:dyDescent="0.3">
      <c r="H498" s="177" t="str">
        <f>IFERROR(AVERAGEIFS($F:$F, $A:$A, $A498, $B:$B,$B498, $C:$C,$C498),"")</f>
        <v/>
      </c>
      <c r="I498" s="178" t="str">
        <f>IFERROR(AVERAGEIFS($G:$G, $A:$A, $A498, $B:$B,$B498, $C:$C,$C498),"")</f>
        <v/>
      </c>
    </row>
    <row r="499" spans="8:9" x14ac:dyDescent="0.3">
      <c r="H499" s="177" t="str">
        <f>IFERROR(AVERAGEIFS($F:$F, $A:$A, $A499, $B:$B,$B499, $C:$C,$C499),"")</f>
        <v/>
      </c>
      <c r="I499" s="178" t="str">
        <f>IFERROR(AVERAGEIFS($G:$G, $A:$A, $A499, $B:$B,$B499, $C:$C,$C499),"")</f>
        <v/>
      </c>
    </row>
    <row r="500" spans="8:9" x14ac:dyDescent="0.3">
      <c r="H500" s="177" t="str">
        <f>IFERROR(AVERAGEIFS($F:$F, $A:$A, $A500, $B:$B,$B500, $C:$C,$C500),"")</f>
        <v/>
      </c>
      <c r="I500" s="178" t="str">
        <f>IFERROR(AVERAGEIFS($G:$G, $A:$A, $A500, $B:$B,$B500, $C:$C,$C500),"")</f>
        <v/>
      </c>
    </row>
    <row r="501" spans="8:9" x14ac:dyDescent="0.3">
      <c r="H501" s="177" t="str">
        <f>IFERROR(AVERAGEIFS($F:$F, $A:$A, $A501, $B:$B,$B501, $C:$C,$C501),"")</f>
        <v/>
      </c>
      <c r="I501" s="178" t="str">
        <f>IFERROR(AVERAGEIFS($G:$G, $A:$A, $A501, $B:$B,$B501, $C:$C,$C501),"")</f>
        <v/>
      </c>
    </row>
    <row r="502" spans="8:9" x14ac:dyDescent="0.3">
      <c r="H502" s="177" t="str">
        <f>IFERROR(AVERAGEIFS($F:$F, $A:$A, $A502, $B:$B,$B502, $C:$C,$C502),"")</f>
        <v/>
      </c>
      <c r="I502" s="178" t="str">
        <f>IFERROR(AVERAGEIFS($G:$G, $A:$A, $A502, $B:$B,$B502, $C:$C,$C502),"")</f>
        <v/>
      </c>
    </row>
    <row r="503" spans="8:9" x14ac:dyDescent="0.3">
      <c r="H503" s="177" t="str">
        <f>IFERROR(AVERAGEIFS($F:$F, $A:$A, $A503, $B:$B,$B503, $C:$C,$C503),"")</f>
        <v/>
      </c>
      <c r="I503" s="178" t="str">
        <f>IFERROR(AVERAGEIFS($G:$G, $A:$A, $A503, $B:$B,$B503, $C:$C,$C503),"")</f>
        <v/>
      </c>
    </row>
    <row r="504" spans="8:9" x14ac:dyDescent="0.3">
      <c r="H504" s="177" t="str">
        <f>IFERROR(AVERAGEIFS($F:$F, $A:$A, $A504, $B:$B,$B504, $C:$C,$C504),"")</f>
        <v/>
      </c>
      <c r="I504" s="178" t="str">
        <f>IFERROR(AVERAGEIFS($G:$G, $A:$A, $A504, $B:$B,$B504, $C:$C,$C504),"")</f>
        <v/>
      </c>
    </row>
    <row r="505" spans="8:9" x14ac:dyDescent="0.3">
      <c r="H505" s="177" t="str">
        <f>IFERROR(AVERAGEIFS($F:$F, $A:$A, $A505, $B:$B,$B505, $C:$C,$C505),"")</f>
        <v/>
      </c>
      <c r="I505" s="178" t="str">
        <f>IFERROR(AVERAGEIFS($G:$G, $A:$A, $A505, $B:$B,$B505, $C:$C,$C505),"")</f>
        <v/>
      </c>
    </row>
    <row r="506" spans="8:9" x14ac:dyDescent="0.3">
      <c r="H506" s="177" t="str">
        <f>IFERROR(AVERAGEIFS($F:$F, $A:$A, $A506, $B:$B,$B506, $C:$C,$C506),"")</f>
        <v/>
      </c>
      <c r="I506" s="178" t="str">
        <f>IFERROR(AVERAGEIFS($G:$G, $A:$A, $A506, $B:$B,$B506, $C:$C,$C506),"")</f>
        <v/>
      </c>
    </row>
    <row r="507" spans="8:9" x14ac:dyDescent="0.3">
      <c r="H507" s="177" t="str">
        <f>IFERROR(AVERAGEIFS($F:$F, $A:$A, $A507, $B:$B,$B507, $C:$C,$C507),"")</f>
        <v/>
      </c>
      <c r="I507" s="178" t="str">
        <f>IFERROR(AVERAGEIFS($G:$G, $A:$A, $A507, $B:$B,$B507, $C:$C,$C507),"")</f>
        <v/>
      </c>
    </row>
    <row r="508" spans="8:9" x14ac:dyDescent="0.3">
      <c r="H508" s="177" t="str">
        <f>IFERROR(AVERAGEIFS($F:$F, $A:$A, $A508, $B:$B,$B508, $C:$C,$C508),"")</f>
        <v/>
      </c>
      <c r="I508" s="178" t="str">
        <f>IFERROR(AVERAGEIFS($G:$G, $A:$A, $A508, $B:$B,$B508, $C:$C,$C508),"")</f>
        <v/>
      </c>
    </row>
    <row r="509" spans="8:9" x14ac:dyDescent="0.3">
      <c r="H509" s="177" t="str">
        <f>IFERROR(AVERAGEIFS($F:$F, $A:$A, $A509, $B:$B,$B509, $C:$C,$C509),"")</f>
        <v/>
      </c>
      <c r="I509" s="178" t="str">
        <f>IFERROR(AVERAGEIFS($G:$G, $A:$A, $A509, $B:$B,$B509, $C:$C,$C509),"")</f>
        <v/>
      </c>
    </row>
    <row r="510" spans="8:9" x14ac:dyDescent="0.3">
      <c r="H510" s="177" t="str">
        <f>IFERROR(AVERAGEIFS($F:$F, $A:$A, $A510, $B:$B,$B510, $C:$C,$C510),"")</f>
        <v/>
      </c>
      <c r="I510" s="178" t="str">
        <f>IFERROR(AVERAGEIFS($G:$G, $A:$A, $A510, $B:$B,$B510, $C:$C,$C510),"")</f>
        <v/>
      </c>
    </row>
    <row r="511" spans="8:9" x14ac:dyDescent="0.3">
      <c r="H511" s="177" t="str">
        <f>IFERROR(AVERAGEIFS($F:$F, $A:$A, $A511, $B:$B,$B511, $C:$C,$C511),"")</f>
        <v/>
      </c>
      <c r="I511" s="178" t="str">
        <f>IFERROR(AVERAGEIFS($G:$G, $A:$A, $A511, $B:$B,$B511, $C:$C,$C511),"")</f>
        <v/>
      </c>
    </row>
    <row r="512" spans="8:9" x14ac:dyDescent="0.3">
      <c r="H512" s="177" t="str">
        <f>IFERROR(AVERAGEIFS($F:$F, $A:$A, $A512, $B:$B,$B512, $C:$C,$C512),"")</f>
        <v/>
      </c>
      <c r="I512" s="178" t="str">
        <f>IFERROR(AVERAGEIFS($G:$G, $A:$A, $A512, $B:$B,$B512, $C:$C,$C512),"")</f>
        <v/>
      </c>
    </row>
    <row r="513" spans="8:9" x14ac:dyDescent="0.3">
      <c r="H513" s="177" t="str">
        <f>IFERROR(AVERAGEIFS($F:$F, $A:$A, $A513, $B:$B,$B513, $C:$C,$C513),"")</f>
        <v/>
      </c>
      <c r="I513" s="178" t="str">
        <f>IFERROR(AVERAGEIFS($G:$G, $A:$A, $A513, $B:$B,$B513, $C:$C,$C513),"")</f>
        <v/>
      </c>
    </row>
    <row r="514" spans="8:9" x14ac:dyDescent="0.3">
      <c r="H514" s="177" t="str">
        <f>IFERROR(AVERAGEIFS($F:$F, $A:$A, $A514, $B:$B,$B514, $C:$C,$C514),"")</f>
        <v/>
      </c>
      <c r="I514" s="178" t="str">
        <f>IFERROR(AVERAGEIFS($G:$G, $A:$A, $A514, $B:$B,$B514, $C:$C,$C514),"")</f>
        <v/>
      </c>
    </row>
    <row r="515" spans="8:9" x14ac:dyDescent="0.3">
      <c r="H515" s="177" t="str">
        <f>IFERROR(AVERAGEIFS($F:$F, $A:$A, $A515, $B:$B,$B515, $C:$C,$C515),"")</f>
        <v/>
      </c>
      <c r="I515" s="178" t="str">
        <f>IFERROR(AVERAGEIFS($G:$G, $A:$A, $A515, $B:$B,$B515, $C:$C,$C515),"")</f>
        <v/>
      </c>
    </row>
    <row r="516" spans="8:9" x14ac:dyDescent="0.3">
      <c r="H516" s="177" t="str">
        <f>IFERROR(AVERAGEIFS($F:$F, $A:$A, $A516, $B:$B,$B516, $C:$C,$C516),"")</f>
        <v/>
      </c>
      <c r="I516" s="178" t="str">
        <f>IFERROR(AVERAGEIFS($G:$G, $A:$A, $A516, $B:$B,$B516, $C:$C,$C516),"")</f>
        <v/>
      </c>
    </row>
    <row r="517" spans="8:9" x14ac:dyDescent="0.3">
      <c r="H517" s="177" t="str">
        <f>IFERROR(AVERAGEIFS($F:$F, $A:$A, $A517, $B:$B,$B517, $C:$C,$C517),"")</f>
        <v/>
      </c>
      <c r="I517" s="178" t="str">
        <f>IFERROR(AVERAGEIFS($G:$G, $A:$A, $A517, $B:$B,$B517, $C:$C,$C517),"")</f>
        <v/>
      </c>
    </row>
    <row r="518" spans="8:9" x14ac:dyDescent="0.3">
      <c r="H518" s="177" t="str">
        <f>IFERROR(AVERAGEIFS($F:$F, $A:$A, $A518, $B:$B,$B518, $C:$C,$C518),"")</f>
        <v/>
      </c>
      <c r="I518" s="178" t="str">
        <f>IFERROR(AVERAGEIFS($G:$G, $A:$A, $A518, $B:$B,$B518, $C:$C,$C518),"")</f>
        <v/>
      </c>
    </row>
    <row r="519" spans="8:9" x14ac:dyDescent="0.3">
      <c r="H519" s="177" t="str">
        <f>IFERROR(AVERAGEIFS($F:$F, $A:$A, $A519, $B:$B,$B519, $C:$C,$C519),"")</f>
        <v/>
      </c>
      <c r="I519" s="178" t="str">
        <f>IFERROR(AVERAGEIFS($G:$G, $A:$A, $A519, $B:$B,$B519, $C:$C,$C519),"")</f>
        <v/>
      </c>
    </row>
    <row r="520" spans="8:9" x14ac:dyDescent="0.3">
      <c r="H520" s="177" t="str">
        <f>IFERROR(AVERAGEIFS($F:$F, $A:$A, $A520, $B:$B,$B520, $C:$C,$C520),"")</f>
        <v/>
      </c>
      <c r="I520" s="178" t="str">
        <f>IFERROR(AVERAGEIFS($G:$G, $A:$A, $A520, $B:$B,$B520, $C:$C,$C520),"")</f>
        <v/>
      </c>
    </row>
    <row r="521" spans="8:9" x14ac:dyDescent="0.3">
      <c r="H521" s="177" t="str">
        <f>IFERROR(AVERAGEIFS($F:$F, $A:$A, $A521, $B:$B,$B521, $C:$C,$C521),"")</f>
        <v/>
      </c>
      <c r="I521" s="178" t="str">
        <f>IFERROR(AVERAGEIFS($G:$G, $A:$A, $A521, $B:$B,$B521, $C:$C,$C521),"")</f>
        <v/>
      </c>
    </row>
    <row r="522" spans="8:9" x14ac:dyDescent="0.3">
      <c r="H522" s="177" t="str">
        <f>IFERROR(AVERAGEIFS($F:$F, $A:$A, $A522, $B:$B,$B522, $C:$C,$C522),"")</f>
        <v/>
      </c>
      <c r="I522" s="178" t="str">
        <f>IFERROR(AVERAGEIFS($G:$G, $A:$A, $A522, $B:$B,$B522, $C:$C,$C522),"")</f>
        <v/>
      </c>
    </row>
    <row r="523" spans="8:9" x14ac:dyDescent="0.3">
      <c r="H523" s="177" t="str">
        <f>IFERROR(AVERAGEIFS($F:$F, $A:$A, $A523, $B:$B,$B523, $C:$C,$C523),"")</f>
        <v/>
      </c>
      <c r="I523" s="178" t="str">
        <f>IFERROR(AVERAGEIFS($G:$G, $A:$A, $A523, $B:$B,$B523, $C:$C,$C523),"")</f>
        <v/>
      </c>
    </row>
    <row r="524" spans="8:9" x14ac:dyDescent="0.3">
      <c r="H524" s="177" t="str">
        <f>IFERROR(AVERAGEIFS($F:$F, $A:$A, $A524, $B:$B,$B524, $C:$C,$C524),"")</f>
        <v/>
      </c>
      <c r="I524" s="178" t="str">
        <f>IFERROR(AVERAGEIFS($G:$G, $A:$A, $A524, $B:$B,$B524, $C:$C,$C524),"")</f>
        <v/>
      </c>
    </row>
    <row r="525" spans="8:9" x14ac:dyDescent="0.3">
      <c r="H525" s="177" t="str">
        <f>IFERROR(AVERAGEIFS($F:$F, $A:$A, $A525, $B:$B,$B525, $C:$C,$C525),"")</f>
        <v/>
      </c>
      <c r="I525" s="178" t="str">
        <f>IFERROR(AVERAGEIFS($G:$G, $A:$A, $A525, $B:$B,$B525, $C:$C,$C525),"")</f>
        <v/>
      </c>
    </row>
    <row r="526" spans="8:9" x14ac:dyDescent="0.3">
      <c r="H526" s="177" t="str">
        <f>IFERROR(AVERAGEIFS($F:$F, $A:$A, $A526, $B:$B,$B526, $C:$C,$C526),"")</f>
        <v/>
      </c>
      <c r="I526" s="178" t="str">
        <f>IFERROR(AVERAGEIFS($G:$G, $A:$A, $A526, $B:$B,$B526, $C:$C,$C526),"")</f>
        <v/>
      </c>
    </row>
    <row r="527" spans="8:9" x14ac:dyDescent="0.3">
      <c r="H527" s="177" t="str">
        <f>IFERROR(AVERAGEIFS($F:$F, $A:$A, $A527, $B:$B,$B527, $C:$C,$C527),"")</f>
        <v/>
      </c>
      <c r="I527" s="178" t="str">
        <f>IFERROR(AVERAGEIFS($G:$G, $A:$A, $A527, $B:$B,$B527, $C:$C,$C527),"")</f>
        <v/>
      </c>
    </row>
    <row r="528" spans="8:9" x14ac:dyDescent="0.3">
      <c r="H528" s="177" t="str">
        <f>IFERROR(AVERAGEIFS($F:$F, $A:$A, $A528, $B:$B,$B528, $C:$C,$C528),"")</f>
        <v/>
      </c>
      <c r="I528" s="178" t="str">
        <f>IFERROR(AVERAGEIFS($G:$G, $A:$A, $A528, $B:$B,$B528, $C:$C,$C528),"")</f>
        <v/>
      </c>
    </row>
    <row r="529" spans="8:9" x14ac:dyDescent="0.3">
      <c r="H529" s="177" t="str">
        <f>IFERROR(AVERAGEIFS($F:$F, $A:$A, $A529, $B:$B,$B529, $C:$C,$C529),"")</f>
        <v/>
      </c>
      <c r="I529" s="178" t="str">
        <f>IFERROR(AVERAGEIFS($G:$G, $A:$A, $A529, $B:$B,$B529, $C:$C,$C529),"")</f>
        <v/>
      </c>
    </row>
    <row r="530" spans="8:9" x14ac:dyDescent="0.3">
      <c r="H530" s="177" t="str">
        <f>IFERROR(AVERAGEIFS($F:$F, $A:$A, $A530, $B:$B,$B530, $C:$C,$C530),"")</f>
        <v/>
      </c>
      <c r="I530" s="178" t="str">
        <f>IFERROR(AVERAGEIFS($G:$G, $A:$A, $A530, $B:$B,$B530, $C:$C,$C530),"")</f>
        <v/>
      </c>
    </row>
    <row r="531" spans="8:9" x14ac:dyDescent="0.3">
      <c r="H531" s="177" t="str">
        <f>IFERROR(AVERAGEIFS($F:$F, $A:$A, $A531, $B:$B,$B531, $C:$C,$C531),"")</f>
        <v/>
      </c>
      <c r="I531" s="178" t="str">
        <f>IFERROR(AVERAGEIFS($G:$G, $A:$A, $A531, $B:$B,$B531, $C:$C,$C531),"")</f>
        <v/>
      </c>
    </row>
    <row r="532" spans="8:9" x14ac:dyDescent="0.3">
      <c r="H532" s="177" t="str">
        <f>IFERROR(AVERAGEIFS($F:$F, $A:$A, $A532, $B:$B,$B532, $C:$C,$C532),"")</f>
        <v/>
      </c>
      <c r="I532" s="178" t="str">
        <f>IFERROR(AVERAGEIFS($G:$G, $A:$A, $A532, $B:$B,$B532, $C:$C,$C532),"")</f>
        <v/>
      </c>
    </row>
    <row r="533" spans="8:9" x14ac:dyDescent="0.3">
      <c r="H533" s="177" t="str">
        <f>IFERROR(AVERAGEIFS($F:$F, $A:$A, $A533, $B:$B,$B533, $C:$C,$C533),"")</f>
        <v/>
      </c>
      <c r="I533" s="178" t="str">
        <f>IFERROR(AVERAGEIFS($G:$G, $A:$A, $A533, $B:$B,$B533, $C:$C,$C533),"")</f>
        <v/>
      </c>
    </row>
    <row r="534" spans="8:9" x14ac:dyDescent="0.3">
      <c r="H534" s="177" t="str">
        <f>IFERROR(AVERAGEIFS($F:$F, $A:$A, $A534, $B:$B,$B534, $C:$C,$C534),"")</f>
        <v/>
      </c>
      <c r="I534" s="178" t="str">
        <f>IFERROR(AVERAGEIFS($G:$G, $A:$A, $A534, $B:$B,$B534, $C:$C,$C534),"")</f>
        <v/>
      </c>
    </row>
    <row r="535" spans="8:9" x14ac:dyDescent="0.3">
      <c r="H535" s="177" t="str">
        <f>IFERROR(AVERAGEIFS($F:$F, $A:$A, $A535, $B:$B,$B535, $C:$C,$C535),"")</f>
        <v/>
      </c>
      <c r="I535" s="178" t="str">
        <f>IFERROR(AVERAGEIFS($G:$G, $A:$A, $A535, $B:$B,$B535, $C:$C,$C535),"")</f>
        <v/>
      </c>
    </row>
    <row r="536" spans="8:9" x14ac:dyDescent="0.3">
      <c r="H536" s="177" t="str">
        <f>IFERROR(AVERAGEIFS($F:$F, $A:$A, $A536, $B:$B,$B536, $C:$C,$C536),"")</f>
        <v/>
      </c>
      <c r="I536" s="178" t="str">
        <f>IFERROR(AVERAGEIFS($G:$G, $A:$A, $A536, $B:$B,$B536, $C:$C,$C536),"")</f>
        <v/>
      </c>
    </row>
    <row r="537" spans="8:9" x14ac:dyDescent="0.3">
      <c r="H537" s="177" t="str">
        <f>IFERROR(AVERAGEIFS($F:$F, $A:$A, $A537, $B:$B,$B537, $C:$C,$C537),"")</f>
        <v/>
      </c>
      <c r="I537" s="178" t="str">
        <f>IFERROR(AVERAGEIFS($G:$G, $A:$A, $A537, $B:$B,$B537, $C:$C,$C537),"")</f>
        <v/>
      </c>
    </row>
    <row r="538" spans="8:9" x14ac:dyDescent="0.3">
      <c r="H538" s="177" t="str">
        <f>IFERROR(AVERAGEIFS($F:$F, $A:$A, $A538, $B:$B,$B538, $C:$C,$C538),"")</f>
        <v/>
      </c>
      <c r="I538" s="178" t="str">
        <f>IFERROR(AVERAGEIFS($G:$G, $A:$A, $A538, $B:$B,$B538, $C:$C,$C538),"")</f>
        <v/>
      </c>
    </row>
    <row r="539" spans="8:9" x14ac:dyDescent="0.3">
      <c r="H539" s="177" t="str">
        <f>IFERROR(AVERAGEIFS($F:$F, $A:$A, $A539, $B:$B,$B539, $C:$C,$C539),"")</f>
        <v/>
      </c>
      <c r="I539" s="178" t="str">
        <f>IFERROR(AVERAGEIFS($G:$G, $A:$A, $A539, $B:$B,$B539, $C:$C,$C539),"")</f>
        <v/>
      </c>
    </row>
    <row r="540" spans="8:9" x14ac:dyDescent="0.3">
      <c r="H540" s="177" t="str">
        <f>IFERROR(AVERAGEIFS($F:$F, $A:$A, $A540, $B:$B,$B540, $C:$C,$C540),"")</f>
        <v/>
      </c>
      <c r="I540" s="178" t="str">
        <f>IFERROR(AVERAGEIFS($G:$G, $A:$A, $A540, $B:$B,$B540, $C:$C,$C540),"")</f>
        <v/>
      </c>
    </row>
    <row r="541" spans="8:9" x14ac:dyDescent="0.3">
      <c r="H541" s="177" t="str">
        <f>IFERROR(AVERAGEIFS($F:$F, $A:$A, $A541, $B:$B,$B541, $C:$C,$C541),"")</f>
        <v/>
      </c>
      <c r="I541" s="178" t="str">
        <f>IFERROR(AVERAGEIFS($G:$G, $A:$A, $A541, $B:$B,$B541, $C:$C,$C541),"")</f>
        <v/>
      </c>
    </row>
    <row r="542" spans="8:9" x14ac:dyDescent="0.3">
      <c r="H542" s="177" t="str">
        <f>IFERROR(AVERAGEIFS($F:$F, $A:$A, $A542, $B:$B,$B542, $C:$C,$C542),"")</f>
        <v/>
      </c>
      <c r="I542" s="178" t="str">
        <f>IFERROR(AVERAGEIFS($G:$G, $A:$A, $A542, $B:$B,$B542, $C:$C,$C542),"")</f>
        <v/>
      </c>
    </row>
    <row r="543" spans="8:9" x14ac:dyDescent="0.3">
      <c r="H543" s="177" t="str">
        <f>IFERROR(AVERAGEIFS($F:$F, $A:$A, $A543, $B:$B,$B543, $C:$C,$C543),"")</f>
        <v/>
      </c>
      <c r="I543" s="178" t="str">
        <f>IFERROR(AVERAGEIFS($G:$G, $A:$A, $A543, $B:$B,$B543, $C:$C,$C543),"")</f>
        <v/>
      </c>
    </row>
    <row r="544" spans="8:9" x14ac:dyDescent="0.3">
      <c r="H544" s="177" t="str">
        <f>IFERROR(AVERAGEIFS($F:$F, $A:$A, $A544, $B:$B,$B544, $C:$C,$C544),"")</f>
        <v/>
      </c>
      <c r="I544" s="178" t="str">
        <f>IFERROR(AVERAGEIFS($G:$G, $A:$A, $A544, $B:$B,$B544, $C:$C,$C544),"")</f>
        <v/>
      </c>
    </row>
    <row r="545" spans="8:9" x14ac:dyDescent="0.3">
      <c r="H545" s="177" t="str">
        <f>IFERROR(AVERAGEIFS($F:$F, $A:$A, $A545, $B:$B,$B545, $C:$C,$C545),"")</f>
        <v/>
      </c>
      <c r="I545" s="178" t="str">
        <f>IFERROR(AVERAGEIFS($G:$G, $A:$A, $A545, $B:$B,$B545, $C:$C,$C545),"")</f>
        <v/>
      </c>
    </row>
    <row r="546" spans="8:9" x14ac:dyDescent="0.3">
      <c r="H546" s="177" t="str">
        <f>IFERROR(AVERAGEIFS($F:$F, $A:$A, $A546, $B:$B,$B546, $C:$C,$C546),"")</f>
        <v/>
      </c>
      <c r="I546" s="178" t="str">
        <f>IFERROR(AVERAGEIFS($G:$G, $A:$A, $A546, $B:$B,$B546, $C:$C,$C546),"")</f>
        <v/>
      </c>
    </row>
    <row r="547" spans="8:9" x14ac:dyDescent="0.3">
      <c r="H547" s="177" t="str">
        <f>IFERROR(AVERAGEIFS($F:$F, $A:$A, $A547, $B:$B,$B547, $C:$C,$C547),"")</f>
        <v/>
      </c>
      <c r="I547" s="178" t="str">
        <f>IFERROR(AVERAGEIFS($G:$G, $A:$A, $A547, $B:$B,$B547, $C:$C,$C547),"")</f>
        <v/>
      </c>
    </row>
    <row r="548" spans="8:9" x14ac:dyDescent="0.3">
      <c r="H548" s="177" t="str">
        <f>IFERROR(AVERAGEIFS($F:$F, $A:$A, $A548, $B:$B,$B548, $C:$C,$C548),"")</f>
        <v/>
      </c>
      <c r="I548" s="178" t="str">
        <f>IFERROR(AVERAGEIFS($G:$G, $A:$A, $A548, $B:$B,$B548, $C:$C,$C548),"")</f>
        <v/>
      </c>
    </row>
    <row r="549" spans="8:9" x14ac:dyDescent="0.3">
      <c r="H549" s="177" t="str">
        <f>IFERROR(AVERAGEIFS($F:$F, $A:$A, $A549, $B:$B,$B549, $C:$C,$C549),"")</f>
        <v/>
      </c>
      <c r="I549" s="178" t="str">
        <f>IFERROR(AVERAGEIFS($G:$G, $A:$A, $A549, $B:$B,$B549, $C:$C,$C549),"")</f>
        <v/>
      </c>
    </row>
    <row r="550" spans="8:9" x14ac:dyDescent="0.3">
      <c r="H550" s="177" t="str">
        <f>IFERROR(AVERAGEIFS($F:$F, $A:$A, $A550, $B:$B,$B550, $C:$C,$C550),"")</f>
        <v/>
      </c>
      <c r="I550" s="178" t="str">
        <f>IFERROR(AVERAGEIFS($G:$G, $A:$A, $A550, $B:$B,$B550, $C:$C,$C550),"")</f>
        <v/>
      </c>
    </row>
    <row r="551" spans="8:9" x14ac:dyDescent="0.3">
      <c r="H551" s="177" t="str">
        <f>IFERROR(AVERAGEIFS($F:$F, $A:$A, $A551, $B:$B,$B551, $C:$C,$C551),"")</f>
        <v/>
      </c>
      <c r="I551" s="178" t="str">
        <f>IFERROR(AVERAGEIFS($G:$G, $A:$A, $A551, $B:$B,$B551, $C:$C,$C551),"")</f>
        <v/>
      </c>
    </row>
    <row r="552" spans="8:9" x14ac:dyDescent="0.3">
      <c r="H552" s="177" t="str">
        <f>IFERROR(AVERAGEIFS($F:$F, $A:$A, $A552, $B:$B,$B552, $C:$C,$C552),"")</f>
        <v/>
      </c>
      <c r="I552" s="178" t="str">
        <f>IFERROR(AVERAGEIFS($G:$G, $A:$A, $A552, $B:$B,$B552, $C:$C,$C552),"")</f>
        <v/>
      </c>
    </row>
    <row r="553" spans="8:9" x14ac:dyDescent="0.3">
      <c r="H553" s="177" t="str">
        <f>IFERROR(AVERAGEIFS($F:$F, $A:$A, $A553, $B:$B,$B553, $C:$C,$C553),"")</f>
        <v/>
      </c>
      <c r="I553" s="178" t="str">
        <f>IFERROR(AVERAGEIFS($G:$G, $A:$A, $A553, $B:$B,$B553, $C:$C,$C553),"")</f>
        <v/>
      </c>
    </row>
    <row r="554" spans="8:9" x14ac:dyDescent="0.3">
      <c r="H554" s="177" t="str">
        <f>IFERROR(AVERAGEIFS($F:$F, $A:$A, $A554, $B:$B,$B554, $C:$C,$C554),"")</f>
        <v/>
      </c>
      <c r="I554" s="178" t="str">
        <f>IFERROR(AVERAGEIFS($G:$G, $A:$A, $A554, $B:$B,$B554, $C:$C,$C554),"")</f>
        <v/>
      </c>
    </row>
    <row r="555" spans="8:9" x14ac:dyDescent="0.3">
      <c r="H555" s="177" t="str">
        <f>IFERROR(AVERAGEIFS($F:$F, $A:$A, $A555, $B:$B,$B555, $C:$C,$C555),"")</f>
        <v/>
      </c>
      <c r="I555" s="178" t="str">
        <f>IFERROR(AVERAGEIFS($G:$G, $A:$A, $A555, $B:$B,$B555, $C:$C,$C555),"")</f>
        <v/>
      </c>
    </row>
    <row r="556" spans="8:9" x14ac:dyDescent="0.3">
      <c r="H556" s="177" t="str">
        <f>IFERROR(AVERAGEIFS($F:$F, $A:$A, $A556, $B:$B,$B556, $C:$C,$C556),"")</f>
        <v/>
      </c>
      <c r="I556" s="178" t="str">
        <f>IFERROR(AVERAGEIFS($G:$G, $A:$A, $A556, $B:$B,$B556, $C:$C,$C556),"")</f>
        <v/>
      </c>
    </row>
    <row r="557" spans="8:9" x14ac:dyDescent="0.3">
      <c r="H557" s="177" t="str">
        <f>IFERROR(AVERAGEIFS($F:$F, $A:$A, $A557, $B:$B,$B557, $C:$C,$C557),"")</f>
        <v/>
      </c>
      <c r="I557" s="178" t="str">
        <f>IFERROR(AVERAGEIFS($G:$G, $A:$A, $A557, $B:$B,$B557, $C:$C,$C557),"")</f>
        <v/>
      </c>
    </row>
    <row r="558" spans="8:9" x14ac:dyDescent="0.3">
      <c r="H558" s="177" t="str">
        <f>IFERROR(AVERAGEIFS($F:$F, $A:$A, $A558, $B:$B,$B558, $C:$C,$C558),"")</f>
        <v/>
      </c>
      <c r="I558" s="178" t="str">
        <f>IFERROR(AVERAGEIFS($G:$G, $A:$A, $A558, $B:$B,$B558, $C:$C,$C558),"")</f>
        <v/>
      </c>
    </row>
    <row r="559" spans="8:9" x14ac:dyDescent="0.3">
      <c r="H559" s="177" t="str">
        <f>IFERROR(AVERAGEIFS($F:$F, $A:$A, $A559, $B:$B,$B559, $C:$C,$C559),"")</f>
        <v/>
      </c>
      <c r="I559" s="178" t="str">
        <f>IFERROR(AVERAGEIFS($G:$G, $A:$A, $A559, $B:$B,$B559, $C:$C,$C559),"")</f>
        <v/>
      </c>
    </row>
    <row r="560" spans="8:9" x14ac:dyDescent="0.3">
      <c r="H560" s="177" t="str">
        <f>IFERROR(AVERAGEIFS($F:$F, $A:$A, $A560, $B:$B,$B560, $C:$C,$C560),"")</f>
        <v/>
      </c>
      <c r="I560" s="178" t="str">
        <f>IFERROR(AVERAGEIFS($G:$G, $A:$A, $A560, $B:$B,$B560, $C:$C,$C560),"")</f>
        <v/>
      </c>
    </row>
    <row r="561" spans="8:9" x14ac:dyDescent="0.3">
      <c r="H561" s="177" t="str">
        <f>IFERROR(AVERAGEIFS($F:$F, $A:$A, $A561, $B:$B,$B561, $C:$C,$C561),"")</f>
        <v/>
      </c>
      <c r="I561" s="178" t="str">
        <f>IFERROR(AVERAGEIFS($G:$G, $A:$A, $A561, $B:$B,$B561, $C:$C,$C561),"")</f>
        <v/>
      </c>
    </row>
    <row r="562" spans="8:9" x14ac:dyDescent="0.3">
      <c r="H562" s="177" t="str">
        <f>IFERROR(AVERAGEIFS($F:$F, $A:$A, $A562, $B:$B,$B562, $C:$C,$C562),"")</f>
        <v/>
      </c>
      <c r="I562" s="178" t="str">
        <f>IFERROR(AVERAGEIFS($G:$G, $A:$A, $A562, $B:$B,$B562, $C:$C,$C562),"")</f>
        <v/>
      </c>
    </row>
    <row r="563" spans="8:9" x14ac:dyDescent="0.3">
      <c r="H563" s="177" t="str">
        <f>IFERROR(AVERAGEIFS($F:$F, $A:$A, $A563, $B:$B,$B563, $C:$C,$C563),"")</f>
        <v/>
      </c>
      <c r="I563" s="178" t="str">
        <f>IFERROR(AVERAGEIFS($G:$G, $A:$A, $A563, $B:$B,$B563, $C:$C,$C563),"")</f>
        <v/>
      </c>
    </row>
    <row r="564" spans="8:9" x14ac:dyDescent="0.3">
      <c r="H564" s="177" t="str">
        <f>IFERROR(AVERAGEIFS($F:$F, $A:$A, $A564, $B:$B,$B564, $C:$C,$C564),"")</f>
        <v/>
      </c>
      <c r="I564" s="178" t="str">
        <f>IFERROR(AVERAGEIFS($G:$G, $A:$A, $A564, $B:$B,$B564, $C:$C,$C564),"")</f>
        <v/>
      </c>
    </row>
    <row r="565" spans="8:9" x14ac:dyDescent="0.3">
      <c r="H565" s="177" t="str">
        <f>IFERROR(AVERAGEIFS($F:$F, $A:$A, $A565, $B:$B,$B565, $C:$C,$C565),"")</f>
        <v/>
      </c>
      <c r="I565" s="178" t="str">
        <f>IFERROR(AVERAGEIFS($G:$G, $A:$A, $A565, $B:$B,$B565, $C:$C,$C565),"")</f>
        <v/>
      </c>
    </row>
    <row r="566" spans="8:9" x14ac:dyDescent="0.3">
      <c r="H566" s="177" t="str">
        <f>IFERROR(AVERAGEIFS($F:$F, $A:$A, $A566, $B:$B,$B566, $C:$C,$C566),"")</f>
        <v/>
      </c>
      <c r="I566" s="178" t="str">
        <f>IFERROR(AVERAGEIFS($G:$G, $A:$A, $A566, $B:$B,$B566, $C:$C,$C566),"")</f>
        <v/>
      </c>
    </row>
    <row r="567" spans="8:9" x14ac:dyDescent="0.3">
      <c r="H567" s="177" t="str">
        <f>IFERROR(AVERAGEIFS($F:$F, $A:$A, $A567, $B:$B,$B567, $C:$C,$C567),"")</f>
        <v/>
      </c>
      <c r="I567" s="178" t="str">
        <f>IFERROR(AVERAGEIFS($G:$G, $A:$A, $A567, $B:$B,$B567, $C:$C,$C567),"")</f>
        <v/>
      </c>
    </row>
    <row r="568" spans="8:9" x14ac:dyDescent="0.3">
      <c r="H568" s="177" t="str">
        <f>IFERROR(AVERAGEIFS($F:$F, $A:$A, $A568, $B:$B,$B568, $C:$C,$C568),"")</f>
        <v/>
      </c>
      <c r="I568" s="178" t="str">
        <f>IFERROR(AVERAGEIFS($G:$G, $A:$A, $A568, $B:$B,$B568, $C:$C,$C568),"")</f>
        <v/>
      </c>
    </row>
    <row r="569" spans="8:9" x14ac:dyDescent="0.3">
      <c r="H569" s="177" t="str">
        <f>IFERROR(AVERAGEIFS($F:$F, $A:$A, $A569, $B:$B,$B569, $C:$C,$C569),"")</f>
        <v/>
      </c>
      <c r="I569" s="178" t="str">
        <f>IFERROR(AVERAGEIFS($G:$G, $A:$A, $A569, $B:$B,$B569, $C:$C,$C569),"")</f>
        <v/>
      </c>
    </row>
    <row r="570" spans="8:9" x14ac:dyDescent="0.3">
      <c r="H570" s="177" t="str">
        <f>IFERROR(AVERAGEIFS($F:$F, $A:$A, $A570, $B:$B,$B570, $C:$C,$C570),"")</f>
        <v/>
      </c>
      <c r="I570" s="178" t="str">
        <f>IFERROR(AVERAGEIFS($G:$G, $A:$A, $A570, $B:$B,$B570, $C:$C,$C570),"")</f>
        <v/>
      </c>
    </row>
  </sheetData>
  <mergeCells count="27">
    <mergeCell ref="M4:O4"/>
    <mergeCell ref="O14:U15"/>
    <mergeCell ref="M14:N15"/>
    <mergeCell ref="O10:U10"/>
    <mergeCell ref="O9:U9"/>
    <mergeCell ref="O8:U8"/>
    <mergeCell ref="O7:U7"/>
    <mergeCell ref="M6:N6"/>
    <mergeCell ref="M17:N17"/>
    <mergeCell ref="M18:N18"/>
    <mergeCell ref="M19:N19"/>
    <mergeCell ref="O19:R19"/>
    <mergeCell ref="O18:R18"/>
    <mergeCell ref="M12:N12"/>
    <mergeCell ref="M13:N13"/>
    <mergeCell ref="O11:U11"/>
    <mergeCell ref="O12:U12"/>
    <mergeCell ref="O13:U13"/>
    <mergeCell ref="M7:N7"/>
    <mergeCell ref="M8:N8"/>
    <mergeCell ref="M9:N9"/>
    <mergeCell ref="M10:N10"/>
    <mergeCell ref="M11:N11"/>
    <mergeCell ref="F1:G1"/>
    <mergeCell ref="H1:I1"/>
    <mergeCell ref="J1:K1"/>
    <mergeCell ref="A1:E1"/>
  </mergeCells>
  <phoneticPr fontId="59" type="noConversion"/>
  <conditionalFormatting sqref="J1:K1048576">
    <cfRule type="cellIs" dxfId="29" priority="8" operator="equal">
      <formula>"No"</formula>
    </cfRule>
    <cfRule type="cellIs" dxfId="28" priority="9" operator="equal">
      <formula>"Yes"</formula>
    </cfRule>
  </conditionalFormatting>
  <conditionalFormatting sqref="A3:G9982">
    <cfRule type="expression" dxfId="27" priority="5">
      <formula>EXACT($A3, "Daily")</formula>
    </cfRule>
    <cfRule type="expression" dxfId="26" priority="6">
      <formula>EXACT($A3, "Error")</formula>
    </cfRule>
    <cfRule type="expression" dxfId="25" priority="7">
      <formula>EXACT($A3, "Trial")</formula>
    </cfRule>
  </conditionalFormatting>
  <conditionalFormatting sqref="H3:H9983">
    <cfRule type="expression" dxfId="24" priority="3">
      <formula>$F3&gt;$H3</formula>
    </cfRule>
    <cfRule type="expression" dxfId="23" priority="4">
      <formula>$F3&lt;$H3</formula>
    </cfRule>
  </conditionalFormatting>
  <conditionalFormatting sqref="I3:I9983">
    <cfRule type="expression" dxfId="22" priority="1">
      <formula>$G3&gt;$I3</formula>
    </cfRule>
    <cfRule type="expression" dxfId="21" priority="2">
      <formula>$G3&lt;$I3</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797A6F0-0AB4-4AEC-89B0-A3636F4CE3DE}">
          <x14:formula1>
            <xm:f>'Data-Lists'!$C$3:$C$5</xm:f>
          </x14:formula1>
          <xm:sqref>A3:A433</xm:sqref>
        </x14:dataValidation>
        <x14:dataValidation type="list" allowBlank="1" errorTitle="Unknown camera" error="Pick a camera from the list (or add it on the Lists sheet)." xr:uid="{4C34E370-41F8-454D-9B23-7FE8ED0B7436}">
          <x14:formula1>
            <xm:f>'Data-Lists'!$A$3:$A$20</xm:f>
          </x14:formula1>
          <x14:formula2>
            <xm:f>0</xm:f>
          </x14:formula2>
          <xm:sqref>D3:D1554</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Y1002"/>
  <sheetViews>
    <sheetView showZeros="0" zoomScale="75" zoomScaleNormal="75" workbookViewId="0">
      <pane ySplit="4" topLeftCell="A5" activePane="bottomLeft" state="frozen"/>
      <selection pane="bottomLeft" activeCell="H16" sqref="H16"/>
    </sheetView>
  </sheetViews>
  <sheetFormatPr defaultColWidth="8.6640625" defaultRowHeight="13.8" x14ac:dyDescent="0.3"/>
  <cols>
    <col min="1" max="1" width="10.77734375" style="66" customWidth="1"/>
    <col min="2" max="2" width="10.77734375" style="66" hidden="1" customWidth="1"/>
    <col min="3" max="3" width="15.77734375" style="66" customWidth="1"/>
    <col min="4" max="4" width="15.77734375" style="67" customWidth="1"/>
    <col min="5" max="5" width="12.77734375" style="77" customWidth="1"/>
    <col min="6" max="6" width="12.77734375" style="66" customWidth="1"/>
    <col min="7" max="7" width="15.77734375" style="78" customWidth="1"/>
    <col min="8" max="8" width="15" style="66" customWidth="1"/>
    <col min="9" max="9" width="18.77734375" style="79" customWidth="1"/>
    <col min="10" max="15" width="15" style="66" customWidth="1"/>
    <col min="16" max="16" width="60.77734375" style="75" customWidth="1"/>
    <col min="17" max="18" width="8.6640625" style="66"/>
    <col min="19" max="19" width="8.6640625" style="76" customWidth="1"/>
    <col min="20" max="16384" width="8.6640625" style="66"/>
  </cols>
  <sheetData>
    <row r="1" spans="1:25" s="222" customFormat="1" ht="14.4" customHeight="1" x14ac:dyDescent="0.3">
      <c r="A1" s="247" t="s">
        <v>186</v>
      </c>
      <c r="B1" s="247"/>
      <c r="C1" s="247"/>
      <c r="D1" s="224" t="s">
        <v>154</v>
      </c>
      <c r="E1" s="224"/>
      <c r="F1" s="224"/>
      <c r="G1" s="224"/>
      <c r="H1" s="224"/>
      <c r="I1" s="224"/>
      <c r="J1" s="224"/>
      <c r="K1" s="224"/>
      <c r="L1" s="224"/>
      <c r="M1" s="224"/>
      <c r="N1" s="224"/>
      <c r="O1" s="224"/>
      <c r="P1" s="224"/>
      <c r="S1" s="223"/>
    </row>
    <row r="2" spans="1:25" s="222" customFormat="1" ht="14.4" customHeight="1" x14ac:dyDescent="0.3">
      <c r="A2" s="247"/>
      <c r="B2" s="247"/>
      <c r="C2" s="247"/>
      <c r="D2" s="219" t="s">
        <v>147</v>
      </c>
      <c r="E2" s="219"/>
      <c r="F2" s="219"/>
      <c r="G2" s="219"/>
      <c r="H2" s="219"/>
      <c r="I2" s="219"/>
      <c r="J2" s="219"/>
      <c r="K2" s="219"/>
      <c r="L2" s="219"/>
      <c r="M2" s="219"/>
      <c r="N2" s="219"/>
      <c r="O2" s="219"/>
      <c r="P2" s="219"/>
      <c r="S2" s="223"/>
    </row>
    <row r="3" spans="1:25" ht="15.6" customHeight="1" x14ac:dyDescent="0.3">
      <c r="A3" s="229" t="s">
        <v>112</v>
      </c>
      <c r="B3" s="229" t="s">
        <v>114</v>
      </c>
      <c r="C3" s="114" t="s">
        <v>31</v>
      </c>
      <c r="D3" s="116" t="s">
        <v>58</v>
      </c>
      <c r="E3" s="116" t="s">
        <v>59</v>
      </c>
      <c r="F3" s="231" t="s">
        <v>99</v>
      </c>
      <c r="G3" s="118" t="s">
        <v>75</v>
      </c>
      <c r="H3" s="233" t="s">
        <v>35</v>
      </c>
      <c r="I3" s="234" t="s">
        <v>170</v>
      </c>
      <c r="J3" s="237" t="s">
        <v>33</v>
      </c>
      <c r="K3" s="237"/>
      <c r="L3" s="237"/>
      <c r="M3" s="237" t="s">
        <v>34</v>
      </c>
      <c r="N3" s="237"/>
      <c r="O3" s="237"/>
      <c r="P3" s="144" t="s">
        <v>56</v>
      </c>
    </row>
    <row r="4" spans="1:25" ht="14.4" thickBot="1" x14ac:dyDescent="0.35">
      <c r="A4" s="230"/>
      <c r="B4" s="230"/>
      <c r="C4" s="115"/>
      <c r="D4" s="117"/>
      <c r="E4" s="117"/>
      <c r="F4" s="232"/>
      <c r="G4" s="119"/>
      <c r="H4" s="235"/>
      <c r="I4" s="236"/>
      <c r="J4" s="238" t="s">
        <v>149</v>
      </c>
      <c r="K4" s="238" t="s">
        <v>150</v>
      </c>
      <c r="L4" s="238" t="s">
        <v>151</v>
      </c>
      <c r="M4" s="238" t="s">
        <v>149</v>
      </c>
      <c r="N4" s="238" t="s">
        <v>150</v>
      </c>
      <c r="O4" s="238" t="s">
        <v>151</v>
      </c>
      <c r="P4" s="145"/>
    </row>
    <row r="5" spans="1:25" ht="39.6" x14ac:dyDescent="0.3">
      <c r="A5" s="239" t="s">
        <v>107</v>
      </c>
      <c r="B5" s="8" t="s">
        <v>117</v>
      </c>
      <c r="C5" s="8" cm="1">
        <f t="array" ref="C5:C1002">'Data-Lists'!B3:B1000</f>
        <v>46228</v>
      </c>
      <c r="D5" s="51">
        <v>23.5</v>
      </c>
      <c r="E5" s="52">
        <v>0.85833333333333328</v>
      </c>
      <c r="F5" s="140" t="s">
        <v>97</v>
      </c>
      <c r="G5" s="63">
        <v>1000</v>
      </c>
      <c r="H5" s="14">
        <f>IF(COUNTBLANK($A5:$E5)&gt;0, "", IFERROR(AVERAGEIFS(Log!$E:$E, Log!$A:$A, $A5, Log!$B:$B, $B5, Log!$C:$C, $C5),""))</f>
        <v>2045.4117647058824</v>
      </c>
      <c r="I5" s="64">
        <f>IF(AND($H5&lt;&gt;"", $G5&lt;&gt;""), $H5/$G5, "")</f>
        <v>2.0454117647058823</v>
      </c>
      <c r="J5" s="9">
        <f>IF(COUNTBLANK($A5:$E5)&gt;0, "", IFERROR(AVERAGEIFS(Log!$H:$H, Log!$A:$A, $A5, Log!$B:$B, $B5, Log!$C:$C, $C5),""))</f>
        <v>0.3911837647058824</v>
      </c>
      <c r="K5" s="9">
        <f>IF(COUNTBLANK($A5:$E5)&gt;0, "", IFERROR(_xlfn.MINIFS(Log!$F:$F, Log!$A:$A, $A5, Log!$B:$B, $B5, Log!$C:$C, $C5),""))</f>
        <v>0.13059299999999999</v>
      </c>
      <c r="L5" s="9">
        <f>IF(COUNTBLANK($A5:$E5)&gt;0, "", IFERROR(_xlfn.MAXIFS(Log!$F:$F, Log!$A:$A, $A5, Log!$B:$B, $B5, Log!$C:$C, $C5),""))</f>
        <v>0.64795899999999995</v>
      </c>
      <c r="M5" s="9">
        <f>IF(COUNTBLANK($A5:$E5)&gt;0, "", IFERROR(AVERAGEIFS(Log!$I:$I, Log!$A:$A, $A5, Log!$B:$B, $B5, Log!$C:$C, $C5),""))</f>
        <v>9.2278499999999986E-2</v>
      </c>
      <c r="N5" s="9">
        <f>IF(COUNTBLANK($A5:$E5)&gt;0, "", IFERROR(_xlfn.MINIFS(Log!$G:$G, Log!$A:$A, $A5, Log!$B:$B, $B5, Log!$C:$C, $C5),""))</f>
        <v>4.2415799999999997E-2</v>
      </c>
      <c r="O5" s="9">
        <f>IF(COUNTBLANK($A5:$E5)&gt;0, "", IFERROR(_xlfn.MAXIFS(Log!$G:$G, Log!$A:$A, $A5, Log!$B:$B, $B5, Log!$C:$C, $C5),""))</f>
        <v>0.147318</v>
      </c>
      <c r="P5" s="75" t="s">
        <v>166</v>
      </c>
      <c r="R5" s="206" t="s">
        <v>130</v>
      </c>
      <c r="S5" s="206"/>
      <c r="T5"/>
      <c r="U5"/>
      <c r="V5"/>
      <c r="W5"/>
    </row>
    <row r="6" spans="1:25" ht="26.4" x14ac:dyDescent="0.3">
      <c r="A6" s="239" t="s">
        <v>107</v>
      </c>
      <c r="B6" s="8" t="s">
        <v>117</v>
      </c>
      <c r="C6" s="8">
        <v>46230</v>
      </c>
      <c r="D6" s="51">
        <v>23.5</v>
      </c>
      <c r="E6" s="52">
        <v>0.60138888888888886</v>
      </c>
      <c r="F6" s="140" t="s">
        <v>97</v>
      </c>
      <c r="G6" s="63">
        <v>1000</v>
      </c>
      <c r="H6" s="14">
        <f>IF(COUNTBLANK($A6:$E6)&gt;0, "", IFERROR(AVERAGEIFS(Log!$E:$E, Log!$A:$A, $A6, Log!$B:$B, $B6, Log!$C:$C, $C6),""))</f>
        <v>1582.8333333333333</v>
      </c>
      <c r="I6" s="64">
        <f t="shared" ref="I6:I69" si="0">IF(AND($H6&lt;&gt;"", $G6&lt;&gt;""), $H6/$G6, "")</f>
        <v>1.5828333333333333</v>
      </c>
      <c r="J6" s="9">
        <f>IF(COUNTBLANK($A6:$E6)&gt;0, "", IFERROR(AVERAGEIFS(Log!$H:$H, Log!$A:$A, $A6, Log!$B:$B, $B6, Log!$C:$C, $C6),""))</f>
        <v>0.38041772222222209</v>
      </c>
      <c r="K6" s="9">
        <f>IF(COUNTBLANK($A6:$E6)&gt;0, "", IFERROR(_xlfn.MINIFS(Log!$F:$F, Log!$A:$A, $A6, Log!$B:$B, $B6, Log!$C:$C, $C6),""))</f>
        <v>0.162101</v>
      </c>
      <c r="L6" s="9">
        <f>IF(COUNTBLANK($A6:$E6)&gt;0, "", IFERROR(_xlfn.MAXIFS(Log!$F:$F, Log!$A:$A, $A6, Log!$B:$B, $B6, Log!$C:$C, $C6),""))</f>
        <v>0.610344</v>
      </c>
      <c r="M6" s="9">
        <f>IF(COUNTBLANK($A6:$E6)&gt;0, "", IFERROR(AVERAGEIFS(Log!$I:$I, Log!$A:$A, $A6, Log!$B:$B, $B6, Log!$C:$C, $C6),""))</f>
        <v>9.1966633333333339E-2</v>
      </c>
      <c r="N6" s="9">
        <f>IF(COUNTBLANK($A6:$E6)&gt;0, "", IFERROR(_xlfn.MINIFS(Log!$G:$G, Log!$A:$A, $A6, Log!$B:$B, $B6, Log!$C:$C, $C6),""))</f>
        <v>4.46854E-2</v>
      </c>
      <c r="O6" s="9">
        <f>IF(COUNTBLANK($A6:$E6)&gt;0, "", IFERROR(_xlfn.MAXIFS(Log!$G:$G, Log!$A:$A, $A6, Log!$B:$B, $B6, Log!$C:$C, $C6),""))</f>
        <v>0.14344199999999999</v>
      </c>
      <c r="P6" s="75" t="s">
        <v>57</v>
      </c>
      <c r="R6" s="226"/>
      <c r="S6" s="226"/>
      <c r="T6" s="227" t="s">
        <v>180</v>
      </c>
      <c r="U6" s="227"/>
      <c r="V6" s="227"/>
      <c r="W6" s="227"/>
      <c r="X6" s="227"/>
    </row>
    <row r="7" spans="1:25" ht="26.4" x14ac:dyDescent="0.3">
      <c r="A7" s="239" t="s">
        <v>107</v>
      </c>
      <c r="B7" s="8" t="s">
        <v>117</v>
      </c>
      <c r="C7" s="8">
        <v>46231</v>
      </c>
      <c r="D7" s="51">
        <v>24.5</v>
      </c>
      <c r="E7" s="52">
        <v>0.50694444444444442</v>
      </c>
      <c r="F7" s="140" t="s">
        <v>98</v>
      </c>
      <c r="G7" s="63">
        <v>1000</v>
      </c>
      <c r="H7" s="14">
        <f>IF(COUNTBLANK($A7:$E7)&gt;0, "", IFERROR(AVERAGEIFS(Log!$E:$E, Log!$A:$A, $A7, Log!$B:$B, $B7, Log!$C:$C, $C7),""))</f>
        <v>1833.0555555555557</v>
      </c>
      <c r="I7" s="64">
        <f t="shared" si="0"/>
        <v>1.8330555555555557</v>
      </c>
      <c r="J7" s="9">
        <f>IF(COUNTBLANK($A7:$E7)&gt;0, "", IFERROR(AVERAGEIFS(Log!$H:$H, Log!$A:$A, $A7, Log!$B:$B, $B7, Log!$C:$C, $C7),""))</f>
        <v>0.35087827777777769</v>
      </c>
      <c r="K7" s="9">
        <f>IF(COUNTBLANK($A7:$E7)&gt;0, "", IFERROR(_xlfn.MINIFS(Log!$F:$F, Log!$A:$A, $A7, Log!$B:$B, $B7, Log!$C:$C, $C7),""))</f>
        <v>0.157855</v>
      </c>
      <c r="L7" s="9">
        <f>IF(COUNTBLANK($A7:$E7)&gt;0, "", IFERROR(_xlfn.MAXIFS(Log!$F:$F, Log!$A:$A, $A7, Log!$B:$B, $B7, Log!$C:$C, $C7),""))</f>
        <v>0.55680700000000005</v>
      </c>
      <c r="M7" s="9">
        <f>IF(COUNTBLANK($A7:$E7)&gt;0, "", IFERROR(AVERAGEIFS(Log!$I:$I, Log!$A:$A, $A7, Log!$B:$B, $B7, Log!$C:$C, $C7),""))</f>
        <v>8.4730411111111126E-2</v>
      </c>
      <c r="N7" s="9">
        <f>IF(COUNTBLANK($A7:$E7)&gt;0, "", IFERROR(_xlfn.MINIFS(Log!$G:$G, Log!$A:$A, $A7, Log!$B:$B, $B7, Log!$C:$C, $C7),""))</f>
        <v>4.7859600000000002E-2</v>
      </c>
      <c r="O7" s="9">
        <f>IF(COUNTBLANK($A7:$E7)&gt;0, "", IFERROR(_xlfn.MAXIFS(Log!$G:$G, Log!$A:$A, $A7, Log!$B:$B, $B7, Log!$C:$C, $C7),""))</f>
        <v>0.14671400000000001</v>
      </c>
      <c r="P7" s="75" t="s">
        <v>101</v>
      </c>
      <c r="R7" s="293"/>
      <c r="S7" s="293"/>
      <c r="T7" s="227" t="s">
        <v>179</v>
      </c>
      <c r="U7" s="227"/>
      <c r="V7" s="227"/>
      <c r="W7" s="227"/>
      <c r="X7" s="227"/>
    </row>
    <row r="8" spans="1:25" ht="39.6" x14ac:dyDescent="0.3">
      <c r="A8" s="239" t="s">
        <v>107</v>
      </c>
      <c r="B8" s="8" t="s">
        <v>117</v>
      </c>
      <c r="C8" s="8">
        <v>46232</v>
      </c>
      <c r="D8" s="51">
        <v>25.5</v>
      </c>
      <c r="E8" s="52">
        <v>0.82291666666666663</v>
      </c>
      <c r="F8" s="140" t="s">
        <v>97</v>
      </c>
      <c r="G8" s="63">
        <v>1000</v>
      </c>
      <c r="H8" s="14">
        <f>IF(COUNTBLANK($A8:$E8)&gt;0, "", IFERROR(AVERAGEIFS(Log!$E:$E, Log!$A:$A, $A8, Log!$B:$B, $B8, Log!$C:$C, $C8),""))</f>
        <v>2014.2222222222222</v>
      </c>
      <c r="I8" s="64">
        <f t="shared" si="0"/>
        <v>2.0142222222222221</v>
      </c>
      <c r="J8" s="9">
        <f>IF(COUNTBLANK($A8:$E8)&gt;0, "", IFERROR(AVERAGEIFS(Log!$H:$H, Log!$A:$A, $A8, Log!$B:$B, $B8, Log!$C:$C, $C8),""))</f>
        <v>0.36980916666666652</v>
      </c>
      <c r="K8" s="9">
        <f>IF(COUNTBLANK($A8:$E8)&gt;0, "", IFERROR(_xlfn.MINIFS(Log!$F:$F, Log!$A:$A, $A8, Log!$B:$B, $B8, Log!$C:$C, $C8),""))</f>
        <v>0.18460799999999999</v>
      </c>
      <c r="L8" s="9">
        <f>IF(COUNTBLANK($A8:$E8)&gt;0, "", IFERROR(_xlfn.MAXIFS(Log!$F:$F, Log!$A:$A, $A8, Log!$B:$B, $B8, Log!$C:$C, $C8),""))</f>
        <v>0.56917399999999996</v>
      </c>
      <c r="M8" s="9">
        <f>IF(COUNTBLANK($A8:$E8)&gt;0, "", IFERROR(AVERAGEIFS(Log!$I:$I, Log!$A:$A, $A8, Log!$B:$B, $B8, Log!$C:$C, $C8),""))</f>
        <v>8.8881683333333295E-2</v>
      </c>
      <c r="N8" s="9">
        <f>IF(COUNTBLANK($A8:$E8)&gt;0, "", IFERROR(_xlfn.MINIFS(Log!$G:$G, Log!$A:$A, $A8, Log!$B:$B, $B8, Log!$C:$C, $C8),""))</f>
        <v>5.9381200000000002E-2</v>
      </c>
      <c r="O8" s="9">
        <f>IF(COUNTBLANK($A8:$E8)&gt;0, "", IFERROR(_xlfn.MAXIFS(Log!$G:$G, Log!$A:$A, $A8, Log!$B:$B, $B8, Log!$C:$C, $C8),""))</f>
        <v>0.136459</v>
      </c>
      <c r="P8" s="75" t="s">
        <v>69</v>
      </c>
      <c r="R8" s="294"/>
      <c r="S8" s="295"/>
      <c r="T8" s="228" t="s">
        <v>129</v>
      </c>
      <c r="U8" s="228"/>
      <c r="V8" s="228"/>
      <c r="W8" s="228"/>
      <c r="X8" s="228"/>
    </row>
    <row r="9" spans="1:25" ht="26.4" x14ac:dyDescent="0.3">
      <c r="A9" s="239" t="s">
        <v>107</v>
      </c>
      <c r="B9" s="8" t="s">
        <v>117</v>
      </c>
      <c r="C9" s="8">
        <v>46233</v>
      </c>
      <c r="D9" s="51">
        <v>24.5</v>
      </c>
      <c r="E9" s="52">
        <v>0.53333333333333333</v>
      </c>
      <c r="F9" s="140" t="s">
        <v>97</v>
      </c>
      <c r="G9" s="63">
        <v>1000</v>
      </c>
      <c r="H9" s="14">
        <f>IF(COUNTBLANK($A9:$E9)&gt;0, "", IFERROR(AVERAGEIFS(Log!$E:$E, Log!$A:$A, $A9, Log!$B:$B, $B9, Log!$C:$C, $C9),""))</f>
        <v>1931.5555555555557</v>
      </c>
      <c r="I9" s="64">
        <f t="shared" si="0"/>
        <v>1.9315555555555557</v>
      </c>
      <c r="J9" s="9">
        <f>IF(COUNTBLANK($A9:$E9)&gt;0, "", IFERROR(AVERAGEIFS(Log!$H:$H, Log!$A:$A, $A9, Log!$B:$B, $B9, Log!$C:$C, $C9),""))</f>
        <v>0.3276797777777779</v>
      </c>
      <c r="K9" s="9">
        <f>IF(COUNTBLANK($A9:$E9)&gt;0, "", IFERROR(_xlfn.MINIFS(Log!$F:$F, Log!$A:$A, $A9, Log!$B:$B, $B9, Log!$C:$C, $C9),""))</f>
        <v>0.21171599999999999</v>
      </c>
      <c r="L9" s="9">
        <f>IF(COUNTBLANK($A9:$E9)&gt;0, "", IFERROR(_xlfn.MAXIFS(Log!$F:$F, Log!$A:$A, $A9, Log!$B:$B, $B9, Log!$C:$C, $C9),""))</f>
        <v>0.45406200000000002</v>
      </c>
      <c r="M9" s="9">
        <f>IF(COUNTBLANK($A9:$E9)&gt;0, "", IFERROR(AVERAGEIFS(Log!$I:$I, Log!$A:$A, $A9, Log!$B:$B, $B9, Log!$C:$C, $C9),""))</f>
        <v>7.9198327777777744E-2</v>
      </c>
      <c r="N9" s="9">
        <f>IF(COUNTBLANK($A9:$E9)&gt;0, "", IFERROR(_xlfn.MINIFS(Log!$G:$G, Log!$A:$A, $A9, Log!$B:$B, $B9, Log!$C:$C, $C9),""))</f>
        <v>5.0948300000000002E-2</v>
      </c>
      <c r="O9" s="9">
        <f>IF(COUNTBLANK($A9:$E9)&gt;0, "", IFERROR(_xlfn.MAXIFS(Log!$G:$G, Log!$A:$A, $A9, Log!$B:$B, $B9, Log!$C:$C, $C9),""))</f>
        <v>0.12241299999999999</v>
      </c>
      <c r="P9" s="75" t="s">
        <v>72</v>
      </c>
    </row>
    <row r="10" spans="1:25" ht="39.6" x14ac:dyDescent="0.3">
      <c r="A10" s="239" t="s">
        <v>107</v>
      </c>
      <c r="B10" s="8" t="s">
        <v>117</v>
      </c>
      <c r="C10" s="8">
        <v>46234</v>
      </c>
      <c r="D10" s="51">
        <v>24.5</v>
      </c>
      <c r="E10" s="52">
        <v>0.58333333333333337</v>
      </c>
      <c r="F10" s="140" t="s">
        <v>100</v>
      </c>
      <c r="G10" s="63">
        <v>1500</v>
      </c>
      <c r="H10" s="14">
        <f>IF(COUNTBLANK($A10:$E10)&gt;0, "", IFERROR(AVERAGEIFS(Log!$E:$E, Log!$A:$A, $A10, Log!$B:$B, $B10, Log!$C:$C, $C10),""))</f>
        <v>2650.3888888888887</v>
      </c>
      <c r="I10" s="64">
        <f t="shared" si="0"/>
        <v>1.7669259259259258</v>
      </c>
      <c r="J10" s="9">
        <f>IF(COUNTBLANK($A10:$E10)&gt;0, "", IFERROR(AVERAGEIFS(Log!$H:$H, Log!$A:$A, $A10, Log!$B:$B, $B10, Log!$C:$C, $C10),""))</f>
        <v>0.39170800000000017</v>
      </c>
      <c r="K10" s="9">
        <f>IF(COUNTBLANK($A10:$E10)&gt;0, "", IFERROR(_xlfn.MINIFS(Log!$F:$F, Log!$A:$A, $A10, Log!$B:$B, $B10, Log!$C:$C, $C10),""))</f>
        <v>0.163774</v>
      </c>
      <c r="L10" s="9">
        <f>IF(COUNTBLANK($A10:$E10)&gt;0, "", IFERROR(_xlfn.MAXIFS(Log!$F:$F, Log!$A:$A, $A10, Log!$B:$B, $B10, Log!$C:$C, $C10),""))</f>
        <v>0.61609199999999997</v>
      </c>
      <c r="M10" s="9">
        <f>IF(COUNTBLANK($A10:$E10)&gt;0, "", IFERROR(AVERAGEIFS(Log!$I:$I, Log!$A:$A, $A10, Log!$B:$B, $B10, Log!$C:$C, $C10),""))</f>
        <v>9.6186150000000026E-2</v>
      </c>
      <c r="N10" s="9">
        <f>IF(COUNTBLANK($A10:$E10)&gt;0, "", IFERROR(_xlfn.MINIFS(Log!$G:$G, Log!$A:$A, $A10, Log!$B:$B, $B10, Log!$C:$C, $C10),""))</f>
        <v>5.20276E-2</v>
      </c>
      <c r="O10" s="9">
        <f>IF(COUNTBLANK($A10:$E10)&gt;0, "", IFERROR(_xlfn.MAXIFS(Log!$G:$G, Log!$A:$A, $A10, Log!$B:$B, $B10, Log!$C:$C, $C10),""))</f>
        <v>0.202345</v>
      </c>
      <c r="P10" s="75" t="s">
        <v>102</v>
      </c>
      <c r="R10" s="243" t="s">
        <v>159</v>
      </c>
      <c r="S10" s="142"/>
      <c r="T10" s="142"/>
      <c r="U10" s="142"/>
      <c r="V10" s="142"/>
      <c r="W10" s="142"/>
      <c r="X10" s="142"/>
    </row>
    <row r="11" spans="1:25" ht="39.6" x14ac:dyDescent="0.3">
      <c r="A11" s="239" t="s">
        <v>107</v>
      </c>
      <c r="B11" s="8" t="s">
        <v>117</v>
      </c>
      <c r="C11" s="8">
        <v>46235</v>
      </c>
      <c r="D11" s="51">
        <v>24</v>
      </c>
      <c r="E11" s="52">
        <v>0.74097222222222225</v>
      </c>
      <c r="F11" s="140" t="s">
        <v>100</v>
      </c>
      <c r="G11" s="63">
        <v>1500</v>
      </c>
      <c r="H11" s="14">
        <f>IF(COUNTBLANK($A11:$E11)&gt;0, "", IFERROR(AVERAGEIFS(Log!$E:$E, Log!$A:$A, $A11, Log!$B:$B, $B11, Log!$C:$C, $C11),""))</f>
        <v>2360.4444444444443</v>
      </c>
      <c r="I11" s="64">
        <f t="shared" si="0"/>
        <v>1.5736296296296295</v>
      </c>
      <c r="J11" s="9">
        <f>IF(COUNTBLANK($A11:$E11)&gt;0, "", IFERROR(AVERAGEIFS(Log!$H:$H, Log!$A:$A, $A11, Log!$B:$B, $B11, Log!$C:$C, $C11),""))</f>
        <v>0.55296411111111099</v>
      </c>
      <c r="K11" s="9">
        <f>IF(COUNTBLANK($A11:$E11)&gt;0, "", IFERROR(_xlfn.MINIFS(Log!$F:$F, Log!$A:$A, $A11, Log!$B:$B, $B11, Log!$C:$C, $C11),""))</f>
        <v>0.204627</v>
      </c>
      <c r="L11" s="9">
        <f>IF(COUNTBLANK($A11:$E11)&gt;0, "", IFERROR(_xlfn.MAXIFS(Log!$F:$F, Log!$A:$A, $A11, Log!$B:$B, $B11, Log!$C:$C, $C11),""))</f>
        <v>1.47159</v>
      </c>
      <c r="M11" s="9">
        <f>IF(COUNTBLANK($A11:$E11)&gt;0, "", IFERROR(AVERAGEIFS(Log!$I:$I, Log!$A:$A, $A11, Log!$B:$B, $B11, Log!$C:$C, $C11),""))</f>
        <v>0.12669717222222227</v>
      </c>
      <c r="N11" s="9">
        <f>IF(COUNTBLANK($A11:$E11)&gt;0, "", IFERROR(_xlfn.MINIFS(Log!$G:$G, Log!$A:$A, $A11, Log!$B:$B, $B11, Log!$C:$C, $C11),""))</f>
        <v>5.4853300000000001E-2</v>
      </c>
      <c r="O11" s="9">
        <f>IF(COUNTBLANK($A11:$E11)&gt;0, "", IFERROR(_xlfn.MAXIFS(Log!$G:$G, Log!$A:$A, $A11, Log!$B:$B, $B11, Log!$C:$C, $C11),""))</f>
        <v>0.31046400000000002</v>
      </c>
      <c r="P11" s="75" t="s">
        <v>76</v>
      </c>
      <c r="R11" s="141" t="s">
        <v>97</v>
      </c>
      <c r="S11" s="225" t="s">
        <v>158</v>
      </c>
      <c r="T11" s="225"/>
      <c r="U11" s="225"/>
      <c r="V11" s="225"/>
      <c r="W11" s="225"/>
      <c r="X11" s="225"/>
      <c r="Y11" s="225"/>
    </row>
    <row r="12" spans="1:25" ht="39.6" x14ac:dyDescent="0.3">
      <c r="A12" s="239" t="s">
        <v>107</v>
      </c>
      <c r="B12" s="8" t="s">
        <v>117</v>
      </c>
      <c r="C12" s="8">
        <v>46237</v>
      </c>
      <c r="D12" s="51">
        <v>24</v>
      </c>
      <c r="E12" s="77">
        <v>0.46597222222222223</v>
      </c>
      <c r="F12" s="140" t="s">
        <v>97</v>
      </c>
      <c r="G12" s="63">
        <v>1000</v>
      </c>
      <c r="H12" s="14">
        <f>IF(COUNTBLANK($A12:$E12)&gt;0, "", IFERROR(AVERAGEIFS(Log!$E:$E, Log!$A:$A, $A12, Log!$B:$B, $B12, Log!$C:$C, $C12),""))</f>
        <v>2116.6111111111113</v>
      </c>
      <c r="I12" s="64">
        <f t="shared" si="0"/>
        <v>2.1166111111111112</v>
      </c>
      <c r="J12" s="9">
        <f>IF(COUNTBLANK($A12:$E12)&gt;0, "", IFERROR(AVERAGEIFS(Log!$H:$H, Log!$A:$A, $A12, Log!$B:$B, $B12, Log!$C:$C, $C12),""))</f>
        <v>0.3760028333333334</v>
      </c>
      <c r="K12" s="9">
        <f>IF(COUNTBLANK($A12:$E12)&gt;0, "", IFERROR(_xlfn.MINIFS(Log!$F:$F, Log!$A:$A, $A12, Log!$B:$B, $B12, Log!$C:$C, $C12),""))</f>
        <v>0.179206</v>
      </c>
      <c r="L12" s="9">
        <f>IF(COUNTBLANK($A12:$E12)&gt;0, "", IFERROR(_xlfn.MAXIFS(Log!$F:$F, Log!$A:$A, $A12, Log!$B:$B, $B12, Log!$C:$C, $C12),""))</f>
        <v>0.79732999999999998</v>
      </c>
      <c r="M12" s="9">
        <f>IF(COUNTBLANK($A12:$E12)&gt;0, "", IFERROR(AVERAGEIFS(Log!$I:$I, Log!$A:$A, $A12, Log!$B:$B, $B12, Log!$C:$C, $C12),""))</f>
        <v>9.0346500000000052E-2</v>
      </c>
      <c r="N12" s="9">
        <f>IF(COUNTBLANK($A12:$E12)&gt;0, "", IFERROR(_xlfn.MINIFS(Log!$G:$G, Log!$A:$A, $A12, Log!$B:$B, $B12, Log!$C:$C, $C12),""))</f>
        <v>4.2684399999999997E-2</v>
      </c>
      <c r="O12" s="9">
        <f>IF(COUNTBLANK($A12:$E12)&gt;0, "", IFERROR(_xlfn.MAXIFS(Log!$G:$G, Log!$A:$A, $A12, Log!$B:$B, $B12, Log!$C:$C, $C12),""))</f>
        <v>0.15168999999999999</v>
      </c>
      <c r="P12" s="143" t="s">
        <v>167</v>
      </c>
      <c r="R12" s="141" t="s">
        <v>98</v>
      </c>
      <c r="S12" s="225" t="s">
        <v>156</v>
      </c>
      <c r="T12" s="225"/>
      <c r="U12" s="225"/>
      <c r="V12" s="225"/>
      <c r="W12" s="225"/>
      <c r="X12" s="225"/>
      <c r="Y12" s="225"/>
    </row>
    <row r="13" spans="1:25" ht="26.4" x14ac:dyDescent="0.3">
      <c r="A13" s="239" t="s">
        <v>107</v>
      </c>
      <c r="B13" s="8" t="s">
        <v>117</v>
      </c>
      <c r="C13" s="8">
        <v>46238</v>
      </c>
      <c r="D13" s="51">
        <v>24.5</v>
      </c>
      <c r="E13" s="52">
        <v>0.52083333333333337</v>
      </c>
      <c r="F13" s="140" t="s">
        <v>97</v>
      </c>
      <c r="G13" s="63">
        <v>1000</v>
      </c>
      <c r="H13" s="14">
        <f>IF(COUNTBLANK($A13:$E13)&gt;0, "", IFERROR(AVERAGEIFS(Log!$E:$E, Log!$A:$A, $A13, Log!$B:$B, $B13, Log!$C:$C, $C13),""))</f>
        <v>2144.6111111111113</v>
      </c>
      <c r="I13" s="64">
        <f t="shared" si="0"/>
        <v>2.1446111111111112</v>
      </c>
      <c r="J13" s="9">
        <f>IF(COUNTBLANK($A13:$E13)&gt;0, "", IFERROR(AVERAGEIFS(Log!$H:$H, Log!$A:$A, $A13, Log!$B:$B, $B13, Log!$C:$C, $C13),""))</f>
        <v>0.40401527777777785</v>
      </c>
      <c r="K13" s="9">
        <f>IF(COUNTBLANK($A13:$E13)&gt;0, "", IFERROR(_xlfn.MINIFS(Log!$F:$F, Log!$A:$A, $A13, Log!$B:$B, $B13, Log!$C:$C, $C13),""))</f>
        <v>0.174374</v>
      </c>
      <c r="L13" s="9">
        <f>IF(COUNTBLANK($A13:$E13)&gt;0, "", IFERROR(_xlfn.MAXIFS(Log!$F:$F, Log!$A:$A, $A13, Log!$B:$B, $B13, Log!$C:$C, $C13),""))</f>
        <v>0.59375999999999995</v>
      </c>
      <c r="M13" s="9">
        <f>IF(COUNTBLANK($A13:$E13)&gt;0, "", IFERROR(AVERAGEIFS(Log!$I:$I, Log!$A:$A, $A13, Log!$B:$B, $B13, Log!$C:$C, $C13),""))</f>
        <v>9.6629455555555563E-2</v>
      </c>
      <c r="N13" s="9">
        <f>IF(COUNTBLANK($A13:$E13)&gt;0, "", IFERROR(_xlfn.MINIFS(Log!$G:$G, Log!$A:$A, $A13, Log!$B:$B, $B13, Log!$C:$C, $C13),""))</f>
        <v>5.6044799999999999E-2</v>
      </c>
      <c r="O13" s="9">
        <f>IF(COUNTBLANK($A13:$E13)&gt;0, "", IFERROR(_xlfn.MAXIFS(Log!$G:$G, Log!$A:$A, $A13, Log!$B:$B, $B13, Log!$C:$C, $C13),""))</f>
        <v>0.12640199999999999</v>
      </c>
      <c r="P13" s="75" t="s">
        <v>103</v>
      </c>
      <c r="R13" s="141" t="s">
        <v>100</v>
      </c>
      <c r="S13" s="225" t="s">
        <v>157</v>
      </c>
      <c r="T13" s="225"/>
      <c r="U13" s="225"/>
      <c r="V13" s="225"/>
      <c r="W13" s="225"/>
      <c r="X13" s="225"/>
      <c r="Y13" s="225"/>
    </row>
    <row r="14" spans="1:25" ht="52.8" x14ac:dyDescent="0.3">
      <c r="A14" s="239" t="s">
        <v>107</v>
      </c>
      <c r="B14" s="8" t="s">
        <v>117</v>
      </c>
      <c r="C14" s="8">
        <v>46239</v>
      </c>
      <c r="D14" s="51">
        <v>25</v>
      </c>
      <c r="E14" s="52">
        <v>0.59305555555555556</v>
      </c>
      <c r="F14" s="140" t="s">
        <v>97</v>
      </c>
      <c r="G14" s="63">
        <v>1000</v>
      </c>
      <c r="H14" s="14">
        <f>IF(COUNTBLANK($A14:$E14)&gt;0, "", IFERROR(AVERAGEIFS(Log!$E:$E, Log!$A:$A, $A14, Log!$B:$B, $B14, Log!$C:$C, $C14),""))</f>
        <v>1975.4444444444443</v>
      </c>
      <c r="I14" s="64">
        <f t="shared" si="0"/>
        <v>1.9754444444444443</v>
      </c>
      <c r="J14" s="9">
        <f>IF(COUNTBLANK($A14:$E14)&gt;0, "", IFERROR(AVERAGEIFS(Log!$H:$H, Log!$A:$A, $A14, Log!$B:$B, $B14, Log!$C:$C, $C14),""))</f>
        <v>0.37193638888888891</v>
      </c>
      <c r="K14" s="9">
        <f>IF(COUNTBLANK($A14:$E14)&gt;0, "", IFERROR(_xlfn.MINIFS(Log!$F:$F, Log!$A:$A, $A14, Log!$B:$B, $B14, Log!$C:$C, $C14),""))</f>
        <v>0.16952999999999999</v>
      </c>
      <c r="L14" s="9">
        <f>IF(COUNTBLANK($A14:$E14)&gt;0, "", IFERROR(_xlfn.MAXIFS(Log!$F:$F, Log!$A:$A, $A14, Log!$B:$B, $B14, Log!$C:$C, $C14),""))</f>
        <v>0.58760599999999996</v>
      </c>
      <c r="M14" s="9">
        <f>IF(COUNTBLANK($A14:$E14)&gt;0, "", IFERROR(AVERAGEIFS(Log!$I:$I, Log!$A:$A, $A14, Log!$B:$B, $B14, Log!$C:$C, $C14),""))</f>
        <v>8.8825327777777754E-2</v>
      </c>
      <c r="N14" s="9">
        <f>IF(COUNTBLANK($A14:$E14)&gt;0, "", IFERROR(_xlfn.MINIFS(Log!$G:$G, Log!$A:$A, $A14, Log!$B:$B, $B14, Log!$C:$C, $C14),""))</f>
        <v>5.2189399999999997E-2</v>
      </c>
      <c r="O14" s="9">
        <f>IF(COUNTBLANK($A14:$E14)&gt;0, "", IFERROR(_xlfn.MAXIFS(Log!$G:$G, Log!$A:$A, $A14, Log!$B:$B, $B14, Log!$C:$C, $C14),""))</f>
        <v>0.11620800000000001</v>
      </c>
      <c r="P14" s="75" t="s">
        <v>165</v>
      </c>
      <c r="S14" s="66"/>
    </row>
    <row r="15" spans="1:25" x14ac:dyDescent="0.3">
      <c r="A15" s="239" t="s">
        <v>107</v>
      </c>
      <c r="B15" s="8" t="s">
        <v>117</v>
      </c>
      <c r="C15" s="8">
        <v>46240</v>
      </c>
      <c r="D15" s="51">
        <v>25</v>
      </c>
      <c r="E15" s="52">
        <v>0.47569444444444442</v>
      </c>
      <c r="F15" s="140" t="s">
        <v>97</v>
      </c>
      <c r="G15" s="63">
        <v>1000</v>
      </c>
      <c r="H15" s="14">
        <f>IF(COUNTBLANK($A15:$E15)&gt;0, "", IFERROR(AVERAGEIFS(Log!$E:$E, Log!$A:$A, $A15, Log!$B:$B, $B15, Log!$C:$C, $C15),""))</f>
        <v>2069.9444444444443</v>
      </c>
      <c r="I15" s="64">
        <f t="shared" si="0"/>
        <v>2.0699444444444444</v>
      </c>
      <c r="J15" s="9">
        <f>IF(COUNTBLANK($A15:$E15)&gt;0, "", IFERROR(AVERAGEIFS(Log!$H:$H, Log!$A:$A, $A15, Log!$B:$B, $B15, Log!$C:$C, $C15),""))</f>
        <v>0.37121238888888891</v>
      </c>
      <c r="K15" s="9">
        <f>IF(COUNTBLANK($A15:$E15)&gt;0, "", IFERROR(_xlfn.MINIFS(Log!$F:$F, Log!$A:$A, $A15, Log!$B:$B, $B15, Log!$C:$C, $C15),""))</f>
        <v>0.20263600000000001</v>
      </c>
      <c r="L15" s="9">
        <f>IF(COUNTBLANK($A15:$E15)&gt;0, "", IFERROR(_xlfn.MAXIFS(Log!$F:$F, Log!$A:$A, $A15, Log!$B:$B, $B15, Log!$C:$C, $C15),""))</f>
        <v>0.52784600000000004</v>
      </c>
      <c r="M15" s="9">
        <f>IF(COUNTBLANK($A15:$E15)&gt;0, "", IFERROR(AVERAGEIFS(Log!$I:$I, Log!$A:$A, $A15, Log!$B:$B, $B15, Log!$C:$C, $C15),""))</f>
        <v>8.8747716666666643E-2</v>
      </c>
      <c r="N15" s="9">
        <f>IF(COUNTBLANK($A15:$E15)&gt;0, "", IFERROR(_xlfn.MINIFS(Log!$G:$G, Log!$A:$A, $A15, Log!$B:$B, $B15, Log!$C:$C, $C15),""))</f>
        <v>4.8736000000000002E-2</v>
      </c>
      <c r="O15" s="9">
        <f>IF(COUNTBLANK($A15:$E15)&gt;0, "", IFERROR(_xlfn.MAXIFS(Log!$G:$G, Log!$A:$A, $A15, Log!$B:$B, $B15, Log!$C:$C, $C15),""))</f>
        <v>0.10940999999999999</v>
      </c>
      <c r="P15" s="75" t="s">
        <v>164</v>
      </c>
    </row>
    <row r="16" spans="1:25" ht="39.6" x14ac:dyDescent="0.3">
      <c r="A16" s="239" t="s">
        <v>107</v>
      </c>
      <c r="B16" s="8" t="s">
        <v>117</v>
      </c>
      <c r="C16" s="8">
        <v>46242</v>
      </c>
      <c r="D16" s="51">
        <v>24.5</v>
      </c>
      <c r="E16" s="52">
        <v>0.62361111111111112</v>
      </c>
      <c r="F16" s="140" t="s">
        <v>97</v>
      </c>
      <c r="G16" s="63">
        <v>1000</v>
      </c>
      <c r="H16" s="14">
        <f>IF(COUNTBLANK($A16:$E16)&gt;0, "", IFERROR(AVERAGEIFS(Log!$E:$E, Log!$A:$A, $A16, Log!$B:$B, $B16, Log!$C:$C, $C16),""))</f>
        <v>1881.4444444444443</v>
      </c>
      <c r="I16" s="64">
        <f t="shared" si="0"/>
        <v>1.8814444444444443</v>
      </c>
      <c r="J16" s="9">
        <f>IF(COUNTBLANK($A16:$E16)&gt;0, "", IFERROR(AVERAGEIFS(Log!$H:$H, Log!$A:$A, $A16, Log!$B:$B, $B16, Log!$C:$C, $C16),""))</f>
        <v>0.38615661111111099</v>
      </c>
      <c r="K16" s="9">
        <f>IF(COUNTBLANK($A16:$E16)&gt;0, "", IFERROR(_xlfn.MINIFS(Log!$F:$F, Log!$A:$A, $A16, Log!$B:$B, $B16, Log!$C:$C, $C16),""))</f>
        <v>0.17077700000000001</v>
      </c>
      <c r="L16" s="9">
        <f>IF(COUNTBLANK($A16:$E16)&gt;0, "", IFERROR(_xlfn.MAXIFS(Log!$F:$F, Log!$A:$A, $A16, Log!$B:$B, $B16, Log!$C:$C, $C16),""))</f>
        <v>0.54024799999999995</v>
      </c>
      <c r="M16" s="9">
        <f>IF(COUNTBLANK($A16:$E16)&gt;0, "", IFERROR(AVERAGEIFS(Log!$I:$I, Log!$A:$A, $A16, Log!$B:$B, $B16, Log!$C:$C, $C16),""))</f>
        <v>9.2878877777777799E-2</v>
      </c>
      <c r="N16" s="9">
        <f>IF(COUNTBLANK($A16:$E16)&gt;0, "", IFERROR(_xlfn.MINIFS(Log!$G:$G, Log!$A:$A, $A16, Log!$B:$B, $B16, Log!$C:$C, $C16),""))</f>
        <v>4.3160200000000003E-2</v>
      </c>
      <c r="O16" s="9">
        <f>IF(COUNTBLANK($A16:$E16)&gt;0, "", IFERROR(_xlfn.MAXIFS(Log!$G:$G, Log!$A:$A, $A16, Log!$B:$B, $B16, Log!$C:$C, $C16),""))</f>
        <v>0.13869799999999999</v>
      </c>
      <c r="P16" s="75" t="s">
        <v>187</v>
      </c>
    </row>
    <row r="17" spans="1:19" x14ac:dyDescent="0.3">
      <c r="A17" s="8"/>
      <c r="B17" s="8" t="s">
        <v>117</v>
      </c>
      <c r="C17" s="8">
        <v>0</v>
      </c>
      <c r="D17" s="51"/>
      <c r="E17" s="52"/>
      <c r="G17" s="63"/>
      <c r="H17" s="14" t="str">
        <f>IF(COUNTBLANK($A17:$E17)&gt;0, "", IFERROR(AVERAGEIFS(Log!$E:$E, Log!$A:$A, $A17, Log!$B:$B, $B17, Log!$C:$C, $C17),""))</f>
        <v/>
      </c>
      <c r="I17" s="64" t="str">
        <f t="shared" si="0"/>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row>
    <row r="18" spans="1:19" x14ac:dyDescent="0.3">
      <c r="A18" s="8"/>
      <c r="B18" s="8" t="s">
        <v>117</v>
      </c>
      <c r="C18" s="8">
        <v>0</v>
      </c>
      <c r="D18" s="51"/>
      <c r="E18" s="52"/>
      <c r="G18" s="63"/>
      <c r="H18" s="14" t="str">
        <f>IF(COUNTBLANK($A18:$E18)&gt;0, "", IFERROR(AVERAGEIFS(Log!$E:$E, Log!$A:$A, $A18, Log!$B:$B, $B18, Log!$C:$C, $C18),""))</f>
        <v/>
      </c>
      <c r="I18" s="64" t="str">
        <f t="shared" si="0"/>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P18" s="261"/>
    </row>
    <row r="19" spans="1:19" x14ac:dyDescent="0.3">
      <c r="A19" s="8"/>
      <c r="B19" s="8" t="s">
        <v>117</v>
      </c>
      <c r="C19" s="8">
        <v>0</v>
      </c>
      <c r="D19" s="51"/>
      <c r="E19" s="52"/>
      <c r="G19" s="63"/>
      <c r="H19" s="14" t="str">
        <f>IF(COUNTBLANK($A19:$E19)&gt;0, "", IFERROR(AVERAGEIFS(Log!$E:$E, Log!$A:$A, $A19, Log!$B:$B, $B19, Log!$C:$C, $C19),""))</f>
        <v/>
      </c>
      <c r="I19" s="64" t="str">
        <f t="shared" si="0"/>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c r="S19" s="66"/>
    </row>
    <row r="20" spans="1:19" x14ac:dyDescent="0.3">
      <c r="A20" s="8"/>
      <c r="B20" s="8" t="s">
        <v>117</v>
      </c>
      <c r="C20" s="8">
        <v>0</v>
      </c>
      <c r="D20" s="51"/>
      <c r="E20" s="52"/>
      <c r="G20" s="63"/>
      <c r="H20" s="14" t="str">
        <f>IF(COUNTBLANK($A20:$E20)&gt;0, "", IFERROR(AVERAGEIFS(Log!$E:$E, Log!$A:$A, $A20, Log!$B:$B, $B20, Log!$C:$C, $C20),""))</f>
        <v/>
      </c>
      <c r="I20" s="64" t="str">
        <f t="shared" si="0"/>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c r="S20" s="66"/>
    </row>
    <row r="21" spans="1:19" x14ac:dyDescent="0.3">
      <c r="A21" s="8"/>
      <c r="B21" s="8" t="s">
        <v>117</v>
      </c>
      <c r="C21" s="8">
        <v>0</v>
      </c>
      <c r="D21" s="51"/>
      <c r="E21" s="52"/>
      <c r="G21" s="63"/>
      <c r="H21" s="14" t="str">
        <f>IF(COUNTBLANK($A21:$E21)&gt;0, "", IFERROR(AVERAGEIFS(Log!$E:$E, Log!$A:$A, $A21, Log!$B:$B, $B21, Log!$C:$C, $C21),""))</f>
        <v/>
      </c>
      <c r="I21" s="64" t="str">
        <f t="shared" si="0"/>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c r="P21" s="276"/>
      <c r="S21" s="66"/>
    </row>
    <row r="22" spans="1:19" x14ac:dyDescent="0.3">
      <c r="A22" s="8"/>
      <c r="B22" s="8" t="s">
        <v>117</v>
      </c>
      <c r="C22" s="8">
        <v>0</v>
      </c>
      <c r="D22" s="51"/>
      <c r="E22" s="52"/>
      <c r="G22" s="63"/>
      <c r="H22" s="14" t="str">
        <f>IF(COUNTBLANK($A22:$E22)&gt;0, "", IFERROR(AVERAGEIFS(Log!$E:$E, Log!$A:$A, $A22, Log!$B:$B, $B22, Log!$C:$C, $C22),""))</f>
        <v/>
      </c>
      <c r="I22" s="64" t="str">
        <f t="shared" si="0"/>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c r="S22" s="66"/>
    </row>
    <row r="23" spans="1:19" x14ac:dyDescent="0.3">
      <c r="A23" s="8"/>
      <c r="B23" s="8" t="s">
        <v>117</v>
      </c>
      <c r="C23" s="8">
        <v>0</v>
      </c>
      <c r="D23" s="51"/>
      <c r="E23" s="52"/>
      <c r="G23" s="63"/>
      <c r="H23" s="14" t="str">
        <f>IF(COUNTBLANK($A23:$E23)&gt;0, "", IFERROR(AVERAGEIFS(Log!$E:$E, Log!$A:$A, $A23, Log!$B:$B, $B23, Log!$C:$C, $C23),""))</f>
        <v/>
      </c>
      <c r="I23" s="64" t="str">
        <f t="shared" si="0"/>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row>
    <row r="24" spans="1:19" x14ac:dyDescent="0.3">
      <c r="A24" s="8"/>
      <c r="B24" s="8" t="s">
        <v>117</v>
      </c>
      <c r="C24" s="8">
        <v>0</v>
      </c>
      <c r="D24" s="51"/>
      <c r="E24" s="52"/>
      <c r="G24" s="63"/>
      <c r="H24" s="14" t="str">
        <f>IF(COUNTBLANK($A24:$E24)&gt;0, "", IFERROR(AVERAGEIFS(Log!$E:$E, Log!$A:$A, $A24, Log!$B:$B, $B24, Log!$C:$C, $C24),""))</f>
        <v/>
      </c>
      <c r="I24" s="64" t="str">
        <f t="shared" si="0"/>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c r="S24" s="66"/>
    </row>
    <row r="25" spans="1:19" x14ac:dyDescent="0.3">
      <c r="A25" s="8"/>
      <c r="B25" s="8" t="s">
        <v>117</v>
      </c>
      <c r="C25" s="8">
        <v>0</v>
      </c>
      <c r="D25" s="51"/>
      <c r="E25" s="52"/>
      <c r="G25" s="63"/>
      <c r="H25" s="14" t="str">
        <f>IF(COUNTBLANK($A25:$E25)&gt;0, "", IFERROR(AVERAGEIFS(Log!$E:$E, Log!$A:$A, $A25, Log!$B:$B, $B25, Log!$C:$C, $C25),""))</f>
        <v/>
      </c>
      <c r="I25" s="64" t="str">
        <f t="shared" si="0"/>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c r="S25" s="66"/>
    </row>
    <row r="26" spans="1:19" x14ac:dyDescent="0.3">
      <c r="A26" s="8"/>
      <c r="B26" s="8" t="s">
        <v>117</v>
      </c>
      <c r="C26" s="8">
        <v>0</v>
      </c>
      <c r="D26" s="51"/>
      <c r="E26" s="52"/>
      <c r="G26" s="63"/>
      <c r="H26" s="14" t="str">
        <f>IF(COUNTBLANK($A26:$E26)&gt;0, "", IFERROR(AVERAGEIFS(Log!$E:$E, Log!$A:$A, $A26, Log!$B:$B, $B26, Log!$C:$C, $C26),""))</f>
        <v/>
      </c>
      <c r="I26" s="64" t="str">
        <f t="shared" si="0"/>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c r="S26" s="66"/>
    </row>
    <row r="27" spans="1:19" x14ac:dyDescent="0.3">
      <c r="A27" s="8"/>
      <c r="B27" s="8" t="s">
        <v>117</v>
      </c>
      <c r="C27" s="8">
        <v>0</v>
      </c>
      <c r="D27" s="51"/>
      <c r="E27" s="52"/>
      <c r="G27" s="63"/>
      <c r="H27" s="14" t="str">
        <f>IF(COUNTBLANK($A27:$E27)&gt;0, "", IFERROR(AVERAGEIFS(Log!$E:$E, Log!$A:$A, $A27, Log!$B:$B, $B27, Log!$C:$C, $C27),""))</f>
        <v/>
      </c>
      <c r="I27" s="64" t="str">
        <f t="shared" si="0"/>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row>
    <row r="28" spans="1:19" x14ac:dyDescent="0.3">
      <c r="A28" s="8"/>
      <c r="B28" s="8" t="s">
        <v>117</v>
      </c>
      <c r="C28" s="8">
        <v>0</v>
      </c>
      <c r="D28" s="51"/>
      <c r="E28" s="52"/>
      <c r="G28" s="63"/>
      <c r="H28" s="14" t="str">
        <f>IF(COUNTBLANK($A28:$E28)&gt;0, "", IFERROR(AVERAGEIFS(Log!$E:$E, Log!$A:$A, $A28, Log!$B:$B, $B28, Log!$C:$C, $C28),""))</f>
        <v/>
      </c>
      <c r="I28" s="64" t="str">
        <f t="shared" si="0"/>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row>
    <row r="29" spans="1:19" x14ac:dyDescent="0.3">
      <c r="A29" s="8"/>
      <c r="B29" s="8" t="s">
        <v>117</v>
      </c>
      <c r="C29" s="8">
        <v>0</v>
      </c>
      <c r="D29" s="51"/>
      <c r="E29" s="52"/>
      <c r="G29" s="63"/>
      <c r="H29" s="14" t="str">
        <f>IF(COUNTBLANK($A29:$E29)&gt;0, "", IFERROR(AVERAGEIFS(Log!$E:$E, Log!$A:$A, $A29, Log!$B:$B, $B29, Log!$C:$C, $C29),""))</f>
        <v/>
      </c>
      <c r="I29" s="64" t="str">
        <f t="shared" si="0"/>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19" x14ac:dyDescent="0.3">
      <c r="A30" s="8"/>
      <c r="B30" s="8" t="s">
        <v>117</v>
      </c>
      <c r="C30" s="8">
        <v>0</v>
      </c>
      <c r="D30" s="51"/>
      <c r="E30" s="52"/>
      <c r="G30" s="63"/>
      <c r="H30" s="14" t="str">
        <f>IF(COUNTBLANK($A30:$E30)&gt;0, "", IFERROR(AVERAGEIFS(Log!$E:$E, Log!$A:$A, $A30, Log!$B:$B, $B30, Log!$C:$C, $C30),""))</f>
        <v/>
      </c>
      <c r="I30" s="64" t="str">
        <f t="shared" si="0"/>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19" x14ac:dyDescent="0.3">
      <c r="A31" s="8"/>
      <c r="B31" s="8" t="s">
        <v>117</v>
      </c>
      <c r="C31" s="8">
        <v>0</v>
      </c>
      <c r="D31" s="51"/>
      <c r="E31" s="52"/>
      <c r="G31" s="63"/>
      <c r="H31" s="14" t="str">
        <f>IF(COUNTBLANK($A31:$E31)&gt;0, "", IFERROR(AVERAGEIFS(Log!$E:$E, Log!$A:$A, $A31, Log!$B:$B, $B31, Log!$C:$C, $C31),""))</f>
        <v/>
      </c>
      <c r="I31" s="64" t="str">
        <f t="shared" si="0"/>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19" x14ac:dyDescent="0.3">
      <c r="A32" s="8"/>
      <c r="B32" s="8" t="s">
        <v>117</v>
      </c>
      <c r="C32" s="8">
        <v>0</v>
      </c>
      <c r="D32" s="51"/>
      <c r="E32" s="52"/>
      <c r="G32" s="63"/>
      <c r="H32" s="14" t="str">
        <f>IF(COUNTBLANK($A32:$E32)&gt;0, "", IFERROR(AVERAGEIFS(Log!$E:$E, Log!$A:$A, $A32, Log!$B:$B, $B32, Log!$C:$C, $C32),""))</f>
        <v/>
      </c>
      <c r="I32" s="64" t="str">
        <f t="shared" si="0"/>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x14ac:dyDescent="0.3">
      <c r="A33" s="8"/>
      <c r="B33" s="8" t="s">
        <v>117</v>
      </c>
      <c r="C33" s="8">
        <v>0</v>
      </c>
      <c r="D33" s="51"/>
      <c r="E33" s="52"/>
      <c r="G33" s="63"/>
      <c r="H33" s="14" t="str">
        <f>IF(COUNTBLANK($A33:$E33)&gt;0, "", IFERROR(AVERAGEIFS(Log!$E:$E, Log!$A:$A, $A33, Log!$B:$B, $B33, Log!$C:$C, $C33),""))</f>
        <v/>
      </c>
      <c r="I33" s="64" t="str">
        <f t="shared" si="0"/>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x14ac:dyDescent="0.3">
      <c r="A34" s="8"/>
      <c r="B34" s="8" t="s">
        <v>117</v>
      </c>
      <c r="C34" s="8">
        <v>0</v>
      </c>
      <c r="D34" s="51"/>
      <c r="E34" s="52"/>
      <c r="G34" s="63"/>
      <c r="H34" s="14" t="str">
        <f>IF(COUNTBLANK($A34:$E34)&gt;0, "", IFERROR(AVERAGEIFS(Log!$E:$E, Log!$A:$A, $A34, Log!$B:$B, $B34, Log!$C:$C, $C34),""))</f>
        <v/>
      </c>
      <c r="I34" s="64" t="str">
        <f t="shared" si="0"/>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x14ac:dyDescent="0.3">
      <c r="A35" s="8"/>
      <c r="B35" s="8" t="s">
        <v>117</v>
      </c>
      <c r="C35" s="8">
        <v>0</v>
      </c>
      <c r="D35" s="51"/>
      <c r="E35" s="52"/>
      <c r="G35" s="63"/>
      <c r="H35" s="14" t="str">
        <f>IF(COUNTBLANK($A35:$E35)&gt;0, "", IFERROR(AVERAGEIFS(Log!$E:$E, Log!$A:$A, $A35, Log!$B:$B, $B35, Log!$C:$C, $C35),""))</f>
        <v/>
      </c>
      <c r="I35" s="64" t="str">
        <f t="shared" si="0"/>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x14ac:dyDescent="0.3">
      <c r="A36" s="8"/>
      <c r="B36" s="8" t="s">
        <v>117</v>
      </c>
      <c r="C36" s="8">
        <v>0</v>
      </c>
      <c r="D36" s="51"/>
      <c r="E36" s="52"/>
      <c r="G36" s="63"/>
      <c r="H36" s="14" t="str">
        <f>IF(COUNTBLANK($A36:$E36)&gt;0, "", IFERROR(AVERAGEIFS(Log!$E:$E, Log!$A:$A, $A36, Log!$B:$B, $B36, Log!$C:$C, $C36),""))</f>
        <v/>
      </c>
      <c r="I36" s="64" t="str">
        <f t="shared" si="0"/>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x14ac:dyDescent="0.3">
      <c r="A37" s="8"/>
      <c r="B37" s="8" t="s">
        <v>117</v>
      </c>
      <c r="C37" s="8">
        <v>0</v>
      </c>
      <c r="D37" s="51"/>
      <c r="E37" s="52"/>
      <c r="G37" s="63"/>
      <c r="H37" s="14" t="str">
        <f>IF(COUNTBLANK($A37:$E37)&gt;0, "", IFERROR(AVERAGEIFS(Log!$E:$E, Log!$A:$A, $A37, Log!$B:$B, $B37, Log!$C:$C, $C37),""))</f>
        <v/>
      </c>
      <c r="I37" s="64" t="str">
        <f t="shared" si="0"/>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x14ac:dyDescent="0.3">
      <c r="A38" s="8"/>
      <c r="B38" s="8" t="s">
        <v>117</v>
      </c>
      <c r="C38" s="8">
        <v>0</v>
      </c>
      <c r="D38" s="51"/>
      <c r="E38" s="52"/>
      <c r="G38" s="63"/>
      <c r="H38" s="14" t="str">
        <f>IF(COUNTBLANK($A38:$E38)&gt;0, "", IFERROR(AVERAGEIFS(Log!$E:$E, Log!$A:$A, $A38, Log!$B:$B, $B38, Log!$C:$C, $C38),""))</f>
        <v/>
      </c>
      <c r="I38" s="64" t="str">
        <f t="shared" si="0"/>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x14ac:dyDescent="0.3">
      <c r="A39" s="8"/>
      <c r="B39" s="8" t="s">
        <v>117</v>
      </c>
      <c r="C39" s="8">
        <v>0</v>
      </c>
      <c r="D39" s="51"/>
      <c r="E39" s="52"/>
      <c r="G39" s="63"/>
      <c r="H39" s="14" t="str">
        <f>IF(COUNTBLANK($A39:$E39)&gt;0, "", IFERROR(AVERAGEIFS(Log!$E:$E, Log!$A:$A, $A39, Log!$B:$B, $B39, Log!$C:$C, $C39),""))</f>
        <v/>
      </c>
      <c r="I39" s="64" t="str">
        <f t="shared" si="0"/>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x14ac:dyDescent="0.3">
      <c r="A40" s="8"/>
      <c r="B40" s="8" t="s">
        <v>117</v>
      </c>
      <c r="C40" s="8">
        <v>0</v>
      </c>
      <c r="D40" s="51"/>
      <c r="E40" s="52"/>
      <c r="G40" s="63"/>
      <c r="H40" s="14" t="str">
        <f>IF(COUNTBLANK($A40:$E40)&gt;0, "", IFERROR(AVERAGEIFS(Log!$E:$E, Log!$A:$A, $A40, Log!$B:$B, $B40, Log!$C:$C, $C40),""))</f>
        <v/>
      </c>
      <c r="I40" s="64" t="str">
        <f t="shared" si="0"/>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x14ac:dyDescent="0.3">
      <c r="A41" s="8"/>
      <c r="B41" s="8" t="s">
        <v>117</v>
      </c>
      <c r="C41" s="8">
        <v>0</v>
      </c>
      <c r="D41" s="51"/>
      <c r="E41" s="52"/>
      <c r="G41" s="63"/>
      <c r="H41" s="14" t="str">
        <f>IF(COUNTBLANK($A41:$E41)&gt;0, "", IFERROR(AVERAGEIFS(Log!$E:$E, Log!$A:$A, $A41, Log!$B:$B, $B41, Log!$C:$C, $C41),""))</f>
        <v/>
      </c>
      <c r="I41" s="64" t="str">
        <f t="shared" si="0"/>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x14ac:dyDescent="0.3">
      <c r="A42" s="8"/>
      <c r="B42" s="8" t="s">
        <v>117</v>
      </c>
      <c r="C42" s="8">
        <v>0</v>
      </c>
      <c r="D42" s="51"/>
      <c r="E42" s="52"/>
      <c r="G42" s="63"/>
      <c r="H42" s="14" t="str">
        <f>IF(COUNTBLANK($A42:$E42)&gt;0, "", IFERROR(AVERAGEIFS(Log!$E:$E, Log!$A:$A, $A42, Log!$B:$B, $B42, Log!$C:$C, $C42),""))</f>
        <v/>
      </c>
      <c r="I42" s="64" t="str">
        <f t="shared" si="0"/>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x14ac:dyDescent="0.3">
      <c r="A43" s="8"/>
      <c r="B43" s="8" t="s">
        <v>117</v>
      </c>
      <c r="C43" s="8">
        <v>0</v>
      </c>
      <c r="D43" s="51"/>
      <c r="E43" s="52"/>
      <c r="G43" s="63"/>
      <c r="H43" s="14" t="str">
        <f>IF(COUNTBLANK($A43:$E43)&gt;0, "", IFERROR(AVERAGEIFS(Log!$E:$E, Log!$A:$A, $A43, Log!$B:$B, $B43, Log!$C:$C, $C43),""))</f>
        <v/>
      </c>
      <c r="I43" s="64" t="str">
        <f t="shared" si="0"/>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x14ac:dyDescent="0.3">
      <c r="A44" s="8"/>
      <c r="B44" s="8" t="s">
        <v>117</v>
      </c>
      <c r="C44" s="8">
        <v>0</v>
      </c>
      <c r="D44" s="51"/>
      <c r="E44" s="52"/>
      <c r="G44" s="63"/>
      <c r="H44" s="14" t="str">
        <f>IF(COUNTBLANK($A44:$E44)&gt;0, "", IFERROR(AVERAGEIFS(Log!$E:$E, Log!$A:$A, $A44, Log!$B:$B, $B44, Log!$C:$C, $C44),""))</f>
        <v/>
      </c>
      <c r="I44" s="64" t="str">
        <f t="shared" si="0"/>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x14ac:dyDescent="0.3">
      <c r="A45" s="8"/>
      <c r="B45" s="8" t="s">
        <v>117</v>
      </c>
      <c r="C45" s="8">
        <v>0</v>
      </c>
      <c r="D45" s="51"/>
      <c r="E45" s="52"/>
      <c r="G45" s="63"/>
      <c r="H45" s="14" t="str">
        <f>IF(COUNTBLANK($A45:$E45)&gt;0, "", IFERROR(AVERAGEIFS(Log!$E:$E, Log!$A:$A, $A45, Log!$B:$B, $B45, Log!$C:$C, $C45),""))</f>
        <v/>
      </c>
      <c r="I45" s="64" t="str">
        <f t="shared" si="0"/>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x14ac:dyDescent="0.3">
      <c r="A46" s="8"/>
      <c r="B46" s="8" t="s">
        <v>117</v>
      </c>
      <c r="C46" s="8">
        <v>0</v>
      </c>
      <c r="D46" s="51"/>
      <c r="E46" s="52"/>
      <c r="G46" s="63"/>
      <c r="H46" s="14" t="str">
        <f>IF(COUNTBLANK($A46:$E46)&gt;0, "", IFERROR(AVERAGEIFS(Log!$E:$E, Log!$A:$A, $A46, Log!$B:$B, $B46, Log!$C:$C, $C46),""))</f>
        <v/>
      </c>
      <c r="I46" s="64" t="str">
        <f t="shared" si="0"/>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x14ac:dyDescent="0.3">
      <c r="A47" s="8"/>
      <c r="B47" s="8" t="s">
        <v>117</v>
      </c>
      <c r="C47" s="8">
        <v>0</v>
      </c>
      <c r="D47" s="51"/>
      <c r="E47" s="52"/>
      <c r="G47" s="63"/>
      <c r="H47" s="14" t="str">
        <f>IF(COUNTBLANK($A47:$E47)&gt;0, "", IFERROR(AVERAGEIFS(Log!$E:$E, Log!$A:$A, $A47, Log!$B:$B, $B47, Log!$C:$C, $C47),""))</f>
        <v/>
      </c>
      <c r="I47" s="64" t="str">
        <f t="shared" si="0"/>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x14ac:dyDescent="0.3">
      <c r="A48" s="8"/>
      <c r="B48" s="8" t="s">
        <v>117</v>
      </c>
      <c r="C48" s="8">
        <v>0</v>
      </c>
      <c r="D48" s="51"/>
      <c r="E48" s="52"/>
      <c r="G48" s="63"/>
      <c r="H48" s="14" t="str">
        <f>IF(COUNTBLANK($A48:$E48)&gt;0, "", IFERROR(AVERAGEIFS(Log!$E:$E, Log!$A:$A, $A48, Log!$B:$B, $B48, Log!$C:$C, $C48),""))</f>
        <v/>
      </c>
      <c r="I48" s="64" t="str">
        <f t="shared" si="0"/>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x14ac:dyDescent="0.3">
      <c r="A49" s="8"/>
      <c r="B49" s="8" t="s">
        <v>117</v>
      </c>
      <c r="C49" s="8">
        <v>0</v>
      </c>
      <c r="D49" s="51"/>
      <c r="E49" s="52"/>
      <c r="G49" s="63"/>
      <c r="H49" s="14" t="str">
        <f>IF(COUNTBLANK($A49:$E49)&gt;0, "", IFERROR(AVERAGEIFS(Log!$E:$E, Log!$A:$A, $A49, Log!$B:$B, $B49, Log!$C:$C, $C49),""))</f>
        <v/>
      </c>
      <c r="I49" s="64" t="str">
        <f t="shared" si="0"/>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x14ac:dyDescent="0.3">
      <c r="A50" s="8"/>
      <c r="B50" s="8" t="s">
        <v>117</v>
      </c>
      <c r="C50" s="8">
        <v>0</v>
      </c>
      <c r="D50" s="51"/>
      <c r="E50" s="52"/>
      <c r="G50" s="63"/>
      <c r="H50" s="14" t="str">
        <f>IF(COUNTBLANK($A50:$E50)&gt;0, "", IFERROR(AVERAGEIFS(Log!$E:$E, Log!$A:$A, $A50, Log!$B:$B, $B50, Log!$C:$C, $C50),""))</f>
        <v/>
      </c>
      <c r="I50" s="64" t="str">
        <f t="shared" si="0"/>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x14ac:dyDescent="0.3">
      <c r="A51" s="8"/>
      <c r="B51" s="8" t="s">
        <v>117</v>
      </c>
      <c r="C51" s="8">
        <v>0</v>
      </c>
      <c r="D51" s="51"/>
      <c r="E51" s="52"/>
      <c r="G51" s="63"/>
      <c r="H51" s="14" t="str">
        <f>IF(COUNTBLANK($A51:$E51)&gt;0, "", IFERROR(AVERAGEIFS(Log!$E:$E, Log!$A:$A, $A51, Log!$B:$B, $B51, Log!$C:$C, $C51),""))</f>
        <v/>
      </c>
      <c r="I51" s="64" t="str">
        <f t="shared" si="0"/>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x14ac:dyDescent="0.3">
      <c r="A52" s="8"/>
      <c r="B52" s="8" t="s">
        <v>117</v>
      </c>
      <c r="C52" s="8">
        <v>0</v>
      </c>
      <c r="D52" s="51"/>
      <c r="E52" s="52"/>
      <c r="G52" s="63"/>
      <c r="H52" s="14" t="str">
        <f>IF(COUNTBLANK($A52:$E52)&gt;0, "", IFERROR(AVERAGEIFS(Log!$E:$E, Log!$A:$A, $A52, Log!$B:$B, $B52, Log!$C:$C, $C52),""))</f>
        <v/>
      </c>
      <c r="I52" s="64" t="str">
        <f t="shared" si="0"/>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x14ac:dyDescent="0.3">
      <c r="A53" s="8"/>
      <c r="B53" s="8" t="s">
        <v>117</v>
      </c>
      <c r="C53" s="8">
        <v>0</v>
      </c>
      <c r="D53" s="51"/>
      <c r="E53" s="52"/>
      <c r="G53" s="63"/>
      <c r="H53" s="14" t="str">
        <f>IF(COUNTBLANK($A53:$E53)&gt;0, "", IFERROR(AVERAGEIFS(Log!$E:$E, Log!$A:$A, $A53, Log!$B:$B, $B53, Log!$C:$C, $C53),""))</f>
        <v/>
      </c>
      <c r="I53" s="64" t="str">
        <f t="shared" si="0"/>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x14ac:dyDescent="0.3">
      <c r="A54" s="8"/>
      <c r="B54" s="8" t="s">
        <v>117</v>
      </c>
      <c r="C54" s="8">
        <v>0</v>
      </c>
      <c r="D54" s="51"/>
      <c r="E54" s="52"/>
      <c r="G54" s="63"/>
      <c r="H54" s="14" t="str">
        <f>IF(COUNTBLANK($A54:$E54)&gt;0, "", IFERROR(AVERAGEIFS(Log!$E:$E, Log!$A:$A, $A54, Log!$B:$B, $B54, Log!$C:$C, $C54),""))</f>
        <v/>
      </c>
      <c r="I54" s="64" t="str">
        <f t="shared" si="0"/>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x14ac:dyDescent="0.3">
      <c r="A55" s="8"/>
      <c r="B55" s="8" t="s">
        <v>117</v>
      </c>
      <c r="C55" s="8">
        <v>0</v>
      </c>
      <c r="D55" s="51"/>
      <c r="E55" s="52"/>
      <c r="G55" s="63"/>
      <c r="H55" s="14" t="str">
        <f>IF(COUNTBLANK($A55:$E55)&gt;0, "", IFERROR(AVERAGEIFS(Log!$E:$E, Log!$A:$A, $A55, Log!$B:$B, $B55, Log!$C:$C, $C55),""))</f>
        <v/>
      </c>
      <c r="I55" s="64" t="str">
        <f t="shared" si="0"/>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x14ac:dyDescent="0.3">
      <c r="A56" s="8"/>
      <c r="B56" s="8" t="s">
        <v>117</v>
      </c>
      <c r="C56" s="8">
        <v>0</v>
      </c>
      <c r="D56" s="51"/>
      <c r="E56" s="52"/>
      <c r="G56" s="63"/>
      <c r="H56" s="14" t="str">
        <f>IF(COUNTBLANK($A56:$E56)&gt;0, "", IFERROR(AVERAGEIFS(Log!$E:$E, Log!$A:$A, $A56, Log!$B:$B, $B56, Log!$C:$C, $C56),""))</f>
        <v/>
      </c>
      <c r="I56" s="64" t="str">
        <f t="shared" si="0"/>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x14ac:dyDescent="0.3">
      <c r="A57" s="8"/>
      <c r="B57" s="8" t="s">
        <v>117</v>
      </c>
      <c r="C57" s="8">
        <v>0</v>
      </c>
      <c r="D57" s="51"/>
      <c r="E57" s="52"/>
      <c r="G57" s="63"/>
      <c r="H57" s="14" t="str">
        <f>IF(COUNTBLANK($A57:$E57)&gt;0, "", IFERROR(AVERAGEIFS(Log!$E:$E, Log!$A:$A, $A57, Log!$B:$B, $B57, Log!$C:$C, $C57),""))</f>
        <v/>
      </c>
      <c r="I57" s="64" t="str">
        <f t="shared" si="0"/>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x14ac:dyDescent="0.3">
      <c r="A58" s="8"/>
      <c r="B58" s="8" t="s">
        <v>117</v>
      </c>
      <c r="C58" s="8">
        <v>0</v>
      </c>
      <c r="D58" s="51"/>
      <c r="E58" s="52"/>
      <c r="G58" s="63"/>
      <c r="H58" s="14" t="str">
        <f>IF(COUNTBLANK($A58:$E58)&gt;0, "", IFERROR(AVERAGEIFS(Log!$E:$E, Log!$A:$A, $A58, Log!$B:$B, $B58, Log!$C:$C, $C58),""))</f>
        <v/>
      </c>
      <c r="I58" s="64" t="str">
        <f t="shared" si="0"/>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x14ac:dyDescent="0.3">
      <c r="B59" s="8" t="s">
        <v>117</v>
      </c>
      <c r="C59" s="66">
        <v>0</v>
      </c>
      <c r="H59" s="14" t="str">
        <f>IF(COUNTBLANK($A59:$E59)&gt;0, "", IFERROR(AVERAGEIFS(Log!$E:$E, Log!$A:$A, $A59, Log!$B:$B, $B59, Log!$C:$C, $C59),""))</f>
        <v/>
      </c>
      <c r="I59" s="64" t="str">
        <f t="shared" si="0"/>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x14ac:dyDescent="0.3">
      <c r="B60" s="8" t="s">
        <v>117</v>
      </c>
      <c r="C60" s="66">
        <v>0</v>
      </c>
      <c r="H60" s="14" t="str">
        <f>IF(COUNTBLANK($A60:$E60)&gt;0, "", IFERROR(AVERAGEIFS(Log!$E:$E, Log!$A:$A, $A60, Log!$B:$B, $B60, Log!$C:$C, $C60),""))</f>
        <v/>
      </c>
      <c r="I60" s="64" t="str">
        <f t="shared" si="0"/>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x14ac:dyDescent="0.3">
      <c r="B61" s="8" t="s">
        <v>117</v>
      </c>
      <c r="C61" s="66">
        <v>0</v>
      </c>
      <c r="H61" s="14" t="str">
        <f>IF(COUNTBLANK($A61:$E61)&gt;0, "", IFERROR(AVERAGEIFS(Log!$E:$E, Log!$A:$A, $A61, Log!$B:$B, $B61, Log!$C:$C, $C61),""))</f>
        <v/>
      </c>
      <c r="I61" s="64" t="str">
        <f t="shared" si="0"/>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x14ac:dyDescent="0.3">
      <c r="B62" s="8" t="s">
        <v>117</v>
      </c>
      <c r="C62" s="66">
        <v>0</v>
      </c>
      <c r="H62" s="14" t="str">
        <f>IF(COUNTBLANK($A62:$E62)&gt;0, "", IFERROR(AVERAGEIFS(Log!$E:$E, Log!$A:$A, $A62, Log!$B:$B, $B62, Log!$C:$C, $C62),""))</f>
        <v/>
      </c>
      <c r="I62" s="64" t="str">
        <f t="shared" si="0"/>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row>
    <row r="63" spans="1:15" x14ac:dyDescent="0.3">
      <c r="B63" s="8" t="s">
        <v>117</v>
      </c>
      <c r="C63" s="66">
        <v>0</v>
      </c>
      <c r="H63" s="14" t="str">
        <f>IF(COUNTBLANK($A63:$E63)&gt;0, "", IFERROR(AVERAGEIFS(Log!$E:$E, Log!$A:$A, $A63, Log!$B:$B, $B63, Log!$C:$C, $C63),""))</f>
        <v/>
      </c>
      <c r="I63" s="64" t="str">
        <f t="shared" si="0"/>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row>
    <row r="64" spans="1:15" x14ac:dyDescent="0.3">
      <c r="B64" s="8" t="s">
        <v>117</v>
      </c>
      <c r="C64" s="66">
        <v>0</v>
      </c>
      <c r="H64" s="14" t="str">
        <f>IF(COUNTBLANK($A64:$E64)&gt;0, "", IFERROR(AVERAGEIFS(Log!$E:$E, Log!$A:$A, $A64, Log!$B:$B, $B64, Log!$C:$C, $C64),""))</f>
        <v/>
      </c>
      <c r="I64" s="64" t="str">
        <f t="shared" si="0"/>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row>
    <row r="65" spans="2:15" x14ac:dyDescent="0.3">
      <c r="B65" s="8" t="s">
        <v>117</v>
      </c>
      <c r="C65" s="66">
        <v>0</v>
      </c>
      <c r="H65" s="14" t="str">
        <f>IF(COUNTBLANK($A65:$E65)&gt;0, "", IFERROR(AVERAGEIFS(Log!$E:$E, Log!$A:$A, $A65, Log!$B:$B, $B65, Log!$C:$C, $C65),""))</f>
        <v/>
      </c>
      <c r="I65" s="64" t="str">
        <f t="shared" si="0"/>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row>
    <row r="66" spans="2:15" x14ac:dyDescent="0.3">
      <c r="B66" s="8" t="s">
        <v>117</v>
      </c>
      <c r="C66" s="66">
        <v>0</v>
      </c>
      <c r="H66" s="14" t="str">
        <f>IF(COUNTBLANK($A66:$E66)&gt;0, "", IFERROR(AVERAGEIFS(Log!$E:$E, Log!$A:$A, $A66, Log!$B:$B, $B66, Log!$C:$C, $C66),""))</f>
        <v/>
      </c>
      <c r="I66" s="64" t="str">
        <f t="shared" si="0"/>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row>
    <row r="67" spans="2:15" x14ac:dyDescent="0.3">
      <c r="B67" s="8" t="s">
        <v>117</v>
      </c>
      <c r="C67" s="66">
        <v>0</v>
      </c>
      <c r="H67" s="14" t="str">
        <f>IF(COUNTBLANK($A67:$E67)&gt;0, "", IFERROR(AVERAGEIFS(Log!$E:$E, Log!$A:$A, $A67, Log!$B:$B, $B67, Log!$C:$C, $C67),""))</f>
        <v/>
      </c>
      <c r="I67" s="64" t="str">
        <f t="shared" si="0"/>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row>
    <row r="68" spans="2:15" x14ac:dyDescent="0.3">
      <c r="B68" s="8" t="s">
        <v>117</v>
      </c>
      <c r="C68" s="66">
        <v>0</v>
      </c>
      <c r="H68" s="14" t="str">
        <f>IF(COUNTBLANK($A68:$E68)&gt;0, "", IFERROR(AVERAGEIFS(Log!$E:$E, Log!$A:$A, $A68, Log!$B:$B, $B68, Log!$C:$C, $C68),""))</f>
        <v/>
      </c>
      <c r="I68" s="64" t="str">
        <f t="shared" si="0"/>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row>
    <row r="69" spans="2:15" x14ac:dyDescent="0.3">
      <c r="B69" s="8" t="s">
        <v>117</v>
      </c>
      <c r="C69" s="66">
        <v>0</v>
      </c>
      <c r="H69" s="14" t="str">
        <f>IF(COUNTBLANK($A69:$E69)&gt;0, "", IFERROR(AVERAGEIFS(Log!$E:$E, Log!$A:$A, $A69, Log!$B:$B, $B69, Log!$C:$C, $C69),""))</f>
        <v/>
      </c>
      <c r="I69" s="64" t="str">
        <f t="shared" si="0"/>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row>
    <row r="70" spans="2:15" x14ac:dyDescent="0.3">
      <c r="B70" s="8" t="s">
        <v>117</v>
      </c>
      <c r="C70" s="66">
        <v>0</v>
      </c>
      <c r="H70" s="14" t="str">
        <f>IF(COUNTBLANK($A70:$E70)&gt;0, "", IFERROR(AVERAGEIFS(Log!$E:$E, Log!$A:$A, $A70, Log!$B:$B, $B70, Log!$C:$C, $C70),""))</f>
        <v/>
      </c>
      <c r="I70" s="64" t="str">
        <f t="shared" ref="I70:I133" si="1">IF(AND($H70&lt;&gt;"", $G70&lt;&gt;""), $H70/$G70, "")</f>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row>
    <row r="71" spans="2:15" x14ac:dyDescent="0.3">
      <c r="B71" s="8" t="s">
        <v>117</v>
      </c>
      <c r="C71" s="66">
        <v>0</v>
      </c>
      <c r="H71" s="14" t="str">
        <f>IF(COUNTBLANK($A71:$E71)&gt;0, "", IFERROR(AVERAGEIFS(Log!$E:$E, Log!$A:$A, $A71, Log!$B:$B, $B71, Log!$C:$C, $C71),""))</f>
        <v/>
      </c>
      <c r="I71" s="64" t="str">
        <f t="shared" si="1"/>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row>
    <row r="72" spans="2:15" x14ac:dyDescent="0.3">
      <c r="B72" s="8" t="s">
        <v>117</v>
      </c>
      <c r="C72" s="66">
        <v>0</v>
      </c>
      <c r="H72" s="14" t="str">
        <f>IF(COUNTBLANK($A72:$E72)&gt;0, "", IFERROR(AVERAGEIFS(Log!$E:$E, Log!$A:$A, $A72, Log!$B:$B, $B72, Log!$C:$C, $C72),""))</f>
        <v/>
      </c>
      <c r="I72" s="64" t="str">
        <f t="shared" si="1"/>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row>
    <row r="73" spans="2:15" x14ac:dyDescent="0.3">
      <c r="B73" s="8" t="s">
        <v>117</v>
      </c>
      <c r="C73" s="66">
        <v>0</v>
      </c>
      <c r="H73" s="14" t="str">
        <f>IF(COUNTBLANK($A73:$E73)&gt;0, "", IFERROR(AVERAGEIFS(Log!$E:$E, Log!$A:$A, $A73, Log!$B:$B, $B73, Log!$C:$C, $C73),""))</f>
        <v/>
      </c>
      <c r="I73" s="64" t="str">
        <f t="shared" si="1"/>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row>
    <row r="74" spans="2:15" x14ac:dyDescent="0.3">
      <c r="B74" s="8" t="s">
        <v>117</v>
      </c>
      <c r="C74" s="66">
        <v>0</v>
      </c>
      <c r="H74" s="14" t="str">
        <f>IF(COUNTBLANK($A74:$E74)&gt;0, "", IFERROR(AVERAGEIFS(Log!$E:$E, Log!$A:$A, $A74, Log!$B:$B, $B74, Log!$C:$C, $C74),""))</f>
        <v/>
      </c>
      <c r="I74" s="64" t="str">
        <f t="shared" si="1"/>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row>
    <row r="75" spans="2:15" x14ac:dyDescent="0.3">
      <c r="B75" s="8" t="s">
        <v>117</v>
      </c>
      <c r="C75" s="66">
        <v>0</v>
      </c>
      <c r="H75" s="14" t="str">
        <f>IF(COUNTBLANK($A75:$E75)&gt;0, "", IFERROR(AVERAGEIFS(Log!$E:$E, Log!$A:$A, $A75, Log!$B:$B, $B75, Log!$C:$C, $C75),""))</f>
        <v/>
      </c>
      <c r="I75" s="64" t="str">
        <f t="shared" si="1"/>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row>
    <row r="76" spans="2:15" x14ac:dyDescent="0.3">
      <c r="B76" s="8" t="s">
        <v>117</v>
      </c>
      <c r="C76" s="66">
        <v>0</v>
      </c>
      <c r="H76" s="14" t="str">
        <f>IF(COUNTBLANK($A76:$E76)&gt;0, "", IFERROR(AVERAGEIFS(Log!$E:$E, Log!$A:$A, $A76, Log!$B:$B, $B76, Log!$C:$C, $C76),""))</f>
        <v/>
      </c>
      <c r="I76" s="64" t="str">
        <f t="shared" si="1"/>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row>
    <row r="77" spans="2:15" x14ac:dyDescent="0.3">
      <c r="B77" s="8" t="s">
        <v>117</v>
      </c>
      <c r="C77" s="66">
        <v>0</v>
      </c>
      <c r="H77" s="14" t="str">
        <f>IF(COUNTBLANK($A77:$E77)&gt;0, "", IFERROR(AVERAGEIFS(Log!$E:$E, Log!$A:$A, $A77, Log!$B:$B, $B77, Log!$C:$C, $C77),""))</f>
        <v/>
      </c>
      <c r="I77" s="64" t="str">
        <f t="shared" si="1"/>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row>
    <row r="78" spans="2:15" x14ac:dyDescent="0.3">
      <c r="B78" s="8" t="s">
        <v>117</v>
      </c>
      <c r="C78" s="66">
        <v>0</v>
      </c>
      <c r="H78" s="14" t="str">
        <f>IF(COUNTBLANK($A78:$E78)&gt;0, "", IFERROR(AVERAGEIFS(Log!$E:$E, Log!$A:$A, $A78, Log!$B:$B, $B78, Log!$C:$C, $C78),""))</f>
        <v/>
      </c>
      <c r="I78" s="64" t="str">
        <f t="shared" si="1"/>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row>
    <row r="79" spans="2:15" x14ac:dyDescent="0.3">
      <c r="B79" s="8" t="s">
        <v>117</v>
      </c>
      <c r="C79" s="66">
        <v>0</v>
      </c>
      <c r="H79" s="14" t="str">
        <f>IF(COUNTBLANK($A79:$E79)&gt;0, "", IFERROR(AVERAGEIFS(Log!$E:$E, Log!$A:$A, $A79, Log!$B:$B, $B79, Log!$C:$C, $C79),""))</f>
        <v/>
      </c>
      <c r="I79" s="64" t="str">
        <f t="shared" si="1"/>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row>
    <row r="80" spans="2:15" x14ac:dyDescent="0.3">
      <c r="B80" s="8" t="s">
        <v>117</v>
      </c>
      <c r="C80" s="66">
        <v>0</v>
      </c>
      <c r="H80" s="14" t="str">
        <f>IF(COUNTBLANK($A80:$E80)&gt;0, "", IFERROR(AVERAGEIFS(Log!$E:$E, Log!$A:$A, $A80, Log!$B:$B, $B80, Log!$C:$C, $C80),""))</f>
        <v/>
      </c>
      <c r="I80" s="64" t="str">
        <f t="shared" si="1"/>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row>
    <row r="81" spans="2:15" x14ac:dyDescent="0.3">
      <c r="B81" s="8" t="s">
        <v>117</v>
      </c>
      <c r="C81" s="66">
        <v>0</v>
      </c>
      <c r="H81" s="14" t="str">
        <f>IF(COUNTBLANK($A81:$E81)&gt;0, "", IFERROR(AVERAGEIFS(Log!$E:$E, Log!$A:$A, $A81, Log!$B:$B, $B81, Log!$C:$C, $C81),""))</f>
        <v/>
      </c>
      <c r="I81" s="64" t="str">
        <f t="shared" si="1"/>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row>
    <row r="82" spans="2:15" x14ac:dyDescent="0.3">
      <c r="B82" s="8" t="s">
        <v>117</v>
      </c>
      <c r="C82" s="66">
        <v>0</v>
      </c>
      <c r="H82" s="14" t="str">
        <f>IF(COUNTBLANK($A82:$E82)&gt;0, "", IFERROR(AVERAGEIFS(Log!$E:$E, Log!$A:$A, $A82, Log!$B:$B, $B82, Log!$C:$C, $C82),""))</f>
        <v/>
      </c>
      <c r="I82" s="64" t="str">
        <f t="shared" si="1"/>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row>
    <row r="83" spans="2:15" x14ac:dyDescent="0.3">
      <c r="B83" s="8" t="s">
        <v>117</v>
      </c>
      <c r="C83" s="66">
        <v>0</v>
      </c>
      <c r="H83" s="14" t="str">
        <f>IF(COUNTBLANK($A83:$E83)&gt;0, "", IFERROR(AVERAGEIFS(Log!$E:$E, Log!$A:$A, $A83, Log!$B:$B, $B83, Log!$C:$C, $C83),""))</f>
        <v/>
      </c>
      <c r="I83" s="64" t="str">
        <f t="shared" si="1"/>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row>
    <row r="84" spans="2:15" x14ac:dyDescent="0.3">
      <c r="B84" s="8" t="s">
        <v>117</v>
      </c>
      <c r="C84" s="66">
        <v>0</v>
      </c>
      <c r="H84" s="14" t="str">
        <f>IF(COUNTBLANK($A84:$E84)&gt;0, "", IFERROR(AVERAGEIFS(Log!$E:$E, Log!$A:$A, $A84, Log!$B:$B, $B84, Log!$C:$C, $C84),""))</f>
        <v/>
      </c>
      <c r="I84" s="64" t="str">
        <f t="shared" si="1"/>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row>
    <row r="85" spans="2:15" x14ac:dyDescent="0.3">
      <c r="B85" s="8" t="s">
        <v>117</v>
      </c>
      <c r="C85" s="66">
        <v>0</v>
      </c>
      <c r="H85" s="14" t="str">
        <f>IF(COUNTBLANK($A85:$E85)&gt;0, "", IFERROR(AVERAGEIFS(Log!$E:$E, Log!$A:$A, $A85, Log!$B:$B, $B85, Log!$C:$C, $C85),""))</f>
        <v/>
      </c>
      <c r="I85" s="64" t="str">
        <f t="shared" si="1"/>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row>
    <row r="86" spans="2:15" x14ac:dyDescent="0.3">
      <c r="B86" s="8" t="s">
        <v>117</v>
      </c>
      <c r="C86" s="66">
        <v>0</v>
      </c>
      <c r="H86" s="14" t="str">
        <f>IF(COUNTBLANK($A86:$E86)&gt;0, "", IFERROR(AVERAGEIFS(Log!$E:$E, Log!$A:$A, $A86, Log!$B:$B, $B86, Log!$C:$C, $C86),""))</f>
        <v/>
      </c>
      <c r="I86" s="64" t="str">
        <f t="shared" si="1"/>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row>
    <row r="87" spans="2:15" x14ac:dyDescent="0.3">
      <c r="B87" s="8" t="s">
        <v>117</v>
      </c>
      <c r="C87" s="66">
        <v>0</v>
      </c>
      <c r="H87" s="14" t="str">
        <f>IF(COUNTBLANK($A87:$E87)&gt;0, "", IFERROR(AVERAGEIFS(Log!$E:$E, Log!$A:$A, $A87, Log!$B:$B, $B87, Log!$C:$C, $C87),""))</f>
        <v/>
      </c>
      <c r="I87" s="64" t="str">
        <f t="shared" si="1"/>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row>
    <row r="88" spans="2:15" x14ac:dyDescent="0.3">
      <c r="B88" s="8" t="s">
        <v>117</v>
      </c>
      <c r="C88" s="66">
        <v>0</v>
      </c>
      <c r="H88" s="14" t="str">
        <f>IF(COUNTBLANK($A88:$E88)&gt;0, "", IFERROR(AVERAGEIFS(Log!$E:$E, Log!$A:$A, $A88, Log!$B:$B, $B88, Log!$C:$C, $C88),""))</f>
        <v/>
      </c>
      <c r="I88" s="64" t="str">
        <f t="shared" si="1"/>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row>
    <row r="89" spans="2:15" x14ac:dyDescent="0.3">
      <c r="B89" s="8" t="s">
        <v>117</v>
      </c>
      <c r="C89" s="66">
        <v>0</v>
      </c>
      <c r="H89" s="14" t="str">
        <f>IF(COUNTBLANK($A89:$E89)&gt;0, "", IFERROR(AVERAGEIFS(Log!$E:$E, Log!$A:$A, $A89, Log!$B:$B, $B89, Log!$C:$C, $C89),""))</f>
        <v/>
      </c>
      <c r="I89" s="64" t="str">
        <f t="shared" si="1"/>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row>
    <row r="90" spans="2:15" x14ac:dyDescent="0.3">
      <c r="B90" s="8" t="s">
        <v>117</v>
      </c>
      <c r="C90" s="66">
        <v>0</v>
      </c>
      <c r="H90" s="14" t="str">
        <f>IF(COUNTBLANK($A90:$E90)&gt;0, "", IFERROR(AVERAGEIFS(Log!$E:$E, Log!$A:$A, $A90, Log!$B:$B, $B90, Log!$C:$C, $C90),""))</f>
        <v/>
      </c>
      <c r="I90" s="64" t="str">
        <f t="shared" si="1"/>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row>
    <row r="91" spans="2:15" x14ac:dyDescent="0.3">
      <c r="B91" s="8" t="s">
        <v>117</v>
      </c>
      <c r="C91" s="66">
        <v>0</v>
      </c>
      <c r="H91" s="14" t="str">
        <f>IF(COUNTBLANK($A91:$E91)&gt;0, "", IFERROR(AVERAGEIFS(Log!$E:$E, Log!$A:$A, $A91, Log!$B:$B, $B91, Log!$C:$C, $C91),""))</f>
        <v/>
      </c>
      <c r="I91" s="64" t="str">
        <f t="shared" si="1"/>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row>
    <row r="92" spans="2:15" x14ac:dyDescent="0.3">
      <c r="B92" s="8" t="s">
        <v>117</v>
      </c>
      <c r="C92" s="66">
        <v>0</v>
      </c>
      <c r="H92" s="14" t="str">
        <f>IF(COUNTBLANK($A92:$E92)&gt;0, "", IFERROR(AVERAGEIFS(Log!$E:$E, Log!$A:$A, $A92, Log!$B:$B, $B92, Log!$C:$C, $C92),""))</f>
        <v/>
      </c>
      <c r="I92" s="64" t="str">
        <f t="shared" si="1"/>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row>
    <row r="93" spans="2:15" x14ac:dyDescent="0.3">
      <c r="B93" s="8" t="s">
        <v>117</v>
      </c>
      <c r="C93" s="66">
        <v>0</v>
      </c>
      <c r="H93" s="14" t="str">
        <f>IF(COUNTBLANK($A93:$E93)&gt;0, "", IFERROR(AVERAGEIFS(Log!$E:$E, Log!$A:$A, $A93, Log!$B:$B, $B93, Log!$C:$C, $C93),""))</f>
        <v/>
      </c>
      <c r="I93" s="64" t="str">
        <f t="shared" si="1"/>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row>
    <row r="94" spans="2:15" x14ac:dyDescent="0.3">
      <c r="B94" s="8" t="s">
        <v>117</v>
      </c>
      <c r="C94" s="66">
        <v>0</v>
      </c>
      <c r="H94" s="14" t="str">
        <f>IF(COUNTBLANK($A94:$E94)&gt;0, "", IFERROR(AVERAGEIFS(Log!$E:$E, Log!$A:$A, $A94, Log!$B:$B, $B94, Log!$C:$C, $C94),""))</f>
        <v/>
      </c>
      <c r="I94" s="64" t="str">
        <f t="shared" si="1"/>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row>
    <row r="95" spans="2:15" x14ac:dyDescent="0.3">
      <c r="B95" s="8" t="s">
        <v>117</v>
      </c>
      <c r="C95" s="66">
        <v>0</v>
      </c>
      <c r="H95" s="14" t="str">
        <f>IF(COUNTBLANK($A95:$E95)&gt;0, "", IFERROR(AVERAGEIFS(Log!$E:$E, Log!$A:$A, $A95, Log!$B:$B, $B95, Log!$C:$C, $C95),""))</f>
        <v/>
      </c>
      <c r="I95" s="64" t="str">
        <f t="shared" si="1"/>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row>
    <row r="96" spans="2:15" x14ac:dyDescent="0.3">
      <c r="B96" s="8" t="s">
        <v>117</v>
      </c>
      <c r="C96" s="66">
        <v>0</v>
      </c>
      <c r="H96" s="14" t="str">
        <f>IF(COUNTBLANK($A96:$E96)&gt;0, "", IFERROR(AVERAGEIFS(Log!$E:$E, Log!$A:$A, $A96, Log!$B:$B, $B96, Log!$C:$C, $C96),""))</f>
        <v/>
      </c>
      <c r="I96" s="64" t="str">
        <f t="shared" si="1"/>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row>
    <row r="97" spans="2:15" x14ac:dyDescent="0.3">
      <c r="B97" s="8" t="s">
        <v>117</v>
      </c>
      <c r="C97" s="66">
        <v>0</v>
      </c>
      <c r="H97" s="14" t="str">
        <f>IF(COUNTBLANK($A97:$E97)&gt;0, "", IFERROR(AVERAGEIFS(Log!$E:$E, Log!$A:$A, $A97, Log!$B:$B, $B97, Log!$C:$C, $C97),""))</f>
        <v/>
      </c>
      <c r="I97" s="64" t="str">
        <f t="shared" si="1"/>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row>
    <row r="98" spans="2:15" x14ac:dyDescent="0.3">
      <c r="B98" s="8" t="s">
        <v>117</v>
      </c>
      <c r="C98" s="66">
        <v>0</v>
      </c>
      <c r="H98" s="14" t="str">
        <f>IF(COUNTBLANK($A98:$E98)&gt;0, "", IFERROR(AVERAGEIFS(Log!$E:$E, Log!$A:$A, $A98, Log!$B:$B, $B98, Log!$C:$C, $C98),""))</f>
        <v/>
      </c>
      <c r="I98" s="64" t="str">
        <f t="shared" si="1"/>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row>
    <row r="99" spans="2:15" x14ac:dyDescent="0.3">
      <c r="B99" s="8" t="s">
        <v>117</v>
      </c>
      <c r="C99" s="66">
        <v>0</v>
      </c>
      <c r="H99" s="14" t="str">
        <f>IF(COUNTBLANK($A99:$E99)&gt;0, "", IFERROR(AVERAGEIFS(Log!$E:$E, Log!$A:$A, $A99, Log!$B:$B, $B99, Log!$C:$C, $C99),""))</f>
        <v/>
      </c>
      <c r="I99" s="64" t="str">
        <f t="shared" si="1"/>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row>
    <row r="100" spans="2:15" x14ac:dyDescent="0.3">
      <c r="B100" s="8" t="s">
        <v>117</v>
      </c>
      <c r="C100" s="66">
        <v>0</v>
      </c>
      <c r="H100" s="14" t="str">
        <f>IF(COUNTBLANK($A100:$E100)&gt;0, "", IFERROR(AVERAGEIFS(Log!$E:$E, Log!$A:$A, $A100, Log!$B:$B, $B100, Log!$C:$C, $C100),""))</f>
        <v/>
      </c>
      <c r="I100" s="64" t="str">
        <f t="shared" si="1"/>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row>
    <row r="101" spans="2:15" x14ac:dyDescent="0.3">
      <c r="B101" s="8" t="s">
        <v>117</v>
      </c>
      <c r="C101" s="66">
        <v>0</v>
      </c>
      <c r="H101" s="14" t="str">
        <f>IF(COUNTBLANK($A101:$E101)&gt;0, "", IFERROR(AVERAGEIFS(Log!$E:$E, Log!$A:$A, $A101, Log!$B:$B, $B101, Log!$C:$C, $C101),""))</f>
        <v/>
      </c>
      <c r="I101" s="64" t="str">
        <f t="shared" si="1"/>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row>
    <row r="102" spans="2:15" x14ac:dyDescent="0.3">
      <c r="B102" s="8" t="s">
        <v>117</v>
      </c>
      <c r="C102" s="66">
        <v>0</v>
      </c>
      <c r="H102" s="14" t="str">
        <f>IF(COUNTBLANK($A102:$E102)&gt;0, "", IFERROR(AVERAGEIFS(Log!$E:$E, Log!$A:$A, $A102, Log!$B:$B, $B102, Log!$C:$C, $C102),""))</f>
        <v/>
      </c>
      <c r="I102" s="64" t="str">
        <f t="shared" si="1"/>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row>
    <row r="103" spans="2:15" x14ac:dyDescent="0.3">
      <c r="B103" s="8" t="s">
        <v>117</v>
      </c>
      <c r="C103" s="66">
        <v>0</v>
      </c>
      <c r="H103" s="14" t="str">
        <f>IF(COUNTBLANK($A103:$E103)&gt;0, "", IFERROR(AVERAGEIFS(Log!$E:$E, Log!$A:$A, $A103, Log!$B:$B, $B103, Log!$C:$C, $C103),""))</f>
        <v/>
      </c>
      <c r="I103" s="64" t="str">
        <f t="shared" si="1"/>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row>
    <row r="104" spans="2:15" x14ac:dyDescent="0.3">
      <c r="B104" s="8" t="s">
        <v>117</v>
      </c>
      <c r="C104" s="66">
        <v>0</v>
      </c>
      <c r="H104" s="14" t="str">
        <f>IF(COUNTBLANK($A104:$E104)&gt;0, "", IFERROR(AVERAGEIFS(Log!$E:$E, Log!$A:$A, $A104, Log!$B:$B, $B104, Log!$C:$C, $C104),""))</f>
        <v/>
      </c>
      <c r="I104" s="64" t="str">
        <f t="shared" si="1"/>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row>
    <row r="105" spans="2:15" x14ac:dyDescent="0.3">
      <c r="B105" s="8" t="s">
        <v>117</v>
      </c>
      <c r="C105" s="66">
        <v>0</v>
      </c>
      <c r="H105" s="14" t="str">
        <f>IF(COUNTBLANK($A105:$E105)&gt;0, "", IFERROR(AVERAGEIFS(Log!$E:$E, Log!$A:$A, $A105, Log!$B:$B, $B105, Log!$C:$C, $C105),""))</f>
        <v/>
      </c>
      <c r="I105" s="64" t="str">
        <f t="shared" si="1"/>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row>
    <row r="106" spans="2:15" x14ac:dyDescent="0.3">
      <c r="B106" s="8" t="s">
        <v>117</v>
      </c>
      <c r="C106" s="66">
        <v>0</v>
      </c>
      <c r="H106" s="14" t="str">
        <f>IF(COUNTBLANK($A106:$E106)&gt;0, "", IFERROR(AVERAGEIFS(Log!$E:$E, Log!$A:$A, $A106, Log!$B:$B, $B106, Log!$C:$C, $C106),""))</f>
        <v/>
      </c>
      <c r="I106" s="64" t="str">
        <f t="shared" si="1"/>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row>
    <row r="107" spans="2:15" x14ac:dyDescent="0.3">
      <c r="B107" s="8" t="s">
        <v>117</v>
      </c>
      <c r="C107" s="66">
        <v>0</v>
      </c>
      <c r="H107" s="14" t="str">
        <f>IF(COUNTBLANK($A107:$E107)&gt;0, "", IFERROR(AVERAGEIFS(Log!$E:$E, Log!$A:$A, $A107, Log!$B:$B, $B107, Log!$C:$C, $C107),""))</f>
        <v/>
      </c>
      <c r="I107" s="64" t="str">
        <f t="shared" si="1"/>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row>
    <row r="108" spans="2:15" x14ac:dyDescent="0.3">
      <c r="B108" s="8" t="s">
        <v>117</v>
      </c>
      <c r="C108" s="66">
        <v>0</v>
      </c>
      <c r="H108" s="14" t="str">
        <f>IF(COUNTBLANK($A108:$E108)&gt;0, "", IFERROR(AVERAGEIFS(Log!$E:$E, Log!$A:$A, $A108, Log!$B:$B, $B108, Log!$C:$C, $C108),""))</f>
        <v/>
      </c>
      <c r="I108" s="64" t="str">
        <f t="shared" si="1"/>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row>
    <row r="109" spans="2:15" x14ac:dyDescent="0.3">
      <c r="B109" s="8" t="s">
        <v>117</v>
      </c>
      <c r="C109" s="66">
        <v>0</v>
      </c>
      <c r="H109" s="14" t="str">
        <f>IF(COUNTBLANK($A109:$E109)&gt;0, "", IFERROR(AVERAGEIFS(Log!$E:$E, Log!$A:$A, $A109, Log!$B:$B, $B109, Log!$C:$C, $C109),""))</f>
        <v/>
      </c>
      <c r="I109" s="64" t="str">
        <f t="shared" si="1"/>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row>
    <row r="110" spans="2:15" x14ac:dyDescent="0.3">
      <c r="B110" s="8" t="s">
        <v>117</v>
      </c>
      <c r="C110" s="66">
        <v>0</v>
      </c>
      <c r="H110" s="14" t="str">
        <f>IF(COUNTBLANK($A110:$E110)&gt;0, "", IFERROR(AVERAGEIFS(Log!$E:$E, Log!$A:$A, $A110, Log!$B:$B, $B110, Log!$C:$C, $C110),""))</f>
        <v/>
      </c>
      <c r="I110" s="64" t="str">
        <f t="shared" si="1"/>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row>
    <row r="111" spans="2:15" x14ac:dyDescent="0.3">
      <c r="B111" s="8" t="s">
        <v>117</v>
      </c>
      <c r="C111" s="66">
        <v>0</v>
      </c>
      <c r="H111" s="14" t="str">
        <f>IF(COUNTBLANK($A111:$E111)&gt;0, "", IFERROR(AVERAGEIFS(Log!$E:$E, Log!$A:$A, $A111, Log!$B:$B, $B111, Log!$C:$C, $C111),""))</f>
        <v/>
      </c>
      <c r="I111" s="64" t="str">
        <f t="shared" si="1"/>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row>
    <row r="112" spans="2:15" x14ac:dyDescent="0.3">
      <c r="B112" s="8" t="s">
        <v>117</v>
      </c>
      <c r="C112" s="66">
        <v>0</v>
      </c>
      <c r="H112" s="14" t="str">
        <f>IF(COUNTBLANK($A112:$E112)&gt;0, "", IFERROR(AVERAGEIFS(Log!$E:$E, Log!$A:$A, $A112, Log!$B:$B, $B112, Log!$C:$C, $C112),""))</f>
        <v/>
      </c>
      <c r="I112" s="64" t="str">
        <f t="shared" si="1"/>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row>
    <row r="113" spans="2:15" x14ac:dyDescent="0.3">
      <c r="B113" s="8" t="s">
        <v>117</v>
      </c>
      <c r="C113" s="66">
        <v>0</v>
      </c>
      <c r="H113" s="14" t="str">
        <f>IF(COUNTBLANK($A113:$E113)&gt;0, "", IFERROR(AVERAGEIFS(Log!$E:$E, Log!$A:$A, $A113, Log!$B:$B, $B113, Log!$C:$C, $C113),""))</f>
        <v/>
      </c>
      <c r="I113" s="64" t="str">
        <f t="shared" si="1"/>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row>
    <row r="114" spans="2:15" x14ac:dyDescent="0.3">
      <c r="B114" s="8" t="s">
        <v>117</v>
      </c>
      <c r="C114" s="66">
        <v>0</v>
      </c>
      <c r="H114" s="14" t="str">
        <f>IF(COUNTBLANK($A114:$E114)&gt;0, "", IFERROR(AVERAGEIFS(Log!$E:$E, Log!$A:$A, $A114, Log!$B:$B, $B114, Log!$C:$C, $C114),""))</f>
        <v/>
      </c>
      <c r="I114" s="64" t="str">
        <f t="shared" si="1"/>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row>
    <row r="115" spans="2:15" x14ac:dyDescent="0.3">
      <c r="B115" s="8" t="s">
        <v>117</v>
      </c>
      <c r="C115" s="66">
        <v>0</v>
      </c>
      <c r="H115" s="14" t="str">
        <f>IF(COUNTBLANK($A115:$E115)&gt;0, "", IFERROR(AVERAGEIFS(Log!$E:$E, Log!$A:$A, $A115, Log!$B:$B, $B115, Log!$C:$C, $C115),""))</f>
        <v/>
      </c>
      <c r="I115" s="64" t="str">
        <f t="shared" si="1"/>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row>
    <row r="116" spans="2:15" x14ac:dyDescent="0.3">
      <c r="B116" s="8" t="s">
        <v>117</v>
      </c>
      <c r="C116" s="66">
        <v>0</v>
      </c>
      <c r="H116" s="14" t="str">
        <f>IF(COUNTBLANK($A116:$E116)&gt;0, "", IFERROR(AVERAGEIFS(Log!$E:$E, Log!$A:$A, $A116, Log!$B:$B, $B116, Log!$C:$C, $C116),""))</f>
        <v/>
      </c>
      <c r="I116" s="64" t="str">
        <f t="shared" si="1"/>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row>
    <row r="117" spans="2:15" x14ac:dyDescent="0.3">
      <c r="B117" s="8" t="s">
        <v>117</v>
      </c>
      <c r="C117" s="66">
        <v>0</v>
      </c>
      <c r="H117" s="14" t="str">
        <f>IF(COUNTBLANK($A117:$E117)&gt;0, "", IFERROR(AVERAGEIFS(Log!$E:$E, Log!$A:$A, $A117, Log!$B:$B, $B117, Log!$C:$C, $C117),""))</f>
        <v/>
      </c>
      <c r="I117" s="64" t="str">
        <f t="shared" si="1"/>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row>
    <row r="118" spans="2:15" x14ac:dyDescent="0.3">
      <c r="B118" s="8" t="s">
        <v>117</v>
      </c>
      <c r="C118" s="66">
        <v>0</v>
      </c>
      <c r="H118" s="14" t="str">
        <f>IF(COUNTBLANK($A118:$E118)&gt;0, "", IFERROR(AVERAGEIFS(Log!$E:$E, Log!$A:$A, $A118, Log!$B:$B, $B118, Log!$C:$C, $C118),""))</f>
        <v/>
      </c>
      <c r="I118" s="64" t="str">
        <f t="shared" si="1"/>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row>
    <row r="119" spans="2:15" x14ac:dyDescent="0.3">
      <c r="B119" s="8" t="s">
        <v>117</v>
      </c>
      <c r="C119" s="66">
        <v>0</v>
      </c>
      <c r="H119" s="14" t="str">
        <f>IF(COUNTBLANK($A119:$E119)&gt;0, "", IFERROR(AVERAGEIFS(Log!$E:$E, Log!$A:$A, $A119, Log!$B:$B, $B119, Log!$C:$C, $C119),""))</f>
        <v/>
      </c>
      <c r="I119" s="64" t="str">
        <f t="shared" si="1"/>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row>
    <row r="120" spans="2:15" x14ac:dyDescent="0.3">
      <c r="B120" s="8" t="s">
        <v>117</v>
      </c>
      <c r="C120" s="66">
        <v>0</v>
      </c>
      <c r="H120" s="14" t="str">
        <f>IF(COUNTBLANK($A120:$E120)&gt;0, "", IFERROR(AVERAGEIFS(Log!$E:$E, Log!$A:$A, $A120, Log!$B:$B, $B120, Log!$C:$C, $C120),""))</f>
        <v/>
      </c>
      <c r="I120" s="64" t="str">
        <f t="shared" si="1"/>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row>
    <row r="121" spans="2:15" x14ac:dyDescent="0.3">
      <c r="B121" s="8" t="s">
        <v>117</v>
      </c>
      <c r="C121" s="66">
        <v>0</v>
      </c>
      <c r="H121" s="14" t="str">
        <f>IF(COUNTBLANK($A121:$E121)&gt;0, "", IFERROR(AVERAGEIFS(Log!$E:$E, Log!$A:$A, $A121, Log!$B:$B, $B121, Log!$C:$C, $C121),""))</f>
        <v/>
      </c>
      <c r="I121" s="64" t="str">
        <f t="shared" si="1"/>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row>
    <row r="122" spans="2:15" x14ac:dyDescent="0.3">
      <c r="B122" s="8" t="s">
        <v>117</v>
      </c>
      <c r="C122" s="66">
        <v>0</v>
      </c>
      <c r="H122" s="14" t="str">
        <f>IF(COUNTBLANK($A122:$E122)&gt;0, "", IFERROR(AVERAGEIFS(Log!$E:$E, Log!$A:$A, $A122, Log!$B:$B, $B122, Log!$C:$C, $C122),""))</f>
        <v/>
      </c>
      <c r="I122" s="64" t="str">
        <f t="shared" si="1"/>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row>
    <row r="123" spans="2:15" x14ac:dyDescent="0.3">
      <c r="B123" s="8" t="s">
        <v>117</v>
      </c>
      <c r="C123" s="66">
        <v>0</v>
      </c>
      <c r="H123" s="14" t="str">
        <f>IF(COUNTBLANK($A123:$E123)&gt;0, "", IFERROR(AVERAGEIFS(Log!$E:$E, Log!$A:$A, $A123, Log!$B:$B, $B123, Log!$C:$C, $C123),""))</f>
        <v/>
      </c>
      <c r="I123" s="64" t="str">
        <f t="shared" si="1"/>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row>
    <row r="124" spans="2:15" x14ac:dyDescent="0.3">
      <c r="B124" s="8" t="s">
        <v>117</v>
      </c>
      <c r="C124" s="66">
        <v>0</v>
      </c>
      <c r="H124" s="14" t="str">
        <f>IF(COUNTBLANK($A124:$E124)&gt;0, "", IFERROR(AVERAGEIFS(Log!$E:$E, Log!$A:$A, $A124, Log!$B:$B, $B124, Log!$C:$C, $C124),""))</f>
        <v/>
      </c>
      <c r="I124" s="64" t="str">
        <f t="shared" si="1"/>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row>
    <row r="125" spans="2:15" x14ac:dyDescent="0.3">
      <c r="B125" s="8" t="s">
        <v>117</v>
      </c>
      <c r="C125" s="66">
        <v>0</v>
      </c>
      <c r="H125" s="14" t="str">
        <f>IF(COUNTBLANK($A125:$E125)&gt;0, "", IFERROR(AVERAGEIFS(Log!$E:$E, Log!$A:$A, $A125, Log!$B:$B, $B125, Log!$C:$C, $C125),""))</f>
        <v/>
      </c>
      <c r="I125" s="64" t="str">
        <f t="shared" si="1"/>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row>
    <row r="126" spans="2:15" x14ac:dyDescent="0.3">
      <c r="B126" s="8" t="s">
        <v>117</v>
      </c>
      <c r="C126" s="66">
        <v>0</v>
      </c>
      <c r="H126" s="14" t="str">
        <f>IF(COUNTBLANK($A126:$E126)&gt;0, "", IFERROR(AVERAGEIFS(Log!$E:$E, Log!$A:$A, $A126, Log!$B:$B, $B126, Log!$C:$C, $C126),""))</f>
        <v/>
      </c>
      <c r="I126" s="64" t="str">
        <f t="shared" si="1"/>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row>
    <row r="127" spans="2:15" x14ac:dyDescent="0.3">
      <c r="B127" s="8" t="s">
        <v>117</v>
      </c>
      <c r="C127" s="66">
        <v>0</v>
      </c>
      <c r="H127" s="14" t="str">
        <f>IF(COUNTBLANK($A127:$E127)&gt;0, "", IFERROR(AVERAGEIFS(Log!$E:$E, Log!$A:$A, $A127, Log!$B:$B, $B127, Log!$C:$C, $C127),""))</f>
        <v/>
      </c>
      <c r="I127" s="64" t="str">
        <f t="shared" si="1"/>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row>
    <row r="128" spans="2:15" x14ac:dyDescent="0.3">
      <c r="B128" s="8" t="s">
        <v>117</v>
      </c>
      <c r="C128" s="66">
        <v>0</v>
      </c>
      <c r="H128" s="14" t="str">
        <f>IF(COUNTBLANK($A128:$E128)&gt;0, "", IFERROR(AVERAGEIFS(Log!$E:$E, Log!$A:$A, $A128, Log!$B:$B, $B128, Log!$C:$C, $C128),""))</f>
        <v/>
      </c>
      <c r="I128" s="64" t="str">
        <f t="shared" si="1"/>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row>
    <row r="129" spans="2:15" x14ac:dyDescent="0.3">
      <c r="B129" s="8" t="s">
        <v>117</v>
      </c>
      <c r="C129" s="66">
        <v>0</v>
      </c>
      <c r="H129" s="14" t="str">
        <f>IF(COUNTBLANK($A129:$E129)&gt;0, "", IFERROR(AVERAGEIFS(Log!$E:$E, Log!$A:$A, $A129, Log!$B:$B, $B129, Log!$C:$C, $C129),""))</f>
        <v/>
      </c>
      <c r="I129" s="64" t="str">
        <f t="shared" si="1"/>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row>
    <row r="130" spans="2:15" x14ac:dyDescent="0.3">
      <c r="B130" s="8" t="s">
        <v>117</v>
      </c>
      <c r="C130" s="66">
        <v>0</v>
      </c>
      <c r="H130" s="14" t="str">
        <f>IF(COUNTBLANK($A130:$E130)&gt;0, "", IFERROR(AVERAGEIFS(Log!$E:$E, Log!$A:$A, $A130, Log!$B:$B, $B130, Log!$C:$C, $C130),""))</f>
        <v/>
      </c>
      <c r="I130" s="64" t="str">
        <f t="shared" si="1"/>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row>
    <row r="131" spans="2:15" x14ac:dyDescent="0.3">
      <c r="B131" s="8" t="s">
        <v>117</v>
      </c>
      <c r="C131" s="66">
        <v>0</v>
      </c>
      <c r="H131" s="14" t="str">
        <f>IF(COUNTBLANK($A131:$E131)&gt;0, "", IFERROR(AVERAGEIFS(Log!$E:$E, Log!$A:$A, $A131, Log!$B:$B, $B131, Log!$C:$C, $C131),""))</f>
        <v/>
      </c>
      <c r="I131" s="64" t="str">
        <f t="shared" si="1"/>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row>
    <row r="132" spans="2:15" x14ac:dyDescent="0.3">
      <c r="B132" s="8" t="s">
        <v>117</v>
      </c>
      <c r="C132" s="66">
        <v>0</v>
      </c>
      <c r="H132" s="14" t="str">
        <f>IF(COUNTBLANK($A132:$E132)&gt;0, "", IFERROR(AVERAGEIFS(Log!$E:$E, Log!$A:$A, $A132, Log!$B:$B, $B132, Log!$C:$C, $C132),""))</f>
        <v/>
      </c>
      <c r="I132" s="64" t="str">
        <f t="shared" si="1"/>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row>
    <row r="133" spans="2:15" x14ac:dyDescent="0.3">
      <c r="B133" s="8" t="s">
        <v>117</v>
      </c>
      <c r="C133" s="66">
        <v>0</v>
      </c>
      <c r="H133" s="14" t="str">
        <f>IF(COUNTBLANK($A133:$E133)&gt;0, "", IFERROR(AVERAGEIFS(Log!$E:$E, Log!$A:$A, $A133, Log!$B:$B, $B133, Log!$C:$C, $C133),""))</f>
        <v/>
      </c>
      <c r="I133" s="64" t="str">
        <f t="shared" si="1"/>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row>
    <row r="134" spans="2:15" x14ac:dyDescent="0.3">
      <c r="B134" s="8" t="s">
        <v>117</v>
      </c>
      <c r="C134" s="66">
        <v>0</v>
      </c>
      <c r="H134" s="14" t="str">
        <f>IF(COUNTBLANK($A134:$E134)&gt;0, "", IFERROR(AVERAGEIFS(Log!$E:$E, Log!$A:$A, $A134, Log!$B:$B, $B134, Log!$C:$C, $C134),""))</f>
        <v/>
      </c>
      <c r="I134" s="64" t="str">
        <f t="shared" ref="I134:I197" si="2">IF(AND($H134&lt;&gt;"", $G134&lt;&gt;""), $H134/$G134, "")</f>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row>
    <row r="135" spans="2:15" x14ac:dyDescent="0.3">
      <c r="B135" s="8" t="s">
        <v>117</v>
      </c>
      <c r="C135" s="66">
        <v>0</v>
      </c>
      <c r="H135" s="14" t="str">
        <f>IF(COUNTBLANK($A135:$E135)&gt;0, "", IFERROR(AVERAGEIFS(Log!$E:$E, Log!$A:$A, $A135, Log!$B:$B, $B135, Log!$C:$C, $C135),""))</f>
        <v/>
      </c>
      <c r="I135" s="64" t="str">
        <f t="shared" si="2"/>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row>
    <row r="136" spans="2:15" x14ac:dyDescent="0.3">
      <c r="B136" s="8" t="s">
        <v>117</v>
      </c>
      <c r="C136" s="66">
        <v>0</v>
      </c>
      <c r="H136" s="14" t="str">
        <f>IF(COUNTBLANK($A136:$E136)&gt;0, "", IFERROR(AVERAGEIFS(Log!$E:$E, Log!$A:$A, $A136, Log!$B:$B, $B136, Log!$C:$C, $C136),""))</f>
        <v/>
      </c>
      <c r="I136" s="64" t="str">
        <f t="shared" si="2"/>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row>
    <row r="137" spans="2:15" x14ac:dyDescent="0.3">
      <c r="B137" s="8" t="s">
        <v>117</v>
      </c>
      <c r="C137" s="66">
        <v>0</v>
      </c>
      <c r="H137" s="14" t="str">
        <f>IF(COUNTBLANK($A137:$E137)&gt;0, "", IFERROR(AVERAGEIFS(Log!$E:$E, Log!$A:$A, $A137, Log!$B:$B, $B137, Log!$C:$C, $C137),""))</f>
        <v/>
      </c>
      <c r="I137" s="64" t="str">
        <f t="shared" si="2"/>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row>
    <row r="138" spans="2:15" x14ac:dyDescent="0.3">
      <c r="B138" s="8" t="s">
        <v>117</v>
      </c>
      <c r="C138" s="66">
        <v>0</v>
      </c>
      <c r="H138" s="14" t="str">
        <f>IF(COUNTBLANK($A138:$E138)&gt;0, "", IFERROR(AVERAGEIFS(Log!$E:$E, Log!$A:$A, $A138, Log!$B:$B, $B138, Log!$C:$C, $C138),""))</f>
        <v/>
      </c>
      <c r="I138" s="64" t="str">
        <f t="shared" si="2"/>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row>
    <row r="139" spans="2:15" x14ac:dyDescent="0.3">
      <c r="B139" s="8" t="s">
        <v>117</v>
      </c>
      <c r="C139" s="66">
        <v>0</v>
      </c>
      <c r="H139" s="14" t="str">
        <f>IF(COUNTBLANK($A139:$E139)&gt;0, "", IFERROR(AVERAGEIFS(Log!$E:$E, Log!$A:$A, $A139, Log!$B:$B, $B139, Log!$C:$C, $C139),""))</f>
        <v/>
      </c>
      <c r="I139" s="64" t="str">
        <f t="shared" si="2"/>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row>
    <row r="140" spans="2:15" x14ac:dyDescent="0.3">
      <c r="B140" s="8" t="s">
        <v>117</v>
      </c>
      <c r="C140" s="66">
        <v>0</v>
      </c>
      <c r="H140" s="14" t="str">
        <f>IF(COUNTBLANK($A140:$E140)&gt;0, "", IFERROR(AVERAGEIFS(Log!$E:$E, Log!$A:$A, $A140, Log!$B:$B, $B140, Log!$C:$C, $C140),""))</f>
        <v/>
      </c>
      <c r="I140" s="64" t="str">
        <f t="shared" si="2"/>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row>
    <row r="141" spans="2:15" x14ac:dyDescent="0.3">
      <c r="B141" s="8" t="s">
        <v>117</v>
      </c>
      <c r="C141" s="66">
        <v>0</v>
      </c>
      <c r="H141" s="14" t="str">
        <f>IF(COUNTBLANK($A141:$E141)&gt;0, "", IFERROR(AVERAGEIFS(Log!$E:$E, Log!$A:$A, $A141, Log!$B:$B, $B141, Log!$C:$C, $C141),""))</f>
        <v/>
      </c>
      <c r="I141" s="64" t="str">
        <f t="shared" si="2"/>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row>
    <row r="142" spans="2:15" x14ac:dyDescent="0.3">
      <c r="B142" s="8" t="s">
        <v>117</v>
      </c>
      <c r="C142" s="66">
        <v>0</v>
      </c>
      <c r="H142" s="14" t="str">
        <f>IF(COUNTBLANK($A142:$E142)&gt;0, "", IFERROR(AVERAGEIFS(Log!$E:$E, Log!$A:$A, $A142, Log!$B:$B, $B142, Log!$C:$C, $C142),""))</f>
        <v/>
      </c>
      <c r="I142" s="64" t="str">
        <f t="shared" si="2"/>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row>
    <row r="143" spans="2:15" x14ac:dyDescent="0.3">
      <c r="B143" s="8" t="s">
        <v>117</v>
      </c>
      <c r="C143" s="66">
        <v>0</v>
      </c>
      <c r="H143" s="14" t="str">
        <f>IF(COUNTBLANK($A143:$E143)&gt;0, "", IFERROR(AVERAGEIFS(Log!$E:$E, Log!$A:$A, $A143, Log!$B:$B, $B143, Log!$C:$C, $C143),""))</f>
        <v/>
      </c>
      <c r="I143" s="64" t="str">
        <f t="shared" si="2"/>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row>
    <row r="144" spans="2:15" x14ac:dyDescent="0.3">
      <c r="B144" s="8" t="s">
        <v>117</v>
      </c>
      <c r="C144" s="66">
        <v>0</v>
      </c>
      <c r="H144" s="14" t="str">
        <f>IF(COUNTBLANK($A144:$E144)&gt;0, "", IFERROR(AVERAGEIFS(Log!$E:$E, Log!$A:$A, $A144, Log!$B:$B, $B144, Log!$C:$C, $C144),""))</f>
        <v/>
      </c>
      <c r="I144" s="64" t="str">
        <f t="shared" si="2"/>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row>
    <row r="145" spans="2:15" x14ac:dyDescent="0.3">
      <c r="B145" s="8" t="s">
        <v>117</v>
      </c>
      <c r="C145" s="66">
        <v>0</v>
      </c>
      <c r="H145" s="14" t="str">
        <f>IF(COUNTBLANK($A145:$E145)&gt;0, "", IFERROR(AVERAGEIFS(Log!$E:$E, Log!$A:$A, $A145, Log!$B:$B, $B145, Log!$C:$C, $C145),""))</f>
        <v/>
      </c>
      <c r="I145" s="64" t="str">
        <f t="shared" si="2"/>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row>
    <row r="146" spans="2:15" x14ac:dyDescent="0.3">
      <c r="B146" s="8" t="s">
        <v>117</v>
      </c>
      <c r="C146" s="66">
        <v>0</v>
      </c>
      <c r="H146" s="14" t="str">
        <f>IF(COUNTBLANK($A146:$E146)&gt;0, "", IFERROR(AVERAGEIFS(Log!$E:$E, Log!$A:$A, $A146, Log!$B:$B, $B146, Log!$C:$C, $C146),""))</f>
        <v/>
      </c>
      <c r="I146" s="64" t="str">
        <f t="shared" si="2"/>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row>
    <row r="147" spans="2:15" x14ac:dyDescent="0.3">
      <c r="B147" s="8" t="s">
        <v>117</v>
      </c>
      <c r="C147" s="66">
        <v>0</v>
      </c>
      <c r="H147" s="14" t="str">
        <f>IF(COUNTBLANK($A147:$E147)&gt;0, "", IFERROR(AVERAGEIFS(Log!$E:$E, Log!$A:$A, $A147, Log!$B:$B, $B147, Log!$C:$C, $C147),""))</f>
        <v/>
      </c>
      <c r="I147" s="64" t="str">
        <f t="shared" si="2"/>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row>
    <row r="148" spans="2:15" x14ac:dyDescent="0.3">
      <c r="B148" s="8" t="s">
        <v>117</v>
      </c>
      <c r="C148" s="66">
        <v>0</v>
      </c>
      <c r="H148" s="14" t="str">
        <f>IF(COUNTBLANK($A148:$E148)&gt;0, "", IFERROR(AVERAGEIFS(Log!$E:$E, Log!$A:$A, $A148, Log!$B:$B, $B148, Log!$C:$C, $C148),""))</f>
        <v/>
      </c>
      <c r="I148" s="64" t="str">
        <f t="shared" si="2"/>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row>
    <row r="149" spans="2:15" x14ac:dyDescent="0.3">
      <c r="B149" s="8" t="s">
        <v>117</v>
      </c>
      <c r="C149" s="66">
        <v>0</v>
      </c>
      <c r="H149" s="14" t="str">
        <f>IF(COUNTBLANK($A149:$E149)&gt;0, "", IFERROR(AVERAGEIFS(Log!$E:$E, Log!$A:$A, $A149, Log!$B:$B, $B149, Log!$C:$C, $C149),""))</f>
        <v/>
      </c>
      <c r="I149" s="64" t="str">
        <f t="shared" si="2"/>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row>
    <row r="150" spans="2:15" x14ac:dyDescent="0.3">
      <c r="B150" s="8" t="s">
        <v>117</v>
      </c>
      <c r="C150" s="66">
        <v>0</v>
      </c>
      <c r="H150" s="14" t="str">
        <f>IF(COUNTBLANK($A150:$E150)&gt;0, "", IFERROR(AVERAGEIFS(Log!$E:$E, Log!$A:$A, $A150, Log!$B:$B, $B150, Log!$C:$C, $C150),""))</f>
        <v/>
      </c>
      <c r="I150" s="64" t="str">
        <f t="shared" si="2"/>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row>
    <row r="151" spans="2:15" x14ac:dyDescent="0.3">
      <c r="B151" s="8" t="s">
        <v>117</v>
      </c>
      <c r="C151" s="66">
        <v>0</v>
      </c>
      <c r="H151" s="14" t="str">
        <f>IF(COUNTBLANK($A151:$E151)&gt;0, "", IFERROR(AVERAGEIFS(Log!$E:$E, Log!$A:$A, $A151, Log!$B:$B, $B151, Log!$C:$C, $C151),""))</f>
        <v/>
      </c>
      <c r="I151" s="64" t="str">
        <f t="shared" si="2"/>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row>
    <row r="152" spans="2:15" x14ac:dyDescent="0.3">
      <c r="B152" s="8" t="s">
        <v>117</v>
      </c>
      <c r="C152" s="66">
        <v>0</v>
      </c>
      <c r="H152" s="14" t="str">
        <f>IF(COUNTBLANK($A152:$E152)&gt;0, "", IFERROR(AVERAGEIFS(Log!$E:$E, Log!$A:$A, $A152, Log!$B:$B, $B152, Log!$C:$C, $C152),""))</f>
        <v/>
      </c>
      <c r="I152" s="64" t="str">
        <f t="shared" si="2"/>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row>
    <row r="153" spans="2:15" x14ac:dyDescent="0.3">
      <c r="B153" s="8" t="s">
        <v>117</v>
      </c>
      <c r="C153" s="66">
        <v>0</v>
      </c>
      <c r="H153" s="14" t="str">
        <f>IF(COUNTBLANK($A153:$E153)&gt;0, "", IFERROR(AVERAGEIFS(Log!$E:$E, Log!$A:$A, $A153, Log!$B:$B, $B153, Log!$C:$C, $C153),""))</f>
        <v/>
      </c>
      <c r="I153" s="64" t="str">
        <f t="shared" si="2"/>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row>
    <row r="154" spans="2:15" x14ac:dyDescent="0.3">
      <c r="B154" s="8" t="s">
        <v>117</v>
      </c>
      <c r="C154" s="66">
        <v>0</v>
      </c>
      <c r="H154" s="14" t="str">
        <f>IF(COUNTBLANK($A154:$E154)&gt;0, "", IFERROR(AVERAGEIFS(Log!$E:$E, Log!$A:$A, $A154, Log!$B:$B, $B154, Log!$C:$C, $C154),""))</f>
        <v/>
      </c>
      <c r="I154" s="64" t="str">
        <f t="shared" si="2"/>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row>
    <row r="155" spans="2:15" x14ac:dyDescent="0.3">
      <c r="B155" s="8" t="s">
        <v>117</v>
      </c>
      <c r="C155" s="66">
        <v>0</v>
      </c>
      <c r="H155" s="14" t="str">
        <f>IF(COUNTBLANK($A155:$E155)&gt;0, "", IFERROR(AVERAGEIFS(Log!$E:$E, Log!$A:$A, $A155, Log!$B:$B, $B155, Log!$C:$C, $C155),""))</f>
        <v/>
      </c>
      <c r="I155" s="64" t="str">
        <f t="shared" si="2"/>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row>
    <row r="156" spans="2:15" x14ac:dyDescent="0.3">
      <c r="B156" s="8" t="s">
        <v>117</v>
      </c>
      <c r="C156" s="66">
        <v>0</v>
      </c>
      <c r="H156" s="14" t="str">
        <f>IF(COUNTBLANK($A156:$E156)&gt;0, "", IFERROR(AVERAGEIFS(Log!$E:$E, Log!$A:$A, $A156, Log!$B:$B, $B156, Log!$C:$C, $C156),""))</f>
        <v/>
      </c>
      <c r="I156" s="64" t="str">
        <f t="shared" si="2"/>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row>
    <row r="157" spans="2:15" x14ac:dyDescent="0.3">
      <c r="B157" s="8" t="s">
        <v>117</v>
      </c>
      <c r="C157" s="66">
        <v>0</v>
      </c>
      <c r="H157" s="14" t="str">
        <f>IF(COUNTBLANK($A157:$E157)&gt;0, "", IFERROR(AVERAGEIFS(Log!$E:$E, Log!$A:$A, $A157, Log!$B:$B, $B157, Log!$C:$C, $C157),""))</f>
        <v/>
      </c>
      <c r="I157" s="64" t="str">
        <f t="shared" si="2"/>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row>
    <row r="158" spans="2:15" x14ac:dyDescent="0.3">
      <c r="B158" s="8" t="s">
        <v>117</v>
      </c>
      <c r="C158" s="66">
        <v>0</v>
      </c>
      <c r="H158" s="14" t="str">
        <f>IF(COUNTBLANK($A158:$E158)&gt;0, "", IFERROR(AVERAGEIFS(Log!$E:$E, Log!$A:$A, $A158, Log!$B:$B, $B158, Log!$C:$C, $C158),""))</f>
        <v/>
      </c>
      <c r="I158" s="64" t="str">
        <f t="shared" si="2"/>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row>
    <row r="159" spans="2:15" x14ac:dyDescent="0.3">
      <c r="B159" s="8" t="s">
        <v>117</v>
      </c>
      <c r="C159" s="66">
        <v>0</v>
      </c>
      <c r="H159" s="14" t="str">
        <f>IF(COUNTBLANK($A159:$E159)&gt;0, "", IFERROR(AVERAGEIFS(Log!$E:$E, Log!$A:$A, $A159, Log!$B:$B, $B159, Log!$C:$C, $C159),""))</f>
        <v/>
      </c>
      <c r="I159" s="64" t="str">
        <f t="shared" si="2"/>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row>
    <row r="160" spans="2:15" x14ac:dyDescent="0.3">
      <c r="B160" s="8" t="s">
        <v>117</v>
      </c>
      <c r="C160" s="66">
        <v>0</v>
      </c>
      <c r="H160" s="14" t="str">
        <f>IF(COUNTBLANK($A160:$E160)&gt;0, "", IFERROR(AVERAGEIFS(Log!$E:$E, Log!$A:$A, $A160, Log!$B:$B, $B160, Log!$C:$C, $C160),""))</f>
        <v/>
      </c>
      <c r="I160" s="64" t="str">
        <f t="shared" si="2"/>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row>
    <row r="161" spans="2:15" x14ac:dyDescent="0.3">
      <c r="B161" s="8" t="s">
        <v>117</v>
      </c>
      <c r="C161" s="66">
        <v>0</v>
      </c>
      <c r="H161" s="14" t="str">
        <f>IF(COUNTBLANK($A161:$E161)&gt;0, "", IFERROR(AVERAGEIFS(Log!$E:$E, Log!$A:$A, $A161, Log!$B:$B, $B161, Log!$C:$C, $C161),""))</f>
        <v/>
      </c>
      <c r="I161" s="64" t="str">
        <f t="shared" si="2"/>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row>
    <row r="162" spans="2:15" x14ac:dyDescent="0.3">
      <c r="B162" s="8" t="s">
        <v>117</v>
      </c>
      <c r="C162" s="66">
        <v>0</v>
      </c>
      <c r="H162" s="14" t="str">
        <f>IF(COUNTBLANK($A162:$E162)&gt;0, "", IFERROR(AVERAGEIFS(Log!$E:$E, Log!$A:$A, $A162, Log!$B:$B, $B162, Log!$C:$C, $C162),""))</f>
        <v/>
      </c>
      <c r="I162" s="64" t="str">
        <f t="shared" si="2"/>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row>
    <row r="163" spans="2:15" x14ac:dyDescent="0.3">
      <c r="B163" s="8" t="s">
        <v>117</v>
      </c>
      <c r="C163" s="66">
        <v>0</v>
      </c>
      <c r="H163" s="14" t="str">
        <f>IF(COUNTBLANK($A163:$E163)&gt;0, "", IFERROR(AVERAGEIFS(Log!$E:$E, Log!$A:$A, $A163, Log!$B:$B, $B163, Log!$C:$C, $C163),""))</f>
        <v/>
      </c>
      <c r="I163" s="64" t="str">
        <f t="shared" si="2"/>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row>
    <row r="164" spans="2:15" x14ac:dyDescent="0.3">
      <c r="B164" s="8" t="s">
        <v>117</v>
      </c>
      <c r="C164" s="66">
        <v>0</v>
      </c>
      <c r="H164" s="14" t="str">
        <f>IF(COUNTBLANK($A164:$E164)&gt;0, "", IFERROR(AVERAGEIFS(Log!$E:$E, Log!$A:$A, $A164, Log!$B:$B, $B164, Log!$C:$C, $C164),""))</f>
        <v/>
      </c>
      <c r="I164" s="64" t="str">
        <f t="shared" si="2"/>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row>
    <row r="165" spans="2:15" x14ac:dyDescent="0.3">
      <c r="B165" s="8" t="s">
        <v>117</v>
      </c>
      <c r="C165" s="66">
        <v>0</v>
      </c>
      <c r="H165" s="14" t="str">
        <f>IF(COUNTBLANK($A165:$E165)&gt;0, "", IFERROR(AVERAGEIFS(Log!$E:$E, Log!$A:$A, $A165, Log!$B:$B, $B165, Log!$C:$C, $C165),""))</f>
        <v/>
      </c>
      <c r="I165" s="64" t="str">
        <f t="shared" si="2"/>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row>
    <row r="166" spans="2:15" x14ac:dyDescent="0.3">
      <c r="B166" s="8" t="s">
        <v>117</v>
      </c>
      <c r="C166" s="66">
        <v>0</v>
      </c>
      <c r="H166" s="14" t="str">
        <f>IF(COUNTBLANK($A166:$E166)&gt;0, "", IFERROR(AVERAGEIFS(Log!$E:$E, Log!$A:$A, $A166, Log!$B:$B, $B166, Log!$C:$C, $C166),""))</f>
        <v/>
      </c>
      <c r="I166" s="64" t="str">
        <f t="shared" si="2"/>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row>
    <row r="167" spans="2:15" x14ac:dyDescent="0.3">
      <c r="B167" s="8" t="s">
        <v>117</v>
      </c>
      <c r="C167" s="66">
        <v>0</v>
      </c>
      <c r="H167" s="14" t="str">
        <f>IF(COUNTBLANK($A167:$E167)&gt;0, "", IFERROR(AVERAGEIFS(Log!$E:$E, Log!$A:$A, $A167, Log!$B:$B, $B167, Log!$C:$C, $C167),""))</f>
        <v/>
      </c>
      <c r="I167" s="64" t="str">
        <f t="shared" si="2"/>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row>
    <row r="168" spans="2:15" x14ac:dyDescent="0.3">
      <c r="B168" s="8" t="s">
        <v>117</v>
      </c>
      <c r="C168" s="66">
        <v>0</v>
      </c>
      <c r="H168" s="14" t="str">
        <f>IF(COUNTBLANK($A168:$E168)&gt;0, "", IFERROR(AVERAGEIFS(Log!$E:$E, Log!$A:$A, $A168, Log!$B:$B, $B168, Log!$C:$C, $C168),""))</f>
        <v/>
      </c>
      <c r="I168" s="64" t="str">
        <f t="shared" si="2"/>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row>
    <row r="169" spans="2:15" x14ac:dyDescent="0.3">
      <c r="B169" s="8" t="s">
        <v>117</v>
      </c>
      <c r="C169" s="66">
        <v>0</v>
      </c>
      <c r="H169" s="14" t="str">
        <f>IF(COUNTBLANK($A169:$E169)&gt;0, "", IFERROR(AVERAGEIFS(Log!$E:$E, Log!$A:$A, $A169, Log!$B:$B, $B169, Log!$C:$C, $C169),""))</f>
        <v/>
      </c>
      <c r="I169" s="64" t="str">
        <f t="shared" si="2"/>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row>
    <row r="170" spans="2:15" x14ac:dyDescent="0.3">
      <c r="B170" s="8" t="s">
        <v>117</v>
      </c>
      <c r="C170" s="66">
        <v>0</v>
      </c>
      <c r="H170" s="14" t="str">
        <f>IF(COUNTBLANK($A170:$E170)&gt;0, "", IFERROR(AVERAGEIFS(Log!$E:$E, Log!$A:$A, $A170, Log!$B:$B, $B170, Log!$C:$C, $C170),""))</f>
        <v/>
      </c>
      <c r="I170" s="64" t="str">
        <f t="shared" si="2"/>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row>
    <row r="171" spans="2:15" x14ac:dyDescent="0.3">
      <c r="B171" s="8" t="s">
        <v>117</v>
      </c>
      <c r="C171" s="66">
        <v>0</v>
      </c>
      <c r="H171" s="14" t="str">
        <f>IF(COUNTBLANK($A171:$E171)&gt;0, "", IFERROR(AVERAGEIFS(Log!$E:$E, Log!$A:$A, $A171, Log!$B:$B, $B171, Log!$C:$C, $C171),""))</f>
        <v/>
      </c>
      <c r="I171" s="64" t="str">
        <f t="shared" si="2"/>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row>
    <row r="172" spans="2:15" x14ac:dyDescent="0.3">
      <c r="B172" s="8" t="s">
        <v>117</v>
      </c>
      <c r="C172" s="66">
        <v>0</v>
      </c>
      <c r="H172" s="14" t="str">
        <f>IF(COUNTBLANK($A172:$E172)&gt;0, "", IFERROR(AVERAGEIFS(Log!$E:$E, Log!$A:$A, $A172, Log!$B:$B, $B172, Log!$C:$C, $C172),""))</f>
        <v/>
      </c>
      <c r="I172" s="64" t="str">
        <f t="shared" si="2"/>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row>
    <row r="173" spans="2:15" x14ac:dyDescent="0.3">
      <c r="B173" s="8" t="s">
        <v>117</v>
      </c>
      <c r="C173" s="66">
        <v>0</v>
      </c>
      <c r="H173" s="14" t="str">
        <f>IF(COUNTBLANK($A173:$E173)&gt;0, "", IFERROR(AVERAGEIFS(Log!$E:$E, Log!$A:$A, $A173, Log!$B:$B, $B173, Log!$C:$C, $C173),""))</f>
        <v/>
      </c>
      <c r="I173" s="64" t="str">
        <f t="shared" si="2"/>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row>
    <row r="174" spans="2:15" x14ac:dyDescent="0.3">
      <c r="B174" s="8" t="s">
        <v>117</v>
      </c>
      <c r="C174" s="66">
        <v>0</v>
      </c>
      <c r="H174" s="14" t="str">
        <f>IF(COUNTBLANK($A174:$E174)&gt;0, "", IFERROR(AVERAGEIFS(Log!$E:$E, Log!$A:$A, $A174, Log!$B:$B, $B174, Log!$C:$C, $C174),""))</f>
        <v/>
      </c>
      <c r="I174" s="64" t="str">
        <f t="shared" si="2"/>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row>
    <row r="175" spans="2:15" x14ac:dyDescent="0.3">
      <c r="B175" s="8" t="s">
        <v>117</v>
      </c>
      <c r="C175" s="66">
        <v>0</v>
      </c>
      <c r="H175" s="14" t="str">
        <f>IF(COUNTBLANK($A175:$E175)&gt;0, "", IFERROR(AVERAGEIFS(Log!$E:$E, Log!$A:$A, $A175, Log!$B:$B, $B175, Log!$C:$C, $C175),""))</f>
        <v/>
      </c>
      <c r="I175" s="64" t="str">
        <f t="shared" si="2"/>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row>
    <row r="176" spans="2:15" x14ac:dyDescent="0.3">
      <c r="B176" s="8" t="s">
        <v>117</v>
      </c>
      <c r="C176" s="66">
        <v>0</v>
      </c>
      <c r="H176" s="14" t="str">
        <f>IF(COUNTBLANK($A176:$E176)&gt;0, "", IFERROR(AVERAGEIFS(Log!$E:$E, Log!$A:$A, $A176, Log!$B:$B, $B176, Log!$C:$C, $C176),""))</f>
        <v/>
      </c>
      <c r="I176" s="64" t="str">
        <f t="shared" si="2"/>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row>
    <row r="177" spans="2:15" x14ac:dyDescent="0.3">
      <c r="B177" s="8" t="s">
        <v>117</v>
      </c>
      <c r="C177" s="66">
        <v>0</v>
      </c>
      <c r="H177" s="14" t="str">
        <f>IF(COUNTBLANK($A177:$E177)&gt;0, "", IFERROR(AVERAGEIFS(Log!$E:$E, Log!$A:$A, $A177, Log!$B:$B, $B177, Log!$C:$C, $C177),""))</f>
        <v/>
      </c>
      <c r="I177" s="64" t="str">
        <f t="shared" si="2"/>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row>
    <row r="178" spans="2:15" x14ac:dyDescent="0.3">
      <c r="B178" s="8" t="s">
        <v>117</v>
      </c>
      <c r="C178" s="66">
        <v>0</v>
      </c>
      <c r="H178" s="14" t="str">
        <f>IF(COUNTBLANK($A178:$E178)&gt;0, "", IFERROR(AVERAGEIFS(Log!$E:$E, Log!$A:$A, $A178, Log!$B:$B, $B178, Log!$C:$C, $C178),""))</f>
        <v/>
      </c>
      <c r="I178" s="64" t="str">
        <f t="shared" si="2"/>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row>
    <row r="179" spans="2:15" x14ac:dyDescent="0.3">
      <c r="B179" s="8" t="s">
        <v>117</v>
      </c>
      <c r="C179" s="66">
        <v>0</v>
      </c>
      <c r="H179" s="14" t="str">
        <f>IF(COUNTBLANK($A179:$E179)&gt;0, "", IFERROR(AVERAGEIFS(Log!$E:$E, Log!$A:$A, $A179, Log!$B:$B, $B179, Log!$C:$C, $C179),""))</f>
        <v/>
      </c>
      <c r="I179" s="64" t="str">
        <f t="shared" si="2"/>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row>
    <row r="180" spans="2:15" x14ac:dyDescent="0.3">
      <c r="B180" s="8" t="s">
        <v>117</v>
      </c>
      <c r="C180" s="66">
        <v>0</v>
      </c>
      <c r="H180" s="14" t="str">
        <f>IF(COUNTBLANK($A180:$E180)&gt;0, "", IFERROR(AVERAGEIFS(Log!$E:$E, Log!$A:$A, $A180, Log!$B:$B, $B180, Log!$C:$C, $C180),""))</f>
        <v/>
      </c>
      <c r="I180" s="64" t="str">
        <f t="shared" si="2"/>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row>
    <row r="181" spans="2:15" x14ac:dyDescent="0.3">
      <c r="B181" s="8" t="s">
        <v>117</v>
      </c>
      <c r="C181" s="66">
        <v>0</v>
      </c>
      <c r="H181" s="14" t="str">
        <f>IF(COUNTBLANK($A181:$E181)&gt;0, "", IFERROR(AVERAGEIFS(Log!$E:$E, Log!$A:$A, $A181, Log!$B:$B, $B181, Log!$C:$C, $C181),""))</f>
        <v/>
      </c>
      <c r="I181" s="64" t="str">
        <f t="shared" si="2"/>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row>
    <row r="182" spans="2:15" x14ac:dyDescent="0.3">
      <c r="B182" s="8" t="s">
        <v>117</v>
      </c>
      <c r="C182" s="66">
        <v>0</v>
      </c>
      <c r="H182" s="14" t="str">
        <f>IF(COUNTBLANK($A182:$E182)&gt;0, "", IFERROR(AVERAGEIFS(Log!$E:$E, Log!$A:$A, $A182, Log!$B:$B, $B182, Log!$C:$C, $C182),""))</f>
        <v/>
      </c>
      <c r="I182" s="64" t="str">
        <f t="shared" si="2"/>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row>
    <row r="183" spans="2:15" x14ac:dyDescent="0.3">
      <c r="B183" s="8" t="s">
        <v>117</v>
      </c>
      <c r="C183" s="66">
        <v>0</v>
      </c>
      <c r="H183" s="14" t="str">
        <f>IF(COUNTBLANK($A183:$E183)&gt;0, "", IFERROR(AVERAGEIFS(Log!$E:$E, Log!$A:$A, $A183, Log!$B:$B, $B183, Log!$C:$C, $C183),""))</f>
        <v/>
      </c>
      <c r="I183" s="64" t="str">
        <f t="shared" si="2"/>
        <v/>
      </c>
      <c r="J183" s="9" t="str">
        <f>IF(COUNTBLANK($A183:$E183)&gt;0, "", IFERROR(AVERAGEIFS(Log!$H:$H, Log!$A:$A, $A183, Log!$B:$B, $B183, Log!$C:$C, $C183),""))</f>
        <v/>
      </c>
      <c r="K183" s="9" t="str">
        <f>IF(COUNTBLANK($A183:$E183)&gt;0, "", IFERROR(_xlfn.MINIFS(Log!$F:$F, Log!$A:$A, $A183, Log!$B:$B, $B183, Log!$C:$C, $C183),""))</f>
        <v/>
      </c>
      <c r="L183" s="9" t="str">
        <f>IF(COUNTBLANK($A183:$E183)&gt;0, "", IFERROR(_xlfn.MAXIFS(Log!$F:$F, Log!$A:$A, $A183, Log!$B:$B, $B183, Log!$C:$C, $C183),""))</f>
        <v/>
      </c>
      <c r="M183" s="9" t="str">
        <f>IF(COUNTBLANK($A183:$E183)&gt;0, "", IFERROR(AVERAGEIFS(Log!$I:$I, Log!$A:$A, $A183, Log!$B:$B, $B183, Log!$C:$C, $C183),""))</f>
        <v/>
      </c>
      <c r="N183" s="9" t="str">
        <f>IF(COUNTBLANK($A183:$E183)&gt;0, "", IFERROR(_xlfn.MINIFS(Log!$G:$G, Log!$A:$A, $A183, Log!$B:$B, $B183, Log!$C:$C, $C183),""))</f>
        <v/>
      </c>
      <c r="O183" s="9" t="str">
        <f>IF(COUNTBLANK($A183:$E183)&gt;0, "", IFERROR(_xlfn.MAXIFS(Log!$G:$G, Log!$A:$A, $A183, Log!$B:$B, $B183, Log!$C:$C, $C183),""))</f>
        <v/>
      </c>
    </row>
    <row r="184" spans="2:15" x14ac:dyDescent="0.3">
      <c r="B184" s="8" t="s">
        <v>117</v>
      </c>
      <c r="C184" s="66">
        <v>0</v>
      </c>
      <c r="H184" s="14" t="str">
        <f>IF(COUNTBLANK($A184:$E184)&gt;0, "", IFERROR(AVERAGEIFS(Log!$E:$E, Log!$A:$A, $A184, Log!$B:$B, $B184, Log!$C:$C, $C184),""))</f>
        <v/>
      </c>
      <c r="I184" s="64" t="str">
        <f t="shared" si="2"/>
        <v/>
      </c>
      <c r="J184" s="9" t="str">
        <f>IF(COUNTBLANK($A184:$E184)&gt;0, "", IFERROR(AVERAGEIFS(Log!$H:$H, Log!$A:$A, $A184, Log!$B:$B, $B184, Log!$C:$C, $C184),""))</f>
        <v/>
      </c>
      <c r="K184" s="9" t="str">
        <f>IF(COUNTBLANK($A184:$E184)&gt;0, "", IFERROR(_xlfn.MINIFS(Log!$F:$F, Log!$A:$A, $A184, Log!$B:$B, $B184, Log!$C:$C, $C184),""))</f>
        <v/>
      </c>
      <c r="L184" s="9" t="str">
        <f>IF(COUNTBLANK($A184:$E184)&gt;0, "", IFERROR(_xlfn.MAXIFS(Log!$F:$F, Log!$A:$A, $A184, Log!$B:$B, $B184, Log!$C:$C, $C184),""))</f>
        <v/>
      </c>
      <c r="M184" s="9" t="str">
        <f>IF(COUNTBLANK($A184:$E184)&gt;0, "", IFERROR(AVERAGEIFS(Log!$I:$I, Log!$A:$A, $A184, Log!$B:$B, $B184, Log!$C:$C, $C184),""))</f>
        <v/>
      </c>
      <c r="N184" s="9" t="str">
        <f>IF(COUNTBLANK($A184:$E184)&gt;0, "", IFERROR(_xlfn.MINIFS(Log!$G:$G, Log!$A:$A, $A184, Log!$B:$B, $B184, Log!$C:$C, $C184),""))</f>
        <v/>
      </c>
      <c r="O184" s="9" t="str">
        <f>IF(COUNTBLANK($A184:$E184)&gt;0, "", IFERROR(_xlfn.MAXIFS(Log!$G:$G, Log!$A:$A, $A184, Log!$B:$B, $B184, Log!$C:$C, $C184),""))</f>
        <v/>
      </c>
    </row>
    <row r="185" spans="2:15" x14ac:dyDescent="0.3">
      <c r="B185" s="8" t="s">
        <v>117</v>
      </c>
      <c r="C185" s="66">
        <v>0</v>
      </c>
      <c r="H185" s="14" t="str">
        <f>IF(COUNTBLANK($A185:$E185)&gt;0, "", IFERROR(AVERAGEIFS(Log!$E:$E, Log!$A:$A, $A185, Log!$B:$B, $B185, Log!$C:$C, $C185),""))</f>
        <v/>
      </c>
      <c r="I185" s="64" t="str">
        <f t="shared" si="2"/>
        <v/>
      </c>
      <c r="J185" s="9" t="str">
        <f>IF(COUNTBLANK($A185:$E185)&gt;0, "", IFERROR(AVERAGEIFS(Log!$H:$H, Log!$A:$A, $A185, Log!$B:$B, $B185, Log!$C:$C, $C185),""))</f>
        <v/>
      </c>
      <c r="K185" s="9" t="str">
        <f>IF(COUNTBLANK($A185:$E185)&gt;0, "", IFERROR(_xlfn.MINIFS(Log!$F:$F, Log!$A:$A, $A185, Log!$B:$B, $B185, Log!$C:$C, $C185),""))</f>
        <v/>
      </c>
      <c r="L185" s="9" t="str">
        <f>IF(COUNTBLANK($A185:$E185)&gt;0, "", IFERROR(_xlfn.MAXIFS(Log!$F:$F, Log!$A:$A, $A185, Log!$B:$B, $B185, Log!$C:$C, $C185),""))</f>
        <v/>
      </c>
      <c r="M185" s="9" t="str">
        <f>IF(COUNTBLANK($A185:$E185)&gt;0, "", IFERROR(AVERAGEIFS(Log!$I:$I, Log!$A:$A, $A185, Log!$B:$B, $B185, Log!$C:$C, $C185),""))</f>
        <v/>
      </c>
      <c r="N185" s="9" t="str">
        <f>IF(COUNTBLANK($A185:$E185)&gt;0, "", IFERROR(_xlfn.MINIFS(Log!$G:$G, Log!$A:$A, $A185, Log!$B:$B, $B185, Log!$C:$C, $C185),""))</f>
        <v/>
      </c>
      <c r="O185" s="9" t="str">
        <f>IF(COUNTBLANK($A185:$E185)&gt;0, "", IFERROR(_xlfn.MAXIFS(Log!$G:$G, Log!$A:$A, $A185, Log!$B:$B, $B185, Log!$C:$C, $C185),""))</f>
        <v/>
      </c>
    </row>
    <row r="186" spans="2:15" x14ac:dyDescent="0.3">
      <c r="B186" s="8" t="s">
        <v>117</v>
      </c>
      <c r="C186" s="66">
        <v>0</v>
      </c>
      <c r="H186" s="14" t="str">
        <f>IF(COUNTBLANK($A186:$E186)&gt;0, "", IFERROR(AVERAGEIFS(Log!$E:$E, Log!$A:$A, $A186, Log!$B:$B, $B186, Log!$C:$C, $C186),""))</f>
        <v/>
      </c>
      <c r="I186" s="64" t="str">
        <f t="shared" si="2"/>
        <v/>
      </c>
      <c r="J186" s="9" t="str">
        <f>IF(COUNTBLANK($A186:$E186)&gt;0, "", IFERROR(AVERAGEIFS(Log!$H:$H, Log!$A:$A, $A186, Log!$B:$B, $B186, Log!$C:$C, $C186),""))</f>
        <v/>
      </c>
      <c r="K186" s="9" t="str">
        <f>IF(COUNTBLANK($A186:$E186)&gt;0, "", IFERROR(_xlfn.MINIFS(Log!$F:$F, Log!$A:$A, $A186, Log!$B:$B, $B186, Log!$C:$C, $C186),""))</f>
        <v/>
      </c>
      <c r="L186" s="9" t="str">
        <f>IF(COUNTBLANK($A186:$E186)&gt;0, "", IFERROR(_xlfn.MAXIFS(Log!$F:$F, Log!$A:$A, $A186, Log!$B:$B, $B186, Log!$C:$C, $C186),""))</f>
        <v/>
      </c>
      <c r="M186" s="9" t="str">
        <f>IF(COUNTBLANK($A186:$E186)&gt;0, "", IFERROR(AVERAGEIFS(Log!$I:$I, Log!$A:$A, $A186, Log!$B:$B, $B186, Log!$C:$C, $C186),""))</f>
        <v/>
      </c>
      <c r="N186" s="9" t="str">
        <f>IF(COUNTBLANK($A186:$E186)&gt;0, "", IFERROR(_xlfn.MINIFS(Log!$G:$G, Log!$A:$A, $A186, Log!$B:$B, $B186, Log!$C:$C, $C186),""))</f>
        <v/>
      </c>
      <c r="O186" s="9" t="str">
        <f>IF(COUNTBLANK($A186:$E186)&gt;0, "", IFERROR(_xlfn.MAXIFS(Log!$G:$G, Log!$A:$A, $A186, Log!$B:$B, $B186, Log!$C:$C, $C186),""))</f>
        <v/>
      </c>
    </row>
    <row r="187" spans="2:15" x14ac:dyDescent="0.3">
      <c r="B187" s="8" t="s">
        <v>117</v>
      </c>
      <c r="C187" s="66">
        <v>0</v>
      </c>
      <c r="H187" s="14" t="str">
        <f>IF(COUNTBLANK($A187:$E187)&gt;0, "", IFERROR(AVERAGEIFS(Log!$E:$E, Log!$A:$A, $A187, Log!$B:$B, $B187, Log!$C:$C, $C187),""))</f>
        <v/>
      </c>
      <c r="I187" s="64" t="str">
        <f t="shared" si="2"/>
        <v/>
      </c>
      <c r="J187" s="9" t="str">
        <f>IF(COUNTBLANK($A187:$E187)&gt;0, "", IFERROR(AVERAGEIFS(Log!$H:$H, Log!$A:$A, $A187, Log!$B:$B, $B187, Log!$C:$C, $C187),""))</f>
        <v/>
      </c>
      <c r="K187" s="9" t="str">
        <f>IF(COUNTBLANK($A187:$E187)&gt;0, "", IFERROR(_xlfn.MINIFS(Log!$F:$F, Log!$A:$A, $A187, Log!$B:$B, $B187, Log!$C:$C, $C187),""))</f>
        <v/>
      </c>
      <c r="L187" s="9" t="str">
        <f>IF(COUNTBLANK($A187:$E187)&gt;0, "", IFERROR(_xlfn.MAXIFS(Log!$F:$F, Log!$A:$A, $A187, Log!$B:$B, $B187, Log!$C:$C, $C187),""))</f>
        <v/>
      </c>
      <c r="M187" s="9" t="str">
        <f>IF(COUNTBLANK($A187:$E187)&gt;0, "", IFERROR(AVERAGEIFS(Log!$I:$I, Log!$A:$A, $A187, Log!$B:$B, $B187, Log!$C:$C, $C187),""))</f>
        <v/>
      </c>
      <c r="N187" s="9" t="str">
        <f>IF(COUNTBLANK($A187:$E187)&gt;0, "", IFERROR(_xlfn.MINIFS(Log!$G:$G, Log!$A:$A, $A187, Log!$B:$B, $B187, Log!$C:$C, $C187),""))</f>
        <v/>
      </c>
      <c r="O187" s="9" t="str">
        <f>IF(COUNTBLANK($A187:$E187)&gt;0, "", IFERROR(_xlfn.MAXIFS(Log!$G:$G, Log!$A:$A, $A187, Log!$B:$B, $B187, Log!$C:$C, $C187),""))</f>
        <v/>
      </c>
    </row>
    <row r="188" spans="2:15" x14ac:dyDescent="0.3">
      <c r="B188" s="8" t="s">
        <v>117</v>
      </c>
      <c r="C188" s="66">
        <v>0</v>
      </c>
      <c r="H188" s="14" t="str">
        <f>IF(COUNTBLANK($A188:$E188)&gt;0, "", IFERROR(AVERAGEIFS(Log!$E:$E, Log!$A:$A, $A188, Log!$B:$B, $B188, Log!$C:$C, $C188),""))</f>
        <v/>
      </c>
      <c r="I188" s="64" t="str">
        <f t="shared" si="2"/>
        <v/>
      </c>
      <c r="J188" s="9" t="str">
        <f>IF(COUNTBLANK($A188:$E188)&gt;0, "", IFERROR(AVERAGEIFS(Log!$H:$H, Log!$A:$A, $A188, Log!$B:$B, $B188, Log!$C:$C, $C188),""))</f>
        <v/>
      </c>
      <c r="K188" s="9" t="str">
        <f>IF(COUNTBLANK($A188:$E188)&gt;0, "", IFERROR(_xlfn.MINIFS(Log!$F:$F, Log!$A:$A, $A188, Log!$B:$B, $B188, Log!$C:$C, $C188),""))</f>
        <v/>
      </c>
      <c r="L188" s="9" t="str">
        <f>IF(COUNTBLANK($A188:$E188)&gt;0, "", IFERROR(_xlfn.MAXIFS(Log!$F:$F, Log!$A:$A, $A188, Log!$B:$B, $B188, Log!$C:$C, $C188),""))</f>
        <v/>
      </c>
      <c r="M188" s="9" t="str">
        <f>IF(COUNTBLANK($A188:$E188)&gt;0, "", IFERROR(AVERAGEIFS(Log!$I:$I, Log!$A:$A, $A188, Log!$B:$B, $B188, Log!$C:$C, $C188),""))</f>
        <v/>
      </c>
      <c r="N188" s="9" t="str">
        <f>IF(COUNTBLANK($A188:$E188)&gt;0, "", IFERROR(_xlfn.MINIFS(Log!$G:$G, Log!$A:$A, $A188, Log!$B:$B, $B188, Log!$C:$C, $C188),""))</f>
        <v/>
      </c>
      <c r="O188" s="9" t="str">
        <f>IF(COUNTBLANK($A188:$E188)&gt;0, "", IFERROR(_xlfn.MAXIFS(Log!$G:$G, Log!$A:$A, $A188, Log!$B:$B, $B188, Log!$C:$C, $C188),""))</f>
        <v/>
      </c>
    </row>
    <row r="189" spans="2:15" x14ac:dyDescent="0.3">
      <c r="B189" s="8" t="s">
        <v>117</v>
      </c>
      <c r="C189" s="66">
        <v>0</v>
      </c>
      <c r="H189" s="14" t="str">
        <f>IF(COUNTBLANK($A189:$E189)&gt;0, "", IFERROR(AVERAGEIFS(Log!$E:$E, Log!$A:$A, $A189, Log!$B:$B, $B189, Log!$C:$C, $C189),""))</f>
        <v/>
      </c>
      <c r="I189" s="64" t="str">
        <f t="shared" si="2"/>
        <v/>
      </c>
      <c r="J189" s="9" t="str">
        <f>IF(COUNTBLANK($A189:$E189)&gt;0, "", IFERROR(AVERAGEIFS(Log!$H:$H, Log!$A:$A, $A189, Log!$B:$B, $B189, Log!$C:$C, $C189),""))</f>
        <v/>
      </c>
      <c r="K189" s="9" t="str">
        <f>IF(COUNTBLANK($A189:$E189)&gt;0, "", IFERROR(_xlfn.MINIFS(Log!$F:$F, Log!$A:$A, $A189, Log!$B:$B, $B189, Log!$C:$C, $C189),""))</f>
        <v/>
      </c>
      <c r="L189" s="9" t="str">
        <f>IF(COUNTBLANK($A189:$E189)&gt;0, "", IFERROR(_xlfn.MAXIFS(Log!$F:$F, Log!$A:$A, $A189, Log!$B:$B, $B189, Log!$C:$C, $C189),""))</f>
        <v/>
      </c>
      <c r="M189" s="9" t="str">
        <f>IF(COUNTBLANK($A189:$E189)&gt;0, "", IFERROR(AVERAGEIFS(Log!$I:$I, Log!$A:$A, $A189, Log!$B:$B, $B189, Log!$C:$C, $C189),""))</f>
        <v/>
      </c>
      <c r="N189" s="9" t="str">
        <f>IF(COUNTBLANK($A189:$E189)&gt;0, "", IFERROR(_xlfn.MINIFS(Log!$G:$G, Log!$A:$A, $A189, Log!$B:$B, $B189, Log!$C:$C, $C189),""))</f>
        <v/>
      </c>
      <c r="O189" s="9" t="str">
        <f>IF(COUNTBLANK($A189:$E189)&gt;0, "", IFERROR(_xlfn.MAXIFS(Log!$G:$G, Log!$A:$A, $A189, Log!$B:$B, $B189, Log!$C:$C, $C189),""))</f>
        <v/>
      </c>
    </row>
    <row r="190" spans="2:15" x14ac:dyDescent="0.3">
      <c r="B190" s="8" t="s">
        <v>117</v>
      </c>
      <c r="C190" s="66">
        <v>0</v>
      </c>
      <c r="H190" s="14" t="str">
        <f>IF(COUNTBLANK($A190:$E190)&gt;0, "", IFERROR(AVERAGEIFS(Log!$E:$E, Log!$A:$A, $A190, Log!$B:$B, $B190, Log!$C:$C, $C190),""))</f>
        <v/>
      </c>
      <c r="I190" s="64" t="str">
        <f t="shared" si="2"/>
        <v/>
      </c>
      <c r="J190" s="9" t="str">
        <f>IF(COUNTBLANK($A190:$E190)&gt;0, "", IFERROR(AVERAGEIFS(Log!$H:$H, Log!$A:$A, $A190, Log!$B:$B, $B190, Log!$C:$C, $C190),""))</f>
        <v/>
      </c>
      <c r="K190" s="9" t="str">
        <f>IF(COUNTBLANK($A190:$E190)&gt;0, "", IFERROR(_xlfn.MINIFS(Log!$F:$F, Log!$A:$A, $A190, Log!$B:$B, $B190, Log!$C:$C, $C190),""))</f>
        <v/>
      </c>
      <c r="L190" s="9" t="str">
        <f>IF(COUNTBLANK($A190:$E190)&gt;0, "", IFERROR(_xlfn.MAXIFS(Log!$F:$F, Log!$A:$A, $A190, Log!$B:$B, $B190, Log!$C:$C, $C190),""))</f>
        <v/>
      </c>
      <c r="M190" s="9" t="str">
        <f>IF(COUNTBLANK($A190:$E190)&gt;0, "", IFERROR(AVERAGEIFS(Log!$I:$I, Log!$A:$A, $A190, Log!$B:$B, $B190, Log!$C:$C, $C190),""))</f>
        <v/>
      </c>
      <c r="N190" s="9" t="str">
        <f>IF(COUNTBLANK($A190:$E190)&gt;0, "", IFERROR(_xlfn.MINIFS(Log!$G:$G, Log!$A:$A, $A190, Log!$B:$B, $B190, Log!$C:$C, $C190),""))</f>
        <v/>
      </c>
      <c r="O190" s="9" t="str">
        <f>IF(COUNTBLANK($A190:$E190)&gt;0, "", IFERROR(_xlfn.MAXIFS(Log!$G:$G, Log!$A:$A, $A190, Log!$B:$B, $B190, Log!$C:$C, $C190),""))</f>
        <v/>
      </c>
    </row>
    <row r="191" spans="2:15" x14ac:dyDescent="0.3">
      <c r="B191" s="8" t="s">
        <v>117</v>
      </c>
      <c r="C191" s="66">
        <v>0</v>
      </c>
      <c r="H191" s="14" t="str">
        <f>IF(COUNTBLANK($A191:$E191)&gt;0, "", IFERROR(AVERAGEIFS(Log!$E:$E, Log!$A:$A, $A191, Log!$B:$B, $B191, Log!$C:$C, $C191),""))</f>
        <v/>
      </c>
      <c r="I191" s="64" t="str">
        <f t="shared" si="2"/>
        <v/>
      </c>
      <c r="J191" s="9" t="str">
        <f>IF(COUNTBLANK($A191:$E191)&gt;0, "", IFERROR(AVERAGEIFS(Log!$H:$H, Log!$A:$A, $A191, Log!$B:$B, $B191, Log!$C:$C, $C191),""))</f>
        <v/>
      </c>
      <c r="K191" s="9" t="str">
        <f>IF(COUNTBLANK($A191:$E191)&gt;0, "", IFERROR(_xlfn.MINIFS(Log!$F:$F, Log!$A:$A, $A191, Log!$B:$B, $B191, Log!$C:$C, $C191),""))</f>
        <v/>
      </c>
      <c r="L191" s="9" t="str">
        <f>IF(COUNTBLANK($A191:$E191)&gt;0, "", IFERROR(_xlfn.MAXIFS(Log!$F:$F, Log!$A:$A, $A191, Log!$B:$B, $B191, Log!$C:$C, $C191),""))</f>
        <v/>
      </c>
      <c r="M191" s="9" t="str">
        <f>IF(COUNTBLANK($A191:$E191)&gt;0, "", IFERROR(AVERAGEIFS(Log!$I:$I, Log!$A:$A, $A191, Log!$B:$B, $B191, Log!$C:$C, $C191),""))</f>
        <v/>
      </c>
      <c r="N191" s="9" t="str">
        <f>IF(COUNTBLANK($A191:$E191)&gt;0, "", IFERROR(_xlfn.MINIFS(Log!$G:$G, Log!$A:$A, $A191, Log!$B:$B, $B191, Log!$C:$C, $C191),""))</f>
        <v/>
      </c>
      <c r="O191" s="9" t="str">
        <f>IF(COUNTBLANK($A191:$E191)&gt;0, "", IFERROR(_xlfn.MAXIFS(Log!$G:$G, Log!$A:$A, $A191, Log!$B:$B, $B191, Log!$C:$C, $C191),""))</f>
        <v/>
      </c>
    </row>
    <row r="192" spans="2:15" x14ac:dyDescent="0.3">
      <c r="B192" s="8" t="s">
        <v>117</v>
      </c>
      <c r="C192" s="66">
        <v>0</v>
      </c>
      <c r="H192" s="14" t="str">
        <f>IF(COUNTBLANK($A192:$E192)&gt;0, "", IFERROR(AVERAGEIFS(Log!$E:$E, Log!$A:$A, $A192, Log!$B:$B, $B192, Log!$C:$C, $C192),""))</f>
        <v/>
      </c>
      <c r="I192" s="64" t="str">
        <f t="shared" si="2"/>
        <v/>
      </c>
      <c r="J192" s="9" t="str">
        <f>IF(COUNTBLANK($A192:$E192)&gt;0, "", IFERROR(AVERAGEIFS(Log!$H:$H, Log!$A:$A, $A192, Log!$B:$B, $B192, Log!$C:$C, $C192),""))</f>
        <v/>
      </c>
      <c r="K192" s="9" t="str">
        <f>IF(COUNTBLANK($A192:$E192)&gt;0, "", IFERROR(_xlfn.MINIFS(Log!$F:$F, Log!$A:$A, $A192, Log!$B:$B, $B192, Log!$C:$C, $C192),""))</f>
        <v/>
      </c>
      <c r="L192" s="9" t="str">
        <f>IF(COUNTBLANK($A192:$E192)&gt;0, "", IFERROR(_xlfn.MAXIFS(Log!$F:$F, Log!$A:$A, $A192, Log!$B:$B, $B192, Log!$C:$C, $C192),""))</f>
        <v/>
      </c>
      <c r="M192" s="9" t="str">
        <f>IF(COUNTBLANK($A192:$E192)&gt;0, "", IFERROR(AVERAGEIFS(Log!$I:$I, Log!$A:$A, $A192, Log!$B:$B, $B192, Log!$C:$C, $C192),""))</f>
        <v/>
      </c>
      <c r="N192" s="9" t="str">
        <f>IF(COUNTBLANK($A192:$E192)&gt;0, "", IFERROR(_xlfn.MINIFS(Log!$G:$G, Log!$A:$A, $A192, Log!$B:$B, $B192, Log!$C:$C, $C192),""))</f>
        <v/>
      </c>
      <c r="O192" s="9" t="str">
        <f>IF(COUNTBLANK($A192:$E192)&gt;0, "", IFERROR(_xlfn.MAXIFS(Log!$G:$G, Log!$A:$A, $A192, Log!$B:$B, $B192, Log!$C:$C, $C192),""))</f>
        <v/>
      </c>
    </row>
    <row r="193" spans="2:15" x14ac:dyDescent="0.3">
      <c r="B193" s="8" t="s">
        <v>117</v>
      </c>
      <c r="C193" s="66">
        <v>0</v>
      </c>
      <c r="H193" s="14" t="str">
        <f>IF(COUNTBLANK($A193:$E193)&gt;0, "", IFERROR(AVERAGEIFS(Log!$E:$E, Log!$A:$A, $A193, Log!$B:$B, $B193, Log!$C:$C, $C193),""))</f>
        <v/>
      </c>
      <c r="I193" s="64" t="str">
        <f t="shared" si="2"/>
        <v/>
      </c>
      <c r="J193" s="9" t="str">
        <f>IF(COUNTBLANK($A193:$E193)&gt;0, "", IFERROR(AVERAGEIFS(Log!$H:$H, Log!$A:$A, $A193, Log!$B:$B, $B193, Log!$C:$C, $C193),""))</f>
        <v/>
      </c>
      <c r="K193" s="9" t="str">
        <f>IF(COUNTBLANK($A193:$E193)&gt;0, "", IFERROR(_xlfn.MINIFS(Log!$F:$F, Log!$A:$A, $A193, Log!$B:$B, $B193, Log!$C:$C, $C193),""))</f>
        <v/>
      </c>
      <c r="L193" s="9" t="str">
        <f>IF(COUNTBLANK($A193:$E193)&gt;0, "", IFERROR(_xlfn.MAXIFS(Log!$F:$F, Log!$A:$A, $A193, Log!$B:$B, $B193, Log!$C:$C, $C193),""))</f>
        <v/>
      </c>
      <c r="M193" s="9" t="str">
        <f>IF(COUNTBLANK($A193:$E193)&gt;0, "", IFERROR(AVERAGEIFS(Log!$I:$I, Log!$A:$A, $A193, Log!$B:$B, $B193, Log!$C:$C, $C193),""))</f>
        <v/>
      </c>
      <c r="N193" s="9" t="str">
        <f>IF(COUNTBLANK($A193:$E193)&gt;0, "", IFERROR(_xlfn.MINIFS(Log!$G:$G, Log!$A:$A, $A193, Log!$B:$B, $B193, Log!$C:$C, $C193),""))</f>
        <v/>
      </c>
      <c r="O193" s="9" t="str">
        <f>IF(COUNTBLANK($A193:$E193)&gt;0, "", IFERROR(_xlfn.MAXIFS(Log!$G:$G, Log!$A:$A, $A193, Log!$B:$B, $B193, Log!$C:$C, $C193),""))</f>
        <v/>
      </c>
    </row>
    <row r="194" spans="2:15" x14ac:dyDescent="0.3">
      <c r="B194" s="8" t="s">
        <v>117</v>
      </c>
      <c r="C194" s="66">
        <v>0</v>
      </c>
      <c r="H194" s="14" t="str">
        <f>IF(COUNTBLANK($A194:$E194)&gt;0, "", IFERROR(AVERAGEIFS(Log!$E:$E, Log!$A:$A, $A194, Log!$B:$B, $B194, Log!$C:$C, $C194),""))</f>
        <v/>
      </c>
      <c r="I194" s="64" t="str">
        <f t="shared" si="2"/>
        <v/>
      </c>
      <c r="J194" s="9" t="str">
        <f>IF(COUNTBLANK($A194:$E194)&gt;0, "", IFERROR(AVERAGEIFS(Log!$H:$H, Log!$A:$A, $A194, Log!$B:$B, $B194, Log!$C:$C, $C194),""))</f>
        <v/>
      </c>
      <c r="K194" s="9" t="str">
        <f>IF(COUNTBLANK($A194:$E194)&gt;0, "", IFERROR(_xlfn.MINIFS(Log!$F:$F, Log!$A:$A, $A194, Log!$B:$B, $B194, Log!$C:$C, $C194),""))</f>
        <v/>
      </c>
      <c r="L194" s="9" t="str">
        <f>IF(COUNTBLANK($A194:$E194)&gt;0, "", IFERROR(_xlfn.MAXIFS(Log!$F:$F, Log!$A:$A, $A194, Log!$B:$B, $B194, Log!$C:$C, $C194),""))</f>
        <v/>
      </c>
      <c r="M194" s="9" t="str">
        <f>IF(COUNTBLANK($A194:$E194)&gt;0, "", IFERROR(AVERAGEIFS(Log!$I:$I, Log!$A:$A, $A194, Log!$B:$B, $B194, Log!$C:$C, $C194),""))</f>
        <v/>
      </c>
      <c r="N194" s="9" t="str">
        <f>IF(COUNTBLANK($A194:$E194)&gt;0, "", IFERROR(_xlfn.MINIFS(Log!$G:$G, Log!$A:$A, $A194, Log!$B:$B, $B194, Log!$C:$C, $C194),""))</f>
        <v/>
      </c>
      <c r="O194" s="9" t="str">
        <f>IF(COUNTBLANK($A194:$E194)&gt;0, "", IFERROR(_xlfn.MAXIFS(Log!$G:$G, Log!$A:$A, $A194, Log!$B:$B, $B194, Log!$C:$C, $C194),""))</f>
        <v/>
      </c>
    </row>
    <row r="195" spans="2:15" x14ac:dyDescent="0.3">
      <c r="B195" s="8" t="s">
        <v>117</v>
      </c>
      <c r="C195" s="66">
        <v>0</v>
      </c>
      <c r="H195" s="14" t="str">
        <f>IF(COUNTBLANK($A195:$E195)&gt;0, "", IFERROR(AVERAGEIFS(Log!$E:$E, Log!$A:$A, $A195, Log!$B:$B, $B195, Log!$C:$C, $C195),""))</f>
        <v/>
      </c>
      <c r="I195" s="64" t="str">
        <f t="shared" si="2"/>
        <v/>
      </c>
      <c r="J195" s="9" t="str">
        <f>IF(COUNTBLANK($A195:$E195)&gt;0, "", IFERROR(AVERAGEIFS(Log!$H:$H, Log!$A:$A, $A195, Log!$B:$B, $B195, Log!$C:$C, $C195),""))</f>
        <v/>
      </c>
      <c r="K195" s="9" t="str">
        <f>IF(COUNTBLANK($A195:$E195)&gt;0, "", IFERROR(_xlfn.MINIFS(Log!$F:$F, Log!$A:$A, $A195, Log!$B:$B, $B195, Log!$C:$C, $C195),""))</f>
        <v/>
      </c>
      <c r="L195" s="9" t="str">
        <f>IF(COUNTBLANK($A195:$E195)&gt;0, "", IFERROR(_xlfn.MAXIFS(Log!$F:$F, Log!$A:$A, $A195, Log!$B:$B, $B195, Log!$C:$C, $C195),""))</f>
        <v/>
      </c>
      <c r="M195" s="9" t="str">
        <f>IF(COUNTBLANK($A195:$E195)&gt;0, "", IFERROR(AVERAGEIFS(Log!$I:$I, Log!$A:$A, $A195, Log!$B:$B, $B195, Log!$C:$C, $C195),""))</f>
        <v/>
      </c>
      <c r="N195" s="9" t="str">
        <f>IF(COUNTBLANK($A195:$E195)&gt;0, "", IFERROR(_xlfn.MINIFS(Log!$G:$G, Log!$A:$A, $A195, Log!$B:$B, $B195, Log!$C:$C, $C195),""))</f>
        <v/>
      </c>
      <c r="O195" s="9" t="str">
        <f>IF(COUNTBLANK($A195:$E195)&gt;0, "", IFERROR(_xlfn.MAXIFS(Log!$G:$G, Log!$A:$A, $A195, Log!$B:$B, $B195, Log!$C:$C, $C195),""))</f>
        <v/>
      </c>
    </row>
    <row r="196" spans="2:15" x14ac:dyDescent="0.3">
      <c r="B196" s="8" t="s">
        <v>117</v>
      </c>
      <c r="C196" s="66">
        <v>0</v>
      </c>
      <c r="H196" s="14" t="str">
        <f>IF(COUNTBLANK($A196:$E196)&gt;0, "", IFERROR(AVERAGEIFS(Log!$E:$E, Log!$A:$A, $A196, Log!$B:$B, $B196, Log!$C:$C, $C196),""))</f>
        <v/>
      </c>
      <c r="I196" s="64" t="str">
        <f t="shared" si="2"/>
        <v/>
      </c>
      <c r="J196" s="9" t="str">
        <f>IF(COUNTBLANK($A196:$E196)&gt;0, "", IFERROR(AVERAGEIFS(Log!$H:$H, Log!$A:$A, $A196, Log!$B:$B, $B196, Log!$C:$C, $C196),""))</f>
        <v/>
      </c>
      <c r="K196" s="9" t="str">
        <f>IF(COUNTBLANK($A196:$E196)&gt;0, "", IFERROR(_xlfn.MINIFS(Log!$F:$F, Log!$A:$A, $A196, Log!$B:$B, $B196, Log!$C:$C, $C196),""))</f>
        <v/>
      </c>
      <c r="L196" s="9" t="str">
        <f>IF(COUNTBLANK($A196:$E196)&gt;0, "", IFERROR(_xlfn.MAXIFS(Log!$F:$F, Log!$A:$A, $A196, Log!$B:$B, $B196, Log!$C:$C, $C196),""))</f>
        <v/>
      </c>
      <c r="M196" s="9" t="str">
        <f>IF(COUNTBLANK($A196:$E196)&gt;0, "", IFERROR(AVERAGEIFS(Log!$I:$I, Log!$A:$A, $A196, Log!$B:$B, $B196, Log!$C:$C, $C196),""))</f>
        <v/>
      </c>
      <c r="N196" s="9" t="str">
        <f>IF(COUNTBLANK($A196:$E196)&gt;0, "", IFERROR(_xlfn.MINIFS(Log!$G:$G, Log!$A:$A, $A196, Log!$B:$B, $B196, Log!$C:$C, $C196),""))</f>
        <v/>
      </c>
      <c r="O196" s="9" t="str">
        <f>IF(COUNTBLANK($A196:$E196)&gt;0, "", IFERROR(_xlfn.MAXIFS(Log!$G:$G, Log!$A:$A, $A196, Log!$B:$B, $B196, Log!$C:$C, $C196),""))</f>
        <v/>
      </c>
    </row>
    <row r="197" spans="2:15" x14ac:dyDescent="0.3">
      <c r="B197" s="8" t="s">
        <v>117</v>
      </c>
      <c r="C197" s="66">
        <v>0</v>
      </c>
      <c r="H197" s="14" t="str">
        <f>IF(COUNTBLANK($A197:$E197)&gt;0, "", IFERROR(AVERAGEIFS(Log!$E:$E, Log!$A:$A, $A197, Log!$B:$B, $B197, Log!$C:$C, $C197),""))</f>
        <v/>
      </c>
      <c r="I197" s="64" t="str">
        <f t="shared" si="2"/>
        <v/>
      </c>
      <c r="J197" s="9" t="str">
        <f>IF(COUNTBLANK($A197:$E197)&gt;0, "", IFERROR(AVERAGEIFS(Log!$H:$H, Log!$A:$A, $A197, Log!$B:$B, $B197, Log!$C:$C, $C197),""))</f>
        <v/>
      </c>
      <c r="K197" s="9" t="str">
        <f>IF(COUNTBLANK($A197:$E197)&gt;0, "", IFERROR(_xlfn.MINIFS(Log!$F:$F, Log!$A:$A, $A197, Log!$B:$B, $B197, Log!$C:$C, $C197),""))</f>
        <v/>
      </c>
      <c r="L197" s="9" t="str">
        <f>IF(COUNTBLANK($A197:$E197)&gt;0, "", IFERROR(_xlfn.MAXIFS(Log!$F:$F, Log!$A:$A, $A197, Log!$B:$B, $B197, Log!$C:$C, $C197),""))</f>
        <v/>
      </c>
      <c r="M197" s="9" t="str">
        <f>IF(COUNTBLANK($A197:$E197)&gt;0, "", IFERROR(AVERAGEIFS(Log!$I:$I, Log!$A:$A, $A197, Log!$B:$B, $B197, Log!$C:$C, $C197),""))</f>
        <v/>
      </c>
      <c r="N197" s="9" t="str">
        <f>IF(COUNTBLANK($A197:$E197)&gt;0, "", IFERROR(_xlfn.MINIFS(Log!$G:$G, Log!$A:$A, $A197, Log!$B:$B, $B197, Log!$C:$C, $C197),""))</f>
        <v/>
      </c>
      <c r="O197" s="9" t="str">
        <f>IF(COUNTBLANK($A197:$E197)&gt;0, "", IFERROR(_xlfn.MAXIFS(Log!$G:$G, Log!$A:$A, $A197, Log!$B:$B, $B197, Log!$C:$C, $C197),""))</f>
        <v/>
      </c>
    </row>
    <row r="198" spans="2:15" x14ac:dyDescent="0.3">
      <c r="B198" s="8" t="s">
        <v>117</v>
      </c>
      <c r="C198" s="66">
        <v>0</v>
      </c>
      <c r="H198" s="14" t="str">
        <f>IF(COUNTBLANK($A198:$E198)&gt;0, "", IFERROR(AVERAGEIFS(Log!$E:$E, Log!$A:$A, $A198, Log!$B:$B, $B198, Log!$C:$C, $C198),""))</f>
        <v/>
      </c>
      <c r="I198" s="64" t="str">
        <f t="shared" ref="I198:I261" si="3">IF(AND($H198&lt;&gt;"", $G198&lt;&gt;""), $H198/$G198, "")</f>
        <v/>
      </c>
      <c r="J198" s="9" t="str">
        <f>IF(COUNTBLANK($A198:$E198)&gt;0, "", IFERROR(AVERAGEIFS(Log!$H:$H, Log!$A:$A, $A198, Log!$B:$B, $B198, Log!$C:$C, $C198),""))</f>
        <v/>
      </c>
      <c r="K198" s="9" t="str">
        <f>IF(COUNTBLANK($A198:$E198)&gt;0, "", IFERROR(_xlfn.MINIFS(Log!$F:$F, Log!$A:$A, $A198, Log!$B:$B, $B198, Log!$C:$C, $C198),""))</f>
        <v/>
      </c>
      <c r="L198" s="9" t="str">
        <f>IF(COUNTBLANK($A198:$E198)&gt;0, "", IFERROR(_xlfn.MAXIFS(Log!$F:$F, Log!$A:$A, $A198, Log!$B:$B, $B198, Log!$C:$C, $C198),""))</f>
        <v/>
      </c>
      <c r="M198" s="9" t="str">
        <f>IF(COUNTBLANK($A198:$E198)&gt;0, "", IFERROR(AVERAGEIFS(Log!$I:$I, Log!$A:$A, $A198, Log!$B:$B, $B198, Log!$C:$C, $C198),""))</f>
        <v/>
      </c>
      <c r="N198" s="9" t="str">
        <f>IF(COUNTBLANK($A198:$E198)&gt;0, "", IFERROR(_xlfn.MINIFS(Log!$G:$G, Log!$A:$A, $A198, Log!$B:$B, $B198, Log!$C:$C, $C198),""))</f>
        <v/>
      </c>
      <c r="O198" s="9" t="str">
        <f>IF(COUNTBLANK($A198:$E198)&gt;0, "", IFERROR(_xlfn.MAXIFS(Log!$G:$G, Log!$A:$A, $A198, Log!$B:$B, $B198, Log!$C:$C, $C198),""))</f>
        <v/>
      </c>
    </row>
    <row r="199" spans="2:15" x14ac:dyDescent="0.3">
      <c r="B199" s="8" t="s">
        <v>117</v>
      </c>
      <c r="C199" s="66">
        <v>0</v>
      </c>
      <c r="H199" s="14" t="str">
        <f>IF(COUNTBLANK($A199:$E199)&gt;0, "", IFERROR(AVERAGEIFS(Log!$E:$E, Log!$A:$A, $A199, Log!$B:$B, $B199, Log!$C:$C, $C199),""))</f>
        <v/>
      </c>
      <c r="I199" s="64" t="str">
        <f t="shared" si="3"/>
        <v/>
      </c>
      <c r="J199" s="9" t="str">
        <f>IF(COUNTBLANK($A199:$E199)&gt;0, "", IFERROR(AVERAGEIFS(Log!$H:$H, Log!$A:$A, $A199, Log!$B:$B, $B199, Log!$C:$C, $C199),""))</f>
        <v/>
      </c>
      <c r="K199" s="9" t="str">
        <f>IF(COUNTBLANK($A199:$E199)&gt;0, "", IFERROR(_xlfn.MINIFS(Log!$F:$F, Log!$A:$A, $A199, Log!$B:$B, $B199, Log!$C:$C, $C199),""))</f>
        <v/>
      </c>
      <c r="L199" s="9" t="str">
        <f>IF(COUNTBLANK($A199:$E199)&gt;0, "", IFERROR(_xlfn.MAXIFS(Log!$F:$F, Log!$A:$A, $A199, Log!$B:$B, $B199, Log!$C:$C, $C199),""))</f>
        <v/>
      </c>
      <c r="M199" s="9" t="str">
        <f>IF(COUNTBLANK($A199:$E199)&gt;0, "", IFERROR(AVERAGEIFS(Log!$I:$I, Log!$A:$A, $A199, Log!$B:$B, $B199, Log!$C:$C, $C199),""))</f>
        <v/>
      </c>
      <c r="N199" s="9" t="str">
        <f>IF(COUNTBLANK($A199:$E199)&gt;0, "", IFERROR(_xlfn.MINIFS(Log!$G:$G, Log!$A:$A, $A199, Log!$B:$B, $B199, Log!$C:$C, $C199),""))</f>
        <v/>
      </c>
      <c r="O199" s="9" t="str">
        <f>IF(COUNTBLANK($A199:$E199)&gt;0, "", IFERROR(_xlfn.MAXIFS(Log!$G:$G, Log!$A:$A, $A199, Log!$B:$B, $B199, Log!$C:$C, $C199),""))</f>
        <v/>
      </c>
    </row>
    <row r="200" spans="2:15" x14ac:dyDescent="0.3">
      <c r="B200" s="8" t="s">
        <v>117</v>
      </c>
      <c r="C200" s="66">
        <v>0</v>
      </c>
      <c r="H200" s="14" t="str">
        <f>IF(COUNTBLANK($A200:$E200)&gt;0, "", IFERROR(AVERAGEIFS(Log!$E:$E, Log!$A:$A, $A200, Log!$B:$B, $B200, Log!$C:$C, $C200),""))</f>
        <v/>
      </c>
      <c r="I200" s="64" t="str">
        <f t="shared" si="3"/>
        <v/>
      </c>
      <c r="J200" s="9" t="str">
        <f>IF(COUNTBLANK($A200:$E200)&gt;0, "", IFERROR(AVERAGEIFS(Log!$H:$H, Log!$A:$A, $A200, Log!$B:$B, $B200, Log!$C:$C, $C200),""))</f>
        <v/>
      </c>
      <c r="K200" s="9" t="str">
        <f>IF(COUNTBLANK($A200:$E200)&gt;0, "", IFERROR(_xlfn.MINIFS(Log!$F:$F, Log!$A:$A, $A200, Log!$B:$B, $B200, Log!$C:$C, $C200),""))</f>
        <v/>
      </c>
      <c r="L200" s="9" t="str">
        <f>IF(COUNTBLANK($A200:$E200)&gt;0, "", IFERROR(_xlfn.MAXIFS(Log!$F:$F, Log!$A:$A, $A200, Log!$B:$B, $B200, Log!$C:$C, $C200),""))</f>
        <v/>
      </c>
      <c r="M200" s="9" t="str">
        <f>IF(COUNTBLANK($A200:$E200)&gt;0, "", IFERROR(AVERAGEIFS(Log!$I:$I, Log!$A:$A, $A200, Log!$B:$B, $B200, Log!$C:$C, $C200),""))</f>
        <v/>
      </c>
      <c r="N200" s="9" t="str">
        <f>IF(COUNTBLANK($A200:$E200)&gt;0, "", IFERROR(_xlfn.MINIFS(Log!$G:$G, Log!$A:$A, $A200, Log!$B:$B, $B200, Log!$C:$C, $C200),""))</f>
        <v/>
      </c>
      <c r="O200" s="9" t="str">
        <f>IF(COUNTBLANK($A200:$E200)&gt;0, "", IFERROR(_xlfn.MAXIFS(Log!$G:$G, Log!$A:$A, $A200, Log!$B:$B, $B200, Log!$C:$C, $C200),""))</f>
        <v/>
      </c>
    </row>
    <row r="201" spans="2:15" x14ac:dyDescent="0.3">
      <c r="B201" s="8" t="s">
        <v>117</v>
      </c>
      <c r="C201" s="66">
        <v>0</v>
      </c>
      <c r="H201" s="14" t="str">
        <f>IF(COUNTBLANK($A201:$E201)&gt;0, "", IFERROR(AVERAGEIFS(Log!$E:$E, Log!$A:$A, $A201, Log!$B:$B, $B201, Log!$C:$C, $C201),""))</f>
        <v/>
      </c>
      <c r="I201" s="64" t="str">
        <f t="shared" si="3"/>
        <v/>
      </c>
      <c r="J201" s="9" t="str">
        <f>IF(COUNTBLANK($A201:$E201)&gt;0, "", IFERROR(AVERAGEIFS(Log!$H:$H, Log!$A:$A, $A201, Log!$B:$B, $B201, Log!$C:$C, $C201),""))</f>
        <v/>
      </c>
      <c r="K201" s="9" t="str">
        <f>IF(COUNTBLANK($A201:$E201)&gt;0, "", IFERROR(_xlfn.MINIFS(Log!$F:$F, Log!$A:$A, $A201, Log!$B:$B, $B201, Log!$C:$C, $C201),""))</f>
        <v/>
      </c>
      <c r="L201" s="9" t="str">
        <f>IF(COUNTBLANK($A201:$E201)&gt;0, "", IFERROR(_xlfn.MAXIFS(Log!$F:$F, Log!$A:$A, $A201, Log!$B:$B, $B201, Log!$C:$C, $C201),""))</f>
        <v/>
      </c>
      <c r="M201" s="9" t="str">
        <f>IF(COUNTBLANK($A201:$E201)&gt;0, "", IFERROR(AVERAGEIFS(Log!$I:$I, Log!$A:$A, $A201, Log!$B:$B, $B201, Log!$C:$C, $C201),""))</f>
        <v/>
      </c>
      <c r="N201" s="9" t="str">
        <f>IF(COUNTBLANK($A201:$E201)&gt;0, "", IFERROR(_xlfn.MINIFS(Log!$G:$G, Log!$A:$A, $A201, Log!$B:$B, $B201, Log!$C:$C, $C201),""))</f>
        <v/>
      </c>
      <c r="O201" s="9" t="str">
        <f>IF(COUNTBLANK($A201:$E201)&gt;0, "", IFERROR(_xlfn.MAXIFS(Log!$G:$G, Log!$A:$A, $A201, Log!$B:$B, $B201, Log!$C:$C, $C201),""))</f>
        <v/>
      </c>
    </row>
    <row r="202" spans="2:15" x14ac:dyDescent="0.3">
      <c r="B202" s="8" t="s">
        <v>117</v>
      </c>
      <c r="C202" s="66">
        <v>0</v>
      </c>
      <c r="H202" s="14" t="str">
        <f>IF(COUNTBLANK($A202:$E202)&gt;0, "", IFERROR(AVERAGEIFS(Log!$E:$E, Log!$A:$A, $A202, Log!$B:$B, $B202, Log!$C:$C, $C202),""))</f>
        <v/>
      </c>
      <c r="I202" s="64" t="str">
        <f t="shared" si="3"/>
        <v/>
      </c>
      <c r="J202" s="9" t="str">
        <f>IF(COUNTBLANK($A202:$E202)&gt;0, "", IFERROR(AVERAGEIFS(Log!$H:$H, Log!$A:$A, $A202, Log!$B:$B, $B202, Log!$C:$C, $C202),""))</f>
        <v/>
      </c>
      <c r="K202" s="9" t="str">
        <f>IF(COUNTBLANK($A202:$E202)&gt;0, "", IFERROR(_xlfn.MINIFS(Log!$F:$F, Log!$A:$A, $A202, Log!$B:$B, $B202, Log!$C:$C, $C202),""))</f>
        <v/>
      </c>
      <c r="L202" s="9" t="str">
        <f>IF(COUNTBLANK($A202:$E202)&gt;0, "", IFERROR(_xlfn.MAXIFS(Log!$F:$F, Log!$A:$A, $A202, Log!$B:$B, $B202, Log!$C:$C, $C202),""))</f>
        <v/>
      </c>
      <c r="M202" s="9" t="str">
        <f>IF(COUNTBLANK($A202:$E202)&gt;0, "", IFERROR(AVERAGEIFS(Log!$I:$I, Log!$A:$A, $A202, Log!$B:$B, $B202, Log!$C:$C, $C202),""))</f>
        <v/>
      </c>
      <c r="N202" s="9" t="str">
        <f>IF(COUNTBLANK($A202:$E202)&gt;0, "", IFERROR(_xlfn.MINIFS(Log!$G:$G, Log!$A:$A, $A202, Log!$B:$B, $B202, Log!$C:$C, $C202),""))</f>
        <v/>
      </c>
      <c r="O202" s="9" t="str">
        <f>IF(COUNTBLANK($A202:$E202)&gt;0, "", IFERROR(_xlfn.MAXIFS(Log!$G:$G, Log!$A:$A, $A202, Log!$B:$B, $B202, Log!$C:$C, $C202),""))</f>
        <v/>
      </c>
    </row>
    <row r="203" spans="2:15" x14ac:dyDescent="0.3">
      <c r="B203" s="8" t="s">
        <v>117</v>
      </c>
      <c r="C203" s="66">
        <v>0</v>
      </c>
      <c r="H203" s="14" t="str">
        <f>IF(COUNTBLANK($A203:$E203)&gt;0, "", IFERROR(AVERAGEIFS(Log!$E:$E, Log!$A:$A, $A203, Log!$B:$B, $B203, Log!$C:$C, $C203),""))</f>
        <v/>
      </c>
      <c r="I203" s="64" t="str">
        <f t="shared" si="3"/>
        <v/>
      </c>
      <c r="J203" s="9" t="str">
        <f>IF(COUNTBLANK($A203:$E203)&gt;0, "", IFERROR(AVERAGEIFS(Log!$H:$H, Log!$A:$A, $A203, Log!$B:$B, $B203, Log!$C:$C, $C203),""))</f>
        <v/>
      </c>
      <c r="K203" s="9" t="str">
        <f>IF(COUNTBLANK($A203:$E203)&gt;0, "", IFERROR(_xlfn.MINIFS(Log!$F:$F, Log!$A:$A, $A203, Log!$B:$B, $B203, Log!$C:$C, $C203),""))</f>
        <v/>
      </c>
      <c r="L203" s="9" t="str">
        <f>IF(COUNTBLANK($A203:$E203)&gt;0, "", IFERROR(_xlfn.MAXIFS(Log!$F:$F, Log!$A:$A, $A203, Log!$B:$B, $B203, Log!$C:$C, $C203),""))</f>
        <v/>
      </c>
      <c r="M203" s="9" t="str">
        <f>IF(COUNTBLANK($A203:$E203)&gt;0, "", IFERROR(AVERAGEIFS(Log!$I:$I, Log!$A:$A, $A203, Log!$B:$B, $B203, Log!$C:$C, $C203),""))</f>
        <v/>
      </c>
      <c r="N203" s="9" t="str">
        <f>IF(COUNTBLANK($A203:$E203)&gt;0, "", IFERROR(_xlfn.MINIFS(Log!$G:$G, Log!$A:$A, $A203, Log!$B:$B, $B203, Log!$C:$C, $C203),""))</f>
        <v/>
      </c>
      <c r="O203" s="9" t="str">
        <f>IF(COUNTBLANK($A203:$E203)&gt;0, "", IFERROR(_xlfn.MAXIFS(Log!$G:$G, Log!$A:$A, $A203, Log!$B:$B, $B203, Log!$C:$C, $C203),""))</f>
        <v/>
      </c>
    </row>
    <row r="204" spans="2:15" x14ac:dyDescent="0.3">
      <c r="B204" s="8" t="s">
        <v>117</v>
      </c>
      <c r="C204" s="66">
        <v>0</v>
      </c>
      <c r="H204" s="14" t="str">
        <f>IF(COUNTBLANK($A204:$E204)&gt;0, "", IFERROR(AVERAGEIFS(Log!$E:$E, Log!$A:$A, $A204, Log!$B:$B, $B204, Log!$C:$C, $C204),""))</f>
        <v/>
      </c>
      <c r="I204" s="64" t="str">
        <f t="shared" si="3"/>
        <v/>
      </c>
      <c r="J204" s="9" t="str">
        <f>IF(COUNTBLANK($A204:$E204)&gt;0, "", IFERROR(AVERAGEIFS(Log!$H:$H, Log!$A:$A, $A204, Log!$B:$B, $B204, Log!$C:$C, $C204),""))</f>
        <v/>
      </c>
      <c r="K204" s="9" t="str">
        <f>IF(COUNTBLANK($A204:$E204)&gt;0, "", IFERROR(_xlfn.MINIFS(Log!$F:$F, Log!$A:$A, $A204, Log!$B:$B, $B204, Log!$C:$C, $C204),""))</f>
        <v/>
      </c>
      <c r="L204" s="9" t="str">
        <f>IF(COUNTBLANK($A204:$E204)&gt;0, "", IFERROR(_xlfn.MAXIFS(Log!$F:$F, Log!$A:$A, $A204, Log!$B:$B, $B204, Log!$C:$C, $C204),""))</f>
        <v/>
      </c>
      <c r="M204" s="9" t="str">
        <f>IF(COUNTBLANK($A204:$E204)&gt;0, "", IFERROR(AVERAGEIFS(Log!$I:$I, Log!$A:$A, $A204, Log!$B:$B, $B204, Log!$C:$C, $C204),""))</f>
        <v/>
      </c>
      <c r="N204" s="9" t="str">
        <f>IF(COUNTBLANK($A204:$E204)&gt;0, "", IFERROR(_xlfn.MINIFS(Log!$G:$G, Log!$A:$A, $A204, Log!$B:$B, $B204, Log!$C:$C, $C204),""))</f>
        <v/>
      </c>
      <c r="O204" s="9" t="str">
        <f>IF(COUNTBLANK($A204:$E204)&gt;0, "", IFERROR(_xlfn.MAXIFS(Log!$G:$G, Log!$A:$A, $A204, Log!$B:$B, $B204, Log!$C:$C, $C204),""))</f>
        <v/>
      </c>
    </row>
    <row r="205" spans="2:15" x14ac:dyDescent="0.3">
      <c r="B205" s="8" t="s">
        <v>117</v>
      </c>
      <c r="C205" s="66">
        <v>0</v>
      </c>
      <c r="H205" s="14" t="str">
        <f>IF(COUNTBLANK($A205:$E205)&gt;0, "", IFERROR(AVERAGEIFS(Log!$E:$E, Log!$A:$A, $A205, Log!$B:$B, $B205, Log!$C:$C, $C205),""))</f>
        <v/>
      </c>
      <c r="I205" s="64" t="str">
        <f t="shared" si="3"/>
        <v/>
      </c>
      <c r="J205" s="9" t="str">
        <f>IF(COUNTBLANK($A205:$E205)&gt;0, "", IFERROR(AVERAGEIFS(Log!$H:$H, Log!$A:$A, $A205, Log!$B:$B, $B205, Log!$C:$C, $C205),""))</f>
        <v/>
      </c>
      <c r="K205" s="9" t="str">
        <f>IF(COUNTBLANK($A205:$E205)&gt;0, "", IFERROR(_xlfn.MINIFS(Log!$F:$F, Log!$A:$A, $A205, Log!$B:$B, $B205, Log!$C:$C, $C205),""))</f>
        <v/>
      </c>
      <c r="L205" s="9" t="str">
        <f>IF(COUNTBLANK($A205:$E205)&gt;0, "", IFERROR(_xlfn.MAXIFS(Log!$F:$F, Log!$A:$A, $A205, Log!$B:$B, $B205, Log!$C:$C, $C205),""))</f>
        <v/>
      </c>
      <c r="M205" s="9" t="str">
        <f>IF(COUNTBLANK($A205:$E205)&gt;0, "", IFERROR(AVERAGEIFS(Log!$I:$I, Log!$A:$A, $A205, Log!$B:$B, $B205, Log!$C:$C, $C205),""))</f>
        <v/>
      </c>
      <c r="N205" s="9" t="str">
        <f>IF(COUNTBLANK($A205:$E205)&gt;0, "", IFERROR(_xlfn.MINIFS(Log!$G:$G, Log!$A:$A, $A205, Log!$B:$B, $B205, Log!$C:$C, $C205),""))</f>
        <v/>
      </c>
      <c r="O205" s="9" t="str">
        <f>IF(COUNTBLANK($A205:$E205)&gt;0, "", IFERROR(_xlfn.MAXIFS(Log!$G:$G, Log!$A:$A, $A205, Log!$B:$B, $B205, Log!$C:$C, $C205),""))</f>
        <v/>
      </c>
    </row>
    <row r="206" spans="2:15" x14ac:dyDescent="0.3">
      <c r="B206" s="8" t="s">
        <v>117</v>
      </c>
      <c r="C206" s="66">
        <v>0</v>
      </c>
      <c r="H206" s="14" t="str">
        <f>IF(COUNTBLANK($A206:$E206)&gt;0, "", IFERROR(AVERAGEIFS(Log!$E:$E, Log!$A:$A, $A206, Log!$B:$B, $B206, Log!$C:$C, $C206),""))</f>
        <v/>
      </c>
      <c r="I206" s="64" t="str">
        <f t="shared" si="3"/>
        <v/>
      </c>
      <c r="J206" s="9" t="str">
        <f>IF(COUNTBLANK($A206:$E206)&gt;0, "", IFERROR(AVERAGEIFS(Log!$H:$H, Log!$A:$A, $A206, Log!$B:$B, $B206, Log!$C:$C, $C206),""))</f>
        <v/>
      </c>
      <c r="K206" s="9" t="str">
        <f>IF(COUNTBLANK($A206:$E206)&gt;0, "", IFERROR(_xlfn.MINIFS(Log!$F:$F, Log!$A:$A, $A206, Log!$B:$B, $B206, Log!$C:$C, $C206),""))</f>
        <v/>
      </c>
      <c r="L206" s="9" t="str">
        <f>IF(COUNTBLANK($A206:$E206)&gt;0, "", IFERROR(_xlfn.MAXIFS(Log!$F:$F, Log!$A:$A, $A206, Log!$B:$B, $B206, Log!$C:$C, $C206),""))</f>
        <v/>
      </c>
      <c r="M206" s="9" t="str">
        <f>IF(COUNTBLANK($A206:$E206)&gt;0, "", IFERROR(AVERAGEIFS(Log!$I:$I, Log!$A:$A, $A206, Log!$B:$B, $B206, Log!$C:$C, $C206),""))</f>
        <v/>
      </c>
      <c r="N206" s="9" t="str">
        <f>IF(COUNTBLANK($A206:$E206)&gt;0, "", IFERROR(_xlfn.MINIFS(Log!$G:$G, Log!$A:$A, $A206, Log!$B:$B, $B206, Log!$C:$C, $C206),""))</f>
        <v/>
      </c>
      <c r="O206" s="9" t="str">
        <f>IF(COUNTBLANK($A206:$E206)&gt;0, "", IFERROR(_xlfn.MAXIFS(Log!$G:$G, Log!$A:$A, $A206, Log!$B:$B, $B206, Log!$C:$C, $C206),""))</f>
        <v/>
      </c>
    </row>
    <row r="207" spans="2:15" x14ac:dyDescent="0.3">
      <c r="B207" s="8" t="s">
        <v>117</v>
      </c>
      <c r="C207" s="66">
        <v>0</v>
      </c>
      <c r="H207" s="14" t="str">
        <f>IF(COUNTBLANK($A207:$E207)&gt;0, "", IFERROR(AVERAGEIFS(Log!$E:$E, Log!$A:$A, $A207, Log!$B:$B, $B207, Log!$C:$C, $C207),""))</f>
        <v/>
      </c>
      <c r="I207" s="64" t="str">
        <f t="shared" si="3"/>
        <v/>
      </c>
      <c r="J207" s="9" t="str">
        <f>IF(COUNTBLANK($A207:$E207)&gt;0, "", IFERROR(AVERAGEIFS(Log!$H:$H, Log!$A:$A, $A207, Log!$B:$B, $B207, Log!$C:$C, $C207),""))</f>
        <v/>
      </c>
      <c r="K207" s="9" t="str">
        <f>IF(COUNTBLANK($A207:$E207)&gt;0, "", IFERROR(_xlfn.MINIFS(Log!$F:$F, Log!$A:$A, $A207, Log!$B:$B, $B207, Log!$C:$C, $C207),""))</f>
        <v/>
      </c>
      <c r="L207" s="9" t="str">
        <f>IF(COUNTBLANK($A207:$E207)&gt;0, "", IFERROR(_xlfn.MAXIFS(Log!$F:$F, Log!$A:$A, $A207, Log!$B:$B, $B207, Log!$C:$C, $C207),""))</f>
        <v/>
      </c>
      <c r="M207" s="9" t="str">
        <f>IF(COUNTBLANK($A207:$E207)&gt;0, "", IFERROR(AVERAGEIFS(Log!$I:$I, Log!$A:$A, $A207, Log!$B:$B, $B207, Log!$C:$C, $C207),""))</f>
        <v/>
      </c>
      <c r="N207" s="9" t="str">
        <f>IF(COUNTBLANK($A207:$E207)&gt;0, "", IFERROR(_xlfn.MINIFS(Log!$G:$G, Log!$A:$A, $A207, Log!$B:$B, $B207, Log!$C:$C, $C207),""))</f>
        <v/>
      </c>
      <c r="O207" s="9" t="str">
        <f>IF(COUNTBLANK($A207:$E207)&gt;0, "", IFERROR(_xlfn.MAXIFS(Log!$G:$G, Log!$A:$A, $A207, Log!$B:$B, $B207, Log!$C:$C, $C207),""))</f>
        <v/>
      </c>
    </row>
    <row r="208" spans="2:15" x14ac:dyDescent="0.3">
      <c r="B208" s="8" t="s">
        <v>117</v>
      </c>
      <c r="C208" s="66">
        <v>0</v>
      </c>
      <c r="H208" s="14" t="str">
        <f>IF(COUNTBLANK($A208:$E208)&gt;0, "", IFERROR(AVERAGEIFS(Log!$E:$E, Log!$A:$A, $A208, Log!$B:$B, $B208, Log!$C:$C, $C208),""))</f>
        <v/>
      </c>
      <c r="I208" s="64" t="str">
        <f t="shared" si="3"/>
        <v/>
      </c>
      <c r="J208" s="9" t="str">
        <f>IF(COUNTBLANK($A208:$E208)&gt;0, "", IFERROR(AVERAGEIFS(Log!$H:$H, Log!$A:$A, $A208, Log!$B:$B, $B208, Log!$C:$C, $C208),""))</f>
        <v/>
      </c>
      <c r="K208" s="9" t="str">
        <f>IF(COUNTBLANK($A208:$E208)&gt;0, "", IFERROR(_xlfn.MINIFS(Log!$F:$F, Log!$A:$A, $A208, Log!$B:$B, $B208, Log!$C:$C, $C208),""))</f>
        <v/>
      </c>
      <c r="L208" s="9" t="str">
        <f>IF(COUNTBLANK($A208:$E208)&gt;0, "", IFERROR(_xlfn.MAXIFS(Log!$F:$F, Log!$A:$A, $A208, Log!$B:$B, $B208, Log!$C:$C, $C208),""))</f>
        <v/>
      </c>
      <c r="M208" s="9" t="str">
        <f>IF(COUNTBLANK($A208:$E208)&gt;0, "", IFERROR(AVERAGEIFS(Log!$I:$I, Log!$A:$A, $A208, Log!$B:$B, $B208, Log!$C:$C, $C208),""))</f>
        <v/>
      </c>
      <c r="N208" s="9" t="str">
        <f>IF(COUNTBLANK($A208:$E208)&gt;0, "", IFERROR(_xlfn.MINIFS(Log!$G:$G, Log!$A:$A, $A208, Log!$B:$B, $B208, Log!$C:$C, $C208),""))</f>
        <v/>
      </c>
      <c r="O208" s="9" t="str">
        <f>IF(COUNTBLANK($A208:$E208)&gt;0, "", IFERROR(_xlfn.MAXIFS(Log!$G:$G, Log!$A:$A, $A208, Log!$B:$B, $B208, Log!$C:$C, $C208),""))</f>
        <v/>
      </c>
    </row>
    <row r="209" spans="2:15" x14ac:dyDescent="0.3">
      <c r="B209" s="8" t="s">
        <v>117</v>
      </c>
      <c r="C209" s="66">
        <v>0</v>
      </c>
      <c r="H209" s="14" t="str">
        <f>IF(COUNTBLANK($A209:$E209)&gt;0, "", IFERROR(AVERAGEIFS(Log!$E:$E, Log!$A:$A, $A209, Log!$B:$B, $B209, Log!$C:$C, $C209),""))</f>
        <v/>
      </c>
      <c r="I209" s="64" t="str">
        <f t="shared" si="3"/>
        <v/>
      </c>
      <c r="J209" s="9" t="str">
        <f>IF(COUNTBLANK($A209:$E209)&gt;0, "", IFERROR(AVERAGEIFS(Log!$H:$H, Log!$A:$A, $A209, Log!$B:$B, $B209, Log!$C:$C, $C209),""))</f>
        <v/>
      </c>
      <c r="K209" s="9" t="str">
        <f>IF(COUNTBLANK($A209:$E209)&gt;0, "", IFERROR(_xlfn.MINIFS(Log!$F:$F, Log!$A:$A, $A209, Log!$B:$B, $B209, Log!$C:$C, $C209),""))</f>
        <v/>
      </c>
      <c r="L209" s="9" t="str">
        <f>IF(COUNTBLANK($A209:$E209)&gt;0, "", IFERROR(_xlfn.MAXIFS(Log!$F:$F, Log!$A:$A, $A209, Log!$B:$B, $B209, Log!$C:$C, $C209),""))</f>
        <v/>
      </c>
      <c r="M209" s="9" t="str">
        <f>IF(COUNTBLANK($A209:$E209)&gt;0, "", IFERROR(AVERAGEIFS(Log!$I:$I, Log!$A:$A, $A209, Log!$B:$B, $B209, Log!$C:$C, $C209),""))</f>
        <v/>
      </c>
      <c r="N209" s="9" t="str">
        <f>IF(COUNTBLANK($A209:$E209)&gt;0, "", IFERROR(_xlfn.MINIFS(Log!$G:$G, Log!$A:$A, $A209, Log!$B:$B, $B209, Log!$C:$C, $C209),""))</f>
        <v/>
      </c>
      <c r="O209" s="9" t="str">
        <f>IF(COUNTBLANK($A209:$E209)&gt;0, "", IFERROR(_xlfn.MAXIFS(Log!$G:$G, Log!$A:$A, $A209, Log!$B:$B, $B209, Log!$C:$C, $C209),""))</f>
        <v/>
      </c>
    </row>
    <row r="210" spans="2:15" x14ac:dyDescent="0.3">
      <c r="B210" s="8" t="s">
        <v>117</v>
      </c>
      <c r="C210" s="66">
        <v>0</v>
      </c>
      <c r="H210" s="14" t="str">
        <f>IF(COUNTBLANK($A210:$E210)&gt;0, "", IFERROR(AVERAGEIFS(Log!$E:$E, Log!$A:$A, $A210, Log!$B:$B, $B210, Log!$C:$C, $C210),""))</f>
        <v/>
      </c>
      <c r="I210" s="64" t="str">
        <f t="shared" si="3"/>
        <v/>
      </c>
      <c r="J210" s="9" t="str">
        <f>IF(COUNTBLANK($A210:$E210)&gt;0, "", IFERROR(AVERAGEIFS(Log!$H:$H, Log!$A:$A, $A210, Log!$B:$B, $B210, Log!$C:$C, $C210),""))</f>
        <v/>
      </c>
      <c r="K210" s="9" t="str">
        <f>IF(COUNTBLANK($A210:$E210)&gt;0, "", IFERROR(_xlfn.MINIFS(Log!$F:$F, Log!$A:$A, $A210, Log!$B:$B, $B210, Log!$C:$C, $C210),""))</f>
        <v/>
      </c>
      <c r="L210" s="9" t="str">
        <f>IF(COUNTBLANK($A210:$E210)&gt;0, "", IFERROR(_xlfn.MAXIFS(Log!$F:$F, Log!$A:$A, $A210, Log!$B:$B, $B210, Log!$C:$C, $C210),""))</f>
        <v/>
      </c>
      <c r="M210" s="9" t="str">
        <f>IF(COUNTBLANK($A210:$E210)&gt;0, "", IFERROR(AVERAGEIFS(Log!$I:$I, Log!$A:$A, $A210, Log!$B:$B, $B210, Log!$C:$C, $C210),""))</f>
        <v/>
      </c>
      <c r="N210" s="9" t="str">
        <f>IF(COUNTBLANK($A210:$E210)&gt;0, "", IFERROR(_xlfn.MINIFS(Log!$G:$G, Log!$A:$A, $A210, Log!$B:$B, $B210, Log!$C:$C, $C210),""))</f>
        <v/>
      </c>
      <c r="O210" s="9" t="str">
        <f>IF(COUNTBLANK($A210:$E210)&gt;0, "", IFERROR(_xlfn.MAXIFS(Log!$G:$G, Log!$A:$A, $A210, Log!$B:$B, $B210, Log!$C:$C, $C210),""))</f>
        <v/>
      </c>
    </row>
    <row r="211" spans="2:15" x14ac:dyDescent="0.3">
      <c r="B211" s="8" t="s">
        <v>117</v>
      </c>
      <c r="C211" s="66">
        <v>0</v>
      </c>
      <c r="H211" s="14" t="str">
        <f>IF(COUNTBLANK($A211:$E211)&gt;0, "", IFERROR(AVERAGEIFS(Log!$E:$E, Log!$A:$A, $A211, Log!$B:$B, $B211, Log!$C:$C, $C211),""))</f>
        <v/>
      </c>
      <c r="I211" s="64" t="str">
        <f t="shared" si="3"/>
        <v/>
      </c>
      <c r="J211" s="9" t="str">
        <f>IF(COUNTBLANK($A211:$E211)&gt;0, "", IFERROR(AVERAGEIFS(Log!$H:$H, Log!$A:$A, $A211, Log!$B:$B, $B211, Log!$C:$C, $C211),""))</f>
        <v/>
      </c>
      <c r="K211" s="9" t="str">
        <f>IF(COUNTBLANK($A211:$E211)&gt;0, "", IFERROR(_xlfn.MINIFS(Log!$F:$F, Log!$A:$A, $A211, Log!$B:$B, $B211, Log!$C:$C, $C211),""))</f>
        <v/>
      </c>
      <c r="L211" s="9" t="str">
        <f>IF(COUNTBLANK($A211:$E211)&gt;0, "", IFERROR(_xlfn.MAXIFS(Log!$F:$F, Log!$A:$A, $A211, Log!$B:$B, $B211, Log!$C:$C, $C211),""))</f>
        <v/>
      </c>
      <c r="M211" s="9" t="str">
        <f>IF(COUNTBLANK($A211:$E211)&gt;0, "", IFERROR(AVERAGEIFS(Log!$I:$I, Log!$A:$A, $A211, Log!$B:$B, $B211, Log!$C:$C, $C211),""))</f>
        <v/>
      </c>
      <c r="N211" s="9" t="str">
        <f>IF(COUNTBLANK($A211:$E211)&gt;0, "", IFERROR(_xlfn.MINIFS(Log!$G:$G, Log!$A:$A, $A211, Log!$B:$B, $B211, Log!$C:$C, $C211),""))</f>
        <v/>
      </c>
      <c r="O211" s="9" t="str">
        <f>IF(COUNTBLANK($A211:$E211)&gt;0, "", IFERROR(_xlfn.MAXIFS(Log!$G:$G, Log!$A:$A, $A211, Log!$B:$B, $B211, Log!$C:$C, $C211),""))</f>
        <v/>
      </c>
    </row>
    <row r="212" spans="2:15" x14ac:dyDescent="0.3">
      <c r="B212" s="8" t="s">
        <v>117</v>
      </c>
      <c r="C212" s="66">
        <v>0</v>
      </c>
      <c r="H212" s="14" t="str">
        <f>IF(COUNTBLANK($A212:$E212)&gt;0, "", IFERROR(AVERAGEIFS(Log!$E:$E, Log!$A:$A, $A212, Log!$B:$B, $B212, Log!$C:$C, $C212),""))</f>
        <v/>
      </c>
      <c r="I212" s="64" t="str">
        <f t="shared" si="3"/>
        <v/>
      </c>
      <c r="J212" s="9" t="str">
        <f>IF(COUNTBLANK($A212:$E212)&gt;0, "", IFERROR(AVERAGEIFS(Log!$H:$H, Log!$A:$A, $A212, Log!$B:$B, $B212, Log!$C:$C, $C212),""))</f>
        <v/>
      </c>
      <c r="K212" s="9" t="str">
        <f>IF(COUNTBLANK($A212:$E212)&gt;0, "", IFERROR(_xlfn.MINIFS(Log!$F:$F, Log!$A:$A, $A212, Log!$B:$B, $B212, Log!$C:$C, $C212),""))</f>
        <v/>
      </c>
      <c r="L212" s="9" t="str">
        <f>IF(COUNTBLANK($A212:$E212)&gt;0, "", IFERROR(_xlfn.MAXIFS(Log!$F:$F, Log!$A:$A, $A212, Log!$B:$B, $B212, Log!$C:$C, $C212),""))</f>
        <v/>
      </c>
      <c r="M212" s="9" t="str">
        <f>IF(COUNTBLANK($A212:$E212)&gt;0, "", IFERROR(AVERAGEIFS(Log!$I:$I, Log!$A:$A, $A212, Log!$B:$B, $B212, Log!$C:$C, $C212),""))</f>
        <v/>
      </c>
      <c r="N212" s="9" t="str">
        <f>IF(COUNTBLANK($A212:$E212)&gt;0, "", IFERROR(_xlfn.MINIFS(Log!$G:$G, Log!$A:$A, $A212, Log!$B:$B, $B212, Log!$C:$C, $C212),""))</f>
        <v/>
      </c>
      <c r="O212" s="9" t="str">
        <f>IF(COUNTBLANK($A212:$E212)&gt;0, "", IFERROR(_xlfn.MAXIFS(Log!$G:$G, Log!$A:$A, $A212, Log!$B:$B, $B212, Log!$C:$C, $C212),""))</f>
        <v/>
      </c>
    </row>
    <row r="213" spans="2:15" x14ac:dyDescent="0.3">
      <c r="B213" s="8" t="s">
        <v>117</v>
      </c>
      <c r="C213" s="66">
        <v>0</v>
      </c>
      <c r="H213" s="14" t="str">
        <f>IF(COUNTBLANK($A213:$E213)&gt;0, "", IFERROR(AVERAGEIFS(Log!$E:$E, Log!$A:$A, $A213, Log!$B:$B, $B213, Log!$C:$C, $C213),""))</f>
        <v/>
      </c>
      <c r="I213" s="64" t="str">
        <f t="shared" si="3"/>
        <v/>
      </c>
      <c r="J213" s="9" t="str">
        <f>IF(COUNTBLANK($A213:$E213)&gt;0, "", IFERROR(AVERAGEIFS(Log!$H:$H, Log!$A:$A, $A213, Log!$B:$B, $B213, Log!$C:$C, $C213),""))</f>
        <v/>
      </c>
      <c r="K213" s="9" t="str">
        <f>IF(COUNTBLANK($A213:$E213)&gt;0, "", IFERROR(_xlfn.MINIFS(Log!$F:$F, Log!$A:$A, $A213, Log!$B:$B, $B213, Log!$C:$C, $C213),""))</f>
        <v/>
      </c>
      <c r="L213" s="9" t="str">
        <f>IF(COUNTBLANK($A213:$E213)&gt;0, "", IFERROR(_xlfn.MAXIFS(Log!$F:$F, Log!$A:$A, $A213, Log!$B:$B, $B213, Log!$C:$C, $C213),""))</f>
        <v/>
      </c>
      <c r="M213" s="9" t="str">
        <f>IF(COUNTBLANK($A213:$E213)&gt;0, "", IFERROR(AVERAGEIFS(Log!$I:$I, Log!$A:$A, $A213, Log!$B:$B, $B213, Log!$C:$C, $C213),""))</f>
        <v/>
      </c>
      <c r="N213" s="9" t="str">
        <f>IF(COUNTBLANK($A213:$E213)&gt;0, "", IFERROR(_xlfn.MINIFS(Log!$G:$G, Log!$A:$A, $A213, Log!$B:$B, $B213, Log!$C:$C, $C213),""))</f>
        <v/>
      </c>
      <c r="O213" s="9" t="str">
        <f>IF(COUNTBLANK($A213:$E213)&gt;0, "", IFERROR(_xlfn.MAXIFS(Log!$G:$G, Log!$A:$A, $A213, Log!$B:$B, $B213, Log!$C:$C, $C213),""))</f>
        <v/>
      </c>
    </row>
    <row r="214" spans="2:15" x14ac:dyDescent="0.3">
      <c r="B214" s="8" t="s">
        <v>117</v>
      </c>
      <c r="C214" s="66">
        <v>0</v>
      </c>
      <c r="H214" s="14" t="str">
        <f>IF(COUNTBLANK($A214:$E214)&gt;0, "", IFERROR(AVERAGEIFS(Log!$E:$E, Log!$A:$A, $A214, Log!$B:$B, $B214, Log!$C:$C, $C214),""))</f>
        <v/>
      </c>
      <c r="I214" s="64" t="str">
        <f t="shared" si="3"/>
        <v/>
      </c>
      <c r="J214" s="9" t="str">
        <f>IF(COUNTBLANK($A214:$E214)&gt;0, "", IFERROR(AVERAGEIFS(Log!$H:$H, Log!$A:$A, $A214, Log!$B:$B, $B214, Log!$C:$C, $C214),""))</f>
        <v/>
      </c>
      <c r="K214" s="9" t="str">
        <f>IF(COUNTBLANK($A214:$E214)&gt;0, "", IFERROR(_xlfn.MINIFS(Log!$F:$F, Log!$A:$A, $A214, Log!$B:$B, $B214, Log!$C:$C, $C214),""))</f>
        <v/>
      </c>
      <c r="L214" s="9" t="str">
        <f>IF(COUNTBLANK($A214:$E214)&gt;0, "", IFERROR(_xlfn.MAXIFS(Log!$F:$F, Log!$A:$A, $A214, Log!$B:$B, $B214, Log!$C:$C, $C214),""))</f>
        <v/>
      </c>
      <c r="M214" s="9" t="str">
        <f>IF(COUNTBLANK($A214:$E214)&gt;0, "", IFERROR(AVERAGEIFS(Log!$I:$I, Log!$A:$A, $A214, Log!$B:$B, $B214, Log!$C:$C, $C214),""))</f>
        <v/>
      </c>
      <c r="N214" s="9" t="str">
        <f>IF(COUNTBLANK($A214:$E214)&gt;0, "", IFERROR(_xlfn.MINIFS(Log!$G:$G, Log!$A:$A, $A214, Log!$B:$B, $B214, Log!$C:$C, $C214),""))</f>
        <v/>
      </c>
      <c r="O214" s="9" t="str">
        <f>IF(COUNTBLANK($A214:$E214)&gt;0, "", IFERROR(_xlfn.MAXIFS(Log!$G:$G, Log!$A:$A, $A214, Log!$B:$B, $B214, Log!$C:$C, $C214),""))</f>
        <v/>
      </c>
    </row>
    <row r="215" spans="2:15" x14ac:dyDescent="0.3">
      <c r="B215" s="8" t="s">
        <v>117</v>
      </c>
      <c r="C215" s="66">
        <v>0</v>
      </c>
      <c r="H215" s="14" t="str">
        <f>IF(COUNTBLANK($A215:$E215)&gt;0, "", IFERROR(AVERAGEIFS(Log!$E:$E, Log!$A:$A, $A215, Log!$B:$B, $B215, Log!$C:$C, $C215),""))</f>
        <v/>
      </c>
      <c r="I215" s="64" t="str">
        <f t="shared" si="3"/>
        <v/>
      </c>
      <c r="J215" s="9" t="str">
        <f>IF(COUNTBLANK($A215:$E215)&gt;0, "", IFERROR(AVERAGEIFS(Log!$H:$H, Log!$A:$A, $A215, Log!$B:$B, $B215, Log!$C:$C, $C215),""))</f>
        <v/>
      </c>
      <c r="K215" s="9" t="str">
        <f>IF(COUNTBLANK($A215:$E215)&gt;0, "", IFERROR(_xlfn.MINIFS(Log!$F:$F, Log!$A:$A, $A215, Log!$B:$B, $B215, Log!$C:$C, $C215),""))</f>
        <v/>
      </c>
      <c r="L215" s="9" t="str">
        <f>IF(COUNTBLANK($A215:$E215)&gt;0, "", IFERROR(_xlfn.MAXIFS(Log!$F:$F, Log!$A:$A, $A215, Log!$B:$B, $B215, Log!$C:$C, $C215),""))</f>
        <v/>
      </c>
      <c r="M215" s="9" t="str">
        <f>IF(COUNTBLANK($A215:$E215)&gt;0, "", IFERROR(AVERAGEIFS(Log!$I:$I, Log!$A:$A, $A215, Log!$B:$B, $B215, Log!$C:$C, $C215),""))</f>
        <v/>
      </c>
      <c r="N215" s="9" t="str">
        <f>IF(COUNTBLANK($A215:$E215)&gt;0, "", IFERROR(_xlfn.MINIFS(Log!$G:$G, Log!$A:$A, $A215, Log!$B:$B, $B215, Log!$C:$C, $C215),""))</f>
        <v/>
      </c>
      <c r="O215" s="9" t="str">
        <f>IF(COUNTBLANK($A215:$E215)&gt;0, "", IFERROR(_xlfn.MAXIFS(Log!$G:$G, Log!$A:$A, $A215, Log!$B:$B, $B215, Log!$C:$C, $C215),""))</f>
        <v/>
      </c>
    </row>
    <row r="216" spans="2:15" x14ac:dyDescent="0.3">
      <c r="B216" s="8" t="s">
        <v>117</v>
      </c>
      <c r="C216" s="66">
        <v>0</v>
      </c>
      <c r="H216" s="14" t="str">
        <f>IF(COUNTBLANK($A216:$E216)&gt;0, "", IFERROR(AVERAGEIFS(Log!$E:$E, Log!$A:$A, $A216, Log!$B:$B, $B216, Log!$C:$C, $C216),""))</f>
        <v/>
      </c>
      <c r="I216" s="64" t="str">
        <f t="shared" si="3"/>
        <v/>
      </c>
      <c r="J216" s="9" t="str">
        <f>IF(COUNTBLANK($A216:$E216)&gt;0, "", IFERROR(AVERAGEIFS(Log!$H:$H, Log!$A:$A, $A216, Log!$B:$B, $B216, Log!$C:$C, $C216),""))</f>
        <v/>
      </c>
      <c r="K216" s="9" t="str">
        <f>IF(COUNTBLANK($A216:$E216)&gt;0, "", IFERROR(_xlfn.MINIFS(Log!$F:$F, Log!$A:$A, $A216, Log!$B:$B, $B216, Log!$C:$C, $C216),""))</f>
        <v/>
      </c>
      <c r="L216" s="9" t="str">
        <f>IF(COUNTBLANK($A216:$E216)&gt;0, "", IFERROR(_xlfn.MAXIFS(Log!$F:$F, Log!$A:$A, $A216, Log!$B:$B, $B216, Log!$C:$C, $C216),""))</f>
        <v/>
      </c>
      <c r="M216" s="9" t="str">
        <f>IF(COUNTBLANK($A216:$E216)&gt;0, "", IFERROR(AVERAGEIFS(Log!$I:$I, Log!$A:$A, $A216, Log!$B:$B, $B216, Log!$C:$C, $C216),""))</f>
        <v/>
      </c>
      <c r="N216" s="9" t="str">
        <f>IF(COUNTBLANK($A216:$E216)&gt;0, "", IFERROR(_xlfn.MINIFS(Log!$G:$G, Log!$A:$A, $A216, Log!$B:$B, $B216, Log!$C:$C, $C216),""))</f>
        <v/>
      </c>
      <c r="O216" s="9" t="str">
        <f>IF(COUNTBLANK($A216:$E216)&gt;0, "", IFERROR(_xlfn.MAXIFS(Log!$G:$G, Log!$A:$A, $A216, Log!$B:$B, $B216, Log!$C:$C, $C216),""))</f>
        <v/>
      </c>
    </row>
    <row r="217" spans="2:15" x14ac:dyDescent="0.3">
      <c r="B217" s="8" t="s">
        <v>117</v>
      </c>
      <c r="C217" s="66">
        <v>0</v>
      </c>
      <c r="H217" s="14" t="str">
        <f>IF(COUNTBLANK($A217:$E217)&gt;0, "", IFERROR(AVERAGEIFS(Log!$E:$E, Log!$A:$A, $A217, Log!$B:$B, $B217, Log!$C:$C, $C217),""))</f>
        <v/>
      </c>
      <c r="I217" s="64" t="str">
        <f t="shared" si="3"/>
        <v/>
      </c>
      <c r="J217" s="9" t="str">
        <f>IF(COUNTBLANK($A217:$E217)&gt;0, "", IFERROR(AVERAGEIFS(Log!$H:$H, Log!$A:$A, $A217, Log!$B:$B, $B217, Log!$C:$C, $C217),""))</f>
        <v/>
      </c>
      <c r="K217" s="9" t="str">
        <f>IF(COUNTBLANK($A217:$E217)&gt;0, "", IFERROR(_xlfn.MINIFS(Log!$F:$F, Log!$A:$A, $A217, Log!$B:$B, $B217, Log!$C:$C, $C217),""))</f>
        <v/>
      </c>
      <c r="L217" s="9" t="str">
        <f>IF(COUNTBLANK($A217:$E217)&gt;0, "", IFERROR(_xlfn.MAXIFS(Log!$F:$F, Log!$A:$A, $A217, Log!$B:$B, $B217, Log!$C:$C, $C217),""))</f>
        <v/>
      </c>
      <c r="M217" s="9" t="str">
        <f>IF(COUNTBLANK($A217:$E217)&gt;0, "", IFERROR(AVERAGEIFS(Log!$I:$I, Log!$A:$A, $A217, Log!$B:$B, $B217, Log!$C:$C, $C217),""))</f>
        <v/>
      </c>
      <c r="N217" s="9" t="str">
        <f>IF(COUNTBLANK($A217:$E217)&gt;0, "", IFERROR(_xlfn.MINIFS(Log!$G:$G, Log!$A:$A, $A217, Log!$B:$B, $B217, Log!$C:$C, $C217),""))</f>
        <v/>
      </c>
      <c r="O217" s="9" t="str">
        <f>IF(COUNTBLANK($A217:$E217)&gt;0, "", IFERROR(_xlfn.MAXIFS(Log!$G:$G, Log!$A:$A, $A217, Log!$B:$B, $B217, Log!$C:$C, $C217),""))</f>
        <v/>
      </c>
    </row>
    <row r="218" spans="2:15" x14ac:dyDescent="0.3">
      <c r="B218" s="8" t="s">
        <v>117</v>
      </c>
      <c r="C218" s="66">
        <v>0</v>
      </c>
      <c r="H218" s="14" t="str">
        <f>IF(COUNTBLANK($A218:$E218)&gt;0, "", IFERROR(AVERAGEIFS(Log!$E:$E, Log!$A:$A, $A218, Log!$B:$B, $B218, Log!$C:$C, $C218),""))</f>
        <v/>
      </c>
      <c r="I218" s="64" t="str">
        <f t="shared" si="3"/>
        <v/>
      </c>
      <c r="J218" s="9" t="str">
        <f>IF(COUNTBLANK($A218:$E218)&gt;0, "", IFERROR(AVERAGEIFS(Log!$H:$H, Log!$A:$A, $A218, Log!$B:$B, $B218, Log!$C:$C, $C218),""))</f>
        <v/>
      </c>
      <c r="K218" s="9" t="str">
        <f>IF(COUNTBLANK($A218:$E218)&gt;0, "", IFERROR(_xlfn.MINIFS(Log!$F:$F, Log!$A:$A, $A218, Log!$B:$B, $B218, Log!$C:$C, $C218),""))</f>
        <v/>
      </c>
      <c r="L218" s="9" t="str">
        <f>IF(COUNTBLANK($A218:$E218)&gt;0, "", IFERROR(_xlfn.MAXIFS(Log!$F:$F, Log!$A:$A, $A218, Log!$B:$B, $B218, Log!$C:$C, $C218),""))</f>
        <v/>
      </c>
      <c r="M218" s="9" t="str">
        <f>IF(COUNTBLANK($A218:$E218)&gt;0, "", IFERROR(AVERAGEIFS(Log!$I:$I, Log!$A:$A, $A218, Log!$B:$B, $B218, Log!$C:$C, $C218),""))</f>
        <v/>
      </c>
      <c r="N218" s="9" t="str">
        <f>IF(COUNTBLANK($A218:$E218)&gt;0, "", IFERROR(_xlfn.MINIFS(Log!$G:$G, Log!$A:$A, $A218, Log!$B:$B, $B218, Log!$C:$C, $C218),""))</f>
        <v/>
      </c>
      <c r="O218" s="9" t="str">
        <f>IF(COUNTBLANK($A218:$E218)&gt;0, "", IFERROR(_xlfn.MAXIFS(Log!$G:$G, Log!$A:$A, $A218, Log!$B:$B, $B218, Log!$C:$C, $C218),""))</f>
        <v/>
      </c>
    </row>
    <row r="219" spans="2:15" x14ac:dyDescent="0.3">
      <c r="B219" s="8" t="s">
        <v>117</v>
      </c>
      <c r="C219" s="66">
        <v>0</v>
      </c>
      <c r="H219" s="14" t="str">
        <f>IF(COUNTBLANK($A219:$E219)&gt;0, "", IFERROR(AVERAGEIFS(Log!$E:$E, Log!$A:$A, $A219, Log!$B:$B, $B219, Log!$C:$C, $C219),""))</f>
        <v/>
      </c>
      <c r="I219" s="64" t="str">
        <f t="shared" si="3"/>
        <v/>
      </c>
      <c r="J219" s="9" t="str">
        <f>IF(COUNTBLANK($A219:$E219)&gt;0, "", IFERROR(AVERAGEIFS(Log!$H:$H, Log!$A:$A, $A219, Log!$B:$B, $B219, Log!$C:$C, $C219),""))</f>
        <v/>
      </c>
      <c r="K219" s="9" t="str">
        <f>IF(COUNTBLANK($A219:$E219)&gt;0, "", IFERROR(_xlfn.MINIFS(Log!$F:$F, Log!$A:$A, $A219, Log!$B:$B, $B219, Log!$C:$C, $C219),""))</f>
        <v/>
      </c>
      <c r="L219" s="9" t="str">
        <f>IF(COUNTBLANK($A219:$E219)&gt;0, "", IFERROR(_xlfn.MAXIFS(Log!$F:$F, Log!$A:$A, $A219, Log!$B:$B, $B219, Log!$C:$C, $C219),""))</f>
        <v/>
      </c>
      <c r="M219" s="9" t="str">
        <f>IF(COUNTBLANK($A219:$E219)&gt;0, "", IFERROR(AVERAGEIFS(Log!$I:$I, Log!$A:$A, $A219, Log!$B:$B, $B219, Log!$C:$C, $C219),""))</f>
        <v/>
      </c>
      <c r="N219" s="9" t="str">
        <f>IF(COUNTBLANK($A219:$E219)&gt;0, "", IFERROR(_xlfn.MINIFS(Log!$G:$G, Log!$A:$A, $A219, Log!$B:$B, $B219, Log!$C:$C, $C219),""))</f>
        <v/>
      </c>
      <c r="O219" s="9" t="str">
        <f>IF(COUNTBLANK($A219:$E219)&gt;0, "", IFERROR(_xlfn.MAXIFS(Log!$G:$G, Log!$A:$A, $A219, Log!$B:$B, $B219, Log!$C:$C, $C219),""))</f>
        <v/>
      </c>
    </row>
    <row r="220" spans="2:15" x14ac:dyDescent="0.3">
      <c r="B220" s="8" t="s">
        <v>117</v>
      </c>
      <c r="C220" s="66">
        <v>0</v>
      </c>
      <c r="H220" s="14" t="str">
        <f>IF(COUNTBLANK($A220:$E220)&gt;0, "", IFERROR(AVERAGEIFS(Log!$E:$E, Log!$A:$A, $A220, Log!$B:$B, $B220, Log!$C:$C, $C220),""))</f>
        <v/>
      </c>
      <c r="I220" s="64" t="str">
        <f t="shared" si="3"/>
        <v/>
      </c>
      <c r="J220" s="9" t="str">
        <f>IF(COUNTBLANK($A220:$E220)&gt;0, "", IFERROR(AVERAGEIFS(Log!$H:$H, Log!$A:$A, $A220, Log!$B:$B, $B220, Log!$C:$C, $C220),""))</f>
        <v/>
      </c>
      <c r="K220" s="9" t="str">
        <f>IF(COUNTBLANK($A220:$E220)&gt;0, "", IFERROR(_xlfn.MINIFS(Log!$F:$F, Log!$A:$A, $A220, Log!$B:$B, $B220, Log!$C:$C, $C220),""))</f>
        <v/>
      </c>
      <c r="L220" s="9" t="str">
        <f>IF(COUNTBLANK($A220:$E220)&gt;0, "", IFERROR(_xlfn.MAXIFS(Log!$F:$F, Log!$A:$A, $A220, Log!$B:$B, $B220, Log!$C:$C, $C220),""))</f>
        <v/>
      </c>
      <c r="M220" s="9" t="str">
        <f>IF(COUNTBLANK($A220:$E220)&gt;0, "", IFERROR(AVERAGEIFS(Log!$I:$I, Log!$A:$A, $A220, Log!$B:$B, $B220, Log!$C:$C, $C220),""))</f>
        <v/>
      </c>
      <c r="N220" s="9" t="str">
        <f>IF(COUNTBLANK($A220:$E220)&gt;0, "", IFERROR(_xlfn.MINIFS(Log!$G:$G, Log!$A:$A, $A220, Log!$B:$B, $B220, Log!$C:$C, $C220),""))</f>
        <v/>
      </c>
      <c r="O220" s="9" t="str">
        <f>IF(COUNTBLANK($A220:$E220)&gt;0, "", IFERROR(_xlfn.MAXIFS(Log!$G:$G, Log!$A:$A, $A220, Log!$B:$B, $B220, Log!$C:$C, $C220),""))</f>
        <v/>
      </c>
    </row>
    <row r="221" spans="2:15" x14ac:dyDescent="0.3">
      <c r="B221" s="8" t="s">
        <v>117</v>
      </c>
      <c r="C221" s="66">
        <v>0</v>
      </c>
      <c r="H221" s="14" t="str">
        <f>IF(COUNTBLANK($A221:$E221)&gt;0, "", IFERROR(AVERAGEIFS(Log!$E:$E, Log!$A:$A, $A221, Log!$B:$B, $B221, Log!$C:$C, $C221),""))</f>
        <v/>
      </c>
      <c r="I221" s="64" t="str">
        <f t="shared" si="3"/>
        <v/>
      </c>
      <c r="J221" s="9" t="str">
        <f>IF(COUNTBLANK($A221:$E221)&gt;0, "", IFERROR(AVERAGEIFS(Log!$H:$H, Log!$A:$A, $A221, Log!$B:$B, $B221, Log!$C:$C, $C221),""))</f>
        <v/>
      </c>
      <c r="K221" s="9" t="str">
        <f>IF(COUNTBLANK($A221:$E221)&gt;0, "", IFERROR(_xlfn.MINIFS(Log!$F:$F, Log!$A:$A, $A221, Log!$B:$B, $B221, Log!$C:$C, $C221),""))</f>
        <v/>
      </c>
      <c r="L221" s="9" t="str">
        <f>IF(COUNTBLANK($A221:$E221)&gt;0, "", IFERROR(_xlfn.MAXIFS(Log!$F:$F, Log!$A:$A, $A221, Log!$B:$B, $B221, Log!$C:$C, $C221),""))</f>
        <v/>
      </c>
      <c r="M221" s="9" t="str">
        <f>IF(COUNTBLANK($A221:$E221)&gt;0, "", IFERROR(AVERAGEIFS(Log!$I:$I, Log!$A:$A, $A221, Log!$B:$B, $B221, Log!$C:$C, $C221),""))</f>
        <v/>
      </c>
      <c r="N221" s="9" t="str">
        <f>IF(COUNTBLANK($A221:$E221)&gt;0, "", IFERROR(_xlfn.MINIFS(Log!$G:$G, Log!$A:$A, $A221, Log!$B:$B, $B221, Log!$C:$C, $C221),""))</f>
        <v/>
      </c>
      <c r="O221" s="9" t="str">
        <f>IF(COUNTBLANK($A221:$E221)&gt;0, "", IFERROR(_xlfn.MAXIFS(Log!$G:$G, Log!$A:$A, $A221, Log!$B:$B, $B221, Log!$C:$C, $C221),""))</f>
        <v/>
      </c>
    </row>
    <row r="222" spans="2:15" x14ac:dyDescent="0.3">
      <c r="B222" s="8" t="s">
        <v>117</v>
      </c>
      <c r="C222" s="66">
        <v>0</v>
      </c>
      <c r="H222" s="14" t="str">
        <f>IF(COUNTBLANK($A222:$E222)&gt;0, "", IFERROR(AVERAGEIFS(Log!$E:$E, Log!$A:$A, $A222, Log!$B:$B, $B222, Log!$C:$C, $C222),""))</f>
        <v/>
      </c>
      <c r="I222" s="64" t="str">
        <f t="shared" si="3"/>
        <v/>
      </c>
      <c r="J222" s="9" t="str">
        <f>IF(COUNTBLANK($A222:$E222)&gt;0, "", IFERROR(AVERAGEIFS(Log!$H:$H, Log!$A:$A, $A222, Log!$B:$B, $B222, Log!$C:$C, $C222),""))</f>
        <v/>
      </c>
      <c r="K222" s="9" t="str">
        <f>IF(COUNTBLANK($A222:$E222)&gt;0, "", IFERROR(_xlfn.MINIFS(Log!$F:$F, Log!$A:$A, $A222, Log!$B:$B, $B222, Log!$C:$C, $C222),""))</f>
        <v/>
      </c>
      <c r="L222" s="9" t="str">
        <f>IF(COUNTBLANK($A222:$E222)&gt;0, "", IFERROR(_xlfn.MAXIFS(Log!$F:$F, Log!$A:$A, $A222, Log!$B:$B, $B222, Log!$C:$C, $C222),""))</f>
        <v/>
      </c>
      <c r="M222" s="9" t="str">
        <f>IF(COUNTBLANK($A222:$E222)&gt;0, "", IFERROR(AVERAGEIFS(Log!$I:$I, Log!$A:$A, $A222, Log!$B:$B, $B222, Log!$C:$C, $C222),""))</f>
        <v/>
      </c>
      <c r="N222" s="9" t="str">
        <f>IF(COUNTBLANK($A222:$E222)&gt;0, "", IFERROR(_xlfn.MINIFS(Log!$G:$G, Log!$A:$A, $A222, Log!$B:$B, $B222, Log!$C:$C, $C222),""))</f>
        <v/>
      </c>
      <c r="O222" s="9" t="str">
        <f>IF(COUNTBLANK($A222:$E222)&gt;0, "", IFERROR(_xlfn.MAXIFS(Log!$G:$G, Log!$A:$A, $A222, Log!$B:$B, $B222, Log!$C:$C, $C222),""))</f>
        <v/>
      </c>
    </row>
    <row r="223" spans="2:15" x14ac:dyDescent="0.3">
      <c r="B223" s="8" t="s">
        <v>117</v>
      </c>
      <c r="C223" s="66">
        <v>0</v>
      </c>
      <c r="H223" s="14" t="str">
        <f>IF(COUNTBLANK($A223:$E223)&gt;0, "", IFERROR(AVERAGEIFS(Log!$E:$E, Log!$A:$A, $A223, Log!$B:$B, $B223, Log!$C:$C, $C223),""))</f>
        <v/>
      </c>
      <c r="I223" s="64" t="str">
        <f t="shared" si="3"/>
        <v/>
      </c>
      <c r="J223" s="9" t="str">
        <f>IF(COUNTBLANK($A223:$E223)&gt;0, "", IFERROR(AVERAGEIFS(Log!$H:$H, Log!$A:$A, $A223, Log!$B:$B, $B223, Log!$C:$C, $C223),""))</f>
        <v/>
      </c>
      <c r="K223" s="9" t="str">
        <f>IF(COUNTBLANK($A223:$E223)&gt;0, "", IFERROR(_xlfn.MINIFS(Log!$F:$F, Log!$A:$A, $A223, Log!$B:$B, $B223, Log!$C:$C, $C223),""))</f>
        <v/>
      </c>
      <c r="L223" s="9" t="str">
        <f>IF(COUNTBLANK($A223:$E223)&gt;0, "", IFERROR(_xlfn.MAXIFS(Log!$F:$F, Log!$A:$A, $A223, Log!$B:$B, $B223, Log!$C:$C, $C223),""))</f>
        <v/>
      </c>
      <c r="M223" s="9" t="str">
        <f>IF(COUNTBLANK($A223:$E223)&gt;0, "", IFERROR(AVERAGEIFS(Log!$I:$I, Log!$A:$A, $A223, Log!$B:$B, $B223, Log!$C:$C, $C223),""))</f>
        <v/>
      </c>
      <c r="N223" s="9" t="str">
        <f>IF(COUNTBLANK($A223:$E223)&gt;0, "", IFERROR(_xlfn.MINIFS(Log!$G:$G, Log!$A:$A, $A223, Log!$B:$B, $B223, Log!$C:$C, $C223),""))</f>
        <v/>
      </c>
      <c r="O223" s="9" t="str">
        <f>IF(COUNTBLANK($A223:$E223)&gt;0, "", IFERROR(_xlfn.MAXIFS(Log!$G:$G, Log!$A:$A, $A223, Log!$B:$B, $B223, Log!$C:$C, $C223),""))</f>
        <v/>
      </c>
    </row>
    <row r="224" spans="2:15" x14ac:dyDescent="0.3">
      <c r="B224" s="8" t="s">
        <v>117</v>
      </c>
      <c r="C224" s="66">
        <v>0</v>
      </c>
      <c r="H224" s="14" t="str">
        <f>IF(COUNTBLANK($A224:$E224)&gt;0, "", IFERROR(AVERAGEIFS(Log!$E:$E, Log!$A:$A, $A224, Log!$B:$B, $B224, Log!$C:$C, $C224),""))</f>
        <v/>
      </c>
      <c r="I224" s="64" t="str">
        <f t="shared" si="3"/>
        <v/>
      </c>
      <c r="J224" s="9" t="str">
        <f>IF(COUNTBLANK($A224:$E224)&gt;0, "", IFERROR(AVERAGEIFS(Log!$H:$H, Log!$A:$A, $A224, Log!$B:$B, $B224, Log!$C:$C, $C224),""))</f>
        <v/>
      </c>
      <c r="K224" s="9" t="str">
        <f>IF(COUNTBLANK($A224:$E224)&gt;0, "", IFERROR(_xlfn.MINIFS(Log!$F:$F, Log!$A:$A, $A224, Log!$B:$B, $B224, Log!$C:$C, $C224),""))</f>
        <v/>
      </c>
      <c r="L224" s="9" t="str">
        <f>IF(COUNTBLANK($A224:$E224)&gt;0, "", IFERROR(_xlfn.MAXIFS(Log!$F:$F, Log!$A:$A, $A224, Log!$B:$B, $B224, Log!$C:$C, $C224),""))</f>
        <v/>
      </c>
      <c r="M224" s="9" t="str">
        <f>IF(COUNTBLANK($A224:$E224)&gt;0, "", IFERROR(AVERAGEIFS(Log!$I:$I, Log!$A:$A, $A224, Log!$B:$B, $B224, Log!$C:$C, $C224),""))</f>
        <v/>
      </c>
      <c r="N224" s="9" t="str">
        <f>IF(COUNTBLANK($A224:$E224)&gt;0, "", IFERROR(_xlfn.MINIFS(Log!$G:$G, Log!$A:$A, $A224, Log!$B:$B, $B224, Log!$C:$C, $C224),""))</f>
        <v/>
      </c>
      <c r="O224" s="9" t="str">
        <f>IF(COUNTBLANK($A224:$E224)&gt;0, "", IFERROR(_xlfn.MAXIFS(Log!$G:$G, Log!$A:$A, $A224, Log!$B:$B, $B224, Log!$C:$C, $C224),""))</f>
        <v/>
      </c>
    </row>
    <row r="225" spans="2:15" x14ac:dyDescent="0.3">
      <c r="B225" s="8" t="s">
        <v>117</v>
      </c>
      <c r="C225" s="66">
        <v>0</v>
      </c>
      <c r="H225" s="14" t="str">
        <f>IF(COUNTBLANK($A225:$E225)&gt;0, "", IFERROR(AVERAGEIFS(Log!$E:$E, Log!$A:$A, $A225, Log!$B:$B, $B225, Log!$C:$C, $C225),""))</f>
        <v/>
      </c>
      <c r="I225" s="64" t="str">
        <f t="shared" si="3"/>
        <v/>
      </c>
      <c r="J225" s="9" t="str">
        <f>IF(COUNTBLANK($A225:$E225)&gt;0, "", IFERROR(AVERAGEIFS(Log!$H:$H, Log!$A:$A, $A225, Log!$B:$B, $B225, Log!$C:$C, $C225),""))</f>
        <v/>
      </c>
      <c r="K225" s="9" t="str">
        <f>IF(COUNTBLANK($A225:$E225)&gt;0, "", IFERROR(_xlfn.MINIFS(Log!$F:$F, Log!$A:$A, $A225, Log!$B:$B, $B225, Log!$C:$C, $C225),""))</f>
        <v/>
      </c>
      <c r="L225" s="9" t="str">
        <f>IF(COUNTBLANK($A225:$E225)&gt;0, "", IFERROR(_xlfn.MAXIFS(Log!$F:$F, Log!$A:$A, $A225, Log!$B:$B, $B225, Log!$C:$C, $C225),""))</f>
        <v/>
      </c>
      <c r="M225" s="9" t="str">
        <f>IF(COUNTBLANK($A225:$E225)&gt;0, "", IFERROR(AVERAGEIFS(Log!$I:$I, Log!$A:$A, $A225, Log!$B:$B, $B225, Log!$C:$C, $C225),""))</f>
        <v/>
      </c>
      <c r="N225" s="9" t="str">
        <f>IF(COUNTBLANK($A225:$E225)&gt;0, "", IFERROR(_xlfn.MINIFS(Log!$G:$G, Log!$A:$A, $A225, Log!$B:$B, $B225, Log!$C:$C, $C225),""))</f>
        <v/>
      </c>
      <c r="O225" s="9" t="str">
        <f>IF(COUNTBLANK($A225:$E225)&gt;0, "", IFERROR(_xlfn.MAXIFS(Log!$G:$G, Log!$A:$A, $A225, Log!$B:$B, $B225, Log!$C:$C, $C225),""))</f>
        <v/>
      </c>
    </row>
    <row r="226" spans="2:15" x14ac:dyDescent="0.3">
      <c r="B226" s="8" t="s">
        <v>117</v>
      </c>
      <c r="C226" s="66">
        <v>0</v>
      </c>
      <c r="H226" s="14" t="str">
        <f>IF(COUNTBLANK($A226:$E226)&gt;0, "", IFERROR(AVERAGEIFS(Log!$E:$E, Log!$A:$A, $A226, Log!$B:$B, $B226, Log!$C:$C, $C226),""))</f>
        <v/>
      </c>
      <c r="I226" s="64" t="str">
        <f t="shared" si="3"/>
        <v/>
      </c>
      <c r="J226" s="9" t="str">
        <f>IF(COUNTBLANK($A226:$E226)&gt;0, "", IFERROR(AVERAGEIFS(Log!$H:$H, Log!$A:$A, $A226, Log!$B:$B, $B226, Log!$C:$C, $C226),""))</f>
        <v/>
      </c>
      <c r="K226" s="9" t="str">
        <f>IF(COUNTBLANK($A226:$E226)&gt;0, "", IFERROR(_xlfn.MINIFS(Log!$F:$F, Log!$A:$A, $A226, Log!$B:$B, $B226, Log!$C:$C, $C226),""))</f>
        <v/>
      </c>
      <c r="L226" s="9" t="str">
        <f>IF(COUNTBLANK($A226:$E226)&gt;0, "", IFERROR(_xlfn.MAXIFS(Log!$F:$F, Log!$A:$A, $A226, Log!$B:$B, $B226, Log!$C:$C, $C226),""))</f>
        <v/>
      </c>
      <c r="M226" s="9" t="str">
        <f>IF(COUNTBLANK($A226:$E226)&gt;0, "", IFERROR(AVERAGEIFS(Log!$I:$I, Log!$A:$A, $A226, Log!$B:$B, $B226, Log!$C:$C, $C226),""))</f>
        <v/>
      </c>
      <c r="N226" s="9" t="str">
        <f>IF(COUNTBLANK($A226:$E226)&gt;0, "", IFERROR(_xlfn.MINIFS(Log!$G:$G, Log!$A:$A, $A226, Log!$B:$B, $B226, Log!$C:$C, $C226),""))</f>
        <v/>
      </c>
      <c r="O226" s="9" t="str">
        <f>IF(COUNTBLANK($A226:$E226)&gt;0, "", IFERROR(_xlfn.MAXIFS(Log!$G:$G, Log!$A:$A, $A226, Log!$B:$B, $B226, Log!$C:$C, $C226),""))</f>
        <v/>
      </c>
    </row>
    <row r="227" spans="2:15" x14ac:dyDescent="0.3">
      <c r="B227" s="8" t="s">
        <v>117</v>
      </c>
      <c r="C227" s="66">
        <v>0</v>
      </c>
      <c r="H227" s="14" t="str">
        <f>IF(COUNTBLANK($A227:$E227)&gt;0, "", IFERROR(AVERAGEIFS(Log!$E:$E, Log!$A:$A, $A227, Log!$B:$B, $B227, Log!$C:$C, $C227),""))</f>
        <v/>
      </c>
      <c r="I227" s="64" t="str">
        <f t="shared" si="3"/>
        <v/>
      </c>
      <c r="J227" s="9" t="str">
        <f>IF(COUNTBLANK($A227:$E227)&gt;0, "", IFERROR(AVERAGEIFS(Log!$H:$H, Log!$A:$A, $A227, Log!$B:$B, $B227, Log!$C:$C, $C227),""))</f>
        <v/>
      </c>
      <c r="K227" s="9" t="str">
        <f>IF(COUNTBLANK($A227:$E227)&gt;0, "", IFERROR(_xlfn.MINIFS(Log!$F:$F, Log!$A:$A, $A227, Log!$B:$B, $B227, Log!$C:$C, $C227),""))</f>
        <v/>
      </c>
      <c r="L227" s="9" t="str">
        <f>IF(COUNTBLANK($A227:$E227)&gt;0, "", IFERROR(_xlfn.MAXIFS(Log!$F:$F, Log!$A:$A, $A227, Log!$B:$B, $B227, Log!$C:$C, $C227),""))</f>
        <v/>
      </c>
      <c r="M227" s="9" t="str">
        <f>IF(COUNTBLANK($A227:$E227)&gt;0, "", IFERROR(AVERAGEIFS(Log!$I:$I, Log!$A:$A, $A227, Log!$B:$B, $B227, Log!$C:$C, $C227),""))</f>
        <v/>
      </c>
      <c r="N227" s="9" t="str">
        <f>IF(COUNTBLANK($A227:$E227)&gt;0, "", IFERROR(_xlfn.MINIFS(Log!$G:$G, Log!$A:$A, $A227, Log!$B:$B, $B227, Log!$C:$C, $C227),""))</f>
        <v/>
      </c>
      <c r="O227" s="9" t="str">
        <f>IF(COUNTBLANK($A227:$E227)&gt;0, "", IFERROR(_xlfn.MAXIFS(Log!$G:$G, Log!$A:$A, $A227, Log!$B:$B, $B227, Log!$C:$C, $C227),""))</f>
        <v/>
      </c>
    </row>
    <row r="228" spans="2:15" x14ac:dyDescent="0.3">
      <c r="B228" s="8" t="s">
        <v>117</v>
      </c>
      <c r="C228" s="66">
        <v>0</v>
      </c>
      <c r="H228" s="14" t="str">
        <f>IF(COUNTBLANK($A228:$E228)&gt;0, "", IFERROR(AVERAGEIFS(Log!$E:$E, Log!$A:$A, $A228, Log!$B:$B, $B228, Log!$C:$C, $C228),""))</f>
        <v/>
      </c>
      <c r="I228" s="64" t="str">
        <f t="shared" si="3"/>
        <v/>
      </c>
      <c r="J228" s="9" t="str">
        <f>IF(COUNTBLANK($A228:$E228)&gt;0, "", IFERROR(AVERAGEIFS(Log!$H:$H, Log!$A:$A, $A228, Log!$B:$B, $B228, Log!$C:$C, $C228),""))</f>
        <v/>
      </c>
      <c r="K228" s="9" t="str">
        <f>IF(COUNTBLANK($A228:$E228)&gt;0, "", IFERROR(_xlfn.MINIFS(Log!$F:$F, Log!$A:$A, $A228, Log!$B:$B, $B228, Log!$C:$C, $C228),""))</f>
        <v/>
      </c>
      <c r="L228" s="9" t="str">
        <f>IF(COUNTBLANK($A228:$E228)&gt;0, "", IFERROR(_xlfn.MAXIFS(Log!$F:$F, Log!$A:$A, $A228, Log!$B:$B, $B228, Log!$C:$C, $C228),""))</f>
        <v/>
      </c>
      <c r="M228" s="9" t="str">
        <f>IF(COUNTBLANK($A228:$E228)&gt;0, "", IFERROR(AVERAGEIFS(Log!$I:$I, Log!$A:$A, $A228, Log!$B:$B, $B228, Log!$C:$C, $C228),""))</f>
        <v/>
      </c>
      <c r="N228" s="9" t="str">
        <f>IF(COUNTBLANK($A228:$E228)&gt;0, "", IFERROR(_xlfn.MINIFS(Log!$G:$G, Log!$A:$A, $A228, Log!$B:$B, $B228, Log!$C:$C, $C228),""))</f>
        <v/>
      </c>
      <c r="O228" s="9" t="str">
        <f>IF(COUNTBLANK($A228:$E228)&gt;0, "", IFERROR(_xlfn.MAXIFS(Log!$G:$G, Log!$A:$A, $A228, Log!$B:$B, $B228, Log!$C:$C, $C228),""))</f>
        <v/>
      </c>
    </row>
    <row r="229" spans="2:15" x14ac:dyDescent="0.3">
      <c r="B229" s="8" t="s">
        <v>117</v>
      </c>
      <c r="C229" s="66">
        <v>0</v>
      </c>
      <c r="H229" s="14" t="str">
        <f>IF(COUNTBLANK($A229:$E229)&gt;0, "", IFERROR(AVERAGEIFS(Log!$E:$E, Log!$A:$A, $A229, Log!$B:$B, $B229, Log!$C:$C, $C229),""))</f>
        <v/>
      </c>
      <c r="I229" s="64" t="str">
        <f t="shared" si="3"/>
        <v/>
      </c>
      <c r="J229" s="9" t="str">
        <f>IF(COUNTBLANK($A229:$E229)&gt;0, "", IFERROR(AVERAGEIFS(Log!$H:$H, Log!$A:$A, $A229, Log!$B:$B, $B229, Log!$C:$C, $C229),""))</f>
        <v/>
      </c>
      <c r="K229" s="9" t="str">
        <f>IF(COUNTBLANK($A229:$E229)&gt;0, "", IFERROR(_xlfn.MINIFS(Log!$F:$F, Log!$A:$A, $A229, Log!$B:$B, $B229, Log!$C:$C, $C229),""))</f>
        <v/>
      </c>
      <c r="L229" s="9" t="str">
        <f>IF(COUNTBLANK($A229:$E229)&gt;0, "", IFERROR(_xlfn.MAXIFS(Log!$F:$F, Log!$A:$A, $A229, Log!$B:$B, $B229, Log!$C:$C, $C229),""))</f>
        <v/>
      </c>
      <c r="M229" s="9" t="str">
        <f>IF(COUNTBLANK($A229:$E229)&gt;0, "", IFERROR(AVERAGEIFS(Log!$I:$I, Log!$A:$A, $A229, Log!$B:$B, $B229, Log!$C:$C, $C229),""))</f>
        <v/>
      </c>
      <c r="N229" s="9" t="str">
        <f>IF(COUNTBLANK($A229:$E229)&gt;0, "", IFERROR(_xlfn.MINIFS(Log!$G:$G, Log!$A:$A, $A229, Log!$B:$B, $B229, Log!$C:$C, $C229),""))</f>
        <v/>
      </c>
      <c r="O229" s="9" t="str">
        <f>IF(COUNTBLANK($A229:$E229)&gt;0, "", IFERROR(_xlfn.MAXIFS(Log!$G:$G, Log!$A:$A, $A229, Log!$B:$B, $B229, Log!$C:$C, $C229),""))</f>
        <v/>
      </c>
    </row>
    <row r="230" spans="2:15" x14ac:dyDescent="0.3">
      <c r="B230" s="8" t="s">
        <v>117</v>
      </c>
      <c r="C230" s="66">
        <v>0</v>
      </c>
      <c r="H230" s="14" t="str">
        <f>IF(COUNTBLANK($A230:$E230)&gt;0, "", IFERROR(AVERAGEIFS(Log!$E:$E, Log!$A:$A, $A230, Log!$B:$B, $B230, Log!$C:$C, $C230),""))</f>
        <v/>
      </c>
      <c r="I230" s="64" t="str">
        <f t="shared" si="3"/>
        <v/>
      </c>
      <c r="J230" s="9" t="str">
        <f>IF(COUNTBLANK($A230:$E230)&gt;0, "", IFERROR(AVERAGEIFS(Log!$H:$H, Log!$A:$A, $A230, Log!$B:$B, $B230, Log!$C:$C, $C230),""))</f>
        <v/>
      </c>
      <c r="K230" s="9" t="str">
        <f>IF(COUNTBLANK($A230:$E230)&gt;0, "", IFERROR(_xlfn.MINIFS(Log!$F:$F, Log!$A:$A, $A230, Log!$B:$B, $B230, Log!$C:$C, $C230),""))</f>
        <v/>
      </c>
      <c r="L230" s="9" t="str">
        <f>IF(COUNTBLANK($A230:$E230)&gt;0, "", IFERROR(_xlfn.MAXIFS(Log!$F:$F, Log!$A:$A, $A230, Log!$B:$B, $B230, Log!$C:$C, $C230),""))</f>
        <v/>
      </c>
      <c r="M230" s="9" t="str">
        <f>IF(COUNTBLANK($A230:$E230)&gt;0, "", IFERROR(AVERAGEIFS(Log!$I:$I, Log!$A:$A, $A230, Log!$B:$B, $B230, Log!$C:$C, $C230),""))</f>
        <v/>
      </c>
      <c r="N230" s="9" t="str">
        <f>IF(COUNTBLANK($A230:$E230)&gt;0, "", IFERROR(_xlfn.MINIFS(Log!$G:$G, Log!$A:$A, $A230, Log!$B:$B, $B230, Log!$C:$C, $C230),""))</f>
        <v/>
      </c>
      <c r="O230" s="9" t="str">
        <f>IF(COUNTBLANK($A230:$E230)&gt;0, "", IFERROR(_xlfn.MAXIFS(Log!$G:$G, Log!$A:$A, $A230, Log!$B:$B, $B230, Log!$C:$C, $C230),""))</f>
        <v/>
      </c>
    </row>
    <row r="231" spans="2:15" x14ac:dyDescent="0.3">
      <c r="B231" s="8" t="s">
        <v>117</v>
      </c>
      <c r="C231" s="66">
        <v>0</v>
      </c>
      <c r="H231" s="14" t="str">
        <f>IF(COUNTBLANK($A231:$E231)&gt;0, "", IFERROR(AVERAGEIFS(Log!$E:$E, Log!$A:$A, $A231, Log!$B:$B, $B231, Log!$C:$C, $C231),""))</f>
        <v/>
      </c>
      <c r="I231" s="64" t="str">
        <f t="shared" si="3"/>
        <v/>
      </c>
      <c r="J231" s="9" t="str">
        <f>IF(COUNTBLANK($A231:$E231)&gt;0, "", IFERROR(AVERAGEIFS(Log!$H:$H, Log!$A:$A, $A231, Log!$B:$B, $B231, Log!$C:$C, $C231),""))</f>
        <v/>
      </c>
      <c r="K231" s="9" t="str">
        <f>IF(COUNTBLANK($A231:$E231)&gt;0, "", IFERROR(_xlfn.MINIFS(Log!$F:$F, Log!$A:$A, $A231, Log!$B:$B, $B231, Log!$C:$C, $C231),""))</f>
        <v/>
      </c>
      <c r="L231" s="9" t="str">
        <f>IF(COUNTBLANK($A231:$E231)&gt;0, "", IFERROR(_xlfn.MAXIFS(Log!$F:$F, Log!$A:$A, $A231, Log!$B:$B, $B231, Log!$C:$C, $C231),""))</f>
        <v/>
      </c>
      <c r="M231" s="9" t="str">
        <f>IF(COUNTBLANK($A231:$E231)&gt;0, "", IFERROR(AVERAGEIFS(Log!$I:$I, Log!$A:$A, $A231, Log!$B:$B, $B231, Log!$C:$C, $C231),""))</f>
        <v/>
      </c>
      <c r="N231" s="9" t="str">
        <f>IF(COUNTBLANK($A231:$E231)&gt;0, "", IFERROR(_xlfn.MINIFS(Log!$G:$G, Log!$A:$A, $A231, Log!$B:$B, $B231, Log!$C:$C, $C231),""))</f>
        <v/>
      </c>
      <c r="O231" s="9" t="str">
        <f>IF(COUNTBLANK($A231:$E231)&gt;0, "", IFERROR(_xlfn.MAXIFS(Log!$G:$G, Log!$A:$A, $A231, Log!$B:$B, $B231, Log!$C:$C, $C231),""))</f>
        <v/>
      </c>
    </row>
    <row r="232" spans="2:15" x14ac:dyDescent="0.3">
      <c r="B232" s="8" t="s">
        <v>117</v>
      </c>
      <c r="C232" s="66">
        <v>0</v>
      </c>
      <c r="H232" s="14" t="str">
        <f>IF(COUNTBLANK($A232:$E232)&gt;0, "", IFERROR(AVERAGEIFS(Log!$E:$E, Log!$A:$A, $A232, Log!$B:$B, $B232, Log!$C:$C, $C232),""))</f>
        <v/>
      </c>
      <c r="I232" s="64" t="str">
        <f t="shared" si="3"/>
        <v/>
      </c>
      <c r="J232" s="9" t="str">
        <f>IF(COUNTBLANK($A232:$E232)&gt;0, "", IFERROR(AVERAGEIFS(Log!$H:$H, Log!$A:$A, $A232, Log!$B:$B, $B232, Log!$C:$C, $C232),""))</f>
        <v/>
      </c>
      <c r="K232" s="9" t="str">
        <f>IF(COUNTBLANK($A232:$E232)&gt;0, "", IFERROR(_xlfn.MINIFS(Log!$F:$F, Log!$A:$A, $A232, Log!$B:$B, $B232, Log!$C:$C, $C232),""))</f>
        <v/>
      </c>
      <c r="L232" s="9" t="str">
        <f>IF(COUNTBLANK($A232:$E232)&gt;0, "", IFERROR(_xlfn.MAXIFS(Log!$F:$F, Log!$A:$A, $A232, Log!$B:$B, $B232, Log!$C:$C, $C232),""))</f>
        <v/>
      </c>
      <c r="M232" s="9" t="str">
        <f>IF(COUNTBLANK($A232:$E232)&gt;0, "", IFERROR(AVERAGEIFS(Log!$I:$I, Log!$A:$A, $A232, Log!$B:$B, $B232, Log!$C:$C, $C232),""))</f>
        <v/>
      </c>
      <c r="N232" s="9" t="str">
        <f>IF(COUNTBLANK($A232:$E232)&gt;0, "", IFERROR(_xlfn.MINIFS(Log!$G:$G, Log!$A:$A, $A232, Log!$B:$B, $B232, Log!$C:$C, $C232),""))</f>
        <v/>
      </c>
      <c r="O232" s="9" t="str">
        <f>IF(COUNTBLANK($A232:$E232)&gt;0, "", IFERROR(_xlfn.MAXIFS(Log!$G:$G, Log!$A:$A, $A232, Log!$B:$B, $B232, Log!$C:$C, $C232),""))</f>
        <v/>
      </c>
    </row>
    <row r="233" spans="2:15" x14ac:dyDescent="0.3">
      <c r="B233" s="8" t="s">
        <v>117</v>
      </c>
      <c r="C233" s="66">
        <v>0</v>
      </c>
      <c r="H233" s="14" t="str">
        <f>IF(COUNTBLANK($A233:$E233)&gt;0, "", IFERROR(AVERAGEIFS(Log!$E:$E, Log!$A:$A, $A233, Log!$B:$B, $B233, Log!$C:$C, $C233),""))</f>
        <v/>
      </c>
      <c r="I233" s="64" t="str">
        <f t="shared" si="3"/>
        <v/>
      </c>
      <c r="J233" s="9" t="str">
        <f>IF(COUNTBLANK($A233:$E233)&gt;0, "", IFERROR(AVERAGEIFS(Log!$H:$H, Log!$A:$A, $A233, Log!$B:$B, $B233, Log!$C:$C, $C233),""))</f>
        <v/>
      </c>
      <c r="K233" s="9" t="str">
        <f>IF(COUNTBLANK($A233:$E233)&gt;0, "", IFERROR(_xlfn.MINIFS(Log!$F:$F, Log!$A:$A, $A233, Log!$B:$B, $B233, Log!$C:$C, $C233),""))</f>
        <v/>
      </c>
      <c r="L233" s="9" t="str">
        <f>IF(COUNTBLANK($A233:$E233)&gt;0, "", IFERROR(_xlfn.MAXIFS(Log!$F:$F, Log!$A:$A, $A233, Log!$B:$B, $B233, Log!$C:$C, $C233),""))</f>
        <v/>
      </c>
      <c r="M233" s="9" t="str">
        <f>IF(COUNTBLANK($A233:$E233)&gt;0, "", IFERROR(AVERAGEIFS(Log!$I:$I, Log!$A:$A, $A233, Log!$B:$B, $B233, Log!$C:$C, $C233),""))</f>
        <v/>
      </c>
      <c r="N233" s="9" t="str">
        <f>IF(COUNTBLANK($A233:$E233)&gt;0, "", IFERROR(_xlfn.MINIFS(Log!$G:$G, Log!$A:$A, $A233, Log!$B:$B, $B233, Log!$C:$C, $C233),""))</f>
        <v/>
      </c>
      <c r="O233" s="9" t="str">
        <f>IF(COUNTBLANK($A233:$E233)&gt;0, "", IFERROR(_xlfn.MAXIFS(Log!$G:$G, Log!$A:$A, $A233, Log!$B:$B, $B233, Log!$C:$C, $C233),""))</f>
        <v/>
      </c>
    </row>
    <row r="234" spans="2:15" x14ac:dyDescent="0.3">
      <c r="B234" s="8" t="s">
        <v>117</v>
      </c>
      <c r="C234" s="66">
        <v>0</v>
      </c>
      <c r="H234" s="14" t="str">
        <f>IF(COUNTBLANK($A234:$E234)&gt;0, "", IFERROR(AVERAGEIFS(Log!$E:$E, Log!$A:$A, $A234, Log!$B:$B, $B234, Log!$C:$C, $C234),""))</f>
        <v/>
      </c>
      <c r="I234" s="64" t="str">
        <f t="shared" si="3"/>
        <v/>
      </c>
      <c r="J234" s="9" t="str">
        <f>IF(COUNTBLANK($A234:$E234)&gt;0, "", IFERROR(AVERAGEIFS(Log!$H:$H, Log!$A:$A, $A234, Log!$B:$B, $B234, Log!$C:$C, $C234),""))</f>
        <v/>
      </c>
      <c r="K234" s="9" t="str">
        <f>IF(COUNTBLANK($A234:$E234)&gt;0, "", IFERROR(_xlfn.MINIFS(Log!$F:$F, Log!$A:$A, $A234, Log!$B:$B, $B234, Log!$C:$C, $C234),""))</f>
        <v/>
      </c>
      <c r="L234" s="9" t="str">
        <f>IF(COUNTBLANK($A234:$E234)&gt;0, "", IFERROR(_xlfn.MAXIFS(Log!$F:$F, Log!$A:$A, $A234, Log!$B:$B, $B234, Log!$C:$C, $C234),""))</f>
        <v/>
      </c>
      <c r="M234" s="9" t="str">
        <f>IF(COUNTBLANK($A234:$E234)&gt;0, "", IFERROR(AVERAGEIFS(Log!$I:$I, Log!$A:$A, $A234, Log!$B:$B, $B234, Log!$C:$C, $C234),""))</f>
        <v/>
      </c>
      <c r="N234" s="9" t="str">
        <f>IF(COUNTBLANK($A234:$E234)&gt;0, "", IFERROR(_xlfn.MINIFS(Log!$G:$G, Log!$A:$A, $A234, Log!$B:$B, $B234, Log!$C:$C, $C234),""))</f>
        <v/>
      </c>
      <c r="O234" s="9" t="str">
        <f>IF(COUNTBLANK($A234:$E234)&gt;0, "", IFERROR(_xlfn.MAXIFS(Log!$G:$G, Log!$A:$A, $A234, Log!$B:$B, $B234, Log!$C:$C, $C234),""))</f>
        <v/>
      </c>
    </row>
    <row r="235" spans="2:15" x14ac:dyDescent="0.3">
      <c r="B235" s="8" t="s">
        <v>117</v>
      </c>
      <c r="C235" s="66">
        <v>0</v>
      </c>
      <c r="H235" s="14" t="str">
        <f>IF(COUNTBLANK($A235:$E235)&gt;0, "", IFERROR(AVERAGEIFS(Log!$E:$E, Log!$A:$A, $A235, Log!$B:$B, $B235, Log!$C:$C, $C235),""))</f>
        <v/>
      </c>
      <c r="I235" s="64" t="str">
        <f t="shared" si="3"/>
        <v/>
      </c>
      <c r="J235" s="9" t="str">
        <f>IF(COUNTBLANK($A235:$E235)&gt;0, "", IFERROR(AVERAGEIFS(Log!$H:$H, Log!$A:$A, $A235, Log!$B:$B, $B235, Log!$C:$C, $C235),""))</f>
        <v/>
      </c>
      <c r="K235" s="9" t="str">
        <f>IF(COUNTBLANK($A235:$E235)&gt;0, "", IFERROR(_xlfn.MINIFS(Log!$F:$F, Log!$A:$A, $A235, Log!$B:$B, $B235, Log!$C:$C, $C235),""))</f>
        <v/>
      </c>
      <c r="L235" s="9" t="str">
        <f>IF(COUNTBLANK($A235:$E235)&gt;0, "", IFERROR(_xlfn.MAXIFS(Log!$F:$F, Log!$A:$A, $A235, Log!$B:$B, $B235, Log!$C:$C, $C235),""))</f>
        <v/>
      </c>
      <c r="M235" s="9" t="str">
        <f>IF(COUNTBLANK($A235:$E235)&gt;0, "", IFERROR(AVERAGEIFS(Log!$I:$I, Log!$A:$A, $A235, Log!$B:$B, $B235, Log!$C:$C, $C235),""))</f>
        <v/>
      </c>
      <c r="N235" s="9" t="str">
        <f>IF(COUNTBLANK($A235:$E235)&gt;0, "", IFERROR(_xlfn.MINIFS(Log!$G:$G, Log!$A:$A, $A235, Log!$B:$B, $B235, Log!$C:$C, $C235),""))</f>
        <v/>
      </c>
      <c r="O235" s="9" t="str">
        <f>IF(COUNTBLANK($A235:$E235)&gt;0, "", IFERROR(_xlfn.MAXIFS(Log!$G:$G, Log!$A:$A, $A235, Log!$B:$B, $B235, Log!$C:$C, $C235),""))</f>
        <v/>
      </c>
    </row>
    <row r="236" spans="2:15" x14ac:dyDescent="0.3">
      <c r="B236" s="8" t="s">
        <v>117</v>
      </c>
      <c r="C236" s="66">
        <v>0</v>
      </c>
      <c r="H236" s="14" t="str">
        <f>IF(COUNTBLANK($A236:$E236)&gt;0, "", IFERROR(AVERAGEIFS(Log!$E:$E, Log!$A:$A, $A236, Log!$B:$B, $B236, Log!$C:$C, $C236),""))</f>
        <v/>
      </c>
      <c r="I236" s="64" t="str">
        <f t="shared" si="3"/>
        <v/>
      </c>
      <c r="J236" s="9" t="str">
        <f>IF(COUNTBLANK($A236:$E236)&gt;0, "", IFERROR(AVERAGEIFS(Log!$H:$H, Log!$A:$A, $A236, Log!$B:$B, $B236, Log!$C:$C, $C236),""))</f>
        <v/>
      </c>
      <c r="K236" s="9" t="str">
        <f>IF(COUNTBLANK($A236:$E236)&gt;0, "", IFERROR(_xlfn.MINIFS(Log!$F:$F, Log!$A:$A, $A236, Log!$B:$B, $B236, Log!$C:$C, $C236),""))</f>
        <v/>
      </c>
      <c r="L236" s="9" t="str">
        <f>IF(COUNTBLANK($A236:$E236)&gt;0, "", IFERROR(_xlfn.MAXIFS(Log!$F:$F, Log!$A:$A, $A236, Log!$B:$B, $B236, Log!$C:$C, $C236),""))</f>
        <v/>
      </c>
      <c r="M236" s="9" t="str">
        <f>IF(COUNTBLANK($A236:$E236)&gt;0, "", IFERROR(AVERAGEIFS(Log!$I:$I, Log!$A:$A, $A236, Log!$B:$B, $B236, Log!$C:$C, $C236),""))</f>
        <v/>
      </c>
      <c r="N236" s="9" t="str">
        <f>IF(COUNTBLANK($A236:$E236)&gt;0, "", IFERROR(_xlfn.MINIFS(Log!$G:$G, Log!$A:$A, $A236, Log!$B:$B, $B236, Log!$C:$C, $C236),""))</f>
        <v/>
      </c>
      <c r="O236" s="9" t="str">
        <f>IF(COUNTBLANK($A236:$E236)&gt;0, "", IFERROR(_xlfn.MAXIFS(Log!$G:$G, Log!$A:$A, $A236, Log!$B:$B, $B236, Log!$C:$C, $C236),""))</f>
        <v/>
      </c>
    </row>
    <row r="237" spans="2:15" x14ac:dyDescent="0.3">
      <c r="B237" s="8" t="s">
        <v>117</v>
      </c>
      <c r="C237" s="66">
        <v>0</v>
      </c>
      <c r="H237" s="14" t="str">
        <f>IF(COUNTBLANK($A237:$E237)&gt;0, "", IFERROR(AVERAGEIFS(Log!$E:$E, Log!$A:$A, $A237, Log!$B:$B, $B237, Log!$C:$C, $C237),""))</f>
        <v/>
      </c>
      <c r="I237" s="64" t="str">
        <f t="shared" si="3"/>
        <v/>
      </c>
      <c r="J237" s="9" t="str">
        <f>IF(COUNTBLANK($A237:$E237)&gt;0, "", IFERROR(AVERAGEIFS(Log!$H:$H, Log!$A:$A, $A237, Log!$B:$B, $B237, Log!$C:$C, $C237),""))</f>
        <v/>
      </c>
      <c r="K237" s="9" t="str">
        <f>IF(COUNTBLANK($A237:$E237)&gt;0, "", IFERROR(_xlfn.MINIFS(Log!$F:$F, Log!$A:$A, $A237, Log!$B:$B, $B237, Log!$C:$C, $C237),""))</f>
        <v/>
      </c>
      <c r="L237" s="9" t="str">
        <f>IF(COUNTBLANK($A237:$E237)&gt;0, "", IFERROR(_xlfn.MAXIFS(Log!$F:$F, Log!$A:$A, $A237, Log!$B:$B, $B237, Log!$C:$C, $C237),""))</f>
        <v/>
      </c>
      <c r="M237" s="9" t="str">
        <f>IF(COUNTBLANK($A237:$E237)&gt;0, "", IFERROR(AVERAGEIFS(Log!$I:$I, Log!$A:$A, $A237, Log!$B:$B, $B237, Log!$C:$C, $C237),""))</f>
        <v/>
      </c>
      <c r="N237" s="9" t="str">
        <f>IF(COUNTBLANK($A237:$E237)&gt;0, "", IFERROR(_xlfn.MINIFS(Log!$G:$G, Log!$A:$A, $A237, Log!$B:$B, $B237, Log!$C:$C, $C237),""))</f>
        <v/>
      </c>
      <c r="O237" s="9" t="str">
        <f>IF(COUNTBLANK($A237:$E237)&gt;0, "", IFERROR(_xlfn.MAXIFS(Log!$G:$G, Log!$A:$A, $A237, Log!$B:$B, $B237, Log!$C:$C, $C237),""))</f>
        <v/>
      </c>
    </row>
    <row r="238" spans="2:15" x14ac:dyDescent="0.3">
      <c r="B238" s="8" t="s">
        <v>117</v>
      </c>
      <c r="C238" s="66">
        <v>0</v>
      </c>
      <c r="H238" s="14" t="str">
        <f>IF(COUNTBLANK($A238:$E238)&gt;0, "", IFERROR(AVERAGEIFS(Log!$E:$E, Log!$A:$A, $A238, Log!$B:$B, $B238, Log!$C:$C, $C238),""))</f>
        <v/>
      </c>
      <c r="I238" s="64" t="str">
        <f t="shared" si="3"/>
        <v/>
      </c>
      <c r="J238" s="9" t="str">
        <f>IF(COUNTBLANK($A238:$E238)&gt;0, "", IFERROR(AVERAGEIFS(Log!$H:$H, Log!$A:$A, $A238, Log!$B:$B, $B238, Log!$C:$C, $C238),""))</f>
        <v/>
      </c>
      <c r="K238" s="9" t="str">
        <f>IF(COUNTBLANK($A238:$E238)&gt;0, "", IFERROR(_xlfn.MINIFS(Log!$F:$F, Log!$A:$A, $A238, Log!$B:$B, $B238, Log!$C:$C, $C238),""))</f>
        <v/>
      </c>
      <c r="L238" s="9" t="str">
        <f>IF(COUNTBLANK($A238:$E238)&gt;0, "", IFERROR(_xlfn.MAXIFS(Log!$F:$F, Log!$A:$A, $A238, Log!$B:$B, $B238, Log!$C:$C, $C238),""))</f>
        <v/>
      </c>
      <c r="M238" s="9" t="str">
        <f>IF(COUNTBLANK($A238:$E238)&gt;0, "", IFERROR(AVERAGEIFS(Log!$I:$I, Log!$A:$A, $A238, Log!$B:$B, $B238, Log!$C:$C, $C238),""))</f>
        <v/>
      </c>
      <c r="N238" s="9" t="str">
        <f>IF(COUNTBLANK($A238:$E238)&gt;0, "", IFERROR(_xlfn.MINIFS(Log!$G:$G, Log!$A:$A, $A238, Log!$B:$B, $B238, Log!$C:$C, $C238),""))</f>
        <v/>
      </c>
      <c r="O238" s="9" t="str">
        <f>IF(COUNTBLANK($A238:$E238)&gt;0, "", IFERROR(_xlfn.MAXIFS(Log!$G:$G, Log!$A:$A, $A238, Log!$B:$B, $B238, Log!$C:$C, $C238),""))</f>
        <v/>
      </c>
    </row>
    <row r="239" spans="2:15" x14ac:dyDescent="0.3">
      <c r="B239" s="8" t="s">
        <v>117</v>
      </c>
      <c r="C239" s="66">
        <v>0</v>
      </c>
      <c r="H239" s="14" t="str">
        <f>IF(COUNTBLANK($A239:$E239)&gt;0, "", IFERROR(AVERAGEIFS(Log!$E:$E, Log!$A:$A, $A239, Log!$B:$B, $B239, Log!$C:$C, $C239),""))</f>
        <v/>
      </c>
      <c r="I239" s="64" t="str">
        <f t="shared" si="3"/>
        <v/>
      </c>
      <c r="J239" s="9" t="str">
        <f>IF(COUNTBLANK($A239:$E239)&gt;0, "", IFERROR(AVERAGEIFS(Log!$H:$H, Log!$A:$A, $A239, Log!$B:$B, $B239, Log!$C:$C, $C239),""))</f>
        <v/>
      </c>
      <c r="K239" s="9" t="str">
        <f>IF(COUNTBLANK($A239:$E239)&gt;0, "", IFERROR(_xlfn.MINIFS(Log!$F:$F, Log!$A:$A, $A239, Log!$B:$B, $B239, Log!$C:$C, $C239),""))</f>
        <v/>
      </c>
      <c r="L239" s="9" t="str">
        <f>IF(COUNTBLANK($A239:$E239)&gt;0, "", IFERROR(_xlfn.MAXIFS(Log!$F:$F, Log!$A:$A, $A239, Log!$B:$B, $B239, Log!$C:$C, $C239),""))</f>
        <v/>
      </c>
      <c r="M239" s="9" t="str">
        <f>IF(COUNTBLANK($A239:$E239)&gt;0, "", IFERROR(AVERAGEIFS(Log!$I:$I, Log!$A:$A, $A239, Log!$B:$B, $B239, Log!$C:$C, $C239),""))</f>
        <v/>
      </c>
      <c r="N239" s="9" t="str">
        <f>IF(COUNTBLANK($A239:$E239)&gt;0, "", IFERROR(_xlfn.MINIFS(Log!$G:$G, Log!$A:$A, $A239, Log!$B:$B, $B239, Log!$C:$C, $C239),""))</f>
        <v/>
      </c>
      <c r="O239" s="9" t="str">
        <f>IF(COUNTBLANK($A239:$E239)&gt;0, "", IFERROR(_xlfn.MAXIFS(Log!$G:$G, Log!$A:$A, $A239, Log!$B:$B, $B239, Log!$C:$C, $C239),""))</f>
        <v/>
      </c>
    </row>
    <row r="240" spans="2:15" x14ac:dyDescent="0.3">
      <c r="B240" s="8" t="s">
        <v>117</v>
      </c>
      <c r="C240" s="66">
        <v>0</v>
      </c>
      <c r="H240" s="14" t="str">
        <f>IF(COUNTBLANK($A240:$E240)&gt;0, "", IFERROR(AVERAGEIFS(Log!$E:$E, Log!$A:$A, $A240, Log!$B:$B, $B240, Log!$C:$C, $C240),""))</f>
        <v/>
      </c>
      <c r="I240" s="64" t="str">
        <f t="shared" si="3"/>
        <v/>
      </c>
      <c r="J240" s="9" t="str">
        <f>IF(COUNTBLANK($A240:$E240)&gt;0, "", IFERROR(AVERAGEIFS(Log!$H:$H, Log!$A:$A, $A240, Log!$B:$B, $B240, Log!$C:$C, $C240),""))</f>
        <v/>
      </c>
      <c r="K240" s="9" t="str">
        <f>IF(COUNTBLANK($A240:$E240)&gt;0, "", IFERROR(_xlfn.MINIFS(Log!$F:$F, Log!$A:$A, $A240, Log!$B:$B, $B240, Log!$C:$C, $C240),""))</f>
        <v/>
      </c>
      <c r="L240" s="9" t="str">
        <f>IF(COUNTBLANK($A240:$E240)&gt;0, "", IFERROR(_xlfn.MAXIFS(Log!$F:$F, Log!$A:$A, $A240, Log!$B:$B, $B240, Log!$C:$C, $C240),""))</f>
        <v/>
      </c>
      <c r="M240" s="9" t="str">
        <f>IF(COUNTBLANK($A240:$E240)&gt;0, "", IFERROR(AVERAGEIFS(Log!$I:$I, Log!$A:$A, $A240, Log!$B:$B, $B240, Log!$C:$C, $C240),""))</f>
        <v/>
      </c>
      <c r="N240" s="9" t="str">
        <f>IF(COUNTBLANK($A240:$E240)&gt;0, "", IFERROR(_xlfn.MINIFS(Log!$G:$G, Log!$A:$A, $A240, Log!$B:$B, $B240, Log!$C:$C, $C240),""))</f>
        <v/>
      </c>
      <c r="O240" s="9" t="str">
        <f>IF(COUNTBLANK($A240:$E240)&gt;0, "", IFERROR(_xlfn.MAXIFS(Log!$G:$G, Log!$A:$A, $A240, Log!$B:$B, $B240, Log!$C:$C, $C240),""))</f>
        <v/>
      </c>
    </row>
    <row r="241" spans="2:15" x14ac:dyDescent="0.3">
      <c r="B241" s="8" t="s">
        <v>117</v>
      </c>
      <c r="C241" s="66">
        <v>0</v>
      </c>
      <c r="H241" s="14" t="str">
        <f>IF(COUNTBLANK($A241:$E241)&gt;0, "", IFERROR(AVERAGEIFS(Log!$E:$E, Log!$A:$A, $A241, Log!$B:$B, $B241, Log!$C:$C, $C241),""))</f>
        <v/>
      </c>
      <c r="I241" s="64" t="str">
        <f t="shared" si="3"/>
        <v/>
      </c>
      <c r="J241" s="9" t="str">
        <f>IF(COUNTBLANK($A241:$E241)&gt;0, "", IFERROR(AVERAGEIFS(Log!$H:$H, Log!$A:$A, $A241, Log!$B:$B, $B241, Log!$C:$C, $C241),""))</f>
        <v/>
      </c>
      <c r="K241" s="9" t="str">
        <f>IF(COUNTBLANK($A241:$E241)&gt;0, "", IFERROR(_xlfn.MINIFS(Log!$F:$F, Log!$A:$A, $A241, Log!$B:$B, $B241, Log!$C:$C, $C241),""))</f>
        <v/>
      </c>
      <c r="L241" s="9" t="str">
        <f>IF(COUNTBLANK($A241:$E241)&gt;0, "", IFERROR(_xlfn.MAXIFS(Log!$F:$F, Log!$A:$A, $A241, Log!$B:$B, $B241, Log!$C:$C, $C241),""))</f>
        <v/>
      </c>
      <c r="M241" s="9" t="str">
        <f>IF(COUNTBLANK($A241:$E241)&gt;0, "", IFERROR(AVERAGEIFS(Log!$I:$I, Log!$A:$A, $A241, Log!$B:$B, $B241, Log!$C:$C, $C241),""))</f>
        <v/>
      </c>
      <c r="N241" s="9" t="str">
        <f>IF(COUNTBLANK($A241:$E241)&gt;0, "", IFERROR(_xlfn.MINIFS(Log!$G:$G, Log!$A:$A, $A241, Log!$B:$B, $B241, Log!$C:$C, $C241),""))</f>
        <v/>
      </c>
      <c r="O241" s="9" t="str">
        <f>IF(COUNTBLANK($A241:$E241)&gt;0, "", IFERROR(_xlfn.MAXIFS(Log!$G:$G, Log!$A:$A, $A241, Log!$B:$B, $B241, Log!$C:$C, $C241),""))</f>
        <v/>
      </c>
    </row>
    <row r="242" spans="2:15" x14ac:dyDescent="0.3">
      <c r="B242" s="8" t="s">
        <v>117</v>
      </c>
      <c r="C242" s="66">
        <v>0</v>
      </c>
      <c r="H242" s="14" t="str">
        <f>IF(COUNTBLANK($A242:$E242)&gt;0, "", IFERROR(AVERAGEIFS(Log!$E:$E, Log!$A:$A, $A242, Log!$B:$B, $B242, Log!$C:$C, $C242),""))</f>
        <v/>
      </c>
      <c r="I242" s="64" t="str">
        <f t="shared" si="3"/>
        <v/>
      </c>
      <c r="J242" s="9" t="str">
        <f>IF(COUNTBLANK($A242:$E242)&gt;0, "", IFERROR(AVERAGEIFS(Log!$H:$H, Log!$A:$A, $A242, Log!$B:$B, $B242, Log!$C:$C, $C242),""))</f>
        <v/>
      </c>
      <c r="K242" s="9" t="str">
        <f>IF(COUNTBLANK($A242:$E242)&gt;0, "", IFERROR(_xlfn.MINIFS(Log!$F:$F, Log!$A:$A, $A242, Log!$B:$B, $B242, Log!$C:$C, $C242),""))</f>
        <v/>
      </c>
      <c r="L242" s="9" t="str">
        <f>IF(COUNTBLANK($A242:$E242)&gt;0, "", IFERROR(_xlfn.MAXIFS(Log!$F:$F, Log!$A:$A, $A242, Log!$B:$B, $B242, Log!$C:$C, $C242),""))</f>
        <v/>
      </c>
      <c r="M242" s="9" t="str">
        <f>IF(COUNTBLANK($A242:$E242)&gt;0, "", IFERROR(AVERAGEIFS(Log!$I:$I, Log!$A:$A, $A242, Log!$B:$B, $B242, Log!$C:$C, $C242),""))</f>
        <v/>
      </c>
      <c r="N242" s="9" t="str">
        <f>IF(COUNTBLANK($A242:$E242)&gt;0, "", IFERROR(_xlfn.MINIFS(Log!$G:$G, Log!$A:$A, $A242, Log!$B:$B, $B242, Log!$C:$C, $C242),""))</f>
        <v/>
      </c>
      <c r="O242" s="9" t="str">
        <f>IF(COUNTBLANK($A242:$E242)&gt;0, "", IFERROR(_xlfn.MAXIFS(Log!$G:$G, Log!$A:$A, $A242, Log!$B:$B, $B242, Log!$C:$C, $C242),""))</f>
        <v/>
      </c>
    </row>
    <row r="243" spans="2:15" x14ac:dyDescent="0.3">
      <c r="B243" s="8" t="s">
        <v>117</v>
      </c>
      <c r="C243" s="66">
        <v>0</v>
      </c>
      <c r="H243" s="14" t="str">
        <f>IF(COUNTBLANK($A243:$E243)&gt;0, "", IFERROR(AVERAGEIFS(Log!$E:$E, Log!$A:$A, $A243, Log!$B:$B, $B243, Log!$C:$C, $C243),""))</f>
        <v/>
      </c>
      <c r="I243" s="64" t="str">
        <f t="shared" si="3"/>
        <v/>
      </c>
      <c r="J243" s="9" t="str">
        <f>IF(COUNTBLANK($A243:$E243)&gt;0, "", IFERROR(AVERAGEIFS(Log!$H:$H, Log!$A:$A, $A243, Log!$B:$B, $B243, Log!$C:$C, $C243),""))</f>
        <v/>
      </c>
      <c r="K243" s="9" t="str">
        <f>IF(COUNTBLANK($A243:$E243)&gt;0, "", IFERROR(_xlfn.MINIFS(Log!$F:$F, Log!$A:$A, $A243, Log!$B:$B, $B243, Log!$C:$C, $C243),""))</f>
        <v/>
      </c>
      <c r="L243" s="9" t="str">
        <f>IF(COUNTBLANK($A243:$E243)&gt;0, "", IFERROR(_xlfn.MAXIFS(Log!$F:$F, Log!$A:$A, $A243, Log!$B:$B, $B243, Log!$C:$C, $C243),""))</f>
        <v/>
      </c>
      <c r="M243" s="9" t="str">
        <f>IF(COUNTBLANK($A243:$E243)&gt;0, "", IFERROR(AVERAGEIFS(Log!$I:$I, Log!$A:$A, $A243, Log!$B:$B, $B243, Log!$C:$C, $C243),""))</f>
        <v/>
      </c>
      <c r="N243" s="9" t="str">
        <f>IF(COUNTBLANK($A243:$E243)&gt;0, "", IFERROR(_xlfn.MINIFS(Log!$G:$G, Log!$A:$A, $A243, Log!$B:$B, $B243, Log!$C:$C, $C243),""))</f>
        <v/>
      </c>
      <c r="O243" s="9" t="str">
        <f>IF(COUNTBLANK($A243:$E243)&gt;0, "", IFERROR(_xlfn.MAXIFS(Log!$G:$G, Log!$A:$A, $A243, Log!$B:$B, $B243, Log!$C:$C, $C243),""))</f>
        <v/>
      </c>
    </row>
    <row r="244" spans="2:15" x14ac:dyDescent="0.3">
      <c r="B244" s="8" t="s">
        <v>117</v>
      </c>
      <c r="C244" s="66">
        <v>0</v>
      </c>
      <c r="H244" s="14" t="str">
        <f>IF(COUNTBLANK($A244:$E244)&gt;0, "", IFERROR(AVERAGEIFS(Log!$E:$E, Log!$A:$A, $A244, Log!$B:$B, $B244, Log!$C:$C, $C244),""))</f>
        <v/>
      </c>
      <c r="I244" s="64" t="str">
        <f t="shared" si="3"/>
        <v/>
      </c>
      <c r="J244" s="9" t="str">
        <f>IF(COUNTBLANK($A244:$E244)&gt;0, "", IFERROR(AVERAGEIFS(Log!$H:$H, Log!$A:$A, $A244, Log!$B:$B, $B244, Log!$C:$C, $C244),""))</f>
        <v/>
      </c>
      <c r="K244" s="9" t="str">
        <f>IF(COUNTBLANK($A244:$E244)&gt;0, "", IFERROR(_xlfn.MINIFS(Log!$F:$F, Log!$A:$A, $A244, Log!$B:$B, $B244, Log!$C:$C, $C244),""))</f>
        <v/>
      </c>
      <c r="L244" s="9" t="str">
        <f>IF(COUNTBLANK($A244:$E244)&gt;0, "", IFERROR(_xlfn.MAXIFS(Log!$F:$F, Log!$A:$A, $A244, Log!$B:$B, $B244, Log!$C:$C, $C244),""))</f>
        <v/>
      </c>
      <c r="M244" s="9" t="str">
        <f>IF(COUNTBLANK($A244:$E244)&gt;0, "", IFERROR(AVERAGEIFS(Log!$I:$I, Log!$A:$A, $A244, Log!$B:$B, $B244, Log!$C:$C, $C244),""))</f>
        <v/>
      </c>
      <c r="N244" s="9" t="str">
        <f>IF(COUNTBLANK($A244:$E244)&gt;0, "", IFERROR(_xlfn.MINIFS(Log!$G:$G, Log!$A:$A, $A244, Log!$B:$B, $B244, Log!$C:$C, $C244),""))</f>
        <v/>
      </c>
      <c r="O244" s="9" t="str">
        <f>IF(COUNTBLANK($A244:$E244)&gt;0, "", IFERROR(_xlfn.MAXIFS(Log!$G:$G, Log!$A:$A, $A244, Log!$B:$B, $B244, Log!$C:$C, $C244),""))</f>
        <v/>
      </c>
    </row>
    <row r="245" spans="2:15" x14ac:dyDescent="0.3">
      <c r="B245" s="8" t="s">
        <v>117</v>
      </c>
      <c r="C245" s="66">
        <v>0</v>
      </c>
      <c r="H245" s="14" t="str">
        <f>IF(COUNTBLANK($A245:$E245)&gt;0, "", IFERROR(AVERAGEIFS(Log!$E:$E, Log!$A:$A, $A245, Log!$B:$B, $B245, Log!$C:$C, $C245),""))</f>
        <v/>
      </c>
      <c r="I245" s="64" t="str">
        <f t="shared" si="3"/>
        <v/>
      </c>
      <c r="J245" s="9" t="str">
        <f>IF(COUNTBLANK($A245:$E245)&gt;0, "", IFERROR(AVERAGEIFS(Log!$H:$H, Log!$A:$A, $A245, Log!$B:$B, $B245, Log!$C:$C, $C245),""))</f>
        <v/>
      </c>
      <c r="K245" s="9" t="str">
        <f>IF(COUNTBLANK($A245:$E245)&gt;0, "", IFERROR(_xlfn.MINIFS(Log!$F:$F, Log!$A:$A, $A245, Log!$B:$B, $B245, Log!$C:$C, $C245),""))</f>
        <v/>
      </c>
      <c r="L245" s="9" t="str">
        <f>IF(COUNTBLANK($A245:$E245)&gt;0, "", IFERROR(_xlfn.MAXIFS(Log!$F:$F, Log!$A:$A, $A245, Log!$B:$B, $B245, Log!$C:$C, $C245),""))</f>
        <v/>
      </c>
      <c r="M245" s="9" t="str">
        <f>IF(COUNTBLANK($A245:$E245)&gt;0, "", IFERROR(AVERAGEIFS(Log!$I:$I, Log!$A:$A, $A245, Log!$B:$B, $B245, Log!$C:$C, $C245),""))</f>
        <v/>
      </c>
      <c r="N245" s="9" t="str">
        <f>IF(COUNTBLANK($A245:$E245)&gt;0, "", IFERROR(_xlfn.MINIFS(Log!$G:$G, Log!$A:$A, $A245, Log!$B:$B, $B245, Log!$C:$C, $C245),""))</f>
        <v/>
      </c>
      <c r="O245" s="9" t="str">
        <f>IF(COUNTBLANK($A245:$E245)&gt;0, "", IFERROR(_xlfn.MAXIFS(Log!$G:$G, Log!$A:$A, $A245, Log!$B:$B, $B245, Log!$C:$C, $C245),""))</f>
        <v/>
      </c>
    </row>
    <row r="246" spans="2:15" x14ac:dyDescent="0.3">
      <c r="B246" s="8" t="s">
        <v>117</v>
      </c>
      <c r="C246" s="66">
        <v>0</v>
      </c>
      <c r="H246" s="14" t="str">
        <f>IF(COUNTBLANK($A246:$E246)&gt;0, "", IFERROR(AVERAGEIFS(Log!$E:$E, Log!$A:$A, $A246, Log!$B:$B, $B246, Log!$C:$C, $C246),""))</f>
        <v/>
      </c>
      <c r="I246" s="64" t="str">
        <f t="shared" si="3"/>
        <v/>
      </c>
      <c r="J246" s="9" t="str">
        <f>IF(COUNTBLANK($A246:$E246)&gt;0, "", IFERROR(AVERAGEIFS(Log!$H:$H, Log!$A:$A, $A246, Log!$B:$B, $B246, Log!$C:$C, $C246),""))</f>
        <v/>
      </c>
      <c r="K246" s="9" t="str">
        <f>IF(COUNTBLANK($A246:$E246)&gt;0, "", IFERROR(_xlfn.MINIFS(Log!$F:$F, Log!$A:$A, $A246, Log!$B:$B, $B246, Log!$C:$C, $C246),""))</f>
        <v/>
      </c>
      <c r="L246" s="9" t="str">
        <f>IF(COUNTBLANK($A246:$E246)&gt;0, "", IFERROR(_xlfn.MAXIFS(Log!$F:$F, Log!$A:$A, $A246, Log!$B:$B, $B246, Log!$C:$C, $C246),""))</f>
        <v/>
      </c>
      <c r="M246" s="9" t="str">
        <f>IF(COUNTBLANK($A246:$E246)&gt;0, "", IFERROR(AVERAGEIFS(Log!$I:$I, Log!$A:$A, $A246, Log!$B:$B, $B246, Log!$C:$C, $C246),""))</f>
        <v/>
      </c>
      <c r="N246" s="9" t="str">
        <f>IF(COUNTBLANK($A246:$E246)&gt;0, "", IFERROR(_xlfn.MINIFS(Log!$G:$G, Log!$A:$A, $A246, Log!$B:$B, $B246, Log!$C:$C, $C246),""))</f>
        <v/>
      </c>
      <c r="O246" s="9" t="str">
        <f>IF(COUNTBLANK($A246:$E246)&gt;0, "", IFERROR(_xlfn.MAXIFS(Log!$G:$G, Log!$A:$A, $A246, Log!$B:$B, $B246, Log!$C:$C, $C246),""))</f>
        <v/>
      </c>
    </row>
    <row r="247" spans="2:15" x14ac:dyDescent="0.3">
      <c r="B247" s="8" t="s">
        <v>117</v>
      </c>
      <c r="C247" s="66">
        <v>0</v>
      </c>
      <c r="H247" s="14" t="str">
        <f>IF(COUNTBLANK($A247:$E247)&gt;0, "", IFERROR(AVERAGEIFS(Log!$E:$E, Log!$A:$A, $A247, Log!$B:$B, $B247, Log!$C:$C, $C247),""))</f>
        <v/>
      </c>
      <c r="I247" s="64" t="str">
        <f t="shared" si="3"/>
        <v/>
      </c>
      <c r="J247" s="9" t="str">
        <f>IF(COUNTBLANK($A247:$E247)&gt;0, "", IFERROR(AVERAGEIFS(Log!$H:$H, Log!$A:$A, $A247, Log!$B:$B, $B247, Log!$C:$C, $C247),""))</f>
        <v/>
      </c>
      <c r="K247" s="9" t="str">
        <f>IF(COUNTBLANK($A247:$E247)&gt;0, "", IFERROR(_xlfn.MINIFS(Log!$F:$F, Log!$A:$A, $A247, Log!$B:$B, $B247, Log!$C:$C, $C247),""))</f>
        <v/>
      </c>
      <c r="L247" s="9" t="str">
        <f>IF(COUNTBLANK($A247:$E247)&gt;0, "", IFERROR(_xlfn.MAXIFS(Log!$F:$F, Log!$A:$A, $A247, Log!$B:$B, $B247, Log!$C:$C, $C247),""))</f>
        <v/>
      </c>
      <c r="M247" s="9" t="str">
        <f>IF(COUNTBLANK($A247:$E247)&gt;0, "", IFERROR(AVERAGEIFS(Log!$I:$I, Log!$A:$A, $A247, Log!$B:$B, $B247, Log!$C:$C, $C247),""))</f>
        <v/>
      </c>
      <c r="N247" s="9" t="str">
        <f>IF(COUNTBLANK($A247:$E247)&gt;0, "", IFERROR(_xlfn.MINIFS(Log!$G:$G, Log!$A:$A, $A247, Log!$B:$B, $B247, Log!$C:$C, $C247),""))</f>
        <v/>
      </c>
      <c r="O247" s="9" t="str">
        <f>IF(COUNTBLANK($A247:$E247)&gt;0, "", IFERROR(_xlfn.MAXIFS(Log!$G:$G, Log!$A:$A, $A247, Log!$B:$B, $B247, Log!$C:$C, $C247),""))</f>
        <v/>
      </c>
    </row>
    <row r="248" spans="2:15" x14ac:dyDescent="0.3">
      <c r="B248" s="8" t="s">
        <v>117</v>
      </c>
      <c r="C248" s="66">
        <v>0</v>
      </c>
      <c r="H248" s="14" t="str">
        <f>IF(COUNTBLANK($A248:$E248)&gt;0, "", IFERROR(AVERAGEIFS(Log!$E:$E, Log!$A:$A, $A248, Log!$B:$B, $B248, Log!$C:$C, $C248),""))</f>
        <v/>
      </c>
      <c r="I248" s="64" t="str">
        <f t="shared" si="3"/>
        <v/>
      </c>
      <c r="J248" s="9" t="str">
        <f>IF(COUNTBLANK($A248:$E248)&gt;0, "", IFERROR(AVERAGEIFS(Log!$H:$H, Log!$A:$A, $A248, Log!$B:$B, $B248, Log!$C:$C, $C248),""))</f>
        <v/>
      </c>
      <c r="K248" s="9" t="str">
        <f>IF(COUNTBLANK($A248:$E248)&gt;0, "", IFERROR(_xlfn.MINIFS(Log!$F:$F, Log!$A:$A, $A248, Log!$B:$B, $B248, Log!$C:$C, $C248),""))</f>
        <v/>
      </c>
      <c r="L248" s="9" t="str">
        <f>IF(COUNTBLANK($A248:$E248)&gt;0, "", IFERROR(_xlfn.MAXIFS(Log!$F:$F, Log!$A:$A, $A248, Log!$B:$B, $B248, Log!$C:$C, $C248),""))</f>
        <v/>
      </c>
      <c r="M248" s="9" t="str">
        <f>IF(COUNTBLANK($A248:$E248)&gt;0, "", IFERROR(AVERAGEIFS(Log!$I:$I, Log!$A:$A, $A248, Log!$B:$B, $B248, Log!$C:$C, $C248),""))</f>
        <v/>
      </c>
      <c r="N248" s="9" t="str">
        <f>IF(COUNTBLANK($A248:$E248)&gt;0, "", IFERROR(_xlfn.MINIFS(Log!$G:$G, Log!$A:$A, $A248, Log!$B:$B, $B248, Log!$C:$C, $C248),""))</f>
        <v/>
      </c>
      <c r="O248" s="9" t="str">
        <f>IF(COUNTBLANK($A248:$E248)&gt;0, "", IFERROR(_xlfn.MAXIFS(Log!$G:$G, Log!$A:$A, $A248, Log!$B:$B, $B248, Log!$C:$C, $C248),""))</f>
        <v/>
      </c>
    </row>
    <row r="249" spans="2:15" x14ac:dyDescent="0.3">
      <c r="B249" s="8" t="s">
        <v>117</v>
      </c>
      <c r="C249" s="66">
        <v>0</v>
      </c>
      <c r="H249" s="14" t="str">
        <f>IF(COUNTBLANK($A249:$E249)&gt;0, "", IFERROR(AVERAGEIFS(Log!$E:$E, Log!$A:$A, $A249, Log!$B:$B, $B249, Log!$C:$C, $C249),""))</f>
        <v/>
      </c>
      <c r="I249" s="64" t="str">
        <f t="shared" si="3"/>
        <v/>
      </c>
      <c r="J249" s="9" t="str">
        <f>IF(COUNTBLANK($A249:$E249)&gt;0, "", IFERROR(AVERAGEIFS(Log!$H:$H, Log!$A:$A, $A249, Log!$B:$B, $B249, Log!$C:$C, $C249),""))</f>
        <v/>
      </c>
      <c r="K249" s="9" t="str">
        <f>IF(COUNTBLANK($A249:$E249)&gt;0, "", IFERROR(_xlfn.MINIFS(Log!$F:$F, Log!$A:$A, $A249, Log!$B:$B, $B249, Log!$C:$C, $C249),""))</f>
        <v/>
      </c>
      <c r="L249" s="9" t="str">
        <f>IF(COUNTBLANK($A249:$E249)&gt;0, "", IFERROR(_xlfn.MAXIFS(Log!$F:$F, Log!$A:$A, $A249, Log!$B:$B, $B249, Log!$C:$C, $C249),""))</f>
        <v/>
      </c>
      <c r="M249" s="9" t="str">
        <f>IF(COUNTBLANK($A249:$E249)&gt;0, "", IFERROR(AVERAGEIFS(Log!$I:$I, Log!$A:$A, $A249, Log!$B:$B, $B249, Log!$C:$C, $C249),""))</f>
        <v/>
      </c>
      <c r="N249" s="9" t="str">
        <f>IF(COUNTBLANK($A249:$E249)&gt;0, "", IFERROR(_xlfn.MINIFS(Log!$G:$G, Log!$A:$A, $A249, Log!$B:$B, $B249, Log!$C:$C, $C249),""))</f>
        <v/>
      </c>
      <c r="O249" s="9" t="str">
        <f>IF(COUNTBLANK($A249:$E249)&gt;0, "", IFERROR(_xlfn.MAXIFS(Log!$G:$G, Log!$A:$A, $A249, Log!$B:$B, $B249, Log!$C:$C, $C249),""))</f>
        <v/>
      </c>
    </row>
    <row r="250" spans="2:15" x14ac:dyDescent="0.3">
      <c r="B250" s="8" t="s">
        <v>117</v>
      </c>
      <c r="C250" s="66">
        <v>0</v>
      </c>
      <c r="H250" s="14" t="str">
        <f>IF(COUNTBLANK($A250:$E250)&gt;0, "", IFERROR(AVERAGEIFS(Log!$E:$E, Log!$A:$A, $A250, Log!$B:$B, $B250, Log!$C:$C, $C250),""))</f>
        <v/>
      </c>
      <c r="I250" s="64" t="str">
        <f t="shared" si="3"/>
        <v/>
      </c>
      <c r="J250" s="9" t="str">
        <f>IF(COUNTBLANK($A250:$E250)&gt;0, "", IFERROR(AVERAGEIFS(Log!$H:$H, Log!$A:$A, $A250, Log!$B:$B, $B250, Log!$C:$C, $C250),""))</f>
        <v/>
      </c>
      <c r="K250" s="9" t="str">
        <f>IF(COUNTBLANK($A250:$E250)&gt;0, "", IFERROR(_xlfn.MINIFS(Log!$F:$F, Log!$A:$A, $A250, Log!$B:$B, $B250, Log!$C:$C, $C250),""))</f>
        <v/>
      </c>
      <c r="L250" s="9" t="str">
        <f>IF(COUNTBLANK($A250:$E250)&gt;0, "", IFERROR(_xlfn.MAXIFS(Log!$F:$F, Log!$A:$A, $A250, Log!$B:$B, $B250, Log!$C:$C, $C250),""))</f>
        <v/>
      </c>
      <c r="M250" s="9" t="str">
        <f>IF(COUNTBLANK($A250:$E250)&gt;0, "", IFERROR(AVERAGEIFS(Log!$I:$I, Log!$A:$A, $A250, Log!$B:$B, $B250, Log!$C:$C, $C250),""))</f>
        <v/>
      </c>
      <c r="N250" s="9" t="str">
        <f>IF(COUNTBLANK($A250:$E250)&gt;0, "", IFERROR(_xlfn.MINIFS(Log!$G:$G, Log!$A:$A, $A250, Log!$B:$B, $B250, Log!$C:$C, $C250),""))</f>
        <v/>
      </c>
      <c r="O250" s="9" t="str">
        <f>IF(COUNTBLANK($A250:$E250)&gt;0, "", IFERROR(_xlfn.MAXIFS(Log!$G:$G, Log!$A:$A, $A250, Log!$B:$B, $B250, Log!$C:$C, $C250),""))</f>
        <v/>
      </c>
    </row>
    <row r="251" spans="2:15" x14ac:dyDescent="0.3">
      <c r="B251" s="8" t="s">
        <v>117</v>
      </c>
      <c r="C251" s="66">
        <v>0</v>
      </c>
      <c r="H251" s="14" t="str">
        <f>IF(COUNTBLANK($A251:$E251)&gt;0, "", IFERROR(AVERAGEIFS(Log!$E:$E, Log!$A:$A, $A251, Log!$B:$B, $B251, Log!$C:$C, $C251),""))</f>
        <v/>
      </c>
      <c r="I251" s="64" t="str">
        <f t="shared" si="3"/>
        <v/>
      </c>
      <c r="J251" s="9" t="str">
        <f>IF(COUNTBLANK($A251:$E251)&gt;0, "", IFERROR(AVERAGEIFS(Log!$H:$H, Log!$A:$A, $A251, Log!$B:$B, $B251, Log!$C:$C, $C251),""))</f>
        <v/>
      </c>
      <c r="K251" s="9" t="str">
        <f>IF(COUNTBLANK($A251:$E251)&gt;0, "", IFERROR(_xlfn.MINIFS(Log!$F:$F, Log!$A:$A, $A251, Log!$B:$B, $B251, Log!$C:$C, $C251),""))</f>
        <v/>
      </c>
      <c r="L251" s="9" t="str">
        <f>IF(COUNTBLANK($A251:$E251)&gt;0, "", IFERROR(_xlfn.MAXIFS(Log!$F:$F, Log!$A:$A, $A251, Log!$B:$B, $B251, Log!$C:$C, $C251),""))</f>
        <v/>
      </c>
      <c r="M251" s="9" t="str">
        <f>IF(COUNTBLANK($A251:$E251)&gt;0, "", IFERROR(AVERAGEIFS(Log!$I:$I, Log!$A:$A, $A251, Log!$B:$B, $B251, Log!$C:$C, $C251),""))</f>
        <v/>
      </c>
      <c r="N251" s="9" t="str">
        <f>IF(COUNTBLANK($A251:$E251)&gt;0, "", IFERROR(_xlfn.MINIFS(Log!$G:$G, Log!$A:$A, $A251, Log!$B:$B, $B251, Log!$C:$C, $C251),""))</f>
        <v/>
      </c>
      <c r="O251" s="9" t="str">
        <f>IF(COUNTBLANK($A251:$E251)&gt;0, "", IFERROR(_xlfn.MAXIFS(Log!$G:$G, Log!$A:$A, $A251, Log!$B:$B, $B251, Log!$C:$C, $C251),""))</f>
        <v/>
      </c>
    </row>
    <row r="252" spans="2:15" x14ac:dyDescent="0.3">
      <c r="B252" s="8" t="s">
        <v>117</v>
      </c>
      <c r="C252" s="66">
        <v>0</v>
      </c>
      <c r="H252" s="14" t="str">
        <f>IF(COUNTBLANK($A252:$E252)&gt;0, "", IFERROR(AVERAGEIFS(Log!$E:$E, Log!$A:$A, $A252, Log!$B:$B, $B252, Log!$C:$C, $C252),""))</f>
        <v/>
      </c>
      <c r="I252" s="64" t="str">
        <f t="shared" si="3"/>
        <v/>
      </c>
      <c r="J252" s="9" t="str">
        <f>IF(COUNTBLANK($A252:$E252)&gt;0, "", IFERROR(AVERAGEIFS(Log!$H:$H, Log!$A:$A, $A252, Log!$B:$B, $B252, Log!$C:$C, $C252),""))</f>
        <v/>
      </c>
      <c r="K252" s="9" t="str">
        <f>IF(COUNTBLANK($A252:$E252)&gt;0, "", IFERROR(_xlfn.MINIFS(Log!$F:$F, Log!$A:$A, $A252, Log!$B:$B, $B252, Log!$C:$C, $C252),""))</f>
        <v/>
      </c>
      <c r="L252" s="9" t="str">
        <f>IF(COUNTBLANK($A252:$E252)&gt;0, "", IFERROR(_xlfn.MAXIFS(Log!$F:$F, Log!$A:$A, $A252, Log!$B:$B, $B252, Log!$C:$C, $C252),""))</f>
        <v/>
      </c>
      <c r="M252" s="9" t="str">
        <f>IF(COUNTBLANK($A252:$E252)&gt;0, "", IFERROR(AVERAGEIFS(Log!$I:$I, Log!$A:$A, $A252, Log!$B:$B, $B252, Log!$C:$C, $C252),""))</f>
        <v/>
      </c>
      <c r="N252" s="9" t="str">
        <f>IF(COUNTBLANK($A252:$E252)&gt;0, "", IFERROR(_xlfn.MINIFS(Log!$G:$G, Log!$A:$A, $A252, Log!$B:$B, $B252, Log!$C:$C, $C252),""))</f>
        <v/>
      </c>
      <c r="O252" s="9" t="str">
        <f>IF(COUNTBLANK($A252:$E252)&gt;0, "", IFERROR(_xlfn.MAXIFS(Log!$G:$G, Log!$A:$A, $A252, Log!$B:$B, $B252, Log!$C:$C, $C252),""))</f>
        <v/>
      </c>
    </row>
    <row r="253" spans="2:15" x14ac:dyDescent="0.3">
      <c r="B253" s="8" t="s">
        <v>117</v>
      </c>
      <c r="C253" s="66">
        <v>0</v>
      </c>
      <c r="H253" s="14" t="str">
        <f>IF(COUNTBLANK($A253:$E253)&gt;0, "", IFERROR(AVERAGEIFS(Log!$E:$E, Log!$A:$A, $A253, Log!$B:$B, $B253, Log!$C:$C, $C253),""))</f>
        <v/>
      </c>
      <c r="I253" s="64" t="str">
        <f t="shared" si="3"/>
        <v/>
      </c>
      <c r="J253" s="9" t="str">
        <f>IF(COUNTBLANK($A253:$E253)&gt;0, "", IFERROR(AVERAGEIFS(Log!$H:$H, Log!$A:$A, $A253, Log!$B:$B, $B253, Log!$C:$C, $C253),""))</f>
        <v/>
      </c>
      <c r="K253" s="9" t="str">
        <f>IF(COUNTBLANK($A253:$E253)&gt;0, "", IFERROR(_xlfn.MINIFS(Log!$F:$F, Log!$A:$A, $A253, Log!$B:$B, $B253, Log!$C:$C, $C253),""))</f>
        <v/>
      </c>
      <c r="L253" s="9" t="str">
        <f>IF(COUNTBLANK($A253:$E253)&gt;0, "", IFERROR(_xlfn.MAXIFS(Log!$F:$F, Log!$A:$A, $A253, Log!$B:$B, $B253, Log!$C:$C, $C253),""))</f>
        <v/>
      </c>
      <c r="M253" s="9" t="str">
        <f>IF(COUNTBLANK($A253:$E253)&gt;0, "", IFERROR(AVERAGEIFS(Log!$I:$I, Log!$A:$A, $A253, Log!$B:$B, $B253, Log!$C:$C, $C253),""))</f>
        <v/>
      </c>
      <c r="N253" s="9" t="str">
        <f>IF(COUNTBLANK($A253:$E253)&gt;0, "", IFERROR(_xlfn.MINIFS(Log!$G:$G, Log!$A:$A, $A253, Log!$B:$B, $B253, Log!$C:$C, $C253),""))</f>
        <v/>
      </c>
      <c r="O253" s="9" t="str">
        <f>IF(COUNTBLANK($A253:$E253)&gt;0, "", IFERROR(_xlfn.MAXIFS(Log!$G:$G, Log!$A:$A, $A253, Log!$B:$B, $B253, Log!$C:$C, $C253),""))</f>
        <v/>
      </c>
    </row>
    <row r="254" spans="2:15" x14ac:dyDescent="0.3">
      <c r="B254" s="8" t="s">
        <v>117</v>
      </c>
      <c r="C254" s="66">
        <v>0</v>
      </c>
      <c r="H254" s="14" t="str">
        <f>IF(COUNTBLANK($A254:$E254)&gt;0, "", IFERROR(AVERAGEIFS(Log!$E:$E, Log!$A:$A, $A254, Log!$B:$B, $B254, Log!$C:$C, $C254),""))</f>
        <v/>
      </c>
      <c r="I254" s="64" t="str">
        <f t="shared" si="3"/>
        <v/>
      </c>
      <c r="J254" s="9" t="str">
        <f>IF(COUNTBLANK($A254:$E254)&gt;0, "", IFERROR(AVERAGEIFS(Log!$H:$H, Log!$A:$A, $A254, Log!$B:$B, $B254, Log!$C:$C, $C254),""))</f>
        <v/>
      </c>
      <c r="K254" s="9" t="str">
        <f>IF(COUNTBLANK($A254:$E254)&gt;0, "", IFERROR(_xlfn.MINIFS(Log!$F:$F, Log!$A:$A, $A254, Log!$B:$B, $B254, Log!$C:$C, $C254),""))</f>
        <v/>
      </c>
      <c r="L254" s="9" t="str">
        <f>IF(COUNTBLANK($A254:$E254)&gt;0, "", IFERROR(_xlfn.MAXIFS(Log!$F:$F, Log!$A:$A, $A254, Log!$B:$B, $B254, Log!$C:$C, $C254),""))</f>
        <v/>
      </c>
      <c r="M254" s="9" t="str">
        <f>IF(COUNTBLANK($A254:$E254)&gt;0, "", IFERROR(AVERAGEIFS(Log!$I:$I, Log!$A:$A, $A254, Log!$B:$B, $B254, Log!$C:$C, $C254),""))</f>
        <v/>
      </c>
      <c r="N254" s="9" t="str">
        <f>IF(COUNTBLANK($A254:$E254)&gt;0, "", IFERROR(_xlfn.MINIFS(Log!$G:$G, Log!$A:$A, $A254, Log!$B:$B, $B254, Log!$C:$C, $C254),""))</f>
        <v/>
      </c>
      <c r="O254" s="9" t="str">
        <f>IF(COUNTBLANK($A254:$E254)&gt;0, "", IFERROR(_xlfn.MAXIFS(Log!$G:$G, Log!$A:$A, $A254, Log!$B:$B, $B254, Log!$C:$C, $C254),""))</f>
        <v/>
      </c>
    </row>
    <row r="255" spans="2:15" x14ac:dyDescent="0.3">
      <c r="B255" s="8" t="s">
        <v>117</v>
      </c>
      <c r="C255" s="66">
        <v>0</v>
      </c>
      <c r="H255" s="14" t="str">
        <f>IF(COUNTBLANK($A255:$E255)&gt;0, "", IFERROR(AVERAGEIFS(Log!$E:$E, Log!$A:$A, $A255, Log!$B:$B, $B255, Log!$C:$C, $C255),""))</f>
        <v/>
      </c>
      <c r="I255" s="64" t="str">
        <f t="shared" si="3"/>
        <v/>
      </c>
      <c r="J255" s="9" t="str">
        <f>IF(COUNTBLANK($A255:$E255)&gt;0, "", IFERROR(AVERAGEIFS(Log!$H:$H, Log!$A:$A, $A255, Log!$B:$B, $B255, Log!$C:$C, $C255),""))</f>
        <v/>
      </c>
      <c r="K255" s="9" t="str">
        <f>IF(COUNTBLANK($A255:$E255)&gt;0, "", IFERROR(_xlfn.MINIFS(Log!$F:$F, Log!$A:$A, $A255, Log!$B:$B, $B255, Log!$C:$C, $C255),""))</f>
        <v/>
      </c>
      <c r="L255" s="9" t="str">
        <f>IF(COUNTBLANK($A255:$E255)&gt;0, "", IFERROR(_xlfn.MAXIFS(Log!$F:$F, Log!$A:$A, $A255, Log!$B:$B, $B255, Log!$C:$C, $C255),""))</f>
        <v/>
      </c>
      <c r="M255" s="9" t="str">
        <f>IF(COUNTBLANK($A255:$E255)&gt;0, "", IFERROR(AVERAGEIFS(Log!$I:$I, Log!$A:$A, $A255, Log!$B:$B, $B255, Log!$C:$C, $C255),""))</f>
        <v/>
      </c>
      <c r="N255" s="9" t="str">
        <f>IF(COUNTBLANK($A255:$E255)&gt;0, "", IFERROR(_xlfn.MINIFS(Log!$G:$G, Log!$A:$A, $A255, Log!$B:$B, $B255, Log!$C:$C, $C255),""))</f>
        <v/>
      </c>
      <c r="O255" s="9" t="str">
        <f>IF(COUNTBLANK($A255:$E255)&gt;0, "", IFERROR(_xlfn.MAXIFS(Log!$G:$G, Log!$A:$A, $A255, Log!$B:$B, $B255, Log!$C:$C, $C255),""))</f>
        <v/>
      </c>
    </row>
    <row r="256" spans="2:15" x14ac:dyDescent="0.3">
      <c r="B256" s="8" t="s">
        <v>117</v>
      </c>
      <c r="C256" s="66">
        <v>0</v>
      </c>
      <c r="H256" s="14" t="str">
        <f>IF(COUNTBLANK($A256:$E256)&gt;0, "", IFERROR(AVERAGEIFS(Log!$E:$E, Log!$A:$A, $A256, Log!$B:$B, $B256, Log!$C:$C, $C256),""))</f>
        <v/>
      </c>
      <c r="I256" s="64" t="str">
        <f t="shared" si="3"/>
        <v/>
      </c>
      <c r="J256" s="9" t="str">
        <f>IF(COUNTBLANK($A256:$E256)&gt;0, "", IFERROR(AVERAGEIFS(Log!$H:$H, Log!$A:$A, $A256, Log!$B:$B, $B256, Log!$C:$C, $C256),""))</f>
        <v/>
      </c>
      <c r="K256" s="9" t="str">
        <f>IF(COUNTBLANK($A256:$E256)&gt;0, "", IFERROR(_xlfn.MINIFS(Log!$F:$F, Log!$A:$A, $A256, Log!$B:$B, $B256, Log!$C:$C, $C256),""))</f>
        <v/>
      </c>
      <c r="L256" s="9" t="str">
        <f>IF(COUNTBLANK($A256:$E256)&gt;0, "", IFERROR(_xlfn.MAXIFS(Log!$F:$F, Log!$A:$A, $A256, Log!$B:$B, $B256, Log!$C:$C, $C256),""))</f>
        <v/>
      </c>
      <c r="M256" s="9" t="str">
        <f>IF(COUNTBLANK($A256:$E256)&gt;0, "", IFERROR(AVERAGEIFS(Log!$I:$I, Log!$A:$A, $A256, Log!$B:$B, $B256, Log!$C:$C, $C256),""))</f>
        <v/>
      </c>
      <c r="N256" s="9" t="str">
        <f>IF(COUNTBLANK($A256:$E256)&gt;0, "", IFERROR(_xlfn.MINIFS(Log!$G:$G, Log!$A:$A, $A256, Log!$B:$B, $B256, Log!$C:$C, $C256),""))</f>
        <v/>
      </c>
      <c r="O256" s="9" t="str">
        <f>IF(COUNTBLANK($A256:$E256)&gt;0, "", IFERROR(_xlfn.MAXIFS(Log!$G:$G, Log!$A:$A, $A256, Log!$B:$B, $B256, Log!$C:$C, $C256),""))</f>
        <v/>
      </c>
    </row>
    <row r="257" spans="2:15" x14ac:dyDescent="0.3">
      <c r="B257" s="8" t="s">
        <v>117</v>
      </c>
      <c r="C257" s="66">
        <v>0</v>
      </c>
      <c r="H257" s="14" t="str">
        <f>IF(COUNTBLANK($A257:$E257)&gt;0, "", IFERROR(AVERAGEIFS(Log!$E:$E, Log!$A:$A, $A257, Log!$B:$B, $B257, Log!$C:$C, $C257),""))</f>
        <v/>
      </c>
      <c r="I257" s="64" t="str">
        <f t="shared" si="3"/>
        <v/>
      </c>
      <c r="J257" s="9" t="str">
        <f>IF(COUNTBLANK($A257:$E257)&gt;0, "", IFERROR(AVERAGEIFS(Log!$H:$H, Log!$A:$A, $A257, Log!$B:$B, $B257, Log!$C:$C, $C257),""))</f>
        <v/>
      </c>
      <c r="K257" s="9" t="str">
        <f>IF(COUNTBLANK($A257:$E257)&gt;0, "", IFERROR(_xlfn.MINIFS(Log!$F:$F, Log!$A:$A, $A257, Log!$B:$B, $B257, Log!$C:$C, $C257),""))</f>
        <v/>
      </c>
      <c r="L257" s="9" t="str">
        <f>IF(COUNTBLANK($A257:$E257)&gt;0, "", IFERROR(_xlfn.MAXIFS(Log!$F:$F, Log!$A:$A, $A257, Log!$B:$B, $B257, Log!$C:$C, $C257),""))</f>
        <v/>
      </c>
      <c r="M257" s="9" t="str">
        <f>IF(COUNTBLANK($A257:$E257)&gt;0, "", IFERROR(AVERAGEIFS(Log!$I:$I, Log!$A:$A, $A257, Log!$B:$B, $B257, Log!$C:$C, $C257),""))</f>
        <v/>
      </c>
      <c r="N257" s="9" t="str">
        <f>IF(COUNTBLANK($A257:$E257)&gt;0, "", IFERROR(_xlfn.MINIFS(Log!$G:$G, Log!$A:$A, $A257, Log!$B:$B, $B257, Log!$C:$C, $C257),""))</f>
        <v/>
      </c>
      <c r="O257" s="9" t="str">
        <f>IF(COUNTBLANK($A257:$E257)&gt;0, "", IFERROR(_xlfn.MAXIFS(Log!$G:$G, Log!$A:$A, $A257, Log!$B:$B, $B257, Log!$C:$C, $C257),""))</f>
        <v/>
      </c>
    </row>
    <row r="258" spans="2:15" x14ac:dyDescent="0.3">
      <c r="B258" s="8" t="s">
        <v>117</v>
      </c>
      <c r="C258" s="66">
        <v>0</v>
      </c>
      <c r="H258" s="14" t="str">
        <f>IF(COUNTBLANK($A258:$E258)&gt;0, "", IFERROR(AVERAGEIFS(Log!$E:$E, Log!$A:$A, $A258, Log!$B:$B, $B258, Log!$C:$C, $C258),""))</f>
        <v/>
      </c>
      <c r="I258" s="64" t="str">
        <f t="shared" si="3"/>
        <v/>
      </c>
      <c r="J258" s="9" t="str">
        <f>IF(COUNTBLANK($A258:$E258)&gt;0, "", IFERROR(AVERAGEIFS(Log!$H:$H, Log!$A:$A, $A258, Log!$B:$B, $B258, Log!$C:$C, $C258),""))</f>
        <v/>
      </c>
      <c r="K258" s="9" t="str">
        <f>IF(COUNTBLANK($A258:$E258)&gt;0, "", IFERROR(_xlfn.MINIFS(Log!$F:$F, Log!$A:$A, $A258, Log!$B:$B, $B258, Log!$C:$C, $C258),""))</f>
        <v/>
      </c>
      <c r="L258" s="9" t="str">
        <f>IF(COUNTBLANK($A258:$E258)&gt;0, "", IFERROR(_xlfn.MAXIFS(Log!$F:$F, Log!$A:$A, $A258, Log!$B:$B, $B258, Log!$C:$C, $C258),""))</f>
        <v/>
      </c>
      <c r="M258" s="9" t="str">
        <f>IF(COUNTBLANK($A258:$E258)&gt;0, "", IFERROR(AVERAGEIFS(Log!$I:$I, Log!$A:$A, $A258, Log!$B:$B, $B258, Log!$C:$C, $C258),""))</f>
        <v/>
      </c>
      <c r="N258" s="9" t="str">
        <f>IF(COUNTBLANK($A258:$E258)&gt;0, "", IFERROR(_xlfn.MINIFS(Log!$G:$G, Log!$A:$A, $A258, Log!$B:$B, $B258, Log!$C:$C, $C258),""))</f>
        <v/>
      </c>
      <c r="O258" s="9" t="str">
        <f>IF(COUNTBLANK($A258:$E258)&gt;0, "", IFERROR(_xlfn.MAXIFS(Log!$G:$G, Log!$A:$A, $A258, Log!$B:$B, $B258, Log!$C:$C, $C258),""))</f>
        <v/>
      </c>
    </row>
    <row r="259" spans="2:15" x14ac:dyDescent="0.3">
      <c r="B259" s="8" t="s">
        <v>117</v>
      </c>
      <c r="C259" s="66">
        <v>0</v>
      </c>
      <c r="H259" s="14" t="str">
        <f>IF(COUNTBLANK($A259:$E259)&gt;0, "", IFERROR(AVERAGEIFS(Log!$E:$E, Log!$A:$A, $A259, Log!$B:$B, $B259, Log!$C:$C, $C259),""))</f>
        <v/>
      </c>
      <c r="I259" s="64" t="str">
        <f t="shared" si="3"/>
        <v/>
      </c>
      <c r="J259" s="9" t="str">
        <f>IF(COUNTBLANK($A259:$E259)&gt;0, "", IFERROR(AVERAGEIFS(Log!$H:$H, Log!$A:$A, $A259, Log!$B:$B, $B259, Log!$C:$C, $C259),""))</f>
        <v/>
      </c>
      <c r="K259" s="9" t="str">
        <f>IF(COUNTBLANK($A259:$E259)&gt;0, "", IFERROR(_xlfn.MINIFS(Log!$F:$F, Log!$A:$A, $A259, Log!$B:$B, $B259, Log!$C:$C, $C259),""))</f>
        <v/>
      </c>
      <c r="L259" s="9" t="str">
        <f>IF(COUNTBLANK($A259:$E259)&gt;0, "", IFERROR(_xlfn.MAXIFS(Log!$F:$F, Log!$A:$A, $A259, Log!$B:$B, $B259, Log!$C:$C, $C259),""))</f>
        <v/>
      </c>
      <c r="M259" s="9" t="str">
        <f>IF(COUNTBLANK($A259:$E259)&gt;0, "", IFERROR(AVERAGEIFS(Log!$I:$I, Log!$A:$A, $A259, Log!$B:$B, $B259, Log!$C:$C, $C259),""))</f>
        <v/>
      </c>
      <c r="N259" s="9" t="str">
        <f>IF(COUNTBLANK($A259:$E259)&gt;0, "", IFERROR(_xlfn.MINIFS(Log!$G:$G, Log!$A:$A, $A259, Log!$B:$B, $B259, Log!$C:$C, $C259),""))</f>
        <v/>
      </c>
      <c r="O259" s="9" t="str">
        <f>IF(COUNTBLANK($A259:$E259)&gt;0, "", IFERROR(_xlfn.MAXIFS(Log!$G:$G, Log!$A:$A, $A259, Log!$B:$B, $B259, Log!$C:$C, $C259),""))</f>
        <v/>
      </c>
    </row>
    <row r="260" spans="2:15" x14ac:dyDescent="0.3">
      <c r="B260" s="8" t="s">
        <v>117</v>
      </c>
      <c r="C260" s="66">
        <v>0</v>
      </c>
      <c r="H260" s="14" t="str">
        <f>IF(COUNTBLANK($A260:$E260)&gt;0, "", IFERROR(AVERAGEIFS(Log!$E:$E, Log!$A:$A, $A260, Log!$B:$B, $B260, Log!$C:$C, $C260),""))</f>
        <v/>
      </c>
      <c r="I260" s="64" t="str">
        <f t="shared" si="3"/>
        <v/>
      </c>
      <c r="J260" s="9" t="str">
        <f>IF(COUNTBLANK($A260:$E260)&gt;0, "", IFERROR(AVERAGEIFS(Log!$H:$H, Log!$A:$A, $A260, Log!$B:$B, $B260, Log!$C:$C, $C260),""))</f>
        <v/>
      </c>
      <c r="K260" s="9" t="str">
        <f>IF(COUNTBLANK($A260:$E260)&gt;0, "", IFERROR(_xlfn.MINIFS(Log!$F:$F, Log!$A:$A, $A260, Log!$B:$B, $B260, Log!$C:$C, $C260),""))</f>
        <v/>
      </c>
      <c r="L260" s="9" t="str">
        <f>IF(COUNTBLANK($A260:$E260)&gt;0, "", IFERROR(_xlfn.MAXIFS(Log!$F:$F, Log!$A:$A, $A260, Log!$B:$B, $B260, Log!$C:$C, $C260),""))</f>
        <v/>
      </c>
      <c r="M260" s="9" t="str">
        <f>IF(COUNTBLANK($A260:$E260)&gt;0, "", IFERROR(AVERAGEIFS(Log!$I:$I, Log!$A:$A, $A260, Log!$B:$B, $B260, Log!$C:$C, $C260),""))</f>
        <v/>
      </c>
      <c r="N260" s="9" t="str">
        <f>IF(COUNTBLANK($A260:$E260)&gt;0, "", IFERROR(_xlfn.MINIFS(Log!$G:$G, Log!$A:$A, $A260, Log!$B:$B, $B260, Log!$C:$C, $C260),""))</f>
        <v/>
      </c>
      <c r="O260" s="9" t="str">
        <f>IF(COUNTBLANK($A260:$E260)&gt;0, "", IFERROR(_xlfn.MAXIFS(Log!$G:$G, Log!$A:$A, $A260, Log!$B:$B, $B260, Log!$C:$C, $C260),""))</f>
        <v/>
      </c>
    </row>
    <row r="261" spans="2:15" x14ac:dyDescent="0.3">
      <c r="B261" s="8" t="s">
        <v>117</v>
      </c>
      <c r="C261" s="66">
        <v>0</v>
      </c>
      <c r="H261" s="14" t="str">
        <f>IF(COUNTBLANK($A261:$E261)&gt;0, "", IFERROR(AVERAGEIFS(Log!$E:$E, Log!$A:$A, $A261, Log!$B:$B, $B261, Log!$C:$C, $C261),""))</f>
        <v/>
      </c>
      <c r="I261" s="64" t="str">
        <f t="shared" si="3"/>
        <v/>
      </c>
      <c r="J261" s="9" t="str">
        <f>IF(COUNTBLANK($A261:$E261)&gt;0, "", IFERROR(AVERAGEIFS(Log!$H:$H, Log!$A:$A, $A261, Log!$B:$B, $B261, Log!$C:$C, $C261),""))</f>
        <v/>
      </c>
      <c r="K261" s="9" t="str">
        <f>IF(COUNTBLANK($A261:$E261)&gt;0, "", IFERROR(_xlfn.MINIFS(Log!$F:$F, Log!$A:$A, $A261, Log!$B:$B, $B261, Log!$C:$C, $C261),""))</f>
        <v/>
      </c>
      <c r="L261" s="9" t="str">
        <f>IF(COUNTBLANK($A261:$E261)&gt;0, "", IFERROR(_xlfn.MAXIFS(Log!$F:$F, Log!$A:$A, $A261, Log!$B:$B, $B261, Log!$C:$C, $C261),""))</f>
        <v/>
      </c>
      <c r="M261" s="9" t="str">
        <f>IF(COUNTBLANK($A261:$E261)&gt;0, "", IFERROR(AVERAGEIFS(Log!$I:$I, Log!$A:$A, $A261, Log!$B:$B, $B261, Log!$C:$C, $C261),""))</f>
        <v/>
      </c>
      <c r="N261" s="9" t="str">
        <f>IF(COUNTBLANK($A261:$E261)&gt;0, "", IFERROR(_xlfn.MINIFS(Log!$G:$G, Log!$A:$A, $A261, Log!$B:$B, $B261, Log!$C:$C, $C261),""))</f>
        <v/>
      </c>
      <c r="O261" s="9" t="str">
        <f>IF(COUNTBLANK($A261:$E261)&gt;0, "", IFERROR(_xlfn.MAXIFS(Log!$G:$G, Log!$A:$A, $A261, Log!$B:$B, $B261, Log!$C:$C, $C261),""))</f>
        <v/>
      </c>
    </row>
    <row r="262" spans="2:15" x14ac:dyDescent="0.3">
      <c r="B262" s="8" t="s">
        <v>117</v>
      </c>
      <c r="C262" s="66">
        <v>0</v>
      </c>
      <c r="H262" s="14" t="str">
        <f>IF(COUNTBLANK($A262:$E262)&gt;0, "", IFERROR(AVERAGEIFS(Log!$E:$E, Log!$A:$A, $A262, Log!$B:$B, $B262, Log!$C:$C, $C262),""))</f>
        <v/>
      </c>
      <c r="I262" s="64" t="str">
        <f t="shared" ref="I262:I325" si="4">IF(AND($H262&lt;&gt;"", $G262&lt;&gt;""), $H262/$G262, "")</f>
        <v/>
      </c>
      <c r="J262" s="9" t="str">
        <f>IF(COUNTBLANK($A262:$E262)&gt;0, "", IFERROR(AVERAGEIFS(Log!$H:$H, Log!$A:$A, $A262, Log!$B:$B, $B262, Log!$C:$C, $C262),""))</f>
        <v/>
      </c>
      <c r="K262" s="9" t="str">
        <f>IF(COUNTBLANK($A262:$E262)&gt;0, "", IFERROR(_xlfn.MINIFS(Log!$F:$F, Log!$A:$A, $A262, Log!$B:$B, $B262, Log!$C:$C, $C262),""))</f>
        <v/>
      </c>
      <c r="L262" s="9" t="str">
        <f>IF(COUNTBLANK($A262:$E262)&gt;0, "", IFERROR(_xlfn.MAXIFS(Log!$F:$F, Log!$A:$A, $A262, Log!$B:$B, $B262, Log!$C:$C, $C262),""))</f>
        <v/>
      </c>
      <c r="M262" s="9" t="str">
        <f>IF(COUNTBLANK($A262:$E262)&gt;0, "", IFERROR(AVERAGEIFS(Log!$I:$I, Log!$A:$A, $A262, Log!$B:$B, $B262, Log!$C:$C, $C262),""))</f>
        <v/>
      </c>
      <c r="N262" s="9" t="str">
        <f>IF(COUNTBLANK($A262:$E262)&gt;0, "", IFERROR(_xlfn.MINIFS(Log!$G:$G, Log!$A:$A, $A262, Log!$B:$B, $B262, Log!$C:$C, $C262),""))</f>
        <v/>
      </c>
      <c r="O262" s="9" t="str">
        <f>IF(COUNTBLANK($A262:$E262)&gt;0, "", IFERROR(_xlfn.MAXIFS(Log!$G:$G, Log!$A:$A, $A262, Log!$B:$B, $B262, Log!$C:$C, $C262),""))</f>
        <v/>
      </c>
    </row>
    <row r="263" spans="2:15" x14ac:dyDescent="0.3">
      <c r="B263" s="8" t="s">
        <v>117</v>
      </c>
      <c r="C263" s="66">
        <v>0</v>
      </c>
      <c r="H263" s="14" t="str">
        <f>IF(COUNTBLANK($A263:$E263)&gt;0, "", IFERROR(AVERAGEIFS(Log!$E:$E, Log!$A:$A, $A263, Log!$B:$B, $B263, Log!$C:$C, $C263),""))</f>
        <v/>
      </c>
      <c r="I263" s="64" t="str">
        <f t="shared" si="4"/>
        <v/>
      </c>
      <c r="J263" s="9" t="str">
        <f>IF(COUNTBLANK($A263:$E263)&gt;0, "", IFERROR(AVERAGEIFS(Log!$H:$H, Log!$A:$A, $A263, Log!$B:$B, $B263, Log!$C:$C, $C263),""))</f>
        <v/>
      </c>
      <c r="K263" s="9" t="str">
        <f>IF(COUNTBLANK($A263:$E263)&gt;0, "", IFERROR(_xlfn.MINIFS(Log!$F:$F, Log!$A:$A, $A263, Log!$B:$B, $B263, Log!$C:$C, $C263),""))</f>
        <v/>
      </c>
      <c r="L263" s="9" t="str">
        <f>IF(COUNTBLANK($A263:$E263)&gt;0, "", IFERROR(_xlfn.MAXIFS(Log!$F:$F, Log!$A:$A, $A263, Log!$B:$B, $B263, Log!$C:$C, $C263),""))</f>
        <v/>
      </c>
      <c r="M263" s="9" t="str">
        <f>IF(COUNTBLANK($A263:$E263)&gt;0, "", IFERROR(AVERAGEIFS(Log!$I:$I, Log!$A:$A, $A263, Log!$B:$B, $B263, Log!$C:$C, $C263),""))</f>
        <v/>
      </c>
      <c r="N263" s="9" t="str">
        <f>IF(COUNTBLANK($A263:$E263)&gt;0, "", IFERROR(_xlfn.MINIFS(Log!$G:$G, Log!$A:$A, $A263, Log!$B:$B, $B263, Log!$C:$C, $C263),""))</f>
        <v/>
      </c>
      <c r="O263" s="9" t="str">
        <f>IF(COUNTBLANK($A263:$E263)&gt;0, "", IFERROR(_xlfn.MAXIFS(Log!$G:$G, Log!$A:$A, $A263, Log!$B:$B, $B263, Log!$C:$C, $C263),""))</f>
        <v/>
      </c>
    </row>
    <row r="264" spans="2:15" x14ac:dyDescent="0.3">
      <c r="B264" s="8" t="s">
        <v>117</v>
      </c>
      <c r="C264" s="66">
        <v>0</v>
      </c>
      <c r="H264" s="14" t="str">
        <f>IF(COUNTBLANK($A264:$E264)&gt;0, "", IFERROR(AVERAGEIFS(Log!$E:$E, Log!$A:$A, $A264, Log!$B:$B, $B264, Log!$C:$C, $C264),""))</f>
        <v/>
      </c>
      <c r="I264" s="64" t="str">
        <f t="shared" si="4"/>
        <v/>
      </c>
      <c r="J264" s="9" t="str">
        <f>IF(COUNTBLANK($A264:$E264)&gt;0, "", IFERROR(AVERAGEIFS(Log!$H:$H, Log!$A:$A, $A264, Log!$B:$B, $B264, Log!$C:$C, $C264),""))</f>
        <v/>
      </c>
      <c r="K264" s="9" t="str">
        <f>IF(COUNTBLANK($A264:$E264)&gt;0, "", IFERROR(_xlfn.MINIFS(Log!$F:$F, Log!$A:$A, $A264, Log!$B:$B, $B264, Log!$C:$C, $C264),""))</f>
        <v/>
      </c>
      <c r="L264" s="9" t="str">
        <f>IF(COUNTBLANK($A264:$E264)&gt;0, "", IFERROR(_xlfn.MAXIFS(Log!$F:$F, Log!$A:$A, $A264, Log!$B:$B, $B264, Log!$C:$C, $C264),""))</f>
        <v/>
      </c>
      <c r="M264" s="9" t="str">
        <f>IF(COUNTBLANK($A264:$E264)&gt;0, "", IFERROR(AVERAGEIFS(Log!$I:$I, Log!$A:$A, $A264, Log!$B:$B, $B264, Log!$C:$C, $C264),""))</f>
        <v/>
      </c>
      <c r="N264" s="9" t="str">
        <f>IF(COUNTBLANK($A264:$E264)&gt;0, "", IFERROR(_xlfn.MINIFS(Log!$G:$G, Log!$A:$A, $A264, Log!$B:$B, $B264, Log!$C:$C, $C264),""))</f>
        <v/>
      </c>
      <c r="O264" s="9" t="str">
        <f>IF(COUNTBLANK($A264:$E264)&gt;0, "", IFERROR(_xlfn.MAXIFS(Log!$G:$G, Log!$A:$A, $A264, Log!$B:$B, $B264, Log!$C:$C, $C264),""))</f>
        <v/>
      </c>
    </row>
    <row r="265" spans="2:15" x14ac:dyDescent="0.3">
      <c r="B265" s="8" t="s">
        <v>117</v>
      </c>
      <c r="C265" s="66">
        <v>0</v>
      </c>
      <c r="H265" s="14" t="str">
        <f>IF(COUNTBLANK($A265:$E265)&gt;0, "", IFERROR(AVERAGEIFS(Log!$E:$E, Log!$A:$A, $A265, Log!$B:$B, $B265, Log!$C:$C, $C265),""))</f>
        <v/>
      </c>
      <c r="I265" s="64" t="str">
        <f t="shared" si="4"/>
        <v/>
      </c>
      <c r="J265" s="9" t="str">
        <f>IF(COUNTBLANK($A265:$E265)&gt;0, "", IFERROR(AVERAGEIFS(Log!$H:$H, Log!$A:$A, $A265, Log!$B:$B, $B265, Log!$C:$C, $C265),""))</f>
        <v/>
      </c>
      <c r="K265" s="9" t="str">
        <f>IF(COUNTBLANK($A265:$E265)&gt;0, "", IFERROR(_xlfn.MINIFS(Log!$F:$F, Log!$A:$A, $A265, Log!$B:$B, $B265, Log!$C:$C, $C265),""))</f>
        <v/>
      </c>
      <c r="L265" s="9" t="str">
        <f>IF(COUNTBLANK($A265:$E265)&gt;0, "", IFERROR(_xlfn.MAXIFS(Log!$F:$F, Log!$A:$A, $A265, Log!$B:$B, $B265, Log!$C:$C, $C265),""))</f>
        <v/>
      </c>
      <c r="M265" s="9" t="str">
        <f>IF(COUNTBLANK($A265:$E265)&gt;0, "", IFERROR(AVERAGEIFS(Log!$I:$I, Log!$A:$A, $A265, Log!$B:$B, $B265, Log!$C:$C, $C265),""))</f>
        <v/>
      </c>
      <c r="N265" s="9" t="str">
        <f>IF(COUNTBLANK($A265:$E265)&gt;0, "", IFERROR(_xlfn.MINIFS(Log!$G:$G, Log!$A:$A, $A265, Log!$B:$B, $B265, Log!$C:$C, $C265),""))</f>
        <v/>
      </c>
      <c r="O265" s="9" t="str">
        <f>IF(COUNTBLANK($A265:$E265)&gt;0, "", IFERROR(_xlfn.MAXIFS(Log!$G:$G, Log!$A:$A, $A265, Log!$B:$B, $B265, Log!$C:$C, $C265),""))</f>
        <v/>
      </c>
    </row>
    <row r="266" spans="2:15" x14ac:dyDescent="0.3">
      <c r="B266" s="8" t="s">
        <v>117</v>
      </c>
      <c r="C266" s="66">
        <v>0</v>
      </c>
      <c r="H266" s="14" t="str">
        <f>IF(COUNTBLANK($A266:$E266)&gt;0, "", IFERROR(AVERAGEIFS(Log!$E:$E, Log!$A:$A, $A266, Log!$B:$B, $B266, Log!$C:$C, $C266),""))</f>
        <v/>
      </c>
      <c r="I266" s="64" t="str">
        <f t="shared" si="4"/>
        <v/>
      </c>
      <c r="J266" s="9" t="str">
        <f>IF(COUNTBLANK($A266:$E266)&gt;0, "", IFERROR(AVERAGEIFS(Log!$H:$H, Log!$A:$A, $A266, Log!$B:$B, $B266, Log!$C:$C, $C266),""))</f>
        <v/>
      </c>
      <c r="K266" s="9" t="str">
        <f>IF(COUNTBLANK($A266:$E266)&gt;0, "", IFERROR(_xlfn.MINIFS(Log!$F:$F, Log!$A:$A, $A266, Log!$B:$B, $B266, Log!$C:$C, $C266),""))</f>
        <v/>
      </c>
      <c r="L266" s="9" t="str">
        <f>IF(COUNTBLANK($A266:$E266)&gt;0, "", IFERROR(_xlfn.MAXIFS(Log!$F:$F, Log!$A:$A, $A266, Log!$B:$B, $B266, Log!$C:$C, $C266),""))</f>
        <v/>
      </c>
      <c r="M266" s="9" t="str">
        <f>IF(COUNTBLANK($A266:$E266)&gt;0, "", IFERROR(AVERAGEIFS(Log!$I:$I, Log!$A:$A, $A266, Log!$B:$B, $B266, Log!$C:$C, $C266),""))</f>
        <v/>
      </c>
      <c r="N266" s="9" t="str">
        <f>IF(COUNTBLANK($A266:$E266)&gt;0, "", IFERROR(_xlfn.MINIFS(Log!$G:$G, Log!$A:$A, $A266, Log!$B:$B, $B266, Log!$C:$C, $C266),""))</f>
        <v/>
      </c>
      <c r="O266" s="9" t="str">
        <f>IF(COUNTBLANK($A266:$E266)&gt;0, "", IFERROR(_xlfn.MAXIFS(Log!$G:$G, Log!$A:$A, $A266, Log!$B:$B, $B266, Log!$C:$C, $C266),""))</f>
        <v/>
      </c>
    </row>
    <row r="267" spans="2:15" x14ac:dyDescent="0.3">
      <c r="B267" s="8" t="s">
        <v>117</v>
      </c>
      <c r="C267" s="66">
        <v>0</v>
      </c>
      <c r="H267" s="14" t="str">
        <f>IF(COUNTBLANK($A267:$E267)&gt;0, "", IFERROR(AVERAGEIFS(Log!$E:$E, Log!$A:$A, $A267, Log!$B:$B, $B267, Log!$C:$C, $C267),""))</f>
        <v/>
      </c>
      <c r="I267" s="64" t="str">
        <f t="shared" si="4"/>
        <v/>
      </c>
      <c r="J267" s="9" t="str">
        <f>IF(COUNTBLANK($A267:$E267)&gt;0, "", IFERROR(AVERAGEIFS(Log!$H:$H, Log!$A:$A, $A267, Log!$B:$B, $B267, Log!$C:$C, $C267),""))</f>
        <v/>
      </c>
      <c r="K267" s="9" t="str">
        <f>IF(COUNTBLANK($A267:$E267)&gt;0, "", IFERROR(_xlfn.MINIFS(Log!$F:$F, Log!$A:$A, $A267, Log!$B:$B, $B267, Log!$C:$C, $C267),""))</f>
        <v/>
      </c>
      <c r="L267" s="9" t="str">
        <f>IF(COUNTBLANK($A267:$E267)&gt;0, "", IFERROR(_xlfn.MAXIFS(Log!$F:$F, Log!$A:$A, $A267, Log!$B:$B, $B267, Log!$C:$C, $C267),""))</f>
        <v/>
      </c>
      <c r="M267" s="9" t="str">
        <f>IF(COUNTBLANK($A267:$E267)&gt;0, "", IFERROR(AVERAGEIFS(Log!$I:$I, Log!$A:$A, $A267, Log!$B:$B, $B267, Log!$C:$C, $C267),""))</f>
        <v/>
      </c>
      <c r="N267" s="9" t="str">
        <f>IF(COUNTBLANK($A267:$E267)&gt;0, "", IFERROR(_xlfn.MINIFS(Log!$G:$G, Log!$A:$A, $A267, Log!$B:$B, $B267, Log!$C:$C, $C267),""))</f>
        <v/>
      </c>
      <c r="O267" s="9" t="str">
        <f>IF(COUNTBLANK($A267:$E267)&gt;0, "", IFERROR(_xlfn.MAXIFS(Log!$G:$G, Log!$A:$A, $A267, Log!$B:$B, $B267, Log!$C:$C, $C267),""))</f>
        <v/>
      </c>
    </row>
    <row r="268" spans="2:15" x14ac:dyDescent="0.3">
      <c r="B268" s="8" t="s">
        <v>117</v>
      </c>
      <c r="C268" s="66">
        <v>0</v>
      </c>
      <c r="H268" s="14" t="str">
        <f>IF(COUNTBLANK($A268:$E268)&gt;0, "", IFERROR(AVERAGEIFS(Log!$E:$E, Log!$A:$A, $A268, Log!$B:$B, $B268, Log!$C:$C, $C268),""))</f>
        <v/>
      </c>
      <c r="I268" s="64" t="str">
        <f t="shared" si="4"/>
        <v/>
      </c>
      <c r="J268" s="9" t="str">
        <f>IF(COUNTBLANK($A268:$E268)&gt;0, "", IFERROR(AVERAGEIFS(Log!$H:$H, Log!$A:$A, $A268, Log!$B:$B, $B268, Log!$C:$C, $C268),""))</f>
        <v/>
      </c>
      <c r="K268" s="9" t="str">
        <f>IF(COUNTBLANK($A268:$E268)&gt;0, "", IFERROR(_xlfn.MINIFS(Log!$F:$F, Log!$A:$A, $A268, Log!$B:$B, $B268, Log!$C:$C, $C268),""))</f>
        <v/>
      </c>
      <c r="L268" s="9" t="str">
        <f>IF(COUNTBLANK($A268:$E268)&gt;0, "", IFERROR(_xlfn.MAXIFS(Log!$F:$F, Log!$A:$A, $A268, Log!$B:$B, $B268, Log!$C:$C, $C268),""))</f>
        <v/>
      </c>
      <c r="M268" s="9" t="str">
        <f>IF(COUNTBLANK($A268:$E268)&gt;0, "", IFERROR(AVERAGEIFS(Log!$I:$I, Log!$A:$A, $A268, Log!$B:$B, $B268, Log!$C:$C, $C268),""))</f>
        <v/>
      </c>
      <c r="N268" s="9" t="str">
        <f>IF(COUNTBLANK($A268:$E268)&gt;0, "", IFERROR(_xlfn.MINIFS(Log!$G:$G, Log!$A:$A, $A268, Log!$B:$B, $B268, Log!$C:$C, $C268),""))</f>
        <v/>
      </c>
      <c r="O268" s="9" t="str">
        <f>IF(COUNTBLANK($A268:$E268)&gt;0, "", IFERROR(_xlfn.MAXIFS(Log!$G:$G, Log!$A:$A, $A268, Log!$B:$B, $B268, Log!$C:$C, $C268),""))</f>
        <v/>
      </c>
    </row>
    <row r="269" spans="2:15" x14ac:dyDescent="0.3">
      <c r="B269" s="8" t="s">
        <v>117</v>
      </c>
      <c r="C269" s="66">
        <v>0</v>
      </c>
      <c r="H269" s="14" t="str">
        <f>IF(COUNTBLANK($A269:$E269)&gt;0, "", IFERROR(AVERAGEIFS(Log!$E:$E, Log!$A:$A, $A269, Log!$B:$B, $B269, Log!$C:$C, $C269),""))</f>
        <v/>
      </c>
      <c r="I269" s="64" t="str">
        <f t="shared" si="4"/>
        <v/>
      </c>
      <c r="J269" s="9" t="str">
        <f>IF(COUNTBLANK($A269:$E269)&gt;0, "", IFERROR(AVERAGEIFS(Log!$H:$H, Log!$A:$A, $A269, Log!$B:$B, $B269, Log!$C:$C, $C269),""))</f>
        <v/>
      </c>
      <c r="K269" s="9" t="str">
        <f>IF(COUNTBLANK($A269:$E269)&gt;0, "", IFERROR(_xlfn.MINIFS(Log!$F:$F, Log!$A:$A, $A269, Log!$B:$B, $B269, Log!$C:$C, $C269),""))</f>
        <v/>
      </c>
      <c r="L269" s="9" t="str">
        <f>IF(COUNTBLANK($A269:$E269)&gt;0, "", IFERROR(_xlfn.MAXIFS(Log!$F:$F, Log!$A:$A, $A269, Log!$B:$B, $B269, Log!$C:$C, $C269),""))</f>
        <v/>
      </c>
      <c r="M269" s="9" t="str">
        <f>IF(COUNTBLANK($A269:$E269)&gt;0, "", IFERROR(AVERAGEIFS(Log!$I:$I, Log!$A:$A, $A269, Log!$B:$B, $B269, Log!$C:$C, $C269),""))</f>
        <v/>
      </c>
      <c r="N269" s="9" t="str">
        <f>IF(COUNTBLANK($A269:$E269)&gt;0, "", IFERROR(_xlfn.MINIFS(Log!$G:$G, Log!$A:$A, $A269, Log!$B:$B, $B269, Log!$C:$C, $C269),""))</f>
        <v/>
      </c>
      <c r="O269" s="9" t="str">
        <f>IF(COUNTBLANK($A269:$E269)&gt;0, "", IFERROR(_xlfn.MAXIFS(Log!$G:$G, Log!$A:$A, $A269, Log!$B:$B, $B269, Log!$C:$C, $C269),""))</f>
        <v/>
      </c>
    </row>
    <row r="270" spans="2:15" x14ac:dyDescent="0.3">
      <c r="B270" s="8" t="s">
        <v>117</v>
      </c>
      <c r="C270" s="66">
        <v>0</v>
      </c>
      <c r="H270" s="14" t="str">
        <f>IF(COUNTBLANK($A270:$E270)&gt;0, "", IFERROR(AVERAGEIFS(Log!$E:$E, Log!$A:$A, $A270, Log!$B:$B, $B270, Log!$C:$C, $C270),""))</f>
        <v/>
      </c>
      <c r="I270" s="64" t="str">
        <f t="shared" si="4"/>
        <v/>
      </c>
      <c r="J270" s="9" t="str">
        <f>IF(COUNTBLANK($A270:$E270)&gt;0, "", IFERROR(AVERAGEIFS(Log!$H:$H, Log!$A:$A, $A270, Log!$B:$B, $B270, Log!$C:$C, $C270),""))</f>
        <v/>
      </c>
      <c r="K270" s="9" t="str">
        <f>IF(COUNTBLANK($A270:$E270)&gt;0, "", IFERROR(_xlfn.MINIFS(Log!$F:$F, Log!$A:$A, $A270, Log!$B:$B, $B270, Log!$C:$C, $C270),""))</f>
        <v/>
      </c>
      <c r="L270" s="9" t="str">
        <f>IF(COUNTBLANK($A270:$E270)&gt;0, "", IFERROR(_xlfn.MAXIFS(Log!$F:$F, Log!$A:$A, $A270, Log!$B:$B, $B270, Log!$C:$C, $C270),""))</f>
        <v/>
      </c>
      <c r="M270" s="9" t="str">
        <f>IF(COUNTBLANK($A270:$E270)&gt;0, "", IFERROR(AVERAGEIFS(Log!$I:$I, Log!$A:$A, $A270, Log!$B:$B, $B270, Log!$C:$C, $C270),""))</f>
        <v/>
      </c>
      <c r="N270" s="9" t="str">
        <f>IF(COUNTBLANK($A270:$E270)&gt;0, "", IFERROR(_xlfn.MINIFS(Log!$G:$G, Log!$A:$A, $A270, Log!$B:$B, $B270, Log!$C:$C, $C270),""))</f>
        <v/>
      </c>
      <c r="O270" s="9" t="str">
        <f>IF(COUNTBLANK($A270:$E270)&gt;0, "", IFERROR(_xlfn.MAXIFS(Log!$G:$G, Log!$A:$A, $A270, Log!$B:$B, $B270, Log!$C:$C, $C270),""))</f>
        <v/>
      </c>
    </row>
    <row r="271" spans="2:15" x14ac:dyDescent="0.3">
      <c r="B271" s="8" t="s">
        <v>117</v>
      </c>
      <c r="C271" s="66">
        <v>0</v>
      </c>
      <c r="H271" s="14" t="str">
        <f>IF(COUNTBLANK($A271:$E271)&gt;0, "", IFERROR(AVERAGEIFS(Log!$E:$E, Log!$A:$A, $A271, Log!$B:$B, $B271, Log!$C:$C, $C271),""))</f>
        <v/>
      </c>
      <c r="I271" s="64" t="str">
        <f t="shared" si="4"/>
        <v/>
      </c>
      <c r="J271" s="9" t="str">
        <f>IF(COUNTBLANK($A271:$E271)&gt;0, "", IFERROR(AVERAGEIFS(Log!$H:$H, Log!$A:$A, $A271, Log!$B:$B, $B271, Log!$C:$C, $C271),""))</f>
        <v/>
      </c>
      <c r="K271" s="9" t="str">
        <f>IF(COUNTBLANK($A271:$E271)&gt;0, "", IFERROR(_xlfn.MINIFS(Log!$F:$F, Log!$A:$A, $A271, Log!$B:$B, $B271, Log!$C:$C, $C271),""))</f>
        <v/>
      </c>
      <c r="L271" s="9" t="str">
        <f>IF(COUNTBLANK($A271:$E271)&gt;0, "", IFERROR(_xlfn.MAXIFS(Log!$F:$F, Log!$A:$A, $A271, Log!$B:$B, $B271, Log!$C:$C, $C271),""))</f>
        <v/>
      </c>
      <c r="M271" s="9" t="str">
        <f>IF(COUNTBLANK($A271:$E271)&gt;0, "", IFERROR(AVERAGEIFS(Log!$I:$I, Log!$A:$A, $A271, Log!$B:$B, $B271, Log!$C:$C, $C271),""))</f>
        <v/>
      </c>
      <c r="N271" s="9" t="str">
        <f>IF(COUNTBLANK($A271:$E271)&gt;0, "", IFERROR(_xlfn.MINIFS(Log!$G:$G, Log!$A:$A, $A271, Log!$B:$B, $B271, Log!$C:$C, $C271),""))</f>
        <v/>
      </c>
      <c r="O271" s="9" t="str">
        <f>IF(COUNTBLANK($A271:$E271)&gt;0, "", IFERROR(_xlfn.MAXIFS(Log!$G:$G, Log!$A:$A, $A271, Log!$B:$B, $B271, Log!$C:$C, $C271),""))</f>
        <v/>
      </c>
    </row>
    <row r="272" spans="2:15" x14ac:dyDescent="0.3">
      <c r="B272" s="8" t="s">
        <v>117</v>
      </c>
      <c r="C272" s="66">
        <v>0</v>
      </c>
      <c r="H272" s="14" t="str">
        <f>IF(COUNTBLANK($A272:$E272)&gt;0, "", IFERROR(AVERAGEIFS(Log!$E:$E, Log!$A:$A, $A272, Log!$B:$B, $B272, Log!$C:$C, $C272),""))</f>
        <v/>
      </c>
      <c r="I272" s="64" t="str">
        <f t="shared" si="4"/>
        <v/>
      </c>
      <c r="J272" s="9" t="str">
        <f>IF(COUNTBLANK($A272:$E272)&gt;0, "", IFERROR(AVERAGEIFS(Log!$H:$H, Log!$A:$A, $A272, Log!$B:$B, $B272, Log!$C:$C, $C272),""))</f>
        <v/>
      </c>
      <c r="K272" s="9" t="str">
        <f>IF(COUNTBLANK($A272:$E272)&gt;0, "", IFERROR(_xlfn.MINIFS(Log!$F:$F, Log!$A:$A, $A272, Log!$B:$B, $B272, Log!$C:$C, $C272),""))</f>
        <v/>
      </c>
      <c r="L272" s="9" t="str">
        <f>IF(COUNTBLANK($A272:$E272)&gt;0, "", IFERROR(_xlfn.MAXIFS(Log!$F:$F, Log!$A:$A, $A272, Log!$B:$B, $B272, Log!$C:$C, $C272),""))</f>
        <v/>
      </c>
      <c r="M272" s="9" t="str">
        <f>IF(COUNTBLANK($A272:$E272)&gt;0, "", IFERROR(AVERAGEIFS(Log!$I:$I, Log!$A:$A, $A272, Log!$B:$B, $B272, Log!$C:$C, $C272),""))</f>
        <v/>
      </c>
      <c r="N272" s="9" t="str">
        <f>IF(COUNTBLANK($A272:$E272)&gt;0, "", IFERROR(_xlfn.MINIFS(Log!$G:$G, Log!$A:$A, $A272, Log!$B:$B, $B272, Log!$C:$C, $C272),""))</f>
        <v/>
      </c>
      <c r="O272" s="9" t="str">
        <f>IF(COUNTBLANK($A272:$E272)&gt;0, "", IFERROR(_xlfn.MAXIFS(Log!$G:$G, Log!$A:$A, $A272, Log!$B:$B, $B272, Log!$C:$C, $C272),""))</f>
        <v/>
      </c>
    </row>
    <row r="273" spans="2:15" x14ac:dyDescent="0.3">
      <c r="B273" s="8" t="s">
        <v>117</v>
      </c>
      <c r="C273" s="66">
        <v>0</v>
      </c>
      <c r="H273" s="14" t="str">
        <f>IF(COUNTBLANK($A273:$E273)&gt;0, "", IFERROR(AVERAGEIFS(Log!$E:$E, Log!$A:$A, $A273, Log!$B:$B, $B273, Log!$C:$C, $C273),""))</f>
        <v/>
      </c>
      <c r="I273" s="64" t="str">
        <f t="shared" si="4"/>
        <v/>
      </c>
      <c r="J273" s="9" t="str">
        <f>IF(COUNTBLANK($A273:$E273)&gt;0, "", IFERROR(AVERAGEIFS(Log!$H:$H, Log!$A:$A, $A273, Log!$B:$B, $B273, Log!$C:$C, $C273),""))</f>
        <v/>
      </c>
      <c r="K273" s="9" t="str">
        <f>IF(COUNTBLANK($A273:$E273)&gt;0, "", IFERROR(_xlfn.MINIFS(Log!$F:$F, Log!$A:$A, $A273, Log!$B:$B, $B273, Log!$C:$C, $C273),""))</f>
        <v/>
      </c>
      <c r="L273" s="9" t="str">
        <f>IF(COUNTBLANK($A273:$E273)&gt;0, "", IFERROR(_xlfn.MAXIFS(Log!$F:$F, Log!$A:$A, $A273, Log!$B:$B, $B273, Log!$C:$C, $C273),""))</f>
        <v/>
      </c>
      <c r="M273" s="9" t="str">
        <f>IF(COUNTBLANK($A273:$E273)&gt;0, "", IFERROR(AVERAGEIFS(Log!$I:$I, Log!$A:$A, $A273, Log!$B:$B, $B273, Log!$C:$C, $C273),""))</f>
        <v/>
      </c>
      <c r="N273" s="9" t="str">
        <f>IF(COUNTBLANK($A273:$E273)&gt;0, "", IFERROR(_xlfn.MINIFS(Log!$G:$G, Log!$A:$A, $A273, Log!$B:$B, $B273, Log!$C:$C, $C273),""))</f>
        <v/>
      </c>
      <c r="O273" s="9" t="str">
        <f>IF(COUNTBLANK($A273:$E273)&gt;0, "", IFERROR(_xlfn.MAXIFS(Log!$G:$G, Log!$A:$A, $A273, Log!$B:$B, $B273, Log!$C:$C, $C273),""))</f>
        <v/>
      </c>
    </row>
    <row r="274" spans="2:15" x14ac:dyDescent="0.3">
      <c r="B274" s="8" t="s">
        <v>117</v>
      </c>
      <c r="C274" s="66">
        <v>0</v>
      </c>
      <c r="H274" s="14" t="str">
        <f>IF(COUNTBLANK($A274:$E274)&gt;0, "", IFERROR(AVERAGEIFS(Log!$E:$E, Log!$A:$A, $A274, Log!$B:$B, $B274, Log!$C:$C, $C274),""))</f>
        <v/>
      </c>
      <c r="I274" s="64" t="str">
        <f t="shared" si="4"/>
        <v/>
      </c>
      <c r="J274" s="9" t="str">
        <f>IF(COUNTBLANK($A274:$E274)&gt;0, "", IFERROR(AVERAGEIFS(Log!$H:$H, Log!$A:$A, $A274, Log!$B:$B, $B274, Log!$C:$C, $C274),""))</f>
        <v/>
      </c>
      <c r="K274" s="9" t="str">
        <f>IF(COUNTBLANK($A274:$E274)&gt;0, "", IFERROR(_xlfn.MINIFS(Log!$F:$F, Log!$A:$A, $A274, Log!$B:$B, $B274, Log!$C:$C, $C274),""))</f>
        <v/>
      </c>
      <c r="L274" s="9" t="str">
        <f>IF(COUNTBLANK($A274:$E274)&gt;0, "", IFERROR(_xlfn.MAXIFS(Log!$F:$F, Log!$A:$A, $A274, Log!$B:$B, $B274, Log!$C:$C, $C274),""))</f>
        <v/>
      </c>
      <c r="M274" s="9" t="str">
        <f>IF(COUNTBLANK($A274:$E274)&gt;0, "", IFERROR(AVERAGEIFS(Log!$I:$I, Log!$A:$A, $A274, Log!$B:$B, $B274, Log!$C:$C, $C274),""))</f>
        <v/>
      </c>
      <c r="N274" s="9" t="str">
        <f>IF(COUNTBLANK($A274:$E274)&gt;0, "", IFERROR(_xlfn.MINIFS(Log!$G:$G, Log!$A:$A, $A274, Log!$B:$B, $B274, Log!$C:$C, $C274),""))</f>
        <v/>
      </c>
      <c r="O274" s="9" t="str">
        <f>IF(COUNTBLANK($A274:$E274)&gt;0, "", IFERROR(_xlfn.MAXIFS(Log!$G:$G, Log!$A:$A, $A274, Log!$B:$B, $B274, Log!$C:$C, $C274),""))</f>
        <v/>
      </c>
    </row>
    <row r="275" spans="2:15" x14ac:dyDescent="0.3">
      <c r="B275" s="8" t="s">
        <v>117</v>
      </c>
      <c r="C275" s="66">
        <v>0</v>
      </c>
      <c r="H275" s="14" t="str">
        <f>IF(COUNTBLANK($A275:$E275)&gt;0, "", IFERROR(AVERAGEIFS(Log!$E:$E, Log!$A:$A, $A275, Log!$B:$B, $B275, Log!$C:$C, $C275),""))</f>
        <v/>
      </c>
      <c r="I275" s="64" t="str">
        <f t="shared" si="4"/>
        <v/>
      </c>
      <c r="J275" s="9" t="str">
        <f>IF(COUNTBLANK($A275:$E275)&gt;0, "", IFERROR(AVERAGEIFS(Log!$H:$H, Log!$A:$A, $A275, Log!$B:$B, $B275, Log!$C:$C, $C275),""))</f>
        <v/>
      </c>
      <c r="K275" s="9" t="str">
        <f>IF(COUNTBLANK($A275:$E275)&gt;0, "", IFERROR(_xlfn.MINIFS(Log!$F:$F, Log!$A:$A, $A275, Log!$B:$B, $B275, Log!$C:$C, $C275),""))</f>
        <v/>
      </c>
      <c r="L275" s="9" t="str">
        <f>IF(COUNTBLANK($A275:$E275)&gt;0, "", IFERROR(_xlfn.MAXIFS(Log!$F:$F, Log!$A:$A, $A275, Log!$B:$B, $B275, Log!$C:$C, $C275),""))</f>
        <v/>
      </c>
      <c r="M275" s="9" t="str">
        <f>IF(COUNTBLANK($A275:$E275)&gt;0, "", IFERROR(AVERAGEIFS(Log!$I:$I, Log!$A:$A, $A275, Log!$B:$B, $B275, Log!$C:$C, $C275),""))</f>
        <v/>
      </c>
      <c r="N275" s="9" t="str">
        <f>IF(COUNTBLANK($A275:$E275)&gt;0, "", IFERROR(_xlfn.MINIFS(Log!$G:$G, Log!$A:$A, $A275, Log!$B:$B, $B275, Log!$C:$C, $C275),""))</f>
        <v/>
      </c>
      <c r="O275" s="9" t="str">
        <f>IF(COUNTBLANK($A275:$E275)&gt;0, "", IFERROR(_xlfn.MAXIFS(Log!$G:$G, Log!$A:$A, $A275, Log!$B:$B, $B275, Log!$C:$C, $C275),""))</f>
        <v/>
      </c>
    </row>
    <row r="276" spans="2:15" x14ac:dyDescent="0.3">
      <c r="B276" s="8" t="s">
        <v>117</v>
      </c>
      <c r="C276" s="66">
        <v>0</v>
      </c>
      <c r="H276" s="14" t="str">
        <f>IF(COUNTBLANK($A276:$E276)&gt;0, "", IFERROR(AVERAGEIFS(Log!$E:$E, Log!$A:$A, $A276, Log!$B:$B, $B276, Log!$C:$C, $C276),""))</f>
        <v/>
      </c>
      <c r="I276" s="64" t="str">
        <f t="shared" si="4"/>
        <v/>
      </c>
      <c r="J276" s="9" t="str">
        <f>IF(COUNTBLANK($A276:$E276)&gt;0, "", IFERROR(AVERAGEIFS(Log!$H:$H, Log!$A:$A, $A276, Log!$B:$B, $B276, Log!$C:$C, $C276),""))</f>
        <v/>
      </c>
      <c r="K276" s="9" t="str">
        <f>IF(COUNTBLANK($A276:$E276)&gt;0, "", IFERROR(_xlfn.MINIFS(Log!$F:$F, Log!$A:$A, $A276, Log!$B:$B, $B276, Log!$C:$C, $C276),""))</f>
        <v/>
      </c>
      <c r="L276" s="9" t="str">
        <f>IF(COUNTBLANK($A276:$E276)&gt;0, "", IFERROR(_xlfn.MAXIFS(Log!$F:$F, Log!$A:$A, $A276, Log!$B:$B, $B276, Log!$C:$C, $C276),""))</f>
        <v/>
      </c>
      <c r="M276" s="9" t="str">
        <f>IF(COUNTBLANK($A276:$E276)&gt;0, "", IFERROR(AVERAGEIFS(Log!$I:$I, Log!$A:$A, $A276, Log!$B:$B, $B276, Log!$C:$C, $C276),""))</f>
        <v/>
      </c>
      <c r="N276" s="9" t="str">
        <f>IF(COUNTBLANK($A276:$E276)&gt;0, "", IFERROR(_xlfn.MINIFS(Log!$G:$G, Log!$A:$A, $A276, Log!$B:$B, $B276, Log!$C:$C, $C276),""))</f>
        <v/>
      </c>
      <c r="O276" s="9" t="str">
        <f>IF(COUNTBLANK($A276:$E276)&gt;0, "", IFERROR(_xlfn.MAXIFS(Log!$G:$G, Log!$A:$A, $A276, Log!$B:$B, $B276, Log!$C:$C, $C276),""))</f>
        <v/>
      </c>
    </row>
    <row r="277" spans="2:15" x14ac:dyDescent="0.3">
      <c r="B277" s="8" t="s">
        <v>117</v>
      </c>
      <c r="C277" s="66">
        <v>0</v>
      </c>
      <c r="H277" s="14" t="str">
        <f>IF(COUNTBLANK($A277:$E277)&gt;0, "", IFERROR(AVERAGEIFS(Log!$E:$E, Log!$A:$A, $A277, Log!$B:$B, $B277, Log!$C:$C, $C277),""))</f>
        <v/>
      </c>
      <c r="I277" s="64" t="str">
        <f t="shared" si="4"/>
        <v/>
      </c>
      <c r="J277" s="9" t="str">
        <f>IF(COUNTBLANK($A277:$E277)&gt;0, "", IFERROR(AVERAGEIFS(Log!$H:$H, Log!$A:$A, $A277, Log!$B:$B, $B277, Log!$C:$C, $C277),""))</f>
        <v/>
      </c>
      <c r="K277" s="9" t="str">
        <f>IF(COUNTBLANK($A277:$E277)&gt;0, "", IFERROR(_xlfn.MINIFS(Log!$F:$F, Log!$A:$A, $A277, Log!$B:$B, $B277, Log!$C:$C, $C277),""))</f>
        <v/>
      </c>
      <c r="L277" s="9" t="str">
        <f>IF(COUNTBLANK($A277:$E277)&gt;0, "", IFERROR(_xlfn.MAXIFS(Log!$F:$F, Log!$A:$A, $A277, Log!$B:$B, $B277, Log!$C:$C, $C277),""))</f>
        <v/>
      </c>
      <c r="M277" s="9" t="str">
        <f>IF(COUNTBLANK($A277:$E277)&gt;0, "", IFERROR(AVERAGEIFS(Log!$I:$I, Log!$A:$A, $A277, Log!$B:$B, $B277, Log!$C:$C, $C277),""))</f>
        <v/>
      </c>
      <c r="N277" s="9" t="str">
        <f>IF(COUNTBLANK($A277:$E277)&gt;0, "", IFERROR(_xlfn.MINIFS(Log!$G:$G, Log!$A:$A, $A277, Log!$B:$B, $B277, Log!$C:$C, $C277),""))</f>
        <v/>
      </c>
      <c r="O277" s="9" t="str">
        <f>IF(COUNTBLANK($A277:$E277)&gt;0, "", IFERROR(_xlfn.MAXIFS(Log!$G:$G, Log!$A:$A, $A277, Log!$B:$B, $B277, Log!$C:$C, $C277),""))</f>
        <v/>
      </c>
    </row>
    <row r="278" spans="2:15" x14ac:dyDescent="0.3">
      <c r="B278" s="8" t="s">
        <v>117</v>
      </c>
      <c r="C278" s="66">
        <v>0</v>
      </c>
      <c r="H278" s="14" t="str">
        <f>IF(COUNTBLANK($A278:$E278)&gt;0, "", IFERROR(AVERAGEIFS(Log!$E:$E, Log!$A:$A, $A278, Log!$B:$B, $B278, Log!$C:$C, $C278),""))</f>
        <v/>
      </c>
      <c r="I278" s="64" t="str">
        <f t="shared" si="4"/>
        <v/>
      </c>
      <c r="J278" s="9" t="str">
        <f>IF(COUNTBLANK($A278:$E278)&gt;0, "", IFERROR(AVERAGEIFS(Log!$H:$H, Log!$A:$A, $A278, Log!$B:$B, $B278, Log!$C:$C, $C278),""))</f>
        <v/>
      </c>
      <c r="K278" s="9" t="str">
        <f>IF(COUNTBLANK($A278:$E278)&gt;0, "", IFERROR(_xlfn.MINIFS(Log!$F:$F, Log!$A:$A, $A278, Log!$B:$B, $B278, Log!$C:$C, $C278),""))</f>
        <v/>
      </c>
      <c r="L278" s="9" t="str">
        <f>IF(COUNTBLANK($A278:$E278)&gt;0, "", IFERROR(_xlfn.MAXIFS(Log!$F:$F, Log!$A:$A, $A278, Log!$B:$B, $B278, Log!$C:$C, $C278),""))</f>
        <v/>
      </c>
      <c r="M278" s="9" t="str">
        <f>IF(COUNTBLANK($A278:$E278)&gt;0, "", IFERROR(AVERAGEIFS(Log!$I:$I, Log!$A:$A, $A278, Log!$B:$B, $B278, Log!$C:$C, $C278),""))</f>
        <v/>
      </c>
      <c r="N278" s="9" t="str">
        <f>IF(COUNTBLANK($A278:$E278)&gt;0, "", IFERROR(_xlfn.MINIFS(Log!$G:$G, Log!$A:$A, $A278, Log!$B:$B, $B278, Log!$C:$C, $C278),""))</f>
        <v/>
      </c>
      <c r="O278" s="9" t="str">
        <f>IF(COUNTBLANK($A278:$E278)&gt;0, "", IFERROR(_xlfn.MAXIFS(Log!$G:$G, Log!$A:$A, $A278, Log!$B:$B, $B278, Log!$C:$C, $C278),""))</f>
        <v/>
      </c>
    </row>
    <row r="279" spans="2:15" x14ac:dyDescent="0.3">
      <c r="B279" s="8" t="s">
        <v>117</v>
      </c>
      <c r="C279" s="66">
        <v>0</v>
      </c>
      <c r="H279" s="14" t="str">
        <f>IF(COUNTBLANK($A279:$E279)&gt;0, "", IFERROR(AVERAGEIFS(Log!$E:$E, Log!$A:$A, $A279, Log!$B:$B, $B279, Log!$C:$C, $C279),""))</f>
        <v/>
      </c>
      <c r="I279" s="64" t="str">
        <f t="shared" si="4"/>
        <v/>
      </c>
      <c r="J279" s="9" t="str">
        <f>IF(COUNTBLANK($A279:$E279)&gt;0, "", IFERROR(AVERAGEIFS(Log!$H:$H, Log!$A:$A, $A279, Log!$B:$B, $B279, Log!$C:$C, $C279),""))</f>
        <v/>
      </c>
      <c r="K279" s="9" t="str">
        <f>IF(COUNTBLANK($A279:$E279)&gt;0, "", IFERROR(_xlfn.MINIFS(Log!$F:$F, Log!$A:$A, $A279, Log!$B:$B, $B279, Log!$C:$C, $C279),""))</f>
        <v/>
      </c>
      <c r="L279" s="9" t="str">
        <f>IF(COUNTBLANK($A279:$E279)&gt;0, "", IFERROR(_xlfn.MAXIFS(Log!$F:$F, Log!$A:$A, $A279, Log!$B:$B, $B279, Log!$C:$C, $C279),""))</f>
        <v/>
      </c>
      <c r="M279" s="9" t="str">
        <f>IF(COUNTBLANK($A279:$E279)&gt;0, "", IFERROR(AVERAGEIFS(Log!$I:$I, Log!$A:$A, $A279, Log!$B:$B, $B279, Log!$C:$C, $C279),""))</f>
        <v/>
      </c>
      <c r="N279" s="9" t="str">
        <f>IF(COUNTBLANK($A279:$E279)&gt;0, "", IFERROR(_xlfn.MINIFS(Log!$G:$G, Log!$A:$A, $A279, Log!$B:$B, $B279, Log!$C:$C, $C279),""))</f>
        <v/>
      </c>
      <c r="O279" s="9" t="str">
        <f>IF(COUNTBLANK($A279:$E279)&gt;0, "", IFERROR(_xlfn.MAXIFS(Log!$G:$G, Log!$A:$A, $A279, Log!$B:$B, $B279, Log!$C:$C, $C279),""))</f>
        <v/>
      </c>
    </row>
    <row r="280" spans="2:15" x14ac:dyDescent="0.3">
      <c r="B280" s="8" t="s">
        <v>117</v>
      </c>
      <c r="C280" s="66">
        <v>0</v>
      </c>
      <c r="H280" s="14" t="str">
        <f>IF(COUNTBLANK($A280:$E280)&gt;0, "", IFERROR(AVERAGEIFS(Log!$E:$E, Log!$A:$A, $A280, Log!$B:$B, $B280, Log!$C:$C, $C280),""))</f>
        <v/>
      </c>
      <c r="I280" s="64" t="str">
        <f t="shared" si="4"/>
        <v/>
      </c>
      <c r="J280" s="9" t="str">
        <f>IF(COUNTBLANK($A280:$E280)&gt;0, "", IFERROR(AVERAGEIFS(Log!$H:$H, Log!$A:$A, $A280, Log!$B:$B, $B280, Log!$C:$C, $C280),""))</f>
        <v/>
      </c>
      <c r="K280" s="9" t="str">
        <f>IF(COUNTBLANK($A280:$E280)&gt;0, "", IFERROR(_xlfn.MINIFS(Log!$F:$F, Log!$A:$A, $A280, Log!$B:$B, $B280, Log!$C:$C, $C280),""))</f>
        <v/>
      </c>
      <c r="L280" s="9" t="str">
        <f>IF(COUNTBLANK($A280:$E280)&gt;0, "", IFERROR(_xlfn.MAXIFS(Log!$F:$F, Log!$A:$A, $A280, Log!$B:$B, $B280, Log!$C:$C, $C280),""))</f>
        <v/>
      </c>
      <c r="M280" s="9" t="str">
        <f>IF(COUNTBLANK($A280:$E280)&gt;0, "", IFERROR(AVERAGEIFS(Log!$I:$I, Log!$A:$A, $A280, Log!$B:$B, $B280, Log!$C:$C, $C280),""))</f>
        <v/>
      </c>
      <c r="N280" s="9" t="str">
        <f>IF(COUNTBLANK($A280:$E280)&gt;0, "", IFERROR(_xlfn.MINIFS(Log!$G:$G, Log!$A:$A, $A280, Log!$B:$B, $B280, Log!$C:$C, $C280),""))</f>
        <v/>
      </c>
      <c r="O280" s="9" t="str">
        <f>IF(COUNTBLANK($A280:$E280)&gt;0, "", IFERROR(_xlfn.MAXIFS(Log!$G:$G, Log!$A:$A, $A280, Log!$B:$B, $B280, Log!$C:$C, $C280),""))</f>
        <v/>
      </c>
    </row>
    <row r="281" spans="2:15" x14ac:dyDescent="0.3">
      <c r="B281" s="8" t="s">
        <v>117</v>
      </c>
      <c r="C281" s="66">
        <v>0</v>
      </c>
      <c r="H281" s="14" t="str">
        <f>IF(COUNTBLANK($A281:$E281)&gt;0, "", IFERROR(AVERAGEIFS(Log!$E:$E, Log!$A:$A, $A281, Log!$B:$B, $B281, Log!$C:$C, $C281),""))</f>
        <v/>
      </c>
      <c r="I281" s="64" t="str">
        <f t="shared" si="4"/>
        <v/>
      </c>
      <c r="J281" s="9" t="str">
        <f>IF(COUNTBLANK($A281:$E281)&gt;0, "", IFERROR(AVERAGEIFS(Log!$H:$H, Log!$A:$A, $A281, Log!$B:$B, $B281, Log!$C:$C, $C281),""))</f>
        <v/>
      </c>
      <c r="K281" s="9" t="str">
        <f>IF(COUNTBLANK($A281:$E281)&gt;0, "", IFERROR(_xlfn.MINIFS(Log!$F:$F, Log!$A:$A, $A281, Log!$B:$B, $B281, Log!$C:$C, $C281),""))</f>
        <v/>
      </c>
      <c r="L281" s="9" t="str">
        <f>IF(COUNTBLANK($A281:$E281)&gt;0, "", IFERROR(_xlfn.MAXIFS(Log!$F:$F, Log!$A:$A, $A281, Log!$B:$B, $B281, Log!$C:$C, $C281),""))</f>
        <v/>
      </c>
      <c r="M281" s="9" t="str">
        <f>IF(COUNTBLANK($A281:$E281)&gt;0, "", IFERROR(AVERAGEIFS(Log!$I:$I, Log!$A:$A, $A281, Log!$B:$B, $B281, Log!$C:$C, $C281),""))</f>
        <v/>
      </c>
      <c r="N281" s="9" t="str">
        <f>IF(COUNTBLANK($A281:$E281)&gt;0, "", IFERROR(_xlfn.MINIFS(Log!$G:$G, Log!$A:$A, $A281, Log!$B:$B, $B281, Log!$C:$C, $C281),""))</f>
        <v/>
      </c>
      <c r="O281" s="9" t="str">
        <f>IF(COUNTBLANK($A281:$E281)&gt;0, "", IFERROR(_xlfn.MAXIFS(Log!$G:$G, Log!$A:$A, $A281, Log!$B:$B, $B281, Log!$C:$C, $C281),""))</f>
        <v/>
      </c>
    </row>
    <row r="282" spans="2:15" x14ac:dyDescent="0.3">
      <c r="B282" s="8" t="s">
        <v>117</v>
      </c>
      <c r="C282" s="66">
        <v>0</v>
      </c>
      <c r="H282" s="14" t="str">
        <f>IF(COUNTBLANK($A282:$E282)&gt;0, "", IFERROR(AVERAGEIFS(Log!$E:$E, Log!$A:$A, $A282, Log!$B:$B, $B282, Log!$C:$C, $C282),""))</f>
        <v/>
      </c>
      <c r="I282" s="64" t="str">
        <f t="shared" si="4"/>
        <v/>
      </c>
      <c r="J282" s="9" t="str">
        <f>IF(COUNTBLANK($A282:$E282)&gt;0, "", IFERROR(AVERAGEIFS(Log!$H:$H, Log!$A:$A, $A282, Log!$B:$B, $B282, Log!$C:$C, $C282),""))</f>
        <v/>
      </c>
      <c r="K282" s="9" t="str">
        <f>IF(COUNTBLANK($A282:$E282)&gt;0, "", IFERROR(_xlfn.MINIFS(Log!$F:$F, Log!$A:$A, $A282, Log!$B:$B, $B282, Log!$C:$C, $C282),""))</f>
        <v/>
      </c>
      <c r="L282" s="9" t="str">
        <f>IF(COUNTBLANK($A282:$E282)&gt;0, "", IFERROR(_xlfn.MAXIFS(Log!$F:$F, Log!$A:$A, $A282, Log!$B:$B, $B282, Log!$C:$C, $C282),""))</f>
        <v/>
      </c>
      <c r="M282" s="9" t="str">
        <f>IF(COUNTBLANK($A282:$E282)&gt;0, "", IFERROR(AVERAGEIFS(Log!$I:$I, Log!$A:$A, $A282, Log!$B:$B, $B282, Log!$C:$C, $C282),""))</f>
        <v/>
      </c>
      <c r="N282" s="9" t="str">
        <f>IF(COUNTBLANK($A282:$E282)&gt;0, "", IFERROR(_xlfn.MINIFS(Log!$G:$G, Log!$A:$A, $A282, Log!$B:$B, $B282, Log!$C:$C, $C282),""))</f>
        <v/>
      </c>
      <c r="O282" s="9" t="str">
        <f>IF(COUNTBLANK($A282:$E282)&gt;0, "", IFERROR(_xlfn.MAXIFS(Log!$G:$G, Log!$A:$A, $A282, Log!$B:$B, $B282, Log!$C:$C, $C282),""))</f>
        <v/>
      </c>
    </row>
    <row r="283" spans="2:15" x14ac:dyDescent="0.3">
      <c r="B283" s="8" t="s">
        <v>117</v>
      </c>
      <c r="C283" s="66">
        <v>0</v>
      </c>
      <c r="H283" s="14" t="str">
        <f>IF(COUNTBLANK($A283:$E283)&gt;0, "", IFERROR(AVERAGEIFS(Log!$E:$E, Log!$A:$A, $A283, Log!$B:$B, $B283, Log!$C:$C, $C283),""))</f>
        <v/>
      </c>
      <c r="I283" s="64" t="str">
        <f t="shared" si="4"/>
        <v/>
      </c>
      <c r="J283" s="9" t="str">
        <f>IF(COUNTBLANK($A283:$E283)&gt;0, "", IFERROR(AVERAGEIFS(Log!$H:$H, Log!$A:$A, $A283, Log!$B:$B, $B283, Log!$C:$C, $C283),""))</f>
        <v/>
      </c>
      <c r="K283" s="9" t="str">
        <f>IF(COUNTBLANK($A283:$E283)&gt;0, "", IFERROR(_xlfn.MINIFS(Log!$F:$F, Log!$A:$A, $A283, Log!$B:$B, $B283, Log!$C:$C, $C283),""))</f>
        <v/>
      </c>
      <c r="L283" s="9" t="str">
        <f>IF(COUNTBLANK($A283:$E283)&gt;0, "", IFERROR(_xlfn.MAXIFS(Log!$F:$F, Log!$A:$A, $A283, Log!$B:$B, $B283, Log!$C:$C, $C283),""))</f>
        <v/>
      </c>
      <c r="M283" s="9" t="str">
        <f>IF(COUNTBLANK($A283:$E283)&gt;0, "", IFERROR(AVERAGEIFS(Log!$I:$I, Log!$A:$A, $A283, Log!$B:$B, $B283, Log!$C:$C, $C283),""))</f>
        <v/>
      </c>
      <c r="N283" s="9" t="str">
        <f>IF(COUNTBLANK($A283:$E283)&gt;0, "", IFERROR(_xlfn.MINIFS(Log!$G:$G, Log!$A:$A, $A283, Log!$B:$B, $B283, Log!$C:$C, $C283),""))</f>
        <v/>
      </c>
      <c r="O283" s="9" t="str">
        <f>IF(COUNTBLANK($A283:$E283)&gt;0, "", IFERROR(_xlfn.MAXIFS(Log!$G:$G, Log!$A:$A, $A283, Log!$B:$B, $B283, Log!$C:$C, $C283),""))</f>
        <v/>
      </c>
    </row>
    <row r="284" spans="2:15" x14ac:dyDescent="0.3">
      <c r="B284" s="8" t="s">
        <v>117</v>
      </c>
      <c r="C284" s="66">
        <v>0</v>
      </c>
      <c r="H284" s="14" t="str">
        <f>IF(COUNTBLANK($A284:$E284)&gt;0, "", IFERROR(AVERAGEIFS(Log!$E:$E, Log!$A:$A, $A284, Log!$B:$B, $B284, Log!$C:$C, $C284),""))</f>
        <v/>
      </c>
      <c r="I284" s="64" t="str">
        <f t="shared" si="4"/>
        <v/>
      </c>
      <c r="J284" s="9" t="str">
        <f>IF(COUNTBLANK($A284:$E284)&gt;0, "", IFERROR(AVERAGEIFS(Log!$H:$H, Log!$A:$A, $A284, Log!$B:$B, $B284, Log!$C:$C, $C284),""))</f>
        <v/>
      </c>
      <c r="K284" s="9" t="str">
        <f>IF(COUNTBLANK($A284:$E284)&gt;0, "", IFERROR(_xlfn.MINIFS(Log!$F:$F, Log!$A:$A, $A284, Log!$B:$B, $B284, Log!$C:$C, $C284),""))</f>
        <v/>
      </c>
      <c r="L284" s="9" t="str">
        <f>IF(COUNTBLANK($A284:$E284)&gt;0, "", IFERROR(_xlfn.MAXIFS(Log!$F:$F, Log!$A:$A, $A284, Log!$B:$B, $B284, Log!$C:$C, $C284),""))</f>
        <v/>
      </c>
      <c r="M284" s="9" t="str">
        <f>IF(COUNTBLANK($A284:$E284)&gt;0, "", IFERROR(AVERAGEIFS(Log!$I:$I, Log!$A:$A, $A284, Log!$B:$B, $B284, Log!$C:$C, $C284),""))</f>
        <v/>
      </c>
      <c r="N284" s="9" t="str">
        <f>IF(COUNTBLANK($A284:$E284)&gt;0, "", IFERROR(_xlfn.MINIFS(Log!$G:$G, Log!$A:$A, $A284, Log!$B:$B, $B284, Log!$C:$C, $C284),""))</f>
        <v/>
      </c>
      <c r="O284" s="9" t="str">
        <f>IF(COUNTBLANK($A284:$E284)&gt;0, "", IFERROR(_xlfn.MAXIFS(Log!$G:$G, Log!$A:$A, $A284, Log!$B:$B, $B284, Log!$C:$C, $C284),""))</f>
        <v/>
      </c>
    </row>
    <row r="285" spans="2:15" x14ac:dyDescent="0.3">
      <c r="B285" s="8" t="s">
        <v>117</v>
      </c>
      <c r="C285" s="66">
        <v>0</v>
      </c>
      <c r="H285" s="14" t="str">
        <f>IF(COUNTBLANK($A285:$E285)&gt;0, "", IFERROR(AVERAGEIFS(Log!$E:$E, Log!$A:$A, $A285, Log!$B:$B, $B285, Log!$C:$C, $C285),""))</f>
        <v/>
      </c>
      <c r="I285" s="64" t="str">
        <f t="shared" si="4"/>
        <v/>
      </c>
      <c r="J285" s="9" t="str">
        <f>IF(COUNTBLANK($A285:$E285)&gt;0, "", IFERROR(AVERAGEIFS(Log!$H:$H, Log!$A:$A, $A285, Log!$B:$B, $B285, Log!$C:$C, $C285),""))</f>
        <v/>
      </c>
      <c r="K285" s="9" t="str">
        <f>IF(COUNTBLANK($A285:$E285)&gt;0, "", IFERROR(_xlfn.MINIFS(Log!$F:$F, Log!$A:$A, $A285, Log!$B:$B, $B285, Log!$C:$C, $C285),""))</f>
        <v/>
      </c>
      <c r="L285" s="9" t="str">
        <f>IF(COUNTBLANK($A285:$E285)&gt;0, "", IFERROR(_xlfn.MAXIFS(Log!$F:$F, Log!$A:$A, $A285, Log!$B:$B, $B285, Log!$C:$C, $C285),""))</f>
        <v/>
      </c>
      <c r="M285" s="9" t="str">
        <f>IF(COUNTBLANK($A285:$E285)&gt;0, "", IFERROR(AVERAGEIFS(Log!$I:$I, Log!$A:$A, $A285, Log!$B:$B, $B285, Log!$C:$C, $C285),""))</f>
        <v/>
      </c>
      <c r="N285" s="9" t="str">
        <f>IF(COUNTBLANK($A285:$E285)&gt;0, "", IFERROR(_xlfn.MINIFS(Log!$G:$G, Log!$A:$A, $A285, Log!$B:$B, $B285, Log!$C:$C, $C285),""))</f>
        <v/>
      </c>
      <c r="O285" s="9" t="str">
        <f>IF(COUNTBLANK($A285:$E285)&gt;0, "", IFERROR(_xlfn.MAXIFS(Log!$G:$G, Log!$A:$A, $A285, Log!$B:$B, $B285, Log!$C:$C, $C285),""))</f>
        <v/>
      </c>
    </row>
    <row r="286" spans="2:15" x14ac:dyDescent="0.3">
      <c r="B286" s="8" t="s">
        <v>117</v>
      </c>
      <c r="C286" s="66">
        <v>0</v>
      </c>
      <c r="H286" s="14" t="str">
        <f>IF(COUNTBLANK($A286:$E286)&gt;0, "", IFERROR(AVERAGEIFS(Log!$E:$E, Log!$A:$A, $A286, Log!$B:$B, $B286, Log!$C:$C, $C286),""))</f>
        <v/>
      </c>
      <c r="I286" s="64" t="str">
        <f t="shared" si="4"/>
        <v/>
      </c>
      <c r="J286" s="9" t="str">
        <f>IF(COUNTBLANK($A286:$E286)&gt;0, "", IFERROR(AVERAGEIFS(Log!$H:$H, Log!$A:$A, $A286, Log!$B:$B, $B286, Log!$C:$C, $C286),""))</f>
        <v/>
      </c>
      <c r="K286" s="9" t="str">
        <f>IF(COUNTBLANK($A286:$E286)&gt;0, "", IFERROR(_xlfn.MINIFS(Log!$F:$F, Log!$A:$A, $A286, Log!$B:$B, $B286, Log!$C:$C, $C286),""))</f>
        <v/>
      </c>
      <c r="L286" s="9" t="str">
        <f>IF(COUNTBLANK($A286:$E286)&gt;0, "", IFERROR(_xlfn.MAXIFS(Log!$F:$F, Log!$A:$A, $A286, Log!$B:$B, $B286, Log!$C:$C, $C286),""))</f>
        <v/>
      </c>
      <c r="M286" s="9" t="str">
        <f>IF(COUNTBLANK($A286:$E286)&gt;0, "", IFERROR(AVERAGEIFS(Log!$I:$I, Log!$A:$A, $A286, Log!$B:$B, $B286, Log!$C:$C, $C286),""))</f>
        <v/>
      </c>
      <c r="N286" s="9" t="str">
        <f>IF(COUNTBLANK($A286:$E286)&gt;0, "", IFERROR(_xlfn.MINIFS(Log!$G:$G, Log!$A:$A, $A286, Log!$B:$B, $B286, Log!$C:$C, $C286),""))</f>
        <v/>
      </c>
      <c r="O286" s="9" t="str">
        <f>IF(COUNTBLANK($A286:$E286)&gt;0, "", IFERROR(_xlfn.MAXIFS(Log!$G:$G, Log!$A:$A, $A286, Log!$B:$B, $B286, Log!$C:$C, $C286),""))</f>
        <v/>
      </c>
    </row>
    <row r="287" spans="2:15" x14ac:dyDescent="0.3">
      <c r="B287" s="8" t="s">
        <v>117</v>
      </c>
      <c r="C287" s="66">
        <v>0</v>
      </c>
      <c r="H287" s="14" t="str">
        <f>IF(COUNTBLANK($A287:$E287)&gt;0, "", IFERROR(AVERAGEIFS(Log!$E:$E, Log!$A:$A, $A287, Log!$B:$B, $B287, Log!$C:$C, $C287),""))</f>
        <v/>
      </c>
      <c r="I287" s="64" t="str">
        <f t="shared" si="4"/>
        <v/>
      </c>
      <c r="J287" s="9" t="str">
        <f>IF(COUNTBLANK($A287:$E287)&gt;0, "", IFERROR(AVERAGEIFS(Log!$H:$H, Log!$A:$A, $A287, Log!$B:$B, $B287, Log!$C:$C, $C287),""))</f>
        <v/>
      </c>
      <c r="K287" s="9" t="str">
        <f>IF(COUNTBLANK($A287:$E287)&gt;0, "", IFERROR(_xlfn.MINIFS(Log!$F:$F, Log!$A:$A, $A287, Log!$B:$B, $B287, Log!$C:$C, $C287),""))</f>
        <v/>
      </c>
      <c r="L287" s="9" t="str">
        <f>IF(COUNTBLANK($A287:$E287)&gt;0, "", IFERROR(_xlfn.MAXIFS(Log!$F:$F, Log!$A:$A, $A287, Log!$B:$B, $B287, Log!$C:$C, $C287),""))</f>
        <v/>
      </c>
      <c r="M287" s="9" t="str">
        <f>IF(COUNTBLANK($A287:$E287)&gt;0, "", IFERROR(AVERAGEIFS(Log!$I:$I, Log!$A:$A, $A287, Log!$B:$B, $B287, Log!$C:$C, $C287),""))</f>
        <v/>
      </c>
      <c r="N287" s="9" t="str">
        <f>IF(COUNTBLANK($A287:$E287)&gt;0, "", IFERROR(_xlfn.MINIFS(Log!$G:$G, Log!$A:$A, $A287, Log!$B:$B, $B287, Log!$C:$C, $C287),""))</f>
        <v/>
      </c>
      <c r="O287" s="9" t="str">
        <f>IF(COUNTBLANK($A287:$E287)&gt;0, "", IFERROR(_xlfn.MAXIFS(Log!$G:$G, Log!$A:$A, $A287, Log!$B:$B, $B287, Log!$C:$C, $C287),""))</f>
        <v/>
      </c>
    </row>
    <row r="288" spans="2:15" x14ac:dyDescent="0.3">
      <c r="B288" s="8" t="s">
        <v>117</v>
      </c>
      <c r="C288" s="66">
        <v>0</v>
      </c>
      <c r="H288" s="14" t="str">
        <f>IF(COUNTBLANK($A288:$E288)&gt;0, "", IFERROR(AVERAGEIFS(Log!$E:$E, Log!$A:$A, $A288, Log!$B:$B, $B288, Log!$C:$C, $C288),""))</f>
        <v/>
      </c>
      <c r="I288" s="64" t="str">
        <f t="shared" si="4"/>
        <v/>
      </c>
      <c r="J288" s="9" t="str">
        <f>IF(COUNTBLANK($A288:$E288)&gt;0, "", IFERROR(AVERAGEIFS(Log!$H:$H, Log!$A:$A, $A288, Log!$B:$B, $B288, Log!$C:$C, $C288),""))</f>
        <v/>
      </c>
      <c r="K288" s="9" t="str">
        <f>IF(COUNTBLANK($A288:$E288)&gt;0, "", IFERROR(_xlfn.MINIFS(Log!$F:$F, Log!$A:$A, $A288, Log!$B:$B, $B288, Log!$C:$C, $C288),""))</f>
        <v/>
      </c>
      <c r="L288" s="9" t="str">
        <f>IF(COUNTBLANK($A288:$E288)&gt;0, "", IFERROR(_xlfn.MAXIFS(Log!$F:$F, Log!$A:$A, $A288, Log!$B:$B, $B288, Log!$C:$C, $C288),""))</f>
        <v/>
      </c>
      <c r="M288" s="9" t="str">
        <f>IF(COUNTBLANK($A288:$E288)&gt;0, "", IFERROR(AVERAGEIFS(Log!$I:$I, Log!$A:$A, $A288, Log!$B:$B, $B288, Log!$C:$C, $C288),""))</f>
        <v/>
      </c>
      <c r="N288" s="9" t="str">
        <f>IF(COUNTBLANK($A288:$E288)&gt;0, "", IFERROR(_xlfn.MINIFS(Log!$G:$G, Log!$A:$A, $A288, Log!$B:$B, $B288, Log!$C:$C, $C288),""))</f>
        <v/>
      </c>
      <c r="O288" s="9" t="str">
        <f>IF(COUNTBLANK($A288:$E288)&gt;0, "", IFERROR(_xlfn.MAXIFS(Log!$G:$G, Log!$A:$A, $A288, Log!$B:$B, $B288, Log!$C:$C, $C288),""))</f>
        <v/>
      </c>
    </row>
    <row r="289" spans="2:15" x14ac:dyDescent="0.3">
      <c r="B289" s="8" t="s">
        <v>117</v>
      </c>
      <c r="C289" s="66">
        <v>0</v>
      </c>
      <c r="H289" s="14" t="str">
        <f>IF(COUNTBLANK($A289:$E289)&gt;0, "", IFERROR(AVERAGEIFS(Log!$E:$E, Log!$A:$A, $A289, Log!$B:$B, $B289, Log!$C:$C, $C289),""))</f>
        <v/>
      </c>
      <c r="I289" s="64" t="str">
        <f t="shared" si="4"/>
        <v/>
      </c>
      <c r="J289" s="9" t="str">
        <f>IF(COUNTBLANK($A289:$E289)&gt;0, "", IFERROR(AVERAGEIFS(Log!$H:$H, Log!$A:$A, $A289, Log!$B:$B, $B289, Log!$C:$C, $C289),""))</f>
        <v/>
      </c>
      <c r="K289" s="9" t="str">
        <f>IF(COUNTBLANK($A289:$E289)&gt;0, "", IFERROR(_xlfn.MINIFS(Log!$F:$F, Log!$A:$A, $A289, Log!$B:$B, $B289, Log!$C:$C, $C289),""))</f>
        <v/>
      </c>
      <c r="L289" s="9" t="str">
        <f>IF(COUNTBLANK($A289:$E289)&gt;0, "", IFERROR(_xlfn.MAXIFS(Log!$F:$F, Log!$A:$A, $A289, Log!$B:$B, $B289, Log!$C:$C, $C289),""))</f>
        <v/>
      </c>
      <c r="M289" s="9" t="str">
        <f>IF(COUNTBLANK($A289:$E289)&gt;0, "", IFERROR(AVERAGEIFS(Log!$I:$I, Log!$A:$A, $A289, Log!$B:$B, $B289, Log!$C:$C, $C289),""))</f>
        <v/>
      </c>
      <c r="N289" s="9" t="str">
        <f>IF(COUNTBLANK($A289:$E289)&gt;0, "", IFERROR(_xlfn.MINIFS(Log!$G:$G, Log!$A:$A, $A289, Log!$B:$B, $B289, Log!$C:$C, $C289),""))</f>
        <v/>
      </c>
      <c r="O289" s="9" t="str">
        <f>IF(COUNTBLANK($A289:$E289)&gt;0, "", IFERROR(_xlfn.MAXIFS(Log!$G:$G, Log!$A:$A, $A289, Log!$B:$B, $B289, Log!$C:$C, $C289),""))</f>
        <v/>
      </c>
    </row>
    <row r="290" spans="2:15" x14ac:dyDescent="0.3">
      <c r="B290" s="8" t="s">
        <v>117</v>
      </c>
      <c r="C290" s="66">
        <v>0</v>
      </c>
      <c r="H290" s="14" t="str">
        <f>IF(COUNTBLANK($A290:$E290)&gt;0, "", IFERROR(AVERAGEIFS(Log!$E:$E, Log!$A:$A, $A290, Log!$B:$B, $B290, Log!$C:$C, $C290),""))</f>
        <v/>
      </c>
      <c r="I290" s="64" t="str">
        <f t="shared" si="4"/>
        <v/>
      </c>
      <c r="J290" s="9" t="str">
        <f>IF(COUNTBLANK($A290:$E290)&gt;0, "", IFERROR(AVERAGEIFS(Log!$H:$H, Log!$A:$A, $A290, Log!$B:$B, $B290, Log!$C:$C, $C290),""))</f>
        <v/>
      </c>
      <c r="K290" s="9" t="str">
        <f>IF(COUNTBLANK($A290:$E290)&gt;0, "", IFERROR(_xlfn.MINIFS(Log!$F:$F, Log!$A:$A, $A290, Log!$B:$B, $B290, Log!$C:$C, $C290),""))</f>
        <v/>
      </c>
      <c r="L290" s="9" t="str">
        <f>IF(COUNTBLANK($A290:$E290)&gt;0, "", IFERROR(_xlfn.MAXIFS(Log!$F:$F, Log!$A:$A, $A290, Log!$B:$B, $B290, Log!$C:$C, $C290),""))</f>
        <v/>
      </c>
      <c r="M290" s="9" t="str">
        <f>IF(COUNTBLANK($A290:$E290)&gt;0, "", IFERROR(AVERAGEIFS(Log!$I:$I, Log!$A:$A, $A290, Log!$B:$B, $B290, Log!$C:$C, $C290),""))</f>
        <v/>
      </c>
      <c r="N290" s="9" t="str">
        <f>IF(COUNTBLANK($A290:$E290)&gt;0, "", IFERROR(_xlfn.MINIFS(Log!$G:$G, Log!$A:$A, $A290, Log!$B:$B, $B290, Log!$C:$C, $C290),""))</f>
        <v/>
      </c>
      <c r="O290" s="9" t="str">
        <f>IF(COUNTBLANK($A290:$E290)&gt;0, "", IFERROR(_xlfn.MAXIFS(Log!$G:$G, Log!$A:$A, $A290, Log!$B:$B, $B290, Log!$C:$C, $C290),""))</f>
        <v/>
      </c>
    </row>
    <row r="291" spans="2:15" x14ac:dyDescent="0.3">
      <c r="B291" s="8" t="s">
        <v>117</v>
      </c>
      <c r="C291" s="66">
        <v>0</v>
      </c>
      <c r="H291" s="14" t="str">
        <f>IF(COUNTBLANK($A291:$E291)&gt;0, "", IFERROR(AVERAGEIFS(Log!$E:$E, Log!$A:$A, $A291, Log!$B:$B, $B291, Log!$C:$C, $C291),""))</f>
        <v/>
      </c>
      <c r="I291" s="64" t="str">
        <f t="shared" si="4"/>
        <v/>
      </c>
      <c r="J291" s="9" t="str">
        <f>IF(COUNTBLANK($A291:$E291)&gt;0, "", IFERROR(AVERAGEIFS(Log!$H:$H, Log!$A:$A, $A291, Log!$B:$B, $B291, Log!$C:$C, $C291),""))</f>
        <v/>
      </c>
      <c r="K291" s="9" t="str">
        <f>IF(COUNTBLANK($A291:$E291)&gt;0, "", IFERROR(_xlfn.MINIFS(Log!$F:$F, Log!$A:$A, $A291, Log!$B:$B, $B291, Log!$C:$C, $C291),""))</f>
        <v/>
      </c>
      <c r="L291" s="9" t="str">
        <f>IF(COUNTBLANK($A291:$E291)&gt;0, "", IFERROR(_xlfn.MAXIFS(Log!$F:$F, Log!$A:$A, $A291, Log!$B:$B, $B291, Log!$C:$C, $C291),""))</f>
        <v/>
      </c>
      <c r="M291" s="9" t="str">
        <f>IF(COUNTBLANK($A291:$E291)&gt;0, "", IFERROR(AVERAGEIFS(Log!$I:$I, Log!$A:$A, $A291, Log!$B:$B, $B291, Log!$C:$C, $C291),""))</f>
        <v/>
      </c>
      <c r="N291" s="9" t="str">
        <f>IF(COUNTBLANK($A291:$E291)&gt;0, "", IFERROR(_xlfn.MINIFS(Log!$G:$G, Log!$A:$A, $A291, Log!$B:$B, $B291, Log!$C:$C, $C291),""))</f>
        <v/>
      </c>
      <c r="O291" s="9" t="str">
        <f>IF(COUNTBLANK($A291:$E291)&gt;0, "", IFERROR(_xlfn.MAXIFS(Log!$G:$G, Log!$A:$A, $A291, Log!$B:$B, $B291, Log!$C:$C, $C291),""))</f>
        <v/>
      </c>
    </row>
    <row r="292" spans="2:15" x14ac:dyDescent="0.3">
      <c r="B292" s="8" t="s">
        <v>117</v>
      </c>
      <c r="C292" s="66">
        <v>0</v>
      </c>
      <c r="H292" s="14" t="str">
        <f>IF(COUNTBLANK($A292:$E292)&gt;0, "", IFERROR(AVERAGEIFS(Log!$E:$E, Log!$A:$A, $A292, Log!$B:$B, $B292, Log!$C:$C, $C292),""))</f>
        <v/>
      </c>
      <c r="I292" s="64" t="str">
        <f t="shared" si="4"/>
        <v/>
      </c>
      <c r="J292" s="9" t="str">
        <f>IF(COUNTBLANK($A292:$E292)&gt;0, "", IFERROR(AVERAGEIFS(Log!$H:$H, Log!$A:$A, $A292, Log!$B:$B, $B292, Log!$C:$C, $C292),""))</f>
        <v/>
      </c>
      <c r="K292" s="9" t="str">
        <f>IF(COUNTBLANK($A292:$E292)&gt;0, "", IFERROR(_xlfn.MINIFS(Log!$F:$F, Log!$A:$A, $A292, Log!$B:$B, $B292, Log!$C:$C, $C292),""))</f>
        <v/>
      </c>
      <c r="L292" s="9" t="str">
        <f>IF(COUNTBLANK($A292:$E292)&gt;0, "", IFERROR(_xlfn.MAXIFS(Log!$F:$F, Log!$A:$A, $A292, Log!$B:$B, $B292, Log!$C:$C, $C292),""))</f>
        <v/>
      </c>
      <c r="M292" s="9" t="str">
        <f>IF(COUNTBLANK($A292:$E292)&gt;0, "", IFERROR(AVERAGEIFS(Log!$I:$I, Log!$A:$A, $A292, Log!$B:$B, $B292, Log!$C:$C, $C292),""))</f>
        <v/>
      </c>
      <c r="N292" s="9" t="str">
        <f>IF(COUNTBLANK($A292:$E292)&gt;0, "", IFERROR(_xlfn.MINIFS(Log!$G:$G, Log!$A:$A, $A292, Log!$B:$B, $B292, Log!$C:$C, $C292),""))</f>
        <v/>
      </c>
      <c r="O292" s="9" t="str">
        <f>IF(COUNTBLANK($A292:$E292)&gt;0, "", IFERROR(_xlfn.MAXIFS(Log!$G:$G, Log!$A:$A, $A292, Log!$B:$B, $B292, Log!$C:$C, $C292),""))</f>
        <v/>
      </c>
    </row>
    <row r="293" spans="2:15" x14ac:dyDescent="0.3">
      <c r="B293" s="8" t="s">
        <v>117</v>
      </c>
      <c r="C293" s="66">
        <v>0</v>
      </c>
      <c r="H293" s="14" t="str">
        <f>IF(COUNTBLANK($A293:$E293)&gt;0, "", IFERROR(AVERAGEIFS(Log!$E:$E, Log!$A:$A, $A293, Log!$B:$B, $B293, Log!$C:$C, $C293),""))</f>
        <v/>
      </c>
      <c r="I293" s="64" t="str">
        <f t="shared" si="4"/>
        <v/>
      </c>
      <c r="J293" s="9" t="str">
        <f>IF(COUNTBLANK($A293:$E293)&gt;0, "", IFERROR(AVERAGEIFS(Log!$H:$H, Log!$A:$A, $A293, Log!$B:$B, $B293, Log!$C:$C, $C293),""))</f>
        <v/>
      </c>
      <c r="K293" s="9" t="str">
        <f>IF(COUNTBLANK($A293:$E293)&gt;0, "", IFERROR(_xlfn.MINIFS(Log!$F:$F, Log!$A:$A, $A293, Log!$B:$B, $B293, Log!$C:$C, $C293),""))</f>
        <v/>
      </c>
      <c r="L293" s="9" t="str">
        <f>IF(COUNTBLANK($A293:$E293)&gt;0, "", IFERROR(_xlfn.MAXIFS(Log!$F:$F, Log!$A:$A, $A293, Log!$B:$B, $B293, Log!$C:$C, $C293),""))</f>
        <v/>
      </c>
      <c r="M293" s="9" t="str">
        <f>IF(COUNTBLANK($A293:$E293)&gt;0, "", IFERROR(AVERAGEIFS(Log!$I:$I, Log!$A:$A, $A293, Log!$B:$B, $B293, Log!$C:$C, $C293),""))</f>
        <v/>
      </c>
      <c r="N293" s="9" t="str">
        <f>IF(COUNTBLANK($A293:$E293)&gt;0, "", IFERROR(_xlfn.MINIFS(Log!$G:$G, Log!$A:$A, $A293, Log!$B:$B, $B293, Log!$C:$C, $C293),""))</f>
        <v/>
      </c>
      <c r="O293" s="9" t="str">
        <f>IF(COUNTBLANK($A293:$E293)&gt;0, "", IFERROR(_xlfn.MAXIFS(Log!$G:$G, Log!$A:$A, $A293, Log!$B:$B, $B293, Log!$C:$C, $C293),""))</f>
        <v/>
      </c>
    </row>
    <row r="294" spans="2:15" x14ac:dyDescent="0.3">
      <c r="B294" s="8" t="s">
        <v>117</v>
      </c>
      <c r="C294" s="66">
        <v>0</v>
      </c>
      <c r="H294" s="14" t="str">
        <f>IF(COUNTBLANK($A294:$E294)&gt;0, "", IFERROR(AVERAGEIFS(Log!$E:$E, Log!$A:$A, $A294, Log!$B:$B, $B294, Log!$C:$C, $C294),""))</f>
        <v/>
      </c>
      <c r="I294" s="64" t="str">
        <f t="shared" si="4"/>
        <v/>
      </c>
      <c r="J294" s="9" t="str">
        <f>IF(COUNTBLANK($A294:$E294)&gt;0, "", IFERROR(AVERAGEIFS(Log!$H:$H, Log!$A:$A, $A294, Log!$B:$B, $B294, Log!$C:$C, $C294),""))</f>
        <v/>
      </c>
      <c r="K294" s="9" t="str">
        <f>IF(COUNTBLANK($A294:$E294)&gt;0, "", IFERROR(_xlfn.MINIFS(Log!$F:$F, Log!$A:$A, $A294, Log!$B:$B, $B294, Log!$C:$C, $C294),""))</f>
        <v/>
      </c>
      <c r="L294" s="9" t="str">
        <f>IF(COUNTBLANK($A294:$E294)&gt;0, "", IFERROR(_xlfn.MAXIFS(Log!$F:$F, Log!$A:$A, $A294, Log!$B:$B, $B294, Log!$C:$C, $C294),""))</f>
        <v/>
      </c>
      <c r="M294" s="9" t="str">
        <f>IF(COUNTBLANK($A294:$E294)&gt;0, "", IFERROR(AVERAGEIFS(Log!$I:$I, Log!$A:$A, $A294, Log!$B:$B, $B294, Log!$C:$C, $C294),""))</f>
        <v/>
      </c>
      <c r="N294" s="9" t="str">
        <f>IF(COUNTBLANK($A294:$E294)&gt;0, "", IFERROR(_xlfn.MINIFS(Log!$G:$G, Log!$A:$A, $A294, Log!$B:$B, $B294, Log!$C:$C, $C294),""))</f>
        <v/>
      </c>
      <c r="O294" s="9" t="str">
        <f>IF(COUNTBLANK($A294:$E294)&gt;0, "", IFERROR(_xlfn.MAXIFS(Log!$G:$G, Log!$A:$A, $A294, Log!$B:$B, $B294, Log!$C:$C, $C294),""))</f>
        <v/>
      </c>
    </row>
    <row r="295" spans="2:15" x14ac:dyDescent="0.3">
      <c r="B295" s="8" t="s">
        <v>117</v>
      </c>
      <c r="C295" s="66">
        <v>0</v>
      </c>
      <c r="H295" s="14" t="str">
        <f>IF(COUNTBLANK($A295:$E295)&gt;0, "", IFERROR(AVERAGEIFS(Log!$E:$E, Log!$A:$A, $A295, Log!$B:$B, $B295, Log!$C:$C, $C295),""))</f>
        <v/>
      </c>
      <c r="I295" s="64" t="str">
        <f t="shared" si="4"/>
        <v/>
      </c>
      <c r="J295" s="9" t="str">
        <f>IF(COUNTBLANK($A295:$E295)&gt;0, "", IFERROR(AVERAGEIFS(Log!$H:$H, Log!$A:$A, $A295, Log!$B:$B, $B295, Log!$C:$C, $C295),""))</f>
        <v/>
      </c>
      <c r="K295" s="9" t="str">
        <f>IF(COUNTBLANK($A295:$E295)&gt;0, "", IFERROR(_xlfn.MINIFS(Log!$F:$F, Log!$A:$A, $A295, Log!$B:$B, $B295, Log!$C:$C, $C295),""))</f>
        <v/>
      </c>
      <c r="L295" s="9" t="str">
        <f>IF(COUNTBLANK($A295:$E295)&gt;0, "", IFERROR(_xlfn.MAXIFS(Log!$F:$F, Log!$A:$A, $A295, Log!$B:$B, $B295, Log!$C:$C, $C295),""))</f>
        <v/>
      </c>
      <c r="M295" s="9" t="str">
        <f>IF(COUNTBLANK($A295:$E295)&gt;0, "", IFERROR(AVERAGEIFS(Log!$I:$I, Log!$A:$A, $A295, Log!$B:$B, $B295, Log!$C:$C, $C295),""))</f>
        <v/>
      </c>
      <c r="N295" s="9" t="str">
        <f>IF(COUNTBLANK($A295:$E295)&gt;0, "", IFERROR(_xlfn.MINIFS(Log!$G:$G, Log!$A:$A, $A295, Log!$B:$B, $B295, Log!$C:$C, $C295),""))</f>
        <v/>
      </c>
      <c r="O295" s="9" t="str">
        <f>IF(COUNTBLANK($A295:$E295)&gt;0, "", IFERROR(_xlfn.MAXIFS(Log!$G:$G, Log!$A:$A, $A295, Log!$B:$B, $B295, Log!$C:$C, $C295),""))</f>
        <v/>
      </c>
    </row>
    <row r="296" spans="2:15" x14ac:dyDescent="0.3">
      <c r="B296" s="8" t="s">
        <v>117</v>
      </c>
      <c r="C296" s="66">
        <v>0</v>
      </c>
      <c r="H296" s="14" t="str">
        <f>IF(COUNTBLANK($A296:$E296)&gt;0, "", IFERROR(AVERAGEIFS(Log!$E:$E, Log!$A:$A, $A296, Log!$B:$B, $B296, Log!$C:$C, $C296),""))</f>
        <v/>
      </c>
      <c r="I296" s="64" t="str">
        <f t="shared" si="4"/>
        <v/>
      </c>
      <c r="J296" s="9" t="str">
        <f>IF(COUNTBLANK($A296:$E296)&gt;0, "", IFERROR(AVERAGEIFS(Log!$H:$H, Log!$A:$A, $A296, Log!$B:$B, $B296, Log!$C:$C, $C296),""))</f>
        <v/>
      </c>
      <c r="K296" s="9" t="str">
        <f>IF(COUNTBLANK($A296:$E296)&gt;0, "", IFERROR(_xlfn.MINIFS(Log!$F:$F, Log!$A:$A, $A296, Log!$B:$B, $B296, Log!$C:$C, $C296),""))</f>
        <v/>
      </c>
      <c r="L296" s="9" t="str">
        <f>IF(COUNTBLANK($A296:$E296)&gt;0, "", IFERROR(_xlfn.MAXIFS(Log!$F:$F, Log!$A:$A, $A296, Log!$B:$B, $B296, Log!$C:$C, $C296),""))</f>
        <v/>
      </c>
      <c r="M296" s="9" t="str">
        <f>IF(COUNTBLANK($A296:$E296)&gt;0, "", IFERROR(AVERAGEIFS(Log!$I:$I, Log!$A:$A, $A296, Log!$B:$B, $B296, Log!$C:$C, $C296),""))</f>
        <v/>
      </c>
      <c r="N296" s="9" t="str">
        <f>IF(COUNTBLANK($A296:$E296)&gt;0, "", IFERROR(_xlfn.MINIFS(Log!$G:$G, Log!$A:$A, $A296, Log!$B:$B, $B296, Log!$C:$C, $C296),""))</f>
        <v/>
      </c>
      <c r="O296" s="9" t="str">
        <f>IF(COUNTBLANK($A296:$E296)&gt;0, "", IFERROR(_xlfn.MAXIFS(Log!$G:$G, Log!$A:$A, $A296, Log!$B:$B, $B296, Log!$C:$C, $C296),""))</f>
        <v/>
      </c>
    </row>
    <row r="297" spans="2:15" x14ac:dyDescent="0.3">
      <c r="B297" s="8" t="s">
        <v>117</v>
      </c>
      <c r="C297" s="66">
        <v>0</v>
      </c>
      <c r="H297" s="14" t="str">
        <f>IF(COUNTBLANK($A297:$E297)&gt;0, "", IFERROR(AVERAGEIFS(Log!$E:$E, Log!$A:$A, $A297, Log!$B:$B, $B297, Log!$C:$C, $C297),""))</f>
        <v/>
      </c>
      <c r="I297" s="64" t="str">
        <f t="shared" si="4"/>
        <v/>
      </c>
      <c r="J297" s="9" t="str">
        <f>IF(COUNTBLANK($A297:$E297)&gt;0, "", IFERROR(AVERAGEIFS(Log!$H:$H, Log!$A:$A, $A297, Log!$B:$B, $B297, Log!$C:$C, $C297),""))</f>
        <v/>
      </c>
      <c r="K297" s="9" t="str">
        <f>IF(COUNTBLANK($A297:$E297)&gt;0, "", IFERROR(_xlfn.MINIFS(Log!$F:$F, Log!$A:$A, $A297, Log!$B:$B, $B297, Log!$C:$C, $C297),""))</f>
        <v/>
      </c>
      <c r="L297" s="9" t="str">
        <f>IF(COUNTBLANK($A297:$E297)&gt;0, "", IFERROR(_xlfn.MAXIFS(Log!$F:$F, Log!$A:$A, $A297, Log!$B:$B, $B297, Log!$C:$C, $C297),""))</f>
        <v/>
      </c>
      <c r="M297" s="9" t="str">
        <f>IF(COUNTBLANK($A297:$E297)&gt;0, "", IFERROR(AVERAGEIFS(Log!$I:$I, Log!$A:$A, $A297, Log!$B:$B, $B297, Log!$C:$C, $C297),""))</f>
        <v/>
      </c>
      <c r="N297" s="9" t="str">
        <f>IF(COUNTBLANK($A297:$E297)&gt;0, "", IFERROR(_xlfn.MINIFS(Log!$G:$G, Log!$A:$A, $A297, Log!$B:$B, $B297, Log!$C:$C, $C297),""))</f>
        <v/>
      </c>
      <c r="O297" s="9" t="str">
        <f>IF(COUNTBLANK($A297:$E297)&gt;0, "", IFERROR(_xlfn.MAXIFS(Log!$G:$G, Log!$A:$A, $A297, Log!$B:$B, $B297, Log!$C:$C, $C297),""))</f>
        <v/>
      </c>
    </row>
    <row r="298" spans="2:15" x14ac:dyDescent="0.3">
      <c r="B298" s="8" t="s">
        <v>117</v>
      </c>
      <c r="C298" s="66">
        <v>0</v>
      </c>
      <c r="H298" s="14" t="str">
        <f>IF(COUNTBLANK($A298:$E298)&gt;0, "", IFERROR(AVERAGEIFS(Log!$E:$E, Log!$A:$A, $A298, Log!$B:$B, $B298, Log!$C:$C, $C298),""))</f>
        <v/>
      </c>
      <c r="I298" s="64" t="str">
        <f t="shared" si="4"/>
        <v/>
      </c>
      <c r="J298" s="9" t="str">
        <f>IF(COUNTBLANK($A298:$E298)&gt;0, "", IFERROR(AVERAGEIFS(Log!$H:$H, Log!$A:$A, $A298, Log!$B:$B, $B298, Log!$C:$C, $C298),""))</f>
        <v/>
      </c>
      <c r="K298" s="9" t="str">
        <f>IF(COUNTBLANK($A298:$E298)&gt;0, "", IFERROR(_xlfn.MINIFS(Log!$F:$F, Log!$A:$A, $A298, Log!$B:$B, $B298, Log!$C:$C, $C298),""))</f>
        <v/>
      </c>
      <c r="L298" s="9" t="str">
        <f>IF(COUNTBLANK($A298:$E298)&gt;0, "", IFERROR(_xlfn.MAXIFS(Log!$F:$F, Log!$A:$A, $A298, Log!$B:$B, $B298, Log!$C:$C, $C298),""))</f>
        <v/>
      </c>
      <c r="M298" s="9" t="str">
        <f>IF(COUNTBLANK($A298:$E298)&gt;0, "", IFERROR(AVERAGEIFS(Log!$I:$I, Log!$A:$A, $A298, Log!$B:$B, $B298, Log!$C:$C, $C298),""))</f>
        <v/>
      </c>
      <c r="N298" s="9" t="str">
        <f>IF(COUNTBLANK($A298:$E298)&gt;0, "", IFERROR(_xlfn.MINIFS(Log!$G:$G, Log!$A:$A, $A298, Log!$B:$B, $B298, Log!$C:$C, $C298),""))</f>
        <v/>
      </c>
      <c r="O298" s="9" t="str">
        <f>IF(COUNTBLANK($A298:$E298)&gt;0, "", IFERROR(_xlfn.MAXIFS(Log!$G:$G, Log!$A:$A, $A298, Log!$B:$B, $B298, Log!$C:$C, $C298),""))</f>
        <v/>
      </c>
    </row>
    <row r="299" spans="2:15" x14ac:dyDescent="0.3">
      <c r="B299" s="8" t="s">
        <v>117</v>
      </c>
      <c r="C299" s="66">
        <v>0</v>
      </c>
      <c r="H299" s="14" t="str">
        <f>IF(COUNTBLANK($A299:$E299)&gt;0, "", IFERROR(AVERAGEIFS(Log!$E:$E, Log!$A:$A, $A299, Log!$B:$B, $B299, Log!$C:$C, $C299),""))</f>
        <v/>
      </c>
      <c r="I299" s="64" t="str">
        <f t="shared" si="4"/>
        <v/>
      </c>
      <c r="J299" s="9" t="str">
        <f>IF(COUNTBLANK($A299:$E299)&gt;0, "", IFERROR(AVERAGEIFS(Log!$H:$H, Log!$A:$A, $A299, Log!$B:$B, $B299, Log!$C:$C, $C299),""))</f>
        <v/>
      </c>
      <c r="K299" s="9" t="str">
        <f>IF(COUNTBLANK($A299:$E299)&gt;0, "", IFERROR(_xlfn.MINIFS(Log!$F:$F, Log!$A:$A, $A299, Log!$B:$B, $B299, Log!$C:$C, $C299),""))</f>
        <v/>
      </c>
      <c r="L299" s="9" t="str">
        <f>IF(COUNTBLANK($A299:$E299)&gt;0, "", IFERROR(_xlfn.MAXIFS(Log!$F:$F, Log!$A:$A, $A299, Log!$B:$B, $B299, Log!$C:$C, $C299),""))</f>
        <v/>
      </c>
      <c r="M299" s="9" t="str">
        <f>IF(COUNTBLANK($A299:$E299)&gt;0, "", IFERROR(AVERAGEIFS(Log!$I:$I, Log!$A:$A, $A299, Log!$B:$B, $B299, Log!$C:$C, $C299),""))</f>
        <v/>
      </c>
      <c r="N299" s="9" t="str">
        <f>IF(COUNTBLANK($A299:$E299)&gt;0, "", IFERROR(_xlfn.MINIFS(Log!$G:$G, Log!$A:$A, $A299, Log!$B:$B, $B299, Log!$C:$C, $C299),""))</f>
        <v/>
      </c>
      <c r="O299" s="9" t="str">
        <f>IF(COUNTBLANK($A299:$E299)&gt;0, "", IFERROR(_xlfn.MAXIFS(Log!$G:$G, Log!$A:$A, $A299, Log!$B:$B, $B299, Log!$C:$C, $C299),""))</f>
        <v/>
      </c>
    </row>
    <row r="300" spans="2:15" x14ac:dyDescent="0.3">
      <c r="B300" s="8" t="s">
        <v>117</v>
      </c>
      <c r="C300" s="66">
        <v>0</v>
      </c>
      <c r="H300" s="14" t="str">
        <f>IF(COUNTBLANK($A300:$E300)&gt;0, "", IFERROR(AVERAGEIFS(Log!$E:$E, Log!$A:$A, $A300, Log!$B:$B, $B300, Log!$C:$C, $C300),""))</f>
        <v/>
      </c>
      <c r="I300" s="64" t="str">
        <f t="shared" si="4"/>
        <v/>
      </c>
      <c r="J300" s="9" t="str">
        <f>IF(COUNTBLANK($A300:$E300)&gt;0, "", IFERROR(AVERAGEIFS(Log!$H:$H, Log!$A:$A, $A300, Log!$B:$B, $B300, Log!$C:$C, $C300),""))</f>
        <v/>
      </c>
      <c r="K300" s="9" t="str">
        <f>IF(COUNTBLANK($A300:$E300)&gt;0, "", IFERROR(_xlfn.MINIFS(Log!$F:$F, Log!$A:$A, $A300, Log!$B:$B, $B300, Log!$C:$C, $C300),""))</f>
        <v/>
      </c>
      <c r="L300" s="9" t="str">
        <f>IF(COUNTBLANK($A300:$E300)&gt;0, "", IFERROR(_xlfn.MAXIFS(Log!$F:$F, Log!$A:$A, $A300, Log!$B:$B, $B300, Log!$C:$C, $C300),""))</f>
        <v/>
      </c>
      <c r="M300" s="9" t="str">
        <f>IF(COUNTBLANK($A300:$E300)&gt;0, "", IFERROR(AVERAGEIFS(Log!$I:$I, Log!$A:$A, $A300, Log!$B:$B, $B300, Log!$C:$C, $C300),""))</f>
        <v/>
      </c>
      <c r="N300" s="9" t="str">
        <f>IF(COUNTBLANK($A300:$E300)&gt;0, "", IFERROR(_xlfn.MINIFS(Log!$G:$G, Log!$A:$A, $A300, Log!$B:$B, $B300, Log!$C:$C, $C300),""))</f>
        <v/>
      </c>
      <c r="O300" s="9" t="str">
        <f>IF(COUNTBLANK($A300:$E300)&gt;0, "", IFERROR(_xlfn.MAXIFS(Log!$G:$G, Log!$A:$A, $A300, Log!$B:$B, $B300, Log!$C:$C, $C300),""))</f>
        <v/>
      </c>
    </row>
    <row r="301" spans="2:15" x14ac:dyDescent="0.3">
      <c r="B301" s="8" t="s">
        <v>117</v>
      </c>
      <c r="C301" s="66">
        <v>0</v>
      </c>
      <c r="H301" s="14" t="str">
        <f>IF(COUNTBLANK($A301:$E301)&gt;0, "", IFERROR(AVERAGEIFS(Log!$E:$E, Log!$A:$A, $A301, Log!$B:$B, $B301, Log!$C:$C, $C301),""))</f>
        <v/>
      </c>
      <c r="I301" s="64" t="str">
        <f t="shared" si="4"/>
        <v/>
      </c>
      <c r="J301" s="9" t="str">
        <f>IF(COUNTBLANK($A301:$E301)&gt;0, "", IFERROR(AVERAGEIFS(Log!$H:$H, Log!$A:$A, $A301, Log!$B:$B, $B301, Log!$C:$C, $C301),""))</f>
        <v/>
      </c>
      <c r="K301" s="9" t="str">
        <f>IF(COUNTBLANK($A301:$E301)&gt;0, "", IFERROR(_xlfn.MINIFS(Log!$F:$F, Log!$A:$A, $A301, Log!$B:$B, $B301, Log!$C:$C, $C301),""))</f>
        <v/>
      </c>
      <c r="L301" s="9" t="str">
        <f>IF(COUNTBLANK($A301:$E301)&gt;0, "", IFERROR(_xlfn.MAXIFS(Log!$F:$F, Log!$A:$A, $A301, Log!$B:$B, $B301, Log!$C:$C, $C301),""))</f>
        <v/>
      </c>
      <c r="M301" s="9" t="str">
        <f>IF(COUNTBLANK($A301:$E301)&gt;0, "", IFERROR(AVERAGEIFS(Log!$I:$I, Log!$A:$A, $A301, Log!$B:$B, $B301, Log!$C:$C, $C301),""))</f>
        <v/>
      </c>
      <c r="N301" s="9" t="str">
        <f>IF(COUNTBLANK($A301:$E301)&gt;0, "", IFERROR(_xlfn.MINIFS(Log!$G:$G, Log!$A:$A, $A301, Log!$B:$B, $B301, Log!$C:$C, $C301),""))</f>
        <v/>
      </c>
      <c r="O301" s="9" t="str">
        <f>IF(COUNTBLANK($A301:$E301)&gt;0, "", IFERROR(_xlfn.MAXIFS(Log!$G:$G, Log!$A:$A, $A301, Log!$B:$B, $B301, Log!$C:$C, $C301),""))</f>
        <v/>
      </c>
    </row>
    <row r="302" spans="2:15" x14ac:dyDescent="0.3">
      <c r="B302" s="8" t="s">
        <v>117</v>
      </c>
      <c r="C302" s="66">
        <v>0</v>
      </c>
      <c r="H302" s="14" t="str">
        <f>IF(COUNTBLANK($A302:$E302)&gt;0, "", IFERROR(AVERAGEIFS(Log!$E:$E, Log!$A:$A, $A302, Log!$B:$B, $B302, Log!$C:$C, $C302),""))</f>
        <v/>
      </c>
      <c r="I302" s="64" t="str">
        <f t="shared" si="4"/>
        <v/>
      </c>
      <c r="J302" s="9" t="str">
        <f>IF(COUNTBLANK($A302:$E302)&gt;0, "", IFERROR(AVERAGEIFS(Log!$H:$H, Log!$A:$A, $A302, Log!$B:$B, $B302, Log!$C:$C, $C302),""))</f>
        <v/>
      </c>
      <c r="K302" s="9" t="str">
        <f>IF(COUNTBLANK($A302:$E302)&gt;0, "", IFERROR(_xlfn.MINIFS(Log!$F:$F, Log!$A:$A, $A302, Log!$B:$B, $B302, Log!$C:$C, $C302),""))</f>
        <v/>
      </c>
      <c r="L302" s="9" t="str">
        <f>IF(COUNTBLANK($A302:$E302)&gt;0, "", IFERROR(_xlfn.MAXIFS(Log!$F:$F, Log!$A:$A, $A302, Log!$B:$B, $B302, Log!$C:$C, $C302),""))</f>
        <v/>
      </c>
      <c r="M302" s="9" t="str">
        <f>IF(COUNTBLANK($A302:$E302)&gt;0, "", IFERROR(AVERAGEIFS(Log!$I:$I, Log!$A:$A, $A302, Log!$B:$B, $B302, Log!$C:$C, $C302),""))</f>
        <v/>
      </c>
      <c r="N302" s="9" t="str">
        <f>IF(COUNTBLANK($A302:$E302)&gt;0, "", IFERROR(_xlfn.MINIFS(Log!$G:$G, Log!$A:$A, $A302, Log!$B:$B, $B302, Log!$C:$C, $C302),""))</f>
        <v/>
      </c>
      <c r="O302" s="9" t="str">
        <f>IF(COUNTBLANK($A302:$E302)&gt;0, "", IFERROR(_xlfn.MAXIFS(Log!$G:$G, Log!$A:$A, $A302, Log!$B:$B, $B302, Log!$C:$C, $C302),""))</f>
        <v/>
      </c>
    </row>
    <row r="303" spans="2:15" x14ac:dyDescent="0.3">
      <c r="B303" s="8" t="s">
        <v>117</v>
      </c>
      <c r="C303" s="66">
        <v>0</v>
      </c>
      <c r="H303" s="14" t="str">
        <f>IF(COUNTBLANK($A303:$E303)&gt;0, "", IFERROR(AVERAGEIFS(Log!$E:$E, Log!$A:$A, $A303, Log!$B:$B, $B303, Log!$C:$C, $C303),""))</f>
        <v/>
      </c>
      <c r="I303" s="64" t="str">
        <f t="shared" si="4"/>
        <v/>
      </c>
      <c r="J303" s="9" t="str">
        <f>IF(COUNTBLANK($A303:$E303)&gt;0, "", IFERROR(AVERAGEIFS(Log!$H:$H, Log!$A:$A, $A303, Log!$B:$B, $B303, Log!$C:$C, $C303),""))</f>
        <v/>
      </c>
      <c r="K303" s="9" t="str">
        <f>IF(COUNTBLANK($A303:$E303)&gt;0, "", IFERROR(_xlfn.MINIFS(Log!$F:$F, Log!$A:$A, $A303, Log!$B:$B, $B303, Log!$C:$C, $C303),""))</f>
        <v/>
      </c>
      <c r="L303" s="9" t="str">
        <f>IF(COUNTBLANK($A303:$E303)&gt;0, "", IFERROR(_xlfn.MAXIFS(Log!$F:$F, Log!$A:$A, $A303, Log!$B:$B, $B303, Log!$C:$C, $C303),""))</f>
        <v/>
      </c>
      <c r="M303" s="9" t="str">
        <f>IF(COUNTBLANK($A303:$E303)&gt;0, "", IFERROR(AVERAGEIFS(Log!$I:$I, Log!$A:$A, $A303, Log!$B:$B, $B303, Log!$C:$C, $C303),""))</f>
        <v/>
      </c>
      <c r="N303" s="9" t="str">
        <f>IF(COUNTBLANK($A303:$E303)&gt;0, "", IFERROR(_xlfn.MINIFS(Log!$G:$G, Log!$A:$A, $A303, Log!$B:$B, $B303, Log!$C:$C, $C303),""))</f>
        <v/>
      </c>
      <c r="O303" s="9" t="str">
        <f>IF(COUNTBLANK($A303:$E303)&gt;0, "", IFERROR(_xlfn.MAXIFS(Log!$G:$G, Log!$A:$A, $A303, Log!$B:$B, $B303, Log!$C:$C, $C303),""))</f>
        <v/>
      </c>
    </row>
    <row r="304" spans="2:15" x14ac:dyDescent="0.3">
      <c r="B304" s="8" t="s">
        <v>117</v>
      </c>
      <c r="C304" s="66">
        <v>0</v>
      </c>
      <c r="H304" s="14" t="str">
        <f>IF(COUNTBLANK($A304:$E304)&gt;0, "", IFERROR(AVERAGEIFS(Log!$E:$E, Log!$A:$A, $A304, Log!$B:$B, $B304, Log!$C:$C, $C304),""))</f>
        <v/>
      </c>
      <c r="I304" s="64" t="str">
        <f t="shared" si="4"/>
        <v/>
      </c>
      <c r="J304" s="9" t="str">
        <f>IF(COUNTBLANK($A304:$E304)&gt;0, "", IFERROR(AVERAGEIFS(Log!$H:$H, Log!$A:$A, $A304, Log!$B:$B, $B304, Log!$C:$C, $C304),""))</f>
        <v/>
      </c>
      <c r="K304" s="9" t="str">
        <f>IF(COUNTBLANK($A304:$E304)&gt;0, "", IFERROR(_xlfn.MINIFS(Log!$F:$F, Log!$A:$A, $A304, Log!$B:$B, $B304, Log!$C:$C, $C304),""))</f>
        <v/>
      </c>
      <c r="L304" s="9" t="str">
        <f>IF(COUNTBLANK($A304:$E304)&gt;0, "", IFERROR(_xlfn.MAXIFS(Log!$F:$F, Log!$A:$A, $A304, Log!$B:$B, $B304, Log!$C:$C, $C304),""))</f>
        <v/>
      </c>
      <c r="M304" s="9" t="str">
        <f>IF(COUNTBLANK($A304:$E304)&gt;0, "", IFERROR(AVERAGEIFS(Log!$I:$I, Log!$A:$A, $A304, Log!$B:$B, $B304, Log!$C:$C, $C304),""))</f>
        <v/>
      </c>
      <c r="N304" s="9" t="str">
        <f>IF(COUNTBLANK($A304:$E304)&gt;0, "", IFERROR(_xlfn.MINIFS(Log!$G:$G, Log!$A:$A, $A304, Log!$B:$B, $B304, Log!$C:$C, $C304),""))</f>
        <v/>
      </c>
      <c r="O304" s="9" t="str">
        <f>IF(COUNTBLANK($A304:$E304)&gt;0, "", IFERROR(_xlfn.MAXIFS(Log!$G:$G, Log!$A:$A, $A304, Log!$B:$B, $B304, Log!$C:$C, $C304),""))</f>
        <v/>
      </c>
    </row>
    <row r="305" spans="2:15" x14ac:dyDescent="0.3">
      <c r="B305" s="8" t="s">
        <v>117</v>
      </c>
      <c r="C305" s="66">
        <v>0</v>
      </c>
      <c r="H305" s="14" t="str">
        <f>IF(COUNTBLANK($A305:$E305)&gt;0, "", IFERROR(AVERAGEIFS(Log!$E:$E, Log!$A:$A, $A305, Log!$B:$B, $B305, Log!$C:$C, $C305),""))</f>
        <v/>
      </c>
      <c r="I305" s="64" t="str">
        <f t="shared" si="4"/>
        <v/>
      </c>
      <c r="J305" s="9" t="str">
        <f>IF(COUNTBLANK($A305:$E305)&gt;0, "", IFERROR(AVERAGEIFS(Log!$H:$H, Log!$A:$A, $A305, Log!$B:$B, $B305, Log!$C:$C, $C305),""))</f>
        <v/>
      </c>
      <c r="K305" s="9" t="str">
        <f>IF(COUNTBLANK($A305:$E305)&gt;0, "", IFERROR(_xlfn.MINIFS(Log!$F:$F, Log!$A:$A, $A305, Log!$B:$B, $B305, Log!$C:$C, $C305),""))</f>
        <v/>
      </c>
      <c r="L305" s="9" t="str">
        <f>IF(COUNTBLANK($A305:$E305)&gt;0, "", IFERROR(_xlfn.MAXIFS(Log!$F:$F, Log!$A:$A, $A305, Log!$B:$B, $B305, Log!$C:$C, $C305),""))</f>
        <v/>
      </c>
      <c r="M305" s="9" t="str">
        <f>IF(COUNTBLANK($A305:$E305)&gt;0, "", IFERROR(AVERAGEIFS(Log!$I:$I, Log!$A:$A, $A305, Log!$B:$B, $B305, Log!$C:$C, $C305),""))</f>
        <v/>
      </c>
      <c r="N305" s="9" t="str">
        <f>IF(COUNTBLANK($A305:$E305)&gt;0, "", IFERROR(_xlfn.MINIFS(Log!$G:$G, Log!$A:$A, $A305, Log!$B:$B, $B305, Log!$C:$C, $C305),""))</f>
        <v/>
      </c>
      <c r="O305" s="9" t="str">
        <f>IF(COUNTBLANK($A305:$E305)&gt;0, "", IFERROR(_xlfn.MAXIFS(Log!$G:$G, Log!$A:$A, $A305, Log!$B:$B, $B305, Log!$C:$C, $C305),""))</f>
        <v/>
      </c>
    </row>
    <row r="306" spans="2:15" x14ac:dyDescent="0.3">
      <c r="B306" s="8" t="s">
        <v>117</v>
      </c>
      <c r="C306" s="66">
        <v>0</v>
      </c>
      <c r="H306" s="14" t="str">
        <f>IF(COUNTBLANK($A306:$E306)&gt;0, "", IFERROR(AVERAGEIFS(Log!$E:$E, Log!$A:$A, $A306, Log!$B:$B, $B306, Log!$C:$C, $C306),""))</f>
        <v/>
      </c>
      <c r="I306" s="64" t="str">
        <f t="shared" si="4"/>
        <v/>
      </c>
      <c r="J306" s="9" t="str">
        <f>IF(COUNTBLANK($A306:$E306)&gt;0, "", IFERROR(AVERAGEIFS(Log!$H:$H, Log!$A:$A, $A306, Log!$B:$B, $B306, Log!$C:$C, $C306),""))</f>
        <v/>
      </c>
      <c r="K306" s="9" t="str">
        <f>IF(COUNTBLANK($A306:$E306)&gt;0, "", IFERROR(_xlfn.MINIFS(Log!$F:$F, Log!$A:$A, $A306, Log!$B:$B, $B306, Log!$C:$C, $C306),""))</f>
        <v/>
      </c>
      <c r="L306" s="9" t="str">
        <f>IF(COUNTBLANK($A306:$E306)&gt;0, "", IFERROR(_xlfn.MAXIFS(Log!$F:$F, Log!$A:$A, $A306, Log!$B:$B, $B306, Log!$C:$C, $C306),""))</f>
        <v/>
      </c>
      <c r="M306" s="9" t="str">
        <f>IF(COUNTBLANK($A306:$E306)&gt;0, "", IFERROR(AVERAGEIFS(Log!$I:$I, Log!$A:$A, $A306, Log!$B:$B, $B306, Log!$C:$C, $C306),""))</f>
        <v/>
      </c>
      <c r="N306" s="9" t="str">
        <f>IF(COUNTBLANK($A306:$E306)&gt;0, "", IFERROR(_xlfn.MINIFS(Log!$G:$G, Log!$A:$A, $A306, Log!$B:$B, $B306, Log!$C:$C, $C306),""))</f>
        <v/>
      </c>
      <c r="O306" s="9" t="str">
        <f>IF(COUNTBLANK($A306:$E306)&gt;0, "", IFERROR(_xlfn.MAXIFS(Log!$G:$G, Log!$A:$A, $A306, Log!$B:$B, $B306, Log!$C:$C, $C306),""))</f>
        <v/>
      </c>
    </row>
    <row r="307" spans="2:15" x14ac:dyDescent="0.3">
      <c r="B307" s="8" t="s">
        <v>117</v>
      </c>
      <c r="C307" s="66">
        <v>0</v>
      </c>
      <c r="H307" s="14" t="str">
        <f>IF(COUNTBLANK($A307:$E307)&gt;0, "", IFERROR(AVERAGEIFS(Log!$E:$E, Log!$A:$A, $A307, Log!$B:$B, $B307, Log!$C:$C, $C307),""))</f>
        <v/>
      </c>
      <c r="I307" s="64" t="str">
        <f t="shared" si="4"/>
        <v/>
      </c>
      <c r="J307" s="9" t="str">
        <f>IF(COUNTBLANK($A307:$E307)&gt;0, "", IFERROR(AVERAGEIFS(Log!$H:$H, Log!$A:$A, $A307, Log!$B:$B, $B307, Log!$C:$C, $C307),""))</f>
        <v/>
      </c>
      <c r="K307" s="9" t="str">
        <f>IF(COUNTBLANK($A307:$E307)&gt;0, "", IFERROR(_xlfn.MINIFS(Log!$F:$F, Log!$A:$A, $A307, Log!$B:$B, $B307, Log!$C:$C, $C307),""))</f>
        <v/>
      </c>
      <c r="L307" s="9" t="str">
        <f>IF(COUNTBLANK($A307:$E307)&gt;0, "", IFERROR(_xlfn.MAXIFS(Log!$F:$F, Log!$A:$A, $A307, Log!$B:$B, $B307, Log!$C:$C, $C307),""))</f>
        <v/>
      </c>
      <c r="M307" s="9" t="str">
        <f>IF(COUNTBLANK($A307:$E307)&gt;0, "", IFERROR(AVERAGEIFS(Log!$I:$I, Log!$A:$A, $A307, Log!$B:$B, $B307, Log!$C:$C, $C307),""))</f>
        <v/>
      </c>
      <c r="N307" s="9" t="str">
        <f>IF(COUNTBLANK($A307:$E307)&gt;0, "", IFERROR(_xlfn.MINIFS(Log!$G:$G, Log!$A:$A, $A307, Log!$B:$B, $B307, Log!$C:$C, $C307),""))</f>
        <v/>
      </c>
      <c r="O307" s="9" t="str">
        <f>IF(COUNTBLANK($A307:$E307)&gt;0, "", IFERROR(_xlfn.MAXIFS(Log!$G:$G, Log!$A:$A, $A307, Log!$B:$B, $B307, Log!$C:$C, $C307),""))</f>
        <v/>
      </c>
    </row>
    <row r="308" spans="2:15" x14ac:dyDescent="0.3">
      <c r="B308" s="8" t="s">
        <v>117</v>
      </c>
      <c r="C308" s="66">
        <v>0</v>
      </c>
      <c r="H308" s="14" t="str">
        <f>IF(COUNTBLANK($A308:$E308)&gt;0, "", IFERROR(AVERAGEIFS(Log!$E:$E, Log!$A:$A, $A308, Log!$B:$B, $B308, Log!$C:$C, $C308),""))</f>
        <v/>
      </c>
      <c r="I308" s="64" t="str">
        <f t="shared" si="4"/>
        <v/>
      </c>
      <c r="J308" s="9" t="str">
        <f>IF(COUNTBLANK($A308:$E308)&gt;0, "", IFERROR(AVERAGEIFS(Log!$H:$H, Log!$A:$A, $A308, Log!$B:$B, $B308, Log!$C:$C, $C308),""))</f>
        <v/>
      </c>
      <c r="K308" s="9" t="str">
        <f>IF(COUNTBLANK($A308:$E308)&gt;0, "", IFERROR(_xlfn.MINIFS(Log!$F:$F, Log!$A:$A, $A308, Log!$B:$B, $B308, Log!$C:$C, $C308),""))</f>
        <v/>
      </c>
      <c r="L308" s="9" t="str">
        <f>IF(COUNTBLANK($A308:$E308)&gt;0, "", IFERROR(_xlfn.MAXIFS(Log!$F:$F, Log!$A:$A, $A308, Log!$B:$B, $B308, Log!$C:$C, $C308),""))</f>
        <v/>
      </c>
      <c r="M308" s="9" t="str">
        <f>IF(COUNTBLANK($A308:$E308)&gt;0, "", IFERROR(AVERAGEIFS(Log!$I:$I, Log!$A:$A, $A308, Log!$B:$B, $B308, Log!$C:$C, $C308),""))</f>
        <v/>
      </c>
      <c r="N308" s="9" t="str">
        <f>IF(COUNTBLANK($A308:$E308)&gt;0, "", IFERROR(_xlfn.MINIFS(Log!$G:$G, Log!$A:$A, $A308, Log!$B:$B, $B308, Log!$C:$C, $C308),""))</f>
        <v/>
      </c>
      <c r="O308" s="9" t="str">
        <f>IF(COUNTBLANK($A308:$E308)&gt;0, "", IFERROR(_xlfn.MAXIFS(Log!$G:$G, Log!$A:$A, $A308, Log!$B:$B, $B308, Log!$C:$C, $C308),""))</f>
        <v/>
      </c>
    </row>
    <row r="309" spans="2:15" x14ac:dyDescent="0.3">
      <c r="B309" s="8" t="s">
        <v>117</v>
      </c>
      <c r="C309" s="66">
        <v>0</v>
      </c>
      <c r="H309" s="14" t="str">
        <f>IF(COUNTBLANK($A309:$E309)&gt;0, "", IFERROR(AVERAGEIFS(Log!$E:$E, Log!$A:$A, $A309, Log!$B:$B, $B309, Log!$C:$C, $C309),""))</f>
        <v/>
      </c>
      <c r="I309" s="64" t="str">
        <f t="shared" si="4"/>
        <v/>
      </c>
      <c r="J309" s="9" t="str">
        <f>IF(COUNTBLANK($A309:$E309)&gt;0, "", IFERROR(AVERAGEIFS(Log!$H:$H, Log!$A:$A, $A309, Log!$B:$B, $B309, Log!$C:$C, $C309),""))</f>
        <v/>
      </c>
      <c r="K309" s="9" t="str">
        <f>IF(COUNTBLANK($A309:$E309)&gt;0, "", IFERROR(_xlfn.MINIFS(Log!$F:$F, Log!$A:$A, $A309, Log!$B:$B, $B309, Log!$C:$C, $C309),""))</f>
        <v/>
      </c>
      <c r="L309" s="9" t="str">
        <f>IF(COUNTBLANK($A309:$E309)&gt;0, "", IFERROR(_xlfn.MAXIFS(Log!$F:$F, Log!$A:$A, $A309, Log!$B:$B, $B309, Log!$C:$C, $C309),""))</f>
        <v/>
      </c>
      <c r="M309" s="9" t="str">
        <f>IF(COUNTBLANK($A309:$E309)&gt;0, "", IFERROR(AVERAGEIFS(Log!$I:$I, Log!$A:$A, $A309, Log!$B:$B, $B309, Log!$C:$C, $C309),""))</f>
        <v/>
      </c>
      <c r="N309" s="9" t="str">
        <f>IF(COUNTBLANK($A309:$E309)&gt;0, "", IFERROR(_xlfn.MINIFS(Log!$G:$G, Log!$A:$A, $A309, Log!$B:$B, $B309, Log!$C:$C, $C309),""))</f>
        <v/>
      </c>
      <c r="O309" s="9" t="str">
        <f>IF(COUNTBLANK($A309:$E309)&gt;0, "", IFERROR(_xlfn.MAXIFS(Log!$G:$G, Log!$A:$A, $A309, Log!$B:$B, $B309, Log!$C:$C, $C309),""))</f>
        <v/>
      </c>
    </row>
    <row r="310" spans="2:15" x14ac:dyDescent="0.3">
      <c r="B310" s="8" t="s">
        <v>117</v>
      </c>
      <c r="C310" s="66">
        <v>0</v>
      </c>
      <c r="H310" s="14" t="str">
        <f>IF(COUNTBLANK($A310:$E310)&gt;0, "", IFERROR(AVERAGEIFS(Log!$E:$E, Log!$A:$A, $A310, Log!$B:$B, $B310, Log!$C:$C, $C310),""))</f>
        <v/>
      </c>
      <c r="I310" s="64" t="str">
        <f t="shared" si="4"/>
        <v/>
      </c>
      <c r="J310" s="9" t="str">
        <f>IF(COUNTBLANK($A310:$E310)&gt;0, "", IFERROR(AVERAGEIFS(Log!$H:$H, Log!$A:$A, $A310, Log!$B:$B, $B310, Log!$C:$C, $C310),""))</f>
        <v/>
      </c>
      <c r="K310" s="9" t="str">
        <f>IF(COUNTBLANK($A310:$E310)&gt;0, "", IFERROR(_xlfn.MINIFS(Log!$F:$F, Log!$A:$A, $A310, Log!$B:$B, $B310, Log!$C:$C, $C310),""))</f>
        <v/>
      </c>
      <c r="L310" s="9" t="str">
        <f>IF(COUNTBLANK($A310:$E310)&gt;0, "", IFERROR(_xlfn.MAXIFS(Log!$F:$F, Log!$A:$A, $A310, Log!$B:$B, $B310, Log!$C:$C, $C310),""))</f>
        <v/>
      </c>
      <c r="M310" s="9" t="str">
        <f>IF(COUNTBLANK($A310:$E310)&gt;0, "", IFERROR(AVERAGEIFS(Log!$I:$I, Log!$A:$A, $A310, Log!$B:$B, $B310, Log!$C:$C, $C310),""))</f>
        <v/>
      </c>
      <c r="N310" s="9" t="str">
        <f>IF(COUNTBLANK($A310:$E310)&gt;0, "", IFERROR(_xlfn.MINIFS(Log!$G:$G, Log!$A:$A, $A310, Log!$B:$B, $B310, Log!$C:$C, $C310),""))</f>
        <v/>
      </c>
      <c r="O310" s="9" t="str">
        <f>IF(COUNTBLANK($A310:$E310)&gt;0, "", IFERROR(_xlfn.MAXIFS(Log!$G:$G, Log!$A:$A, $A310, Log!$B:$B, $B310, Log!$C:$C, $C310),""))</f>
        <v/>
      </c>
    </row>
    <row r="311" spans="2:15" x14ac:dyDescent="0.3">
      <c r="B311" s="8" t="s">
        <v>117</v>
      </c>
      <c r="C311" s="66">
        <v>0</v>
      </c>
      <c r="H311" s="14" t="str">
        <f>IF(COUNTBLANK($A311:$E311)&gt;0, "", IFERROR(AVERAGEIFS(Log!$E:$E, Log!$A:$A, $A311, Log!$B:$B, $B311, Log!$C:$C, $C311),""))</f>
        <v/>
      </c>
      <c r="I311" s="64" t="str">
        <f t="shared" si="4"/>
        <v/>
      </c>
      <c r="J311" s="9" t="str">
        <f>IF(COUNTBLANK($A311:$E311)&gt;0, "", IFERROR(AVERAGEIFS(Log!$H:$H, Log!$A:$A, $A311, Log!$B:$B, $B311, Log!$C:$C, $C311),""))</f>
        <v/>
      </c>
      <c r="K311" s="9" t="str">
        <f>IF(COUNTBLANK($A311:$E311)&gt;0, "", IFERROR(_xlfn.MINIFS(Log!$F:$F, Log!$A:$A, $A311, Log!$B:$B, $B311, Log!$C:$C, $C311),""))</f>
        <v/>
      </c>
      <c r="L311" s="9" t="str">
        <f>IF(COUNTBLANK($A311:$E311)&gt;0, "", IFERROR(_xlfn.MAXIFS(Log!$F:$F, Log!$A:$A, $A311, Log!$B:$B, $B311, Log!$C:$C, $C311),""))</f>
        <v/>
      </c>
      <c r="M311" s="9" t="str">
        <f>IF(COUNTBLANK($A311:$E311)&gt;0, "", IFERROR(AVERAGEIFS(Log!$I:$I, Log!$A:$A, $A311, Log!$B:$B, $B311, Log!$C:$C, $C311),""))</f>
        <v/>
      </c>
      <c r="N311" s="9" t="str">
        <f>IF(COUNTBLANK($A311:$E311)&gt;0, "", IFERROR(_xlfn.MINIFS(Log!$G:$G, Log!$A:$A, $A311, Log!$B:$B, $B311, Log!$C:$C, $C311),""))</f>
        <v/>
      </c>
      <c r="O311" s="9" t="str">
        <f>IF(COUNTBLANK($A311:$E311)&gt;0, "", IFERROR(_xlfn.MAXIFS(Log!$G:$G, Log!$A:$A, $A311, Log!$B:$B, $B311, Log!$C:$C, $C311),""))</f>
        <v/>
      </c>
    </row>
    <row r="312" spans="2:15" x14ac:dyDescent="0.3">
      <c r="B312" s="8" t="s">
        <v>117</v>
      </c>
      <c r="C312" s="66">
        <v>0</v>
      </c>
      <c r="H312" s="14" t="str">
        <f>IF(COUNTBLANK($A312:$E312)&gt;0, "", IFERROR(AVERAGEIFS(Log!$E:$E, Log!$A:$A, $A312, Log!$B:$B, $B312, Log!$C:$C, $C312),""))</f>
        <v/>
      </c>
      <c r="I312" s="64" t="str">
        <f t="shared" si="4"/>
        <v/>
      </c>
      <c r="J312" s="9" t="str">
        <f>IF(COUNTBLANK($A312:$E312)&gt;0, "", IFERROR(AVERAGEIFS(Log!$H:$H, Log!$A:$A, $A312, Log!$B:$B, $B312, Log!$C:$C, $C312),""))</f>
        <v/>
      </c>
      <c r="K312" s="9" t="str">
        <f>IF(COUNTBLANK($A312:$E312)&gt;0, "", IFERROR(_xlfn.MINIFS(Log!$F:$F, Log!$A:$A, $A312, Log!$B:$B, $B312, Log!$C:$C, $C312),""))</f>
        <v/>
      </c>
      <c r="L312" s="9" t="str">
        <f>IF(COUNTBLANK($A312:$E312)&gt;0, "", IFERROR(_xlfn.MAXIFS(Log!$F:$F, Log!$A:$A, $A312, Log!$B:$B, $B312, Log!$C:$C, $C312),""))</f>
        <v/>
      </c>
      <c r="M312" s="9" t="str">
        <f>IF(COUNTBLANK($A312:$E312)&gt;0, "", IFERROR(AVERAGEIFS(Log!$I:$I, Log!$A:$A, $A312, Log!$B:$B, $B312, Log!$C:$C, $C312),""))</f>
        <v/>
      </c>
      <c r="N312" s="9" t="str">
        <f>IF(COUNTBLANK($A312:$E312)&gt;0, "", IFERROR(_xlfn.MINIFS(Log!$G:$G, Log!$A:$A, $A312, Log!$B:$B, $B312, Log!$C:$C, $C312),""))</f>
        <v/>
      </c>
      <c r="O312" s="9" t="str">
        <f>IF(COUNTBLANK($A312:$E312)&gt;0, "", IFERROR(_xlfn.MAXIFS(Log!$G:$G, Log!$A:$A, $A312, Log!$B:$B, $B312, Log!$C:$C, $C312),""))</f>
        <v/>
      </c>
    </row>
    <row r="313" spans="2:15" x14ac:dyDescent="0.3">
      <c r="B313" s="8" t="s">
        <v>117</v>
      </c>
      <c r="C313" s="66">
        <v>0</v>
      </c>
      <c r="H313" s="14" t="str">
        <f>IF(COUNTBLANK($A313:$E313)&gt;0, "", IFERROR(AVERAGEIFS(Log!$E:$E, Log!$A:$A, $A313, Log!$B:$B, $B313, Log!$C:$C, $C313),""))</f>
        <v/>
      </c>
      <c r="I313" s="64" t="str">
        <f t="shared" si="4"/>
        <v/>
      </c>
      <c r="J313" s="9" t="str">
        <f>IF(COUNTBLANK($A313:$E313)&gt;0, "", IFERROR(AVERAGEIFS(Log!$H:$H, Log!$A:$A, $A313, Log!$B:$B, $B313, Log!$C:$C, $C313),""))</f>
        <v/>
      </c>
      <c r="K313" s="9" t="str">
        <f>IF(COUNTBLANK($A313:$E313)&gt;0, "", IFERROR(_xlfn.MINIFS(Log!$F:$F, Log!$A:$A, $A313, Log!$B:$B, $B313, Log!$C:$C, $C313),""))</f>
        <v/>
      </c>
      <c r="L313" s="9" t="str">
        <f>IF(COUNTBLANK($A313:$E313)&gt;0, "", IFERROR(_xlfn.MAXIFS(Log!$F:$F, Log!$A:$A, $A313, Log!$B:$B, $B313, Log!$C:$C, $C313),""))</f>
        <v/>
      </c>
      <c r="M313" s="9" t="str">
        <f>IF(COUNTBLANK($A313:$E313)&gt;0, "", IFERROR(AVERAGEIFS(Log!$I:$I, Log!$A:$A, $A313, Log!$B:$B, $B313, Log!$C:$C, $C313),""))</f>
        <v/>
      </c>
      <c r="N313" s="9" t="str">
        <f>IF(COUNTBLANK($A313:$E313)&gt;0, "", IFERROR(_xlfn.MINIFS(Log!$G:$G, Log!$A:$A, $A313, Log!$B:$B, $B313, Log!$C:$C, $C313),""))</f>
        <v/>
      </c>
      <c r="O313" s="9" t="str">
        <f>IF(COUNTBLANK($A313:$E313)&gt;0, "", IFERROR(_xlfn.MAXIFS(Log!$G:$G, Log!$A:$A, $A313, Log!$B:$B, $B313, Log!$C:$C, $C313),""))</f>
        <v/>
      </c>
    </row>
    <row r="314" spans="2:15" x14ac:dyDescent="0.3">
      <c r="B314" s="8" t="s">
        <v>117</v>
      </c>
      <c r="C314" s="66">
        <v>0</v>
      </c>
      <c r="H314" s="14" t="str">
        <f>IF(COUNTBLANK($A314:$E314)&gt;0, "", IFERROR(AVERAGEIFS(Log!$E:$E, Log!$A:$A, $A314, Log!$B:$B, $B314, Log!$C:$C, $C314),""))</f>
        <v/>
      </c>
      <c r="I314" s="64" t="str">
        <f t="shared" si="4"/>
        <v/>
      </c>
      <c r="J314" s="9" t="str">
        <f>IF(COUNTBLANK($A314:$E314)&gt;0, "", IFERROR(AVERAGEIFS(Log!$H:$H, Log!$A:$A, $A314, Log!$B:$B, $B314, Log!$C:$C, $C314),""))</f>
        <v/>
      </c>
      <c r="K314" s="9" t="str">
        <f>IF(COUNTBLANK($A314:$E314)&gt;0, "", IFERROR(_xlfn.MINIFS(Log!$F:$F, Log!$A:$A, $A314, Log!$B:$B, $B314, Log!$C:$C, $C314),""))</f>
        <v/>
      </c>
      <c r="L314" s="9" t="str">
        <f>IF(COUNTBLANK($A314:$E314)&gt;0, "", IFERROR(_xlfn.MAXIFS(Log!$F:$F, Log!$A:$A, $A314, Log!$B:$B, $B314, Log!$C:$C, $C314),""))</f>
        <v/>
      </c>
      <c r="M314" s="9" t="str">
        <f>IF(COUNTBLANK($A314:$E314)&gt;0, "", IFERROR(AVERAGEIFS(Log!$I:$I, Log!$A:$A, $A314, Log!$B:$B, $B314, Log!$C:$C, $C314),""))</f>
        <v/>
      </c>
      <c r="N314" s="9" t="str">
        <f>IF(COUNTBLANK($A314:$E314)&gt;0, "", IFERROR(_xlfn.MINIFS(Log!$G:$G, Log!$A:$A, $A314, Log!$B:$B, $B314, Log!$C:$C, $C314),""))</f>
        <v/>
      </c>
      <c r="O314" s="9" t="str">
        <f>IF(COUNTBLANK($A314:$E314)&gt;0, "", IFERROR(_xlfn.MAXIFS(Log!$G:$G, Log!$A:$A, $A314, Log!$B:$B, $B314, Log!$C:$C, $C314),""))</f>
        <v/>
      </c>
    </row>
    <row r="315" spans="2:15" x14ac:dyDescent="0.3">
      <c r="B315" s="8" t="s">
        <v>117</v>
      </c>
      <c r="C315" s="66">
        <v>0</v>
      </c>
      <c r="H315" s="14" t="str">
        <f>IF(COUNTBLANK($A315:$E315)&gt;0, "", IFERROR(AVERAGEIFS(Log!$E:$E, Log!$A:$A, $A315, Log!$B:$B, $B315, Log!$C:$C, $C315),""))</f>
        <v/>
      </c>
      <c r="I315" s="64" t="str">
        <f t="shared" si="4"/>
        <v/>
      </c>
      <c r="J315" s="9" t="str">
        <f>IF(COUNTBLANK($A315:$E315)&gt;0, "", IFERROR(AVERAGEIFS(Log!$H:$H, Log!$A:$A, $A315, Log!$B:$B, $B315, Log!$C:$C, $C315),""))</f>
        <v/>
      </c>
      <c r="K315" s="9" t="str">
        <f>IF(COUNTBLANK($A315:$E315)&gt;0, "", IFERROR(_xlfn.MINIFS(Log!$F:$F, Log!$A:$A, $A315, Log!$B:$B, $B315, Log!$C:$C, $C315),""))</f>
        <v/>
      </c>
      <c r="L315" s="9" t="str">
        <f>IF(COUNTBLANK($A315:$E315)&gt;0, "", IFERROR(_xlfn.MAXIFS(Log!$F:$F, Log!$A:$A, $A315, Log!$B:$B, $B315, Log!$C:$C, $C315),""))</f>
        <v/>
      </c>
      <c r="M315" s="9" t="str">
        <f>IF(COUNTBLANK($A315:$E315)&gt;0, "", IFERROR(AVERAGEIFS(Log!$I:$I, Log!$A:$A, $A315, Log!$B:$B, $B315, Log!$C:$C, $C315),""))</f>
        <v/>
      </c>
      <c r="N315" s="9" t="str">
        <f>IF(COUNTBLANK($A315:$E315)&gt;0, "", IFERROR(_xlfn.MINIFS(Log!$G:$G, Log!$A:$A, $A315, Log!$B:$B, $B315, Log!$C:$C, $C315),""))</f>
        <v/>
      </c>
      <c r="O315" s="9" t="str">
        <f>IF(COUNTBLANK($A315:$E315)&gt;0, "", IFERROR(_xlfn.MAXIFS(Log!$G:$G, Log!$A:$A, $A315, Log!$B:$B, $B315, Log!$C:$C, $C315),""))</f>
        <v/>
      </c>
    </row>
    <row r="316" spans="2:15" x14ac:dyDescent="0.3">
      <c r="B316" s="8" t="s">
        <v>117</v>
      </c>
      <c r="C316" s="66">
        <v>0</v>
      </c>
      <c r="H316" s="14" t="str">
        <f>IF(COUNTBLANK($A316:$E316)&gt;0, "", IFERROR(AVERAGEIFS(Log!$E:$E, Log!$A:$A, $A316, Log!$B:$B, $B316, Log!$C:$C, $C316),""))</f>
        <v/>
      </c>
      <c r="I316" s="64" t="str">
        <f t="shared" si="4"/>
        <v/>
      </c>
      <c r="J316" s="9" t="str">
        <f>IF(COUNTBLANK($A316:$E316)&gt;0, "", IFERROR(AVERAGEIFS(Log!$H:$H, Log!$A:$A, $A316, Log!$B:$B, $B316, Log!$C:$C, $C316),""))</f>
        <v/>
      </c>
      <c r="K316" s="9" t="str">
        <f>IF(COUNTBLANK($A316:$E316)&gt;0, "", IFERROR(_xlfn.MINIFS(Log!$F:$F, Log!$A:$A, $A316, Log!$B:$B, $B316, Log!$C:$C, $C316),""))</f>
        <v/>
      </c>
      <c r="L316" s="9" t="str">
        <f>IF(COUNTBLANK($A316:$E316)&gt;0, "", IFERROR(_xlfn.MAXIFS(Log!$F:$F, Log!$A:$A, $A316, Log!$B:$B, $B316, Log!$C:$C, $C316),""))</f>
        <v/>
      </c>
      <c r="M316" s="9" t="str">
        <f>IF(COUNTBLANK($A316:$E316)&gt;0, "", IFERROR(AVERAGEIFS(Log!$I:$I, Log!$A:$A, $A316, Log!$B:$B, $B316, Log!$C:$C, $C316),""))</f>
        <v/>
      </c>
      <c r="N316" s="9" t="str">
        <f>IF(COUNTBLANK($A316:$E316)&gt;0, "", IFERROR(_xlfn.MINIFS(Log!$G:$G, Log!$A:$A, $A316, Log!$B:$B, $B316, Log!$C:$C, $C316),""))</f>
        <v/>
      </c>
      <c r="O316" s="9" t="str">
        <f>IF(COUNTBLANK($A316:$E316)&gt;0, "", IFERROR(_xlfn.MAXIFS(Log!$G:$G, Log!$A:$A, $A316, Log!$B:$B, $B316, Log!$C:$C, $C316),""))</f>
        <v/>
      </c>
    </row>
    <row r="317" spans="2:15" x14ac:dyDescent="0.3">
      <c r="B317" s="8" t="s">
        <v>117</v>
      </c>
      <c r="C317" s="66">
        <v>0</v>
      </c>
      <c r="H317" s="14" t="str">
        <f>IF(COUNTBLANK($A317:$E317)&gt;0, "", IFERROR(AVERAGEIFS(Log!$E:$E, Log!$A:$A, $A317, Log!$B:$B, $B317, Log!$C:$C, $C317),""))</f>
        <v/>
      </c>
      <c r="I317" s="64" t="str">
        <f t="shared" si="4"/>
        <v/>
      </c>
      <c r="J317" s="9" t="str">
        <f>IF(COUNTBLANK($A317:$E317)&gt;0, "", IFERROR(AVERAGEIFS(Log!$H:$H, Log!$A:$A, $A317, Log!$B:$B, $B317, Log!$C:$C, $C317),""))</f>
        <v/>
      </c>
      <c r="K317" s="9" t="str">
        <f>IF(COUNTBLANK($A317:$E317)&gt;0, "", IFERROR(_xlfn.MINIFS(Log!$F:$F, Log!$A:$A, $A317, Log!$B:$B, $B317, Log!$C:$C, $C317),""))</f>
        <v/>
      </c>
      <c r="L317" s="9" t="str">
        <f>IF(COUNTBLANK($A317:$E317)&gt;0, "", IFERROR(_xlfn.MAXIFS(Log!$F:$F, Log!$A:$A, $A317, Log!$B:$B, $B317, Log!$C:$C, $C317),""))</f>
        <v/>
      </c>
      <c r="M317" s="9" t="str">
        <f>IF(COUNTBLANK($A317:$E317)&gt;0, "", IFERROR(AVERAGEIFS(Log!$I:$I, Log!$A:$A, $A317, Log!$B:$B, $B317, Log!$C:$C, $C317),""))</f>
        <v/>
      </c>
      <c r="N317" s="9" t="str">
        <f>IF(COUNTBLANK($A317:$E317)&gt;0, "", IFERROR(_xlfn.MINIFS(Log!$G:$G, Log!$A:$A, $A317, Log!$B:$B, $B317, Log!$C:$C, $C317),""))</f>
        <v/>
      </c>
      <c r="O317" s="9" t="str">
        <f>IF(COUNTBLANK($A317:$E317)&gt;0, "", IFERROR(_xlfn.MAXIFS(Log!$G:$G, Log!$A:$A, $A317, Log!$B:$B, $B317, Log!$C:$C, $C317),""))</f>
        <v/>
      </c>
    </row>
    <row r="318" spans="2:15" x14ac:dyDescent="0.3">
      <c r="B318" s="8" t="s">
        <v>117</v>
      </c>
      <c r="C318" s="66">
        <v>0</v>
      </c>
      <c r="H318" s="14" t="str">
        <f>IF(COUNTBLANK($A318:$E318)&gt;0, "", IFERROR(AVERAGEIFS(Log!$E:$E, Log!$A:$A, $A318, Log!$B:$B, $B318, Log!$C:$C, $C318),""))</f>
        <v/>
      </c>
      <c r="I318" s="64" t="str">
        <f t="shared" si="4"/>
        <v/>
      </c>
      <c r="J318" s="9" t="str">
        <f>IF(COUNTBLANK($A318:$E318)&gt;0, "", IFERROR(AVERAGEIFS(Log!$H:$H, Log!$A:$A, $A318, Log!$B:$B, $B318, Log!$C:$C, $C318),""))</f>
        <v/>
      </c>
      <c r="K318" s="9" t="str">
        <f>IF(COUNTBLANK($A318:$E318)&gt;0, "", IFERROR(_xlfn.MINIFS(Log!$F:$F, Log!$A:$A, $A318, Log!$B:$B, $B318, Log!$C:$C, $C318),""))</f>
        <v/>
      </c>
      <c r="L318" s="9" t="str">
        <f>IF(COUNTBLANK($A318:$E318)&gt;0, "", IFERROR(_xlfn.MAXIFS(Log!$F:$F, Log!$A:$A, $A318, Log!$B:$B, $B318, Log!$C:$C, $C318),""))</f>
        <v/>
      </c>
      <c r="M318" s="9" t="str">
        <f>IF(COUNTBLANK($A318:$E318)&gt;0, "", IFERROR(AVERAGEIFS(Log!$I:$I, Log!$A:$A, $A318, Log!$B:$B, $B318, Log!$C:$C, $C318),""))</f>
        <v/>
      </c>
      <c r="N318" s="9" t="str">
        <f>IF(COUNTBLANK($A318:$E318)&gt;0, "", IFERROR(_xlfn.MINIFS(Log!$G:$G, Log!$A:$A, $A318, Log!$B:$B, $B318, Log!$C:$C, $C318),""))</f>
        <v/>
      </c>
      <c r="O318" s="9" t="str">
        <f>IF(COUNTBLANK($A318:$E318)&gt;0, "", IFERROR(_xlfn.MAXIFS(Log!$G:$G, Log!$A:$A, $A318, Log!$B:$B, $B318, Log!$C:$C, $C318),""))</f>
        <v/>
      </c>
    </row>
    <row r="319" spans="2:15" x14ac:dyDescent="0.3">
      <c r="B319" s="8" t="s">
        <v>117</v>
      </c>
      <c r="C319" s="66">
        <v>0</v>
      </c>
      <c r="H319" s="14" t="str">
        <f>IF(COUNTBLANK($A319:$E319)&gt;0, "", IFERROR(AVERAGEIFS(Log!$E:$E, Log!$A:$A, $A319, Log!$B:$B, $B319, Log!$C:$C, $C319),""))</f>
        <v/>
      </c>
      <c r="I319" s="64" t="str">
        <f t="shared" si="4"/>
        <v/>
      </c>
      <c r="J319" s="9" t="str">
        <f>IF(COUNTBLANK($A319:$E319)&gt;0, "", IFERROR(AVERAGEIFS(Log!$H:$H, Log!$A:$A, $A319, Log!$B:$B, $B319, Log!$C:$C, $C319),""))</f>
        <v/>
      </c>
      <c r="K319" s="9" t="str">
        <f>IF(COUNTBLANK($A319:$E319)&gt;0, "", IFERROR(_xlfn.MINIFS(Log!$F:$F, Log!$A:$A, $A319, Log!$B:$B, $B319, Log!$C:$C, $C319),""))</f>
        <v/>
      </c>
      <c r="L319" s="9" t="str">
        <f>IF(COUNTBLANK($A319:$E319)&gt;0, "", IFERROR(_xlfn.MAXIFS(Log!$F:$F, Log!$A:$A, $A319, Log!$B:$B, $B319, Log!$C:$C, $C319),""))</f>
        <v/>
      </c>
      <c r="M319" s="9" t="str">
        <f>IF(COUNTBLANK($A319:$E319)&gt;0, "", IFERROR(AVERAGEIFS(Log!$I:$I, Log!$A:$A, $A319, Log!$B:$B, $B319, Log!$C:$C, $C319),""))</f>
        <v/>
      </c>
      <c r="N319" s="9" t="str">
        <f>IF(COUNTBLANK($A319:$E319)&gt;0, "", IFERROR(_xlfn.MINIFS(Log!$G:$G, Log!$A:$A, $A319, Log!$B:$B, $B319, Log!$C:$C, $C319),""))</f>
        <v/>
      </c>
      <c r="O319" s="9" t="str">
        <f>IF(COUNTBLANK($A319:$E319)&gt;0, "", IFERROR(_xlfn.MAXIFS(Log!$G:$G, Log!$A:$A, $A319, Log!$B:$B, $B319, Log!$C:$C, $C319),""))</f>
        <v/>
      </c>
    </row>
    <row r="320" spans="2:15" x14ac:dyDescent="0.3">
      <c r="B320" s="8" t="s">
        <v>117</v>
      </c>
      <c r="C320" s="66">
        <v>0</v>
      </c>
      <c r="H320" s="14" t="str">
        <f>IF(COUNTBLANK($A320:$E320)&gt;0, "", IFERROR(AVERAGEIFS(Log!$E:$E, Log!$A:$A, $A320, Log!$B:$B, $B320, Log!$C:$C, $C320),""))</f>
        <v/>
      </c>
      <c r="I320" s="64" t="str">
        <f t="shared" si="4"/>
        <v/>
      </c>
      <c r="J320" s="9" t="str">
        <f>IF(COUNTBLANK($A320:$E320)&gt;0, "", IFERROR(AVERAGEIFS(Log!$H:$H, Log!$A:$A, $A320, Log!$B:$B, $B320, Log!$C:$C, $C320),""))</f>
        <v/>
      </c>
      <c r="K320" s="9" t="str">
        <f>IF(COUNTBLANK($A320:$E320)&gt;0, "", IFERROR(_xlfn.MINIFS(Log!$F:$F, Log!$A:$A, $A320, Log!$B:$B, $B320, Log!$C:$C, $C320),""))</f>
        <v/>
      </c>
      <c r="L320" s="9" t="str">
        <f>IF(COUNTBLANK($A320:$E320)&gt;0, "", IFERROR(_xlfn.MAXIFS(Log!$F:$F, Log!$A:$A, $A320, Log!$B:$B, $B320, Log!$C:$C, $C320),""))</f>
        <v/>
      </c>
      <c r="M320" s="9" t="str">
        <f>IF(COUNTBLANK($A320:$E320)&gt;0, "", IFERROR(AVERAGEIFS(Log!$I:$I, Log!$A:$A, $A320, Log!$B:$B, $B320, Log!$C:$C, $C320),""))</f>
        <v/>
      </c>
      <c r="N320" s="9" t="str">
        <f>IF(COUNTBLANK($A320:$E320)&gt;0, "", IFERROR(_xlfn.MINIFS(Log!$G:$G, Log!$A:$A, $A320, Log!$B:$B, $B320, Log!$C:$C, $C320),""))</f>
        <v/>
      </c>
      <c r="O320" s="9" t="str">
        <f>IF(COUNTBLANK($A320:$E320)&gt;0, "", IFERROR(_xlfn.MAXIFS(Log!$G:$G, Log!$A:$A, $A320, Log!$B:$B, $B320, Log!$C:$C, $C320),""))</f>
        <v/>
      </c>
    </row>
    <row r="321" spans="2:15" x14ac:dyDescent="0.3">
      <c r="B321" s="8" t="s">
        <v>117</v>
      </c>
      <c r="C321" s="66">
        <v>0</v>
      </c>
      <c r="H321" s="14" t="str">
        <f>IF(COUNTBLANK($A321:$E321)&gt;0, "", IFERROR(AVERAGEIFS(Log!$E:$E, Log!$A:$A, $A321, Log!$B:$B, $B321, Log!$C:$C, $C321),""))</f>
        <v/>
      </c>
      <c r="I321" s="64" t="str">
        <f t="shared" si="4"/>
        <v/>
      </c>
      <c r="J321" s="9" t="str">
        <f>IF(COUNTBLANK($A321:$E321)&gt;0, "", IFERROR(AVERAGEIFS(Log!$H:$H, Log!$A:$A, $A321, Log!$B:$B, $B321, Log!$C:$C, $C321),""))</f>
        <v/>
      </c>
      <c r="K321" s="9" t="str">
        <f>IF(COUNTBLANK($A321:$E321)&gt;0, "", IFERROR(_xlfn.MINIFS(Log!$F:$F, Log!$A:$A, $A321, Log!$B:$B, $B321, Log!$C:$C, $C321),""))</f>
        <v/>
      </c>
      <c r="L321" s="9" t="str">
        <f>IF(COUNTBLANK($A321:$E321)&gt;0, "", IFERROR(_xlfn.MAXIFS(Log!$F:$F, Log!$A:$A, $A321, Log!$B:$B, $B321, Log!$C:$C, $C321),""))</f>
        <v/>
      </c>
      <c r="M321" s="9" t="str">
        <f>IF(COUNTBLANK($A321:$E321)&gt;0, "", IFERROR(AVERAGEIFS(Log!$I:$I, Log!$A:$A, $A321, Log!$B:$B, $B321, Log!$C:$C, $C321),""))</f>
        <v/>
      </c>
      <c r="N321" s="9" t="str">
        <f>IF(COUNTBLANK($A321:$E321)&gt;0, "", IFERROR(_xlfn.MINIFS(Log!$G:$G, Log!$A:$A, $A321, Log!$B:$B, $B321, Log!$C:$C, $C321),""))</f>
        <v/>
      </c>
      <c r="O321" s="9" t="str">
        <f>IF(COUNTBLANK($A321:$E321)&gt;0, "", IFERROR(_xlfn.MAXIFS(Log!$G:$G, Log!$A:$A, $A321, Log!$B:$B, $B321, Log!$C:$C, $C321),""))</f>
        <v/>
      </c>
    </row>
    <row r="322" spans="2:15" x14ac:dyDescent="0.3">
      <c r="B322" s="8" t="s">
        <v>117</v>
      </c>
      <c r="C322" s="66">
        <v>0</v>
      </c>
      <c r="H322" s="14" t="str">
        <f>IF(COUNTBLANK($A322:$E322)&gt;0, "", IFERROR(AVERAGEIFS(Log!$E:$E, Log!$A:$A, $A322, Log!$B:$B, $B322, Log!$C:$C, $C322),""))</f>
        <v/>
      </c>
      <c r="I322" s="64" t="str">
        <f t="shared" si="4"/>
        <v/>
      </c>
      <c r="J322" s="9" t="str">
        <f>IF(COUNTBLANK($A322:$E322)&gt;0, "", IFERROR(AVERAGEIFS(Log!$H:$H, Log!$A:$A, $A322, Log!$B:$B, $B322, Log!$C:$C, $C322),""))</f>
        <v/>
      </c>
      <c r="K322" s="9" t="str">
        <f>IF(COUNTBLANK($A322:$E322)&gt;0, "", IFERROR(_xlfn.MINIFS(Log!$F:$F, Log!$A:$A, $A322, Log!$B:$B, $B322, Log!$C:$C, $C322),""))</f>
        <v/>
      </c>
      <c r="L322" s="9" t="str">
        <f>IF(COUNTBLANK($A322:$E322)&gt;0, "", IFERROR(_xlfn.MAXIFS(Log!$F:$F, Log!$A:$A, $A322, Log!$B:$B, $B322, Log!$C:$C, $C322),""))</f>
        <v/>
      </c>
      <c r="M322" s="9" t="str">
        <f>IF(COUNTBLANK($A322:$E322)&gt;0, "", IFERROR(AVERAGEIFS(Log!$I:$I, Log!$A:$A, $A322, Log!$B:$B, $B322, Log!$C:$C, $C322),""))</f>
        <v/>
      </c>
      <c r="N322" s="9" t="str">
        <f>IF(COUNTBLANK($A322:$E322)&gt;0, "", IFERROR(_xlfn.MINIFS(Log!$G:$G, Log!$A:$A, $A322, Log!$B:$B, $B322, Log!$C:$C, $C322),""))</f>
        <v/>
      </c>
      <c r="O322" s="9" t="str">
        <f>IF(COUNTBLANK($A322:$E322)&gt;0, "", IFERROR(_xlfn.MAXIFS(Log!$G:$G, Log!$A:$A, $A322, Log!$B:$B, $B322, Log!$C:$C, $C322),""))</f>
        <v/>
      </c>
    </row>
    <row r="323" spans="2:15" x14ac:dyDescent="0.3">
      <c r="B323" s="8" t="s">
        <v>117</v>
      </c>
      <c r="C323" s="66">
        <v>0</v>
      </c>
      <c r="H323" s="14" t="str">
        <f>IF(COUNTBLANK($A323:$E323)&gt;0, "", IFERROR(AVERAGEIFS(Log!$E:$E, Log!$A:$A, $A323, Log!$B:$B, $B323, Log!$C:$C, $C323),""))</f>
        <v/>
      </c>
      <c r="I323" s="64" t="str">
        <f t="shared" si="4"/>
        <v/>
      </c>
      <c r="J323" s="9" t="str">
        <f>IF(COUNTBLANK($A323:$E323)&gt;0, "", IFERROR(AVERAGEIFS(Log!$H:$H, Log!$A:$A, $A323, Log!$B:$B, $B323, Log!$C:$C, $C323),""))</f>
        <v/>
      </c>
      <c r="K323" s="9" t="str">
        <f>IF(COUNTBLANK($A323:$E323)&gt;0, "", IFERROR(_xlfn.MINIFS(Log!$F:$F, Log!$A:$A, $A323, Log!$B:$B, $B323, Log!$C:$C, $C323),""))</f>
        <v/>
      </c>
      <c r="L323" s="9" t="str">
        <f>IF(COUNTBLANK($A323:$E323)&gt;0, "", IFERROR(_xlfn.MAXIFS(Log!$F:$F, Log!$A:$A, $A323, Log!$B:$B, $B323, Log!$C:$C, $C323),""))</f>
        <v/>
      </c>
      <c r="M323" s="9" t="str">
        <f>IF(COUNTBLANK($A323:$E323)&gt;0, "", IFERROR(AVERAGEIFS(Log!$I:$I, Log!$A:$A, $A323, Log!$B:$B, $B323, Log!$C:$C, $C323),""))</f>
        <v/>
      </c>
      <c r="N323" s="9" t="str">
        <f>IF(COUNTBLANK($A323:$E323)&gt;0, "", IFERROR(_xlfn.MINIFS(Log!$G:$G, Log!$A:$A, $A323, Log!$B:$B, $B323, Log!$C:$C, $C323),""))</f>
        <v/>
      </c>
      <c r="O323" s="9" t="str">
        <f>IF(COUNTBLANK($A323:$E323)&gt;0, "", IFERROR(_xlfn.MAXIFS(Log!$G:$G, Log!$A:$A, $A323, Log!$B:$B, $B323, Log!$C:$C, $C323),""))</f>
        <v/>
      </c>
    </row>
    <row r="324" spans="2:15" x14ac:dyDescent="0.3">
      <c r="B324" s="8" t="s">
        <v>117</v>
      </c>
      <c r="C324" s="66">
        <v>0</v>
      </c>
      <c r="H324" s="14" t="str">
        <f>IF(COUNTBLANK($A324:$E324)&gt;0, "", IFERROR(AVERAGEIFS(Log!$E:$E, Log!$A:$A, $A324, Log!$B:$B, $B324, Log!$C:$C, $C324),""))</f>
        <v/>
      </c>
      <c r="I324" s="64" t="str">
        <f t="shared" si="4"/>
        <v/>
      </c>
      <c r="J324" s="9" t="str">
        <f>IF(COUNTBLANK($A324:$E324)&gt;0, "", IFERROR(AVERAGEIFS(Log!$H:$H, Log!$A:$A, $A324, Log!$B:$B, $B324, Log!$C:$C, $C324),""))</f>
        <v/>
      </c>
      <c r="K324" s="9" t="str">
        <f>IF(COUNTBLANK($A324:$E324)&gt;0, "", IFERROR(_xlfn.MINIFS(Log!$F:$F, Log!$A:$A, $A324, Log!$B:$B, $B324, Log!$C:$C, $C324),""))</f>
        <v/>
      </c>
      <c r="L324" s="9" t="str">
        <f>IF(COUNTBLANK($A324:$E324)&gt;0, "", IFERROR(_xlfn.MAXIFS(Log!$F:$F, Log!$A:$A, $A324, Log!$B:$B, $B324, Log!$C:$C, $C324),""))</f>
        <v/>
      </c>
      <c r="M324" s="9" t="str">
        <f>IF(COUNTBLANK($A324:$E324)&gt;0, "", IFERROR(AVERAGEIFS(Log!$I:$I, Log!$A:$A, $A324, Log!$B:$B, $B324, Log!$C:$C, $C324),""))</f>
        <v/>
      </c>
      <c r="N324" s="9" t="str">
        <f>IF(COUNTBLANK($A324:$E324)&gt;0, "", IFERROR(_xlfn.MINIFS(Log!$G:$G, Log!$A:$A, $A324, Log!$B:$B, $B324, Log!$C:$C, $C324),""))</f>
        <v/>
      </c>
      <c r="O324" s="9" t="str">
        <f>IF(COUNTBLANK($A324:$E324)&gt;0, "", IFERROR(_xlfn.MAXIFS(Log!$G:$G, Log!$A:$A, $A324, Log!$B:$B, $B324, Log!$C:$C, $C324),""))</f>
        <v/>
      </c>
    </row>
    <row r="325" spans="2:15" x14ac:dyDescent="0.3">
      <c r="B325" s="8" t="s">
        <v>117</v>
      </c>
      <c r="C325" s="66">
        <v>0</v>
      </c>
      <c r="H325" s="14" t="str">
        <f>IF(COUNTBLANK($A325:$E325)&gt;0, "", IFERROR(AVERAGEIFS(Log!$E:$E, Log!$A:$A, $A325, Log!$B:$B, $B325, Log!$C:$C, $C325),""))</f>
        <v/>
      </c>
      <c r="I325" s="64" t="str">
        <f t="shared" si="4"/>
        <v/>
      </c>
      <c r="J325" s="9" t="str">
        <f>IF(COUNTBLANK($A325:$E325)&gt;0, "", IFERROR(AVERAGEIFS(Log!$H:$H, Log!$A:$A, $A325, Log!$B:$B, $B325, Log!$C:$C, $C325),""))</f>
        <v/>
      </c>
      <c r="K325" s="9" t="str">
        <f>IF(COUNTBLANK($A325:$E325)&gt;0, "", IFERROR(_xlfn.MINIFS(Log!$F:$F, Log!$A:$A, $A325, Log!$B:$B, $B325, Log!$C:$C, $C325),""))</f>
        <v/>
      </c>
      <c r="L325" s="9" t="str">
        <f>IF(COUNTBLANK($A325:$E325)&gt;0, "", IFERROR(_xlfn.MAXIFS(Log!$F:$F, Log!$A:$A, $A325, Log!$B:$B, $B325, Log!$C:$C, $C325),""))</f>
        <v/>
      </c>
      <c r="M325" s="9" t="str">
        <f>IF(COUNTBLANK($A325:$E325)&gt;0, "", IFERROR(AVERAGEIFS(Log!$I:$I, Log!$A:$A, $A325, Log!$B:$B, $B325, Log!$C:$C, $C325),""))</f>
        <v/>
      </c>
      <c r="N325" s="9" t="str">
        <f>IF(COUNTBLANK($A325:$E325)&gt;0, "", IFERROR(_xlfn.MINIFS(Log!$G:$G, Log!$A:$A, $A325, Log!$B:$B, $B325, Log!$C:$C, $C325),""))</f>
        <v/>
      </c>
      <c r="O325" s="9" t="str">
        <f>IF(COUNTBLANK($A325:$E325)&gt;0, "", IFERROR(_xlfn.MAXIFS(Log!$G:$G, Log!$A:$A, $A325, Log!$B:$B, $B325, Log!$C:$C, $C325),""))</f>
        <v/>
      </c>
    </row>
    <row r="326" spans="2:15" x14ac:dyDescent="0.3">
      <c r="B326" s="8" t="s">
        <v>117</v>
      </c>
      <c r="C326" s="66">
        <v>0</v>
      </c>
      <c r="H326" s="14" t="str">
        <f>IF(COUNTBLANK($A326:$E326)&gt;0, "", IFERROR(AVERAGEIFS(Log!$E:$E, Log!$A:$A, $A326, Log!$B:$B, $B326, Log!$C:$C, $C326),""))</f>
        <v/>
      </c>
      <c r="I326" s="64" t="str">
        <f t="shared" ref="I326:I389" si="5">IF(AND($H326&lt;&gt;"", $G326&lt;&gt;""), $H326/$G326, "")</f>
        <v/>
      </c>
      <c r="J326" s="9" t="str">
        <f>IF(COUNTBLANK($A326:$E326)&gt;0, "", IFERROR(AVERAGEIFS(Log!$H:$H, Log!$A:$A, $A326, Log!$B:$B, $B326, Log!$C:$C, $C326),""))</f>
        <v/>
      </c>
      <c r="K326" s="9" t="str">
        <f>IF(COUNTBLANK($A326:$E326)&gt;0, "", IFERROR(_xlfn.MINIFS(Log!$F:$F, Log!$A:$A, $A326, Log!$B:$B, $B326, Log!$C:$C, $C326),""))</f>
        <v/>
      </c>
      <c r="L326" s="9" t="str">
        <f>IF(COUNTBLANK($A326:$E326)&gt;0, "", IFERROR(_xlfn.MAXIFS(Log!$F:$F, Log!$A:$A, $A326, Log!$B:$B, $B326, Log!$C:$C, $C326),""))</f>
        <v/>
      </c>
      <c r="M326" s="9" t="str">
        <f>IF(COUNTBLANK($A326:$E326)&gt;0, "", IFERROR(AVERAGEIFS(Log!$I:$I, Log!$A:$A, $A326, Log!$B:$B, $B326, Log!$C:$C, $C326),""))</f>
        <v/>
      </c>
      <c r="N326" s="9" t="str">
        <f>IF(COUNTBLANK($A326:$E326)&gt;0, "", IFERROR(_xlfn.MINIFS(Log!$G:$G, Log!$A:$A, $A326, Log!$B:$B, $B326, Log!$C:$C, $C326),""))</f>
        <v/>
      </c>
      <c r="O326" s="9" t="str">
        <f>IF(COUNTBLANK($A326:$E326)&gt;0, "", IFERROR(_xlfn.MAXIFS(Log!$G:$G, Log!$A:$A, $A326, Log!$B:$B, $B326, Log!$C:$C, $C326),""))</f>
        <v/>
      </c>
    </row>
    <row r="327" spans="2:15" x14ac:dyDescent="0.3">
      <c r="B327" s="8" t="s">
        <v>117</v>
      </c>
      <c r="C327" s="66">
        <v>0</v>
      </c>
      <c r="H327" s="14" t="str">
        <f>IF(COUNTBLANK($A327:$E327)&gt;0, "", IFERROR(AVERAGEIFS(Log!$E:$E, Log!$A:$A, $A327, Log!$B:$B, $B327, Log!$C:$C, $C327),""))</f>
        <v/>
      </c>
      <c r="I327" s="64" t="str">
        <f t="shared" si="5"/>
        <v/>
      </c>
      <c r="J327" s="9" t="str">
        <f>IF(COUNTBLANK($A327:$E327)&gt;0, "", IFERROR(AVERAGEIFS(Log!$H:$H, Log!$A:$A, $A327, Log!$B:$B, $B327, Log!$C:$C, $C327),""))</f>
        <v/>
      </c>
      <c r="K327" s="9" t="str">
        <f>IF(COUNTBLANK($A327:$E327)&gt;0, "", IFERROR(_xlfn.MINIFS(Log!$F:$F, Log!$A:$A, $A327, Log!$B:$B, $B327, Log!$C:$C, $C327),""))</f>
        <v/>
      </c>
      <c r="L327" s="9" t="str">
        <f>IF(COUNTBLANK($A327:$E327)&gt;0, "", IFERROR(_xlfn.MAXIFS(Log!$F:$F, Log!$A:$A, $A327, Log!$B:$B, $B327, Log!$C:$C, $C327),""))</f>
        <v/>
      </c>
      <c r="M327" s="9" t="str">
        <f>IF(COUNTBLANK($A327:$E327)&gt;0, "", IFERROR(AVERAGEIFS(Log!$I:$I, Log!$A:$A, $A327, Log!$B:$B, $B327, Log!$C:$C, $C327),""))</f>
        <v/>
      </c>
      <c r="N327" s="9" t="str">
        <f>IF(COUNTBLANK($A327:$E327)&gt;0, "", IFERROR(_xlfn.MINIFS(Log!$G:$G, Log!$A:$A, $A327, Log!$B:$B, $B327, Log!$C:$C, $C327),""))</f>
        <v/>
      </c>
      <c r="O327" s="9" t="str">
        <f>IF(COUNTBLANK($A327:$E327)&gt;0, "", IFERROR(_xlfn.MAXIFS(Log!$G:$G, Log!$A:$A, $A327, Log!$B:$B, $B327, Log!$C:$C, $C327),""))</f>
        <v/>
      </c>
    </row>
    <row r="328" spans="2:15" x14ac:dyDescent="0.3">
      <c r="B328" s="8" t="s">
        <v>117</v>
      </c>
      <c r="C328" s="66">
        <v>0</v>
      </c>
      <c r="H328" s="14" t="str">
        <f>IF(COUNTBLANK($A328:$E328)&gt;0, "", IFERROR(AVERAGEIFS(Log!$E:$E, Log!$A:$A, $A328, Log!$B:$B, $B328, Log!$C:$C, $C328),""))</f>
        <v/>
      </c>
      <c r="I328" s="64" t="str">
        <f t="shared" si="5"/>
        <v/>
      </c>
      <c r="J328" s="9" t="str">
        <f>IF(COUNTBLANK($A328:$E328)&gt;0, "", IFERROR(AVERAGEIFS(Log!$H:$H, Log!$A:$A, $A328, Log!$B:$B, $B328, Log!$C:$C, $C328),""))</f>
        <v/>
      </c>
      <c r="K328" s="9" t="str">
        <f>IF(COUNTBLANK($A328:$E328)&gt;0, "", IFERROR(_xlfn.MINIFS(Log!$F:$F, Log!$A:$A, $A328, Log!$B:$B, $B328, Log!$C:$C, $C328),""))</f>
        <v/>
      </c>
      <c r="L328" s="9" t="str">
        <f>IF(COUNTBLANK($A328:$E328)&gt;0, "", IFERROR(_xlfn.MAXIFS(Log!$F:$F, Log!$A:$A, $A328, Log!$B:$B, $B328, Log!$C:$C, $C328),""))</f>
        <v/>
      </c>
      <c r="M328" s="9" t="str">
        <f>IF(COUNTBLANK($A328:$E328)&gt;0, "", IFERROR(AVERAGEIFS(Log!$I:$I, Log!$A:$A, $A328, Log!$B:$B, $B328, Log!$C:$C, $C328),""))</f>
        <v/>
      </c>
      <c r="N328" s="9" t="str">
        <f>IF(COUNTBLANK($A328:$E328)&gt;0, "", IFERROR(_xlfn.MINIFS(Log!$G:$G, Log!$A:$A, $A328, Log!$B:$B, $B328, Log!$C:$C, $C328),""))</f>
        <v/>
      </c>
      <c r="O328" s="9" t="str">
        <f>IF(COUNTBLANK($A328:$E328)&gt;0, "", IFERROR(_xlfn.MAXIFS(Log!$G:$G, Log!$A:$A, $A328, Log!$B:$B, $B328, Log!$C:$C, $C328),""))</f>
        <v/>
      </c>
    </row>
    <row r="329" spans="2:15" x14ac:dyDescent="0.3">
      <c r="B329" s="8" t="s">
        <v>117</v>
      </c>
      <c r="C329" s="66">
        <v>0</v>
      </c>
      <c r="H329" s="14" t="str">
        <f>IF(COUNTBLANK($A329:$E329)&gt;0, "", IFERROR(AVERAGEIFS(Log!$E:$E, Log!$A:$A, $A329, Log!$B:$B, $B329, Log!$C:$C, $C329),""))</f>
        <v/>
      </c>
      <c r="I329" s="64" t="str">
        <f t="shared" si="5"/>
        <v/>
      </c>
      <c r="J329" s="9" t="str">
        <f>IF(COUNTBLANK($A329:$E329)&gt;0, "", IFERROR(AVERAGEIFS(Log!$H:$H, Log!$A:$A, $A329, Log!$B:$B, $B329, Log!$C:$C, $C329),""))</f>
        <v/>
      </c>
      <c r="K329" s="9" t="str">
        <f>IF(COUNTBLANK($A329:$E329)&gt;0, "", IFERROR(_xlfn.MINIFS(Log!$F:$F, Log!$A:$A, $A329, Log!$B:$B, $B329, Log!$C:$C, $C329),""))</f>
        <v/>
      </c>
      <c r="L329" s="9" t="str">
        <f>IF(COUNTBLANK($A329:$E329)&gt;0, "", IFERROR(_xlfn.MAXIFS(Log!$F:$F, Log!$A:$A, $A329, Log!$B:$B, $B329, Log!$C:$C, $C329),""))</f>
        <v/>
      </c>
      <c r="M329" s="9" t="str">
        <f>IF(COUNTBLANK($A329:$E329)&gt;0, "", IFERROR(AVERAGEIFS(Log!$I:$I, Log!$A:$A, $A329, Log!$B:$B, $B329, Log!$C:$C, $C329),""))</f>
        <v/>
      </c>
      <c r="N329" s="9" t="str">
        <f>IF(COUNTBLANK($A329:$E329)&gt;0, "", IFERROR(_xlfn.MINIFS(Log!$G:$G, Log!$A:$A, $A329, Log!$B:$B, $B329, Log!$C:$C, $C329),""))</f>
        <v/>
      </c>
      <c r="O329" s="9" t="str">
        <f>IF(COUNTBLANK($A329:$E329)&gt;0, "", IFERROR(_xlfn.MAXIFS(Log!$G:$G, Log!$A:$A, $A329, Log!$B:$B, $B329, Log!$C:$C, $C329),""))</f>
        <v/>
      </c>
    </row>
    <row r="330" spans="2:15" x14ac:dyDescent="0.3">
      <c r="B330" s="8" t="s">
        <v>117</v>
      </c>
      <c r="C330" s="66">
        <v>0</v>
      </c>
      <c r="H330" s="14" t="str">
        <f>IF(COUNTBLANK($A330:$E330)&gt;0, "", IFERROR(AVERAGEIFS(Log!$E:$E, Log!$A:$A, $A330, Log!$B:$B, $B330, Log!$C:$C, $C330),""))</f>
        <v/>
      </c>
      <c r="I330" s="64" t="str">
        <f t="shared" si="5"/>
        <v/>
      </c>
      <c r="J330" s="9" t="str">
        <f>IF(COUNTBLANK($A330:$E330)&gt;0, "", IFERROR(AVERAGEIFS(Log!$H:$H, Log!$A:$A, $A330, Log!$B:$B, $B330, Log!$C:$C, $C330),""))</f>
        <v/>
      </c>
      <c r="K330" s="9" t="str">
        <f>IF(COUNTBLANK($A330:$E330)&gt;0, "", IFERROR(_xlfn.MINIFS(Log!$F:$F, Log!$A:$A, $A330, Log!$B:$B, $B330, Log!$C:$C, $C330),""))</f>
        <v/>
      </c>
      <c r="L330" s="9" t="str">
        <f>IF(COUNTBLANK($A330:$E330)&gt;0, "", IFERROR(_xlfn.MAXIFS(Log!$F:$F, Log!$A:$A, $A330, Log!$B:$B, $B330, Log!$C:$C, $C330),""))</f>
        <v/>
      </c>
      <c r="M330" s="9" t="str">
        <f>IF(COUNTBLANK($A330:$E330)&gt;0, "", IFERROR(AVERAGEIFS(Log!$I:$I, Log!$A:$A, $A330, Log!$B:$B, $B330, Log!$C:$C, $C330),""))</f>
        <v/>
      </c>
      <c r="N330" s="9" t="str">
        <f>IF(COUNTBLANK($A330:$E330)&gt;0, "", IFERROR(_xlfn.MINIFS(Log!$G:$G, Log!$A:$A, $A330, Log!$B:$B, $B330, Log!$C:$C, $C330),""))</f>
        <v/>
      </c>
      <c r="O330" s="9" t="str">
        <f>IF(COUNTBLANK($A330:$E330)&gt;0, "", IFERROR(_xlfn.MAXIFS(Log!$G:$G, Log!$A:$A, $A330, Log!$B:$B, $B330, Log!$C:$C, $C330),""))</f>
        <v/>
      </c>
    </row>
    <row r="331" spans="2:15" x14ac:dyDescent="0.3">
      <c r="B331" s="8" t="s">
        <v>117</v>
      </c>
      <c r="C331" s="66">
        <v>0</v>
      </c>
      <c r="H331" s="14" t="str">
        <f>IF(COUNTBLANK($A331:$E331)&gt;0, "", IFERROR(AVERAGEIFS(Log!$E:$E, Log!$A:$A, $A331, Log!$B:$B, $B331, Log!$C:$C, $C331),""))</f>
        <v/>
      </c>
      <c r="I331" s="64" t="str">
        <f t="shared" si="5"/>
        <v/>
      </c>
      <c r="J331" s="9" t="str">
        <f>IF(COUNTBLANK($A331:$E331)&gt;0, "", IFERROR(AVERAGEIFS(Log!$H:$H, Log!$A:$A, $A331, Log!$B:$B, $B331, Log!$C:$C, $C331),""))</f>
        <v/>
      </c>
      <c r="K331" s="9" t="str">
        <f>IF(COUNTBLANK($A331:$E331)&gt;0, "", IFERROR(_xlfn.MINIFS(Log!$F:$F, Log!$A:$A, $A331, Log!$B:$B, $B331, Log!$C:$C, $C331),""))</f>
        <v/>
      </c>
      <c r="L331" s="9" t="str">
        <f>IF(COUNTBLANK($A331:$E331)&gt;0, "", IFERROR(_xlfn.MAXIFS(Log!$F:$F, Log!$A:$A, $A331, Log!$B:$B, $B331, Log!$C:$C, $C331),""))</f>
        <v/>
      </c>
      <c r="M331" s="9" t="str">
        <f>IF(COUNTBLANK($A331:$E331)&gt;0, "", IFERROR(AVERAGEIFS(Log!$I:$I, Log!$A:$A, $A331, Log!$B:$B, $B331, Log!$C:$C, $C331),""))</f>
        <v/>
      </c>
      <c r="N331" s="9" t="str">
        <f>IF(COUNTBLANK($A331:$E331)&gt;0, "", IFERROR(_xlfn.MINIFS(Log!$G:$G, Log!$A:$A, $A331, Log!$B:$B, $B331, Log!$C:$C, $C331),""))</f>
        <v/>
      </c>
      <c r="O331" s="9" t="str">
        <f>IF(COUNTBLANK($A331:$E331)&gt;0, "", IFERROR(_xlfn.MAXIFS(Log!$G:$G, Log!$A:$A, $A331, Log!$B:$B, $B331, Log!$C:$C, $C331),""))</f>
        <v/>
      </c>
    </row>
    <row r="332" spans="2:15" x14ac:dyDescent="0.3">
      <c r="B332" s="8" t="s">
        <v>117</v>
      </c>
      <c r="C332" s="66">
        <v>0</v>
      </c>
      <c r="H332" s="14" t="str">
        <f>IF(COUNTBLANK($A332:$E332)&gt;0, "", IFERROR(AVERAGEIFS(Log!$E:$E, Log!$A:$A, $A332, Log!$B:$B, $B332, Log!$C:$C, $C332),""))</f>
        <v/>
      </c>
      <c r="I332" s="64" t="str">
        <f t="shared" si="5"/>
        <v/>
      </c>
      <c r="J332" s="9" t="str">
        <f>IF(COUNTBLANK($A332:$E332)&gt;0, "", IFERROR(AVERAGEIFS(Log!$H:$H, Log!$A:$A, $A332, Log!$B:$B, $B332, Log!$C:$C, $C332),""))</f>
        <v/>
      </c>
      <c r="K332" s="9" t="str">
        <f>IF(COUNTBLANK($A332:$E332)&gt;0, "", IFERROR(_xlfn.MINIFS(Log!$F:$F, Log!$A:$A, $A332, Log!$B:$B, $B332, Log!$C:$C, $C332),""))</f>
        <v/>
      </c>
      <c r="L332" s="9" t="str">
        <f>IF(COUNTBLANK($A332:$E332)&gt;0, "", IFERROR(_xlfn.MAXIFS(Log!$F:$F, Log!$A:$A, $A332, Log!$B:$B, $B332, Log!$C:$C, $C332),""))</f>
        <v/>
      </c>
      <c r="M332" s="9" t="str">
        <f>IF(COUNTBLANK($A332:$E332)&gt;0, "", IFERROR(AVERAGEIFS(Log!$I:$I, Log!$A:$A, $A332, Log!$B:$B, $B332, Log!$C:$C, $C332),""))</f>
        <v/>
      </c>
      <c r="N332" s="9" t="str">
        <f>IF(COUNTBLANK($A332:$E332)&gt;0, "", IFERROR(_xlfn.MINIFS(Log!$G:$G, Log!$A:$A, $A332, Log!$B:$B, $B332, Log!$C:$C, $C332),""))</f>
        <v/>
      </c>
      <c r="O332" s="9" t="str">
        <f>IF(COUNTBLANK($A332:$E332)&gt;0, "", IFERROR(_xlfn.MAXIFS(Log!$G:$G, Log!$A:$A, $A332, Log!$B:$B, $B332, Log!$C:$C, $C332),""))</f>
        <v/>
      </c>
    </row>
    <row r="333" spans="2:15" x14ac:dyDescent="0.3">
      <c r="B333" s="8" t="s">
        <v>117</v>
      </c>
      <c r="C333" s="66">
        <v>0</v>
      </c>
      <c r="H333" s="14" t="str">
        <f>IF(COUNTBLANK($A333:$E333)&gt;0, "", IFERROR(AVERAGEIFS(Log!$E:$E, Log!$A:$A, $A333, Log!$B:$B, $B333, Log!$C:$C, $C333),""))</f>
        <v/>
      </c>
      <c r="I333" s="64" t="str">
        <f t="shared" si="5"/>
        <v/>
      </c>
      <c r="J333" s="9" t="str">
        <f>IF(COUNTBLANK($A333:$E333)&gt;0, "", IFERROR(AVERAGEIFS(Log!$H:$H, Log!$A:$A, $A333, Log!$B:$B, $B333, Log!$C:$C, $C333),""))</f>
        <v/>
      </c>
      <c r="K333" s="9" t="str">
        <f>IF(COUNTBLANK($A333:$E333)&gt;0, "", IFERROR(_xlfn.MINIFS(Log!$F:$F, Log!$A:$A, $A333, Log!$B:$B, $B333, Log!$C:$C, $C333),""))</f>
        <v/>
      </c>
      <c r="L333" s="9" t="str">
        <f>IF(COUNTBLANK($A333:$E333)&gt;0, "", IFERROR(_xlfn.MAXIFS(Log!$F:$F, Log!$A:$A, $A333, Log!$B:$B, $B333, Log!$C:$C, $C333),""))</f>
        <v/>
      </c>
      <c r="M333" s="9" t="str">
        <f>IF(COUNTBLANK($A333:$E333)&gt;0, "", IFERROR(AVERAGEIFS(Log!$I:$I, Log!$A:$A, $A333, Log!$B:$B, $B333, Log!$C:$C, $C333),""))</f>
        <v/>
      </c>
      <c r="N333" s="9" t="str">
        <f>IF(COUNTBLANK($A333:$E333)&gt;0, "", IFERROR(_xlfn.MINIFS(Log!$G:$G, Log!$A:$A, $A333, Log!$B:$B, $B333, Log!$C:$C, $C333),""))</f>
        <v/>
      </c>
      <c r="O333" s="9" t="str">
        <f>IF(COUNTBLANK($A333:$E333)&gt;0, "", IFERROR(_xlfn.MAXIFS(Log!$G:$G, Log!$A:$A, $A333, Log!$B:$B, $B333, Log!$C:$C, $C333),""))</f>
        <v/>
      </c>
    </row>
    <row r="334" spans="2:15" x14ac:dyDescent="0.3">
      <c r="B334" s="8" t="s">
        <v>117</v>
      </c>
      <c r="C334" s="66">
        <v>0</v>
      </c>
      <c r="H334" s="14" t="str">
        <f>IF(COUNTBLANK($A334:$E334)&gt;0, "", IFERROR(AVERAGEIFS(Log!$E:$E, Log!$A:$A, $A334, Log!$B:$B, $B334, Log!$C:$C, $C334),""))</f>
        <v/>
      </c>
      <c r="I334" s="64" t="str">
        <f t="shared" si="5"/>
        <v/>
      </c>
      <c r="J334" s="9" t="str">
        <f>IF(COUNTBLANK($A334:$E334)&gt;0, "", IFERROR(AVERAGEIFS(Log!$H:$H, Log!$A:$A, $A334, Log!$B:$B, $B334, Log!$C:$C, $C334),""))</f>
        <v/>
      </c>
      <c r="K334" s="9" t="str">
        <f>IF(COUNTBLANK($A334:$E334)&gt;0, "", IFERROR(_xlfn.MINIFS(Log!$F:$F, Log!$A:$A, $A334, Log!$B:$B, $B334, Log!$C:$C, $C334),""))</f>
        <v/>
      </c>
      <c r="L334" s="9" t="str">
        <f>IF(COUNTBLANK($A334:$E334)&gt;0, "", IFERROR(_xlfn.MAXIFS(Log!$F:$F, Log!$A:$A, $A334, Log!$B:$B, $B334, Log!$C:$C, $C334),""))</f>
        <v/>
      </c>
      <c r="M334" s="9" t="str">
        <f>IF(COUNTBLANK($A334:$E334)&gt;0, "", IFERROR(AVERAGEIFS(Log!$I:$I, Log!$A:$A, $A334, Log!$B:$B, $B334, Log!$C:$C, $C334),""))</f>
        <v/>
      </c>
      <c r="N334" s="9" t="str">
        <f>IF(COUNTBLANK($A334:$E334)&gt;0, "", IFERROR(_xlfn.MINIFS(Log!$G:$G, Log!$A:$A, $A334, Log!$B:$B, $B334, Log!$C:$C, $C334),""))</f>
        <v/>
      </c>
      <c r="O334" s="9" t="str">
        <f>IF(COUNTBLANK($A334:$E334)&gt;0, "", IFERROR(_xlfn.MAXIFS(Log!$G:$G, Log!$A:$A, $A334, Log!$B:$B, $B334, Log!$C:$C, $C334),""))</f>
        <v/>
      </c>
    </row>
    <row r="335" spans="2:15" x14ac:dyDescent="0.3">
      <c r="B335" s="8" t="s">
        <v>117</v>
      </c>
      <c r="C335" s="66">
        <v>0</v>
      </c>
      <c r="H335" s="14" t="str">
        <f>IF(COUNTBLANK($A335:$E335)&gt;0, "", IFERROR(AVERAGEIFS(Log!$E:$E, Log!$A:$A, $A335, Log!$B:$B, $B335, Log!$C:$C, $C335),""))</f>
        <v/>
      </c>
      <c r="I335" s="64" t="str">
        <f t="shared" si="5"/>
        <v/>
      </c>
      <c r="J335" s="9" t="str">
        <f>IF(COUNTBLANK($A335:$E335)&gt;0, "", IFERROR(AVERAGEIFS(Log!$H:$H, Log!$A:$A, $A335, Log!$B:$B, $B335, Log!$C:$C, $C335),""))</f>
        <v/>
      </c>
      <c r="K335" s="9" t="str">
        <f>IF(COUNTBLANK($A335:$E335)&gt;0, "", IFERROR(_xlfn.MINIFS(Log!$F:$F, Log!$A:$A, $A335, Log!$B:$B, $B335, Log!$C:$C, $C335),""))</f>
        <v/>
      </c>
      <c r="L335" s="9" t="str">
        <f>IF(COUNTBLANK($A335:$E335)&gt;0, "", IFERROR(_xlfn.MAXIFS(Log!$F:$F, Log!$A:$A, $A335, Log!$B:$B, $B335, Log!$C:$C, $C335),""))</f>
        <v/>
      </c>
      <c r="M335" s="9" t="str">
        <f>IF(COUNTBLANK($A335:$E335)&gt;0, "", IFERROR(AVERAGEIFS(Log!$I:$I, Log!$A:$A, $A335, Log!$B:$B, $B335, Log!$C:$C, $C335),""))</f>
        <v/>
      </c>
      <c r="N335" s="9" t="str">
        <f>IF(COUNTBLANK($A335:$E335)&gt;0, "", IFERROR(_xlfn.MINIFS(Log!$G:$G, Log!$A:$A, $A335, Log!$B:$B, $B335, Log!$C:$C, $C335),""))</f>
        <v/>
      </c>
      <c r="O335" s="9" t="str">
        <f>IF(COUNTBLANK($A335:$E335)&gt;0, "", IFERROR(_xlfn.MAXIFS(Log!$G:$G, Log!$A:$A, $A335, Log!$B:$B, $B335, Log!$C:$C, $C335),""))</f>
        <v/>
      </c>
    </row>
    <row r="336" spans="2:15" x14ac:dyDescent="0.3">
      <c r="B336" s="8" t="s">
        <v>117</v>
      </c>
      <c r="C336" s="66">
        <v>0</v>
      </c>
      <c r="H336" s="14" t="str">
        <f>IF(COUNTBLANK($A336:$E336)&gt;0, "", IFERROR(AVERAGEIFS(Log!$E:$E, Log!$A:$A, $A336, Log!$B:$B, $B336, Log!$C:$C, $C336),""))</f>
        <v/>
      </c>
      <c r="I336" s="64" t="str">
        <f t="shared" si="5"/>
        <v/>
      </c>
      <c r="J336" s="9" t="str">
        <f>IF(COUNTBLANK($A336:$E336)&gt;0, "", IFERROR(AVERAGEIFS(Log!$H:$H, Log!$A:$A, $A336, Log!$B:$B, $B336, Log!$C:$C, $C336),""))</f>
        <v/>
      </c>
      <c r="K336" s="9" t="str">
        <f>IF(COUNTBLANK($A336:$E336)&gt;0, "", IFERROR(_xlfn.MINIFS(Log!$F:$F, Log!$A:$A, $A336, Log!$B:$B, $B336, Log!$C:$C, $C336),""))</f>
        <v/>
      </c>
      <c r="L336" s="9" t="str">
        <f>IF(COUNTBLANK($A336:$E336)&gt;0, "", IFERROR(_xlfn.MAXIFS(Log!$F:$F, Log!$A:$A, $A336, Log!$B:$B, $B336, Log!$C:$C, $C336),""))</f>
        <v/>
      </c>
      <c r="M336" s="9" t="str">
        <f>IF(COUNTBLANK($A336:$E336)&gt;0, "", IFERROR(AVERAGEIFS(Log!$I:$I, Log!$A:$A, $A336, Log!$B:$B, $B336, Log!$C:$C, $C336),""))</f>
        <v/>
      </c>
      <c r="N336" s="9" t="str">
        <f>IF(COUNTBLANK($A336:$E336)&gt;0, "", IFERROR(_xlfn.MINIFS(Log!$G:$G, Log!$A:$A, $A336, Log!$B:$B, $B336, Log!$C:$C, $C336),""))</f>
        <v/>
      </c>
      <c r="O336" s="9" t="str">
        <f>IF(COUNTBLANK($A336:$E336)&gt;0, "", IFERROR(_xlfn.MAXIFS(Log!$G:$G, Log!$A:$A, $A336, Log!$B:$B, $B336, Log!$C:$C, $C336),""))</f>
        <v/>
      </c>
    </row>
    <row r="337" spans="2:15" x14ac:dyDescent="0.3">
      <c r="B337" s="8" t="s">
        <v>117</v>
      </c>
      <c r="C337" s="66">
        <v>0</v>
      </c>
      <c r="H337" s="14" t="str">
        <f>IF(COUNTBLANK($A337:$E337)&gt;0, "", IFERROR(AVERAGEIFS(Log!$E:$E, Log!$A:$A, $A337, Log!$B:$B, $B337, Log!$C:$C, $C337),""))</f>
        <v/>
      </c>
      <c r="I337" s="64" t="str">
        <f t="shared" si="5"/>
        <v/>
      </c>
      <c r="J337" s="9" t="str">
        <f>IF(COUNTBLANK($A337:$E337)&gt;0, "", IFERROR(AVERAGEIFS(Log!$H:$H, Log!$A:$A, $A337, Log!$B:$B, $B337, Log!$C:$C, $C337),""))</f>
        <v/>
      </c>
      <c r="K337" s="9" t="str">
        <f>IF(COUNTBLANK($A337:$E337)&gt;0, "", IFERROR(_xlfn.MINIFS(Log!$F:$F, Log!$A:$A, $A337, Log!$B:$B, $B337, Log!$C:$C, $C337),""))</f>
        <v/>
      </c>
      <c r="L337" s="9" t="str">
        <f>IF(COUNTBLANK($A337:$E337)&gt;0, "", IFERROR(_xlfn.MAXIFS(Log!$F:$F, Log!$A:$A, $A337, Log!$B:$B, $B337, Log!$C:$C, $C337),""))</f>
        <v/>
      </c>
      <c r="M337" s="9" t="str">
        <f>IF(COUNTBLANK($A337:$E337)&gt;0, "", IFERROR(AVERAGEIFS(Log!$I:$I, Log!$A:$A, $A337, Log!$B:$B, $B337, Log!$C:$C, $C337),""))</f>
        <v/>
      </c>
      <c r="N337" s="9" t="str">
        <f>IF(COUNTBLANK($A337:$E337)&gt;0, "", IFERROR(_xlfn.MINIFS(Log!$G:$G, Log!$A:$A, $A337, Log!$B:$B, $B337, Log!$C:$C, $C337),""))</f>
        <v/>
      </c>
      <c r="O337" s="9" t="str">
        <f>IF(COUNTBLANK($A337:$E337)&gt;0, "", IFERROR(_xlfn.MAXIFS(Log!$G:$G, Log!$A:$A, $A337, Log!$B:$B, $B337, Log!$C:$C, $C337),""))</f>
        <v/>
      </c>
    </row>
    <row r="338" spans="2:15" x14ac:dyDescent="0.3">
      <c r="B338" s="8" t="s">
        <v>117</v>
      </c>
      <c r="C338" s="66">
        <v>0</v>
      </c>
      <c r="H338" s="14" t="str">
        <f>IF(COUNTBLANK($A338:$E338)&gt;0, "", IFERROR(AVERAGEIFS(Log!$E:$E, Log!$A:$A, $A338, Log!$B:$B, $B338, Log!$C:$C, $C338),""))</f>
        <v/>
      </c>
      <c r="I338" s="64" t="str">
        <f t="shared" si="5"/>
        <v/>
      </c>
      <c r="J338" s="9" t="str">
        <f>IF(COUNTBLANK($A338:$E338)&gt;0, "", IFERROR(AVERAGEIFS(Log!$H:$H, Log!$A:$A, $A338, Log!$B:$B, $B338, Log!$C:$C, $C338),""))</f>
        <v/>
      </c>
      <c r="K338" s="9" t="str">
        <f>IF(COUNTBLANK($A338:$E338)&gt;0, "", IFERROR(_xlfn.MINIFS(Log!$F:$F, Log!$A:$A, $A338, Log!$B:$B, $B338, Log!$C:$C, $C338),""))</f>
        <v/>
      </c>
      <c r="L338" s="9" t="str">
        <f>IF(COUNTBLANK($A338:$E338)&gt;0, "", IFERROR(_xlfn.MAXIFS(Log!$F:$F, Log!$A:$A, $A338, Log!$B:$B, $B338, Log!$C:$C, $C338),""))</f>
        <v/>
      </c>
      <c r="M338" s="9" t="str">
        <f>IF(COUNTBLANK($A338:$E338)&gt;0, "", IFERROR(AVERAGEIFS(Log!$I:$I, Log!$A:$A, $A338, Log!$B:$B, $B338, Log!$C:$C, $C338),""))</f>
        <v/>
      </c>
      <c r="N338" s="9" t="str">
        <f>IF(COUNTBLANK($A338:$E338)&gt;0, "", IFERROR(_xlfn.MINIFS(Log!$G:$G, Log!$A:$A, $A338, Log!$B:$B, $B338, Log!$C:$C, $C338),""))</f>
        <v/>
      </c>
      <c r="O338" s="9" t="str">
        <f>IF(COUNTBLANK($A338:$E338)&gt;0, "", IFERROR(_xlfn.MAXIFS(Log!$G:$G, Log!$A:$A, $A338, Log!$B:$B, $B338, Log!$C:$C, $C338),""))</f>
        <v/>
      </c>
    </row>
    <row r="339" spans="2:15" x14ac:dyDescent="0.3">
      <c r="B339" s="8" t="s">
        <v>117</v>
      </c>
      <c r="C339" s="66">
        <v>0</v>
      </c>
      <c r="H339" s="14" t="str">
        <f>IF(COUNTBLANK($A339:$E339)&gt;0, "", IFERROR(AVERAGEIFS(Log!$E:$E, Log!$A:$A, $A339, Log!$B:$B, $B339, Log!$C:$C, $C339),""))</f>
        <v/>
      </c>
      <c r="I339" s="64" t="str">
        <f t="shared" si="5"/>
        <v/>
      </c>
      <c r="J339" s="9" t="str">
        <f>IF(COUNTBLANK($A339:$E339)&gt;0, "", IFERROR(AVERAGEIFS(Log!$H:$H, Log!$A:$A, $A339, Log!$B:$B, $B339, Log!$C:$C, $C339),""))</f>
        <v/>
      </c>
      <c r="K339" s="9" t="str">
        <f>IF(COUNTBLANK($A339:$E339)&gt;0, "", IFERROR(_xlfn.MINIFS(Log!$F:$F, Log!$A:$A, $A339, Log!$B:$B, $B339, Log!$C:$C, $C339),""))</f>
        <v/>
      </c>
      <c r="L339" s="9" t="str">
        <f>IF(COUNTBLANK($A339:$E339)&gt;0, "", IFERROR(_xlfn.MAXIFS(Log!$F:$F, Log!$A:$A, $A339, Log!$B:$B, $B339, Log!$C:$C, $C339),""))</f>
        <v/>
      </c>
      <c r="M339" s="9" t="str">
        <f>IF(COUNTBLANK($A339:$E339)&gt;0, "", IFERROR(AVERAGEIFS(Log!$I:$I, Log!$A:$A, $A339, Log!$B:$B, $B339, Log!$C:$C, $C339),""))</f>
        <v/>
      </c>
      <c r="N339" s="9" t="str">
        <f>IF(COUNTBLANK($A339:$E339)&gt;0, "", IFERROR(_xlfn.MINIFS(Log!$G:$G, Log!$A:$A, $A339, Log!$B:$B, $B339, Log!$C:$C, $C339),""))</f>
        <v/>
      </c>
      <c r="O339" s="9" t="str">
        <f>IF(COUNTBLANK($A339:$E339)&gt;0, "", IFERROR(_xlfn.MAXIFS(Log!$G:$G, Log!$A:$A, $A339, Log!$B:$B, $B339, Log!$C:$C, $C339),""))</f>
        <v/>
      </c>
    </row>
    <row r="340" spans="2:15" x14ac:dyDescent="0.3">
      <c r="B340" s="8" t="s">
        <v>117</v>
      </c>
      <c r="C340" s="66">
        <v>0</v>
      </c>
      <c r="H340" s="14" t="str">
        <f>IF(COUNTBLANK($A340:$E340)&gt;0, "", IFERROR(AVERAGEIFS(Log!$E:$E, Log!$A:$A, $A340, Log!$B:$B, $B340, Log!$C:$C, $C340),""))</f>
        <v/>
      </c>
      <c r="I340" s="64" t="str">
        <f t="shared" si="5"/>
        <v/>
      </c>
      <c r="J340" s="9" t="str">
        <f>IF(COUNTBLANK($A340:$E340)&gt;0, "", IFERROR(AVERAGEIFS(Log!$H:$H, Log!$A:$A, $A340, Log!$B:$B, $B340, Log!$C:$C, $C340),""))</f>
        <v/>
      </c>
      <c r="K340" s="9" t="str">
        <f>IF(COUNTBLANK($A340:$E340)&gt;0, "", IFERROR(_xlfn.MINIFS(Log!$F:$F, Log!$A:$A, $A340, Log!$B:$B, $B340, Log!$C:$C, $C340),""))</f>
        <v/>
      </c>
      <c r="L340" s="9" t="str">
        <f>IF(COUNTBLANK($A340:$E340)&gt;0, "", IFERROR(_xlfn.MAXIFS(Log!$F:$F, Log!$A:$A, $A340, Log!$B:$B, $B340, Log!$C:$C, $C340),""))</f>
        <v/>
      </c>
      <c r="M340" s="9" t="str">
        <f>IF(COUNTBLANK($A340:$E340)&gt;0, "", IFERROR(AVERAGEIFS(Log!$I:$I, Log!$A:$A, $A340, Log!$B:$B, $B340, Log!$C:$C, $C340),""))</f>
        <v/>
      </c>
      <c r="N340" s="9" t="str">
        <f>IF(COUNTBLANK($A340:$E340)&gt;0, "", IFERROR(_xlfn.MINIFS(Log!$G:$G, Log!$A:$A, $A340, Log!$B:$B, $B340, Log!$C:$C, $C340),""))</f>
        <v/>
      </c>
      <c r="O340" s="9" t="str">
        <f>IF(COUNTBLANK($A340:$E340)&gt;0, "", IFERROR(_xlfn.MAXIFS(Log!$G:$G, Log!$A:$A, $A340, Log!$B:$B, $B340, Log!$C:$C, $C340),""))</f>
        <v/>
      </c>
    </row>
    <row r="341" spans="2:15" x14ac:dyDescent="0.3">
      <c r="B341" s="8" t="s">
        <v>117</v>
      </c>
      <c r="C341" s="66">
        <v>0</v>
      </c>
      <c r="H341" s="14" t="str">
        <f>IF(COUNTBLANK($A341:$E341)&gt;0, "", IFERROR(AVERAGEIFS(Log!$E:$E, Log!$A:$A, $A341, Log!$B:$B, $B341, Log!$C:$C, $C341),""))</f>
        <v/>
      </c>
      <c r="I341" s="64" t="str">
        <f t="shared" si="5"/>
        <v/>
      </c>
      <c r="J341" s="9" t="str">
        <f>IF(COUNTBLANK($A341:$E341)&gt;0, "", IFERROR(AVERAGEIFS(Log!$H:$H, Log!$A:$A, $A341, Log!$B:$B, $B341, Log!$C:$C, $C341),""))</f>
        <v/>
      </c>
      <c r="K341" s="9" t="str">
        <f>IF(COUNTBLANK($A341:$E341)&gt;0, "", IFERROR(_xlfn.MINIFS(Log!$F:$F, Log!$A:$A, $A341, Log!$B:$B, $B341, Log!$C:$C, $C341),""))</f>
        <v/>
      </c>
      <c r="L341" s="9" t="str">
        <f>IF(COUNTBLANK($A341:$E341)&gt;0, "", IFERROR(_xlfn.MAXIFS(Log!$F:$F, Log!$A:$A, $A341, Log!$B:$B, $B341, Log!$C:$C, $C341),""))</f>
        <v/>
      </c>
      <c r="M341" s="9" t="str">
        <f>IF(COUNTBLANK($A341:$E341)&gt;0, "", IFERROR(AVERAGEIFS(Log!$I:$I, Log!$A:$A, $A341, Log!$B:$B, $B341, Log!$C:$C, $C341),""))</f>
        <v/>
      </c>
      <c r="N341" s="9" t="str">
        <f>IF(COUNTBLANK($A341:$E341)&gt;0, "", IFERROR(_xlfn.MINIFS(Log!$G:$G, Log!$A:$A, $A341, Log!$B:$B, $B341, Log!$C:$C, $C341),""))</f>
        <v/>
      </c>
      <c r="O341" s="9" t="str">
        <f>IF(COUNTBLANK($A341:$E341)&gt;0, "", IFERROR(_xlfn.MAXIFS(Log!$G:$G, Log!$A:$A, $A341, Log!$B:$B, $B341, Log!$C:$C, $C341),""))</f>
        <v/>
      </c>
    </row>
    <row r="342" spans="2:15" x14ac:dyDescent="0.3">
      <c r="B342" s="8" t="s">
        <v>117</v>
      </c>
      <c r="C342" s="66">
        <v>0</v>
      </c>
      <c r="H342" s="14" t="str">
        <f>IF(COUNTBLANK($A342:$E342)&gt;0, "", IFERROR(AVERAGEIFS(Log!$E:$E, Log!$A:$A, $A342, Log!$B:$B, $B342, Log!$C:$C, $C342),""))</f>
        <v/>
      </c>
      <c r="I342" s="64" t="str">
        <f t="shared" si="5"/>
        <v/>
      </c>
      <c r="J342" s="9" t="str">
        <f>IF(COUNTBLANK($A342:$E342)&gt;0, "", IFERROR(AVERAGEIFS(Log!$H:$H, Log!$A:$A, $A342, Log!$B:$B, $B342, Log!$C:$C, $C342),""))</f>
        <v/>
      </c>
      <c r="K342" s="9" t="str">
        <f>IF(COUNTBLANK($A342:$E342)&gt;0, "", IFERROR(_xlfn.MINIFS(Log!$F:$F, Log!$A:$A, $A342, Log!$B:$B, $B342, Log!$C:$C, $C342),""))</f>
        <v/>
      </c>
      <c r="L342" s="9" t="str">
        <f>IF(COUNTBLANK($A342:$E342)&gt;0, "", IFERROR(_xlfn.MAXIFS(Log!$F:$F, Log!$A:$A, $A342, Log!$B:$B, $B342, Log!$C:$C, $C342),""))</f>
        <v/>
      </c>
      <c r="M342" s="9" t="str">
        <f>IF(COUNTBLANK($A342:$E342)&gt;0, "", IFERROR(AVERAGEIFS(Log!$I:$I, Log!$A:$A, $A342, Log!$B:$B, $B342, Log!$C:$C, $C342),""))</f>
        <v/>
      </c>
      <c r="N342" s="9" t="str">
        <f>IF(COUNTBLANK($A342:$E342)&gt;0, "", IFERROR(_xlfn.MINIFS(Log!$G:$G, Log!$A:$A, $A342, Log!$B:$B, $B342, Log!$C:$C, $C342),""))</f>
        <v/>
      </c>
      <c r="O342" s="9" t="str">
        <f>IF(COUNTBLANK($A342:$E342)&gt;0, "", IFERROR(_xlfn.MAXIFS(Log!$G:$G, Log!$A:$A, $A342, Log!$B:$B, $B342, Log!$C:$C, $C342),""))</f>
        <v/>
      </c>
    </row>
    <row r="343" spans="2:15" x14ac:dyDescent="0.3">
      <c r="B343" s="8" t="s">
        <v>117</v>
      </c>
      <c r="C343" s="66">
        <v>0</v>
      </c>
      <c r="H343" s="14" t="str">
        <f>IF(COUNTBLANK($A343:$E343)&gt;0, "", IFERROR(AVERAGEIFS(Log!$E:$E, Log!$A:$A, $A343, Log!$B:$B, $B343, Log!$C:$C, $C343),""))</f>
        <v/>
      </c>
      <c r="I343" s="64" t="str">
        <f t="shared" si="5"/>
        <v/>
      </c>
      <c r="J343" s="9" t="str">
        <f>IF(COUNTBLANK($A343:$E343)&gt;0, "", IFERROR(AVERAGEIFS(Log!$H:$H, Log!$A:$A, $A343, Log!$B:$B, $B343, Log!$C:$C, $C343),""))</f>
        <v/>
      </c>
      <c r="K343" s="9" t="str">
        <f>IF(COUNTBLANK($A343:$E343)&gt;0, "", IFERROR(_xlfn.MINIFS(Log!$F:$F, Log!$A:$A, $A343, Log!$B:$B, $B343, Log!$C:$C, $C343),""))</f>
        <v/>
      </c>
      <c r="L343" s="9" t="str">
        <f>IF(COUNTBLANK($A343:$E343)&gt;0, "", IFERROR(_xlfn.MAXIFS(Log!$F:$F, Log!$A:$A, $A343, Log!$B:$B, $B343, Log!$C:$C, $C343),""))</f>
        <v/>
      </c>
      <c r="M343" s="9" t="str">
        <f>IF(COUNTBLANK($A343:$E343)&gt;0, "", IFERROR(AVERAGEIFS(Log!$I:$I, Log!$A:$A, $A343, Log!$B:$B, $B343, Log!$C:$C, $C343),""))</f>
        <v/>
      </c>
      <c r="N343" s="9" t="str">
        <f>IF(COUNTBLANK($A343:$E343)&gt;0, "", IFERROR(_xlfn.MINIFS(Log!$G:$G, Log!$A:$A, $A343, Log!$B:$B, $B343, Log!$C:$C, $C343),""))</f>
        <v/>
      </c>
      <c r="O343" s="9" t="str">
        <f>IF(COUNTBLANK($A343:$E343)&gt;0, "", IFERROR(_xlfn.MAXIFS(Log!$G:$G, Log!$A:$A, $A343, Log!$B:$B, $B343, Log!$C:$C, $C343),""))</f>
        <v/>
      </c>
    </row>
    <row r="344" spans="2:15" x14ac:dyDescent="0.3">
      <c r="B344" s="8" t="s">
        <v>117</v>
      </c>
      <c r="C344" s="66">
        <v>0</v>
      </c>
      <c r="H344" s="14" t="str">
        <f>IF(COUNTBLANK($A344:$E344)&gt;0, "", IFERROR(AVERAGEIFS(Log!$E:$E, Log!$A:$A, $A344, Log!$B:$B, $B344, Log!$C:$C, $C344),""))</f>
        <v/>
      </c>
      <c r="I344" s="64" t="str">
        <f t="shared" si="5"/>
        <v/>
      </c>
      <c r="J344" s="9" t="str">
        <f>IF(COUNTBLANK($A344:$E344)&gt;0, "", IFERROR(AVERAGEIFS(Log!$H:$H, Log!$A:$A, $A344, Log!$B:$B, $B344, Log!$C:$C, $C344),""))</f>
        <v/>
      </c>
      <c r="K344" s="9" t="str">
        <f>IF(COUNTBLANK($A344:$E344)&gt;0, "", IFERROR(_xlfn.MINIFS(Log!$F:$F, Log!$A:$A, $A344, Log!$B:$B, $B344, Log!$C:$C, $C344),""))</f>
        <v/>
      </c>
      <c r="L344" s="9" t="str">
        <f>IF(COUNTBLANK($A344:$E344)&gt;0, "", IFERROR(_xlfn.MAXIFS(Log!$F:$F, Log!$A:$A, $A344, Log!$B:$B, $B344, Log!$C:$C, $C344),""))</f>
        <v/>
      </c>
      <c r="M344" s="9" t="str">
        <f>IF(COUNTBLANK($A344:$E344)&gt;0, "", IFERROR(AVERAGEIFS(Log!$I:$I, Log!$A:$A, $A344, Log!$B:$B, $B344, Log!$C:$C, $C344),""))</f>
        <v/>
      </c>
      <c r="N344" s="9" t="str">
        <f>IF(COUNTBLANK($A344:$E344)&gt;0, "", IFERROR(_xlfn.MINIFS(Log!$G:$G, Log!$A:$A, $A344, Log!$B:$B, $B344, Log!$C:$C, $C344),""))</f>
        <v/>
      </c>
      <c r="O344" s="9" t="str">
        <f>IF(COUNTBLANK($A344:$E344)&gt;0, "", IFERROR(_xlfn.MAXIFS(Log!$G:$G, Log!$A:$A, $A344, Log!$B:$B, $B344, Log!$C:$C, $C344),""))</f>
        <v/>
      </c>
    </row>
    <row r="345" spans="2:15" x14ac:dyDescent="0.3">
      <c r="B345" s="8" t="s">
        <v>117</v>
      </c>
      <c r="C345" s="66">
        <v>0</v>
      </c>
      <c r="H345" s="14" t="str">
        <f>IF(COUNTBLANK($A345:$E345)&gt;0, "", IFERROR(AVERAGEIFS(Log!$E:$E, Log!$A:$A, $A345, Log!$B:$B, $B345, Log!$C:$C, $C345),""))</f>
        <v/>
      </c>
      <c r="I345" s="64" t="str">
        <f t="shared" si="5"/>
        <v/>
      </c>
      <c r="J345" s="9" t="str">
        <f>IF(COUNTBLANK($A345:$E345)&gt;0, "", IFERROR(AVERAGEIFS(Log!$H:$H, Log!$A:$A, $A345, Log!$B:$B, $B345, Log!$C:$C, $C345),""))</f>
        <v/>
      </c>
      <c r="K345" s="9" t="str">
        <f>IF(COUNTBLANK($A345:$E345)&gt;0, "", IFERROR(_xlfn.MINIFS(Log!$F:$F, Log!$A:$A, $A345, Log!$B:$B, $B345, Log!$C:$C, $C345),""))</f>
        <v/>
      </c>
      <c r="L345" s="9" t="str">
        <f>IF(COUNTBLANK($A345:$E345)&gt;0, "", IFERROR(_xlfn.MAXIFS(Log!$F:$F, Log!$A:$A, $A345, Log!$B:$B, $B345, Log!$C:$C, $C345),""))</f>
        <v/>
      </c>
      <c r="M345" s="9" t="str">
        <f>IF(COUNTBLANK($A345:$E345)&gt;0, "", IFERROR(AVERAGEIFS(Log!$I:$I, Log!$A:$A, $A345, Log!$B:$B, $B345, Log!$C:$C, $C345),""))</f>
        <v/>
      </c>
      <c r="N345" s="9" t="str">
        <f>IF(COUNTBLANK($A345:$E345)&gt;0, "", IFERROR(_xlfn.MINIFS(Log!$G:$G, Log!$A:$A, $A345, Log!$B:$B, $B345, Log!$C:$C, $C345),""))</f>
        <v/>
      </c>
      <c r="O345" s="9" t="str">
        <f>IF(COUNTBLANK($A345:$E345)&gt;0, "", IFERROR(_xlfn.MAXIFS(Log!$G:$G, Log!$A:$A, $A345, Log!$B:$B, $B345, Log!$C:$C, $C345),""))</f>
        <v/>
      </c>
    </row>
    <row r="346" spans="2:15" x14ac:dyDescent="0.3">
      <c r="B346" s="8" t="s">
        <v>117</v>
      </c>
      <c r="C346" s="66">
        <v>0</v>
      </c>
      <c r="H346" s="14" t="str">
        <f>IF(COUNTBLANK($A346:$E346)&gt;0, "", IFERROR(AVERAGEIFS(Log!$E:$E, Log!$A:$A, $A346, Log!$B:$B, $B346, Log!$C:$C, $C346),""))</f>
        <v/>
      </c>
      <c r="I346" s="64" t="str">
        <f t="shared" si="5"/>
        <v/>
      </c>
      <c r="J346" s="9" t="str">
        <f>IF(COUNTBLANK($A346:$E346)&gt;0, "", IFERROR(AVERAGEIFS(Log!$H:$H, Log!$A:$A, $A346, Log!$B:$B, $B346, Log!$C:$C, $C346),""))</f>
        <v/>
      </c>
      <c r="K346" s="9" t="str">
        <f>IF(COUNTBLANK($A346:$E346)&gt;0, "", IFERROR(_xlfn.MINIFS(Log!$F:$F, Log!$A:$A, $A346, Log!$B:$B, $B346, Log!$C:$C, $C346),""))</f>
        <v/>
      </c>
      <c r="L346" s="9" t="str">
        <f>IF(COUNTBLANK($A346:$E346)&gt;0, "", IFERROR(_xlfn.MAXIFS(Log!$F:$F, Log!$A:$A, $A346, Log!$B:$B, $B346, Log!$C:$C, $C346),""))</f>
        <v/>
      </c>
      <c r="M346" s="9" t="str">
        <f>IF(COUNTBLANK($A346:$E346)&gt;0, "", IFERROR(AVERAGEIFS(Log!$I:$I, Log!$A:$A, $A346, Log!$B:$B, $B346, Log!$C:$C, $C346),""))</f>
        <v/>
      </c>
      <c r="N346" s="9" t="str">
        <f>IF(COUNTBLANK($A346:$E346)&gt;0, "", IFERROR(_xlfn.MINIFS(Log!$G:$G, Log!$A:$A, $A346, Log!$B:$B, $B346, Log!$C:$C, $C346),""))</f>
        <v/>
      </c>
      <c r="O346" s="9" t="str">
        <f>IF(COUNTBLANK($A346:$E346)&gt;0, "", IFERROR(_xlfn.MAXIFS(Log!$G:$G, Log!$A:$A, $A346, Log!$B:$B, $B346, Log!$C:$C, $C346),""))</f>
        <v/>
      </c>
    </row>
    <row r="347" spans="2:15" x14ac:dyDescent="0.3">
      <c r="B347" s="8" t="s">
        <v>117</v>
      </c>
      <c r="C347" s="66">
        <v>0</v>
      </c>
      <c r="H347" s="14" t="str">
        <f>IF(COUNTBLANK($A347:$E347)&gt;0, "", IFERROR(AVERAGEIFS(Log!$E:$E, Log!$A:$A, $A347, Log!$B:$B, $B347, Log!$C:$C, $C347),""))</f>
        <v/>
      </c>
      <c r="I347" s="64" t="str">
        <f t="shared" si="5"/>
        <v/>
      </c>
      <c r="J347" s="9" t="str">
        <f>IF(COUNTBLANK($A347:$E347)&gt;0, "", IFERROR(AVERAGEIFS(Log!$H:$H, Log!$A:$A, $A347, Log!$B:$B, $B347, Log!$C:$C, $C347),""))</f>
        <v/>
      </c>
      <c r="K347" s="9" t="str">
        <f>IF(COUNTBLANK($A347:$E347)&gt;0, "", IFERROR(_xlfn.MINIFS(Log!$F:$F, Log!$A:$A, $A347, Log!$B:$B, $B347, Log!$C:$C, $C347),""))</f>
        <v/>
      </c>
      <c r="L347" s="9" t="str">
        <f>IF(COUNTBLANK($A347:$E347)&gt;0, "", IFERROR(_xlfn.MAXIFS(Log!$F:$F, Log!$A:$A, $A347, Log!$B:$B, $B347, Log!$C:$C, $C347),""))</f>
        <v/>
      </c>
      <c r="M347" s="9" t="str">
        <f>IF(COUNTBLANK($A347:$E347)&gt;0, "", IFERROR(AVERAGEIFS(Log!$I:$I, Log!$A:$A, $A347, Log!$B:$B, $B347, Log!$C:$C, $C347),""))</f>
        <v/>
      </c>
      <c r="N347" s="9" t="str">
        <f>IF(COUNTBLANK($A347:$E347)&gt;0, "", IFERROR(_xlfn.MINIFS(Log!$G:$G, Log!$A:$A, $A347, Log!$B:$B, $B347, Log!$C:$C, $C347),""))</f>
        <v/>
      </c>
      <c r="O347" s="9" t="str">
        <f>IF(COUNTBLANK($A347:$E347)&gt;0, "", IFERROR(_xlfn.MAXIFS(Log!$G:$G, Log!$A:$A, $A347, Log!$B:$B, $B347, Log!$C:$C, $C347),""))</f>
        <v/>
      </c>
    </row>
    <row r="348" spans="2:15" x14ac:dyDescent="0.3">
      <c r="B348" s="8" t="s">
        <v>117</v>
      </c>
      <c r="C348" s="66">
        <v>0</v>
      </c>
      <c r="H348" s="14" t="str">
        <f>IF(COUNTBLANK($A348:$E348)&gt;0, "", IFERROR(AVERAGEIFS(Log!$E:$E, Log!$A:$A, $A348, Log!$B:$B, $B348, Log!$C:$C, $C348),""))</f>
        <v/>
      </c>
      <c r="I348" s="64" t="str">
        <f t="shared" si="5"/>
        <v/>
      </c>
      <c r="J348" s="9" t="str">
        <f>IF(COUNTBLANK($A348:$E348)&gt;0, "", IFERROR(AVERAGEIFS(Log!$H:$H, Log!$A:$A, $A348, Log!$B:$B, $B348, Log!$C:$C, $C348),""))</f>
        <v/>
      </c>
      <c r="K348" s="9" t="str">
        <f>IF(COUNTBLANK($A348:$E348)&gt;0, "", IFERROR(_xlfn.MINIFS(Log!$F:$F, Log!$A:$A, $A348, Log!$B:$B, $B348, Log!$C:$C, $C348),""))</f>
        <v/>
      </c>
      <c r="L348" s="9" t="str">
        <f>IF(COUNTBLANK($A348:$E348)&gt;0, "", IFERROR(_xlfn.MAXIFS(Log!$F:$F, Log!$A:$A, $A348, Log!$B:$B, $B348, Log!$C:$C, $C348),""))</f>
        <v/>
      </c>
      <c r="M348" s="9" t="str">
        <f>IF(COUNTBLANK($A348:$E348)&gt;0, "", IFERROR(AVERAGEIFS(Log!$I:$I, Log!$A:$A, $A348, Log!$B:$B, $B348, Log!$C:$C, $C348),""))</f>
        <v/>
      </c>
      <c r="N348" s="9" t="str">
        <f>IF(COUNTBLANK($A348:$E348)&gt;0, "", IFERROR(_xlfn.MINIFS(Log!$G:$G, Log!$A:$A, $A348, Log!$B:$B, $B348, Log!$C:$C, $C348),""))</f>
        <v/>
      </c>
      <c r="O348" s="9" t="str">
        <f>IF(COUNTBLANK($A348:$E348)&gt;0, "", IFERROR(_xlfn.MAXIFS(Log!$G:$G, Log!$A:$A, $A348, Log!$B:$B, $B348, Log!$C:$C, $C348),""))</f>
        <v/>
      </c>
    </row>
    <row r="349" spans="2:15" x14ac:dyDescent="0.3">
      <c r="B349" s="8" t="s">
        <v>117</v>
      </c>
      <c r="C349" s="66">
        <v>0</v>
      </c>
      <c r="H349" s="14" t="str">
        <f>IF(COUNTBLANK($A349:$E349)&gt;0, "", IFERROR(AVERAGEIFS(Log!$E:$E, Log!$A:$A, $A349, Log!$B:$B, $B349, Log!$C:$C, $C349),""))</f>
        <v/>
      </c>
      <c r="I349" s="64" t="str">
        <f t="shared" si="5"/>
        <v/>
      </c>
      <c r="J349" s="9" t="str">
        <f>IF(COUNTBLANK($A349:$E349)&gt;0, "", IFERROR(AVERAGEIFS(Log!$H:$H, Log!$A:$A, $A349, Log!$B:$B, $B349, Log!$C:$C, $C349),""))</f>
        <v/>
      </c>
      <c r="K349" s="9" t="str">
        <f>IF(COUNTBLANK($A349:$E349)&gt;0, "", IFERROR(_xlfn.MINIFS(Log!$F:$F, Log!$A:$A, $A349, Log!$B:$B, $B349, Log!$C:$C, $C349),""))</f>
        <v/>
      </c>
      <c r="L349" s="9" t="str">
        <f>IF(COUNTBLANK($A349:$E349)&gt;0, "", IFERROR(_xlfn.MAXIFS(Log!$F:$F, Log!$A:$A, $A349, Log!$B:$B, $B349, Log!$C:$C, $C349),""))</f>
        <v/>
      </c>
      <c r="M349" s="9" t="str">
        <f>IF(COUNTBLANK($A349:$E349)&gt;0, "", IFERROR(AVERAGEIFS(Log!$I:$I, Log!$A:$A, $A349, Log!$B:$B, $B349, Log!$C:$C, $C349),""))</f>
        <v/>
      </c>
      <c r="N349" s="9" t="str">
        <f>IF(COUNTBLANK($A349:$E349)&gt;0, "", IFERROR(_xlfn.MINIFS(Log!$G:$G, Log!$A:$A, $A349, Log!$B:$B, $B349, Log!$C:$C, $C349),""))</f>
        <v/>
      </c>
      <c r="O349" s="9" t="str">
        <f>IF(COUNTBLANK($A349:$E349)&gt;0, "", IFERROR(_xlfn.MAXIFS(Log!$G:$G, Log!$A:$A, $A349, Log!$B:$B, $B349, Log!$C:$C, $C349),""))</f>
        <v/>
      </c>
    </row>
    <row r="350" spans="2:15" x14ac:dyDescent="0.3">
      <c r="B350" s="8" t="s">
        <v>117</v>
      </c>
      <c r="C350" s="66">
        <v>0</v>
      </c>
      <c r="H350" s="14" t="str">
        <f>IF(COUNTBLANK($A350:$E350)&gt;0, "", IFERROR(AVERAGEIFS(Log!$E:$E, Log!$A:$A, $A350, Log!$B:$B, $B350, Log!$C:$C, $C350),""))</f>
        <v/>
      </c>
      <c r="I350" s="64" t="str">
        <f t="shared" si="5"/>
        <v/>
      </c>
      <c r="J350" s="9" t="str">
        <f>IF(COUNTBLANK($A350:$E350)&gt;0, "", IFERROR(AVERAGEIFS(Log!$H:$H, Log!$A:$A, $A350, Log!$B:$B, $B350, Log!$C:$C, $C350),""))</f>
        <v/>
      </c>
      <c r="K350" s="9" t="str">
        <f>IF(COUNTBLANK($A350:$E350)&gt;0, "", IFERROR(_xlfn.MINIFS(Log!$F:$F, Log!$A:$A, $A350, Log!$B:$B, $B350, Log!$C:$C, $C350),""))</f>
        <v/>
      </c>
      <c r="L350" s="9" t="str">
        <f>IF(COUNTBLANK($A350:$E350)&gt;0, "", IFERROR(_xlfn.MAXIFS(Log!$F:$F, Log!$A:$A, $A350, Log!$B:$B, $B350, Log!$C:$C, $C350),""))</f>
        <v/>
      </c>
      <c r="M350" s="9" t="str">
        <f>IF(COUNTBLANK($A350:$E350)&gt;0, "", IFERROR(AVERAGEIFS(Log!$I:$I, Log!$A:$A, $A350, Log!$B:$B, $B350, Log!$C:$C, $C350),""))</f>
        <v/>
      </c>
      <c r="N350" s="9" t="str">
        <f>IF(COUNTBLANK($A350:$E350)&gt;0, "", IFERROR(_xlfn.MINIFS(Log!$G:$G, Log!$A:$A, $A350, Log!$B:$B, $B350, Log!$C:$C, $C350),""))</f>
        <v/>
      </c>
      <c r="O350" s="9" t="str">
        <f>IF(COUNTBLANK($A350:$E350)&gt;0, "", IFERROR(_xlfn.MAXIFS(Log!$G:$G, Log!$A:$A, $A350, Log!$B:$B, $B350, Log!$C:$C, $C350),""))</f>
        <v/>
      </c>
    </row>
    <row r="351" spans="2:15" x14ac:dyDescent="0.3">
      <c r="B351" s="8" t="s">
        <v>117</v>
      </c>
      <c r="C351" s="66">
        <v>0</v>
      </c>
      <c r="H351" s="14" t="str">
        <f>IF(COUNTBLANK($A351:$E351)&gt;0, "", IFERROR(AVERAGEIFS(Log!$E:$E, Log!$A:$A, $A351, Log!$B:$B, $B351, Log!$C:$C, $C351),""))</f>
        <v/>
      </c>
      <c r="I351" s="64" t="str">
        <f t="shared" si="5"/>
        <v/>
      </c>
      <c r="J351" s="9" t="str">
        <f>IF(COUNTBLANK($A351:$E351)&gt;0, "", IFERROR(AVERAGEIFS(Log!$H:$H, Log!$A:$A, $A351, Log!$B:$B, $B351, Log!$C:$C, $C351),""))</f>
        <v/>
      </c>
      <c r="K351" s="9" t="str">
        <f>IF(COUNTBLANK($A351:$E351)&gt;0, "", IFERROR(_xlfn.MINIFS(Log!$F:$F, Log!$A:$A, $A351, Log!$B:$B, $B351, Log!$C:$C, $C351),""))</f>
        <v/>
      </c>
      <c r="L351" s="9" t="str">
        <f>IF(COUNTBLANK($A351:$E351)&gt;0, "", IFERROR(_xlfn.MAXIFS(Log!$F:$F, Log!$A:$A, $A351, Log!$B:$B, $B351, Log!$C:$C, $C351),""))</f>
        <v/>
      </c>
      <c r="M351" s="9" t="str">
        <f>IF(COUNTBLANK($A351:$E351)&gt;0, "", IFERROR(AVERAGEIFS(Log!$I:$I, Log!$A:$A, $A351, Log!$B:$B, $B351, Log!$C:$C, $C351),""))</f>
        <v/>
      </c>
      <c r="N351" s="9" t="str">
        <f>IF(COUNTBLANK($A351:$E351)&gt;0, "", IFERROR(_xlfn.MINIFS(Log!$G:$G, Log!$A:$A, $A351, Log!$B:$B, $B351, Log!$C:$C, $C351),""))</f>
        <v/>
      </c>
      <c r="O351" s="9" t="str">
        <f>IF(COUNTBLANK($A351:$E351)&gt;0, "", IFERROR(_xlfn.MAXIFS(Log!$G:$G, Log!$A:$A, $A351, Log!$B:$B, $B351, Log!$C:$C, $C351),""))</f>
        <v/>
      </c>
    </row>
    <row r="352" spans="2:15" x14ac:dyDescent="0.3">
      <c r="B352" s="8" t="s">
        <v>117</v>
      </c>
      <c r="C352" s="66">
        <v>0</v>
      </c>
      <c r="H352" s="14" t="str">
        <f>IF(COUNTBLANK($A352:$E352)&gt;0, "", IFERROR(AVERAGEIFS(Log!$E:$E, Log!$A:$A, $A352, Log!$B:$B, $B352, Log!$C:$C, $C352),""))</f>
        <v/>
      </c>
      <c r="I352" s="64" t="str">
        <f t="shared" si="5"/>
        <v/>
      </c>
      <c r="J352" s="9" t="str">
        <f>IF(COUNTBLANK($A352:$E352)&gt;0, "", IFERROR(AVERAGEIFS(Log!$H:$H, Log!$A:$A, $A352, Log!$B:$B, $B352, Log!$C:$C, $C352),""))</f>
        <v/>
      </c>
      <c r="K352" s="9" t="str">
        <f>IF(COUNTBLANK($A352:$E352)&gt;0, "", IFERROR(_xlfn.MINIFS(Log!$F:$F, Log!$A:$A, $A352, Log!$B:$B, $B352, Log!$C:$C, $C352),""))</f>
        <v/>
      </c>
      <c r="L352" s="9" t="str">
        <f>IF(COUNTBLANK($A352:$E352)&gt;0, "", IFERROR(_xlfn.MAXIFS(Log!$F:$F, Log!$A:$A, $A352, Log!$B:$B, $B352, Log!$C:$C, $C352),""))</f>
        <v/>
      </c>
      <c r="M352" s="9" t="str">
        <f>IF(COUNTBLANK($A352:$E352)&gt;0, "", IFERROR(AVERAGEIFS(Log!$I:$I, Log!$A:$A, $A352, Log!$B:$B, $B352, Log!$C:$C, $C352),""))</f>
        <v/>
      </c>
      <c r="N352" s="9" t="str">
        <f>IF(COUNTBLANK($A352:$E352)&gt;0, "", IFERROR(_xlfn.MINIFS(Log!$G:$G, Log!$A:$A, $A352, Log!$B:$B, $B352, Log!$C:$C, $C352),""))</f>
        <v/>
      </c>
      <c r="O352" s="9" t="str">
        <f>IF(COUNTBLANK($A352:$E352)&gt;0, "", IFERROR(_xlfn.MAXIFS(Log!$G:$G, Log!$A:$A, $A352, Log!$B:$B, $B352, Log!$C:$C, $C352),""))</f>
        <v/>
      </c>
    </row>
    <row r="353" spans="2:15" x14ac:dyDescent="0.3">
      <c r="B353" s="8" t="s">
        <v>117</v>
      </c>
      <c r="C353" s="66">
        <v>0</v>
      </c>
      <c r="H353" s="14" t="str">
        <f>IF(COUNTBLANK($A353:$E353)&gt;0, "", IFERROR(AVERAGEIFS(Log!$E:$E, Log!$A:$A, $A353, Log!$B:$B, $B353, Log!$C:$C, $C353),""))</f>
        <v/>
      </c>
      <c r="I353" s="64" t="str">
        <f t="shared" si="5"/>
        <v/>
      </c>
      <c r="J353" s="9" t="str">
        <f>IF(COUNTBLANK($A353:$E353)&gt;0, "", IFERROR(AVERAGEIFS(Log!$H:$H, Log!$A:$A, $A353, Log!$B:$B, $B353, Log!$C:$C, $C353),""))</f>
        <v/>
      </c>
      <c r="K353" s="9" t="str">
        <f>IF(COUNTBLANK($A353:$E353)&gt;0, "", IFERROR(_xlfn.MINIFS(Log!$F:$F, Log!$A:$A, $A353, Log!$B:$B, $B353, Log!$C:$C, $C353),""))</f>
        <v/>
      </c>
      <c r="L353" s="9" t="str">
        <f>IF(COUNTBLANK($A353:$E353)&gt;0, "", IFERROR(_xlfn.MAXIFS(Log!$F:$F, Log!$A:$A, $A353, Log!$B:$B, $B353, Log!$C:$C, $C353),""))</f>
        <v/>
      </c>
      <c r="M353" s="9" t="str">
        <f>IF(COUNTBLANK($A353:$E353)&gt;0, "", IFERROR(AVERAGEIFS(Log!$I:$I, Log!$A:$A, $A353, Log!$B:$B, $B353, Log!$C:$C, $C353),""))</f>
        <v/>
      </c>
      <c r="N353" s="9" t="str">
        <f>IF(COUNTBLANK($A353:$E353)&gt;0, "", IFERROR(_xlfn.MINIFS(Log!$G:$G, Log!$A:$A, $A353, Log!$B:$B, $B353, Log!$C:$C, $C353),""))</f>
        <v/>
      </c>
      <c r="O353" s="9" t="str">
        <f>IF(COUNTBLANK($A353:$E353)&gt;0, "", IFERROR(_xlfn.MAXIFS(Log!$G:$G, Log!$A:$A, $A353, Log!$B:$B, $B353, Log!$C:$C, $C353),""))</f>
        <v/>
      </c>
    </row>
    <row r="354" spans="2:15" x14ac:dyDescent="0.3">
      <c r="B354" s="8" t="s">
        <v>117</v>
      </c>
      <c r="C354" s="66">
        <v>0</v>
      </c>
      <c r="H354" s="14" t="str">
        <f>IF(COUNTBLANK($A354:$E354)&gt;0, "", IFERROR(AVERAGEIFS(Log!$E:$E, Log!$A:$A, $A354, Log!$B:$B, $B354, Log!$C:$C, $C354),""))</f>
        <v/>
      </c>
      <c r="I354" s="64" t="str">
        <f t="shared" si="5"/>
        <v/>
      </c>
      <c r="J354" s="9" t="str">
        <f>IF(COUNTBLANK($A354:$E354)&gt;0, "", IFERROR(AVERAGEIFS(Log!$H:$H, Log!$A:$A, $A354, Log!$B:$B, $B354, Log!$C:$C, $C354),""))</f>
        <v/>
      </c>
      <c r="K354" s="9" t="str">
        <f>IF(COUNTBLANK($A354:$E354)&gt;0, "", IFERROR(_xlfn.MINIFS(Log!$F:$F, Log!$A:$A, $A354, Log!$B:$B, $B354, Log!$C:$C, $C354),""))</f>
        <v/>
      </c>
      <c r="L354" s="9" t="str">
        <f>IF(COUNTBLANK($A354:$E354)&gt;0, "", IFERROR(_xlfn.MAXIFS(Log!$F:$F, Log!$A:$A, $A354, Log!$B:$B, $B354, Log!$C:$C, $C354),""))</f>
        <v/>
      </c>
      <c r="M354" s="9" t="str">
        <f>IF(COUNTBLANK($A354:$E354)&gt;0, "", IFERROR(AVERAGEIFS(Log!$I:$I, Log!$A:$A, $A354, Log!$B:$B, $B354, Log!$C:$C, $C354),""))</f>
        <v/>
      </c>
      <c r="N354" s="9" t="str">
        <f>IF(COUNTBLANK($A354:$E354)&gt;0, "", IFERROR(_xlfn.MINIFS(Log!$G:$G, Log!$A:$A, $A354, Log!$B:$B, $B354, Log!$C:$C, $C354),""))</f>
        <v/>
      </c>
      <c r="O354" s="9" t="str">
        <f>IF(COUNTBLANK($A354:$E354)&gt;0, "", IFERROR(_xlfn.MAXIFS(Log!$G:$G, Log!$A:$A, $A354, Log!$B:$B, $B354, Log!$C:$C, $C354),""))</f>
        <v/>
      </c>
    </row>
    <row r="355" spans="2:15" x14ac:dyDescent="0.3">
      <c r="B355" s="8" t="s">
        <v>117</v>
      </c>
      <c r="C355" s="66">
        <v>0</v>
      </c>
      <c r="H355" s="14" t="str">
        <f>IF(COUNTBLANK($A355:$E355)&gt;0, "", IFERROR(AVERAGEIFS(Log!$E:$E, Log!$A:$A, $A355, Log!$B:$B, $B355, Log!$C:$C, $C355),""))</f>
        <v/>
      </c>
      <c r="I355" s="64" t="str">
        <f t="shared" si="5"/>
        <v/>
      </c>
      <c r="J355" s="9" t="str">
        <f>IF(COUNTBLANK($A355:$E355)&gt;0, "", IFERROR(AVERAGEIFS(Log!$H:$H, Log!$A:$A, $A355, Log!$B:$B, $B355, Log!$C:$C, $C355),""))</f>
        <v/>
      </c>
      <c r="K355" s="9" t="str">
        <f>IF(COUNTBLANK($A355:$E355)&gt;0, "", IFERROR(_xlfn.MINIFS(Log!$F:$F, Log!$A:$A, $A355, Log!$B:$B, $B355, Log!$C:$C, $C355),""))</f>
        <v/>
      </c>
      <c r="L355" s="9" t="str">
        <f>IF(COUNTBLANK($A355:$E355)&gt;0, "", IFERROR(_xlfn.MAXIFS(Log!$F:$F, Log!$A:$A, $A355, Log!$B:$B, $B355, Log!$C:$C, $C355),""))</f>
        <v/>
      </c>
      <c r="M355" s="9" t="str">
        <f>IF(COUNTBLANK($A355:$E355)&gt;0, "", IFERROR(AVERAGEIFS(Log!$I:$I, Log!$A:$A, $A355, Log!$B:$B, $B355, Log!$C:$C, $C355),""))</f>
        <v/>
      </c>
      <c r="N355" s="9" t="str">
        <f>IF(COUNTBLANK($A355:$E355)&gt;0, "", IFERROR(_xlfn.MINIFS(Log!$G:$G, Log!$A:$A, $A355, Log!$B:$B, $B355, Log!$C:$C, $C355),""))</f>
        <v/>
      </c>
      <c r="O355" s="9" t="str">
        <f>IF(COUNTBLANK($A355:$E355)&gt;0, "", IFERROR(_xlfn.MAXIFS(Log!$G:$G, Log!$A:$A, $A355, Log!$B:$B, $B355, Log!$C:$C, $C355),""))</f>
        <v/>
      </c>
    </row>
    <row r="356" spans="2:15" x14ac:dyDescent="0.3">
      <c r="B356" s="8" t="s">
        <v>117</v>
      </c>
      <c r="C356" s="66">
        <v>0</v>
      </c>
      <c r="H356" s="14" t="str">
        <f>IF(COUNTBLANK($A356:$E356)&gt;0, "", IFERROR(AVERAGEIFS(Log!$E:$E, Log!$A:$A, $A356, Log!$B:$B, $B356, Log!$C:$C, $C356),""))</f>
        <v/>
      </c>
      <c r="I356" s="64" t="str">
        <f t="shared" si="5"/>
        <v/>
      </c>
      <c r="J356" s="9" t="str">
        <f>IF(COUNTBLANK($A356:$E356)&gt;0, "", IFERROR(AVERAGEIFS(Log!$H:$H, Log!$A:$A, $A356, Log!$B:$B, $B356, Log!$C:$C, $C356),""))</f>
        <v/>
      </c>
      <c r="K356" s="9" t="str">
        <f>IF(COUNTBLANK($A356:$E356)&gt;0, "", IFERROR(_xlfn.MINIFS(Log!$F:$F, Log!$A:$A, $A356, Log!$B:$B, $B356, Log!$C:$C, $C356),""))</f>
        <v/>
      </c>
      <c r="L356" s="9" t="str">
        <f>IF(COUNTBLANK($A356:$E356)&gt;0, "", IFERROR(_xlfn.MAXIFS(Log!$F:$F, Log!$A:$A, $A356, Log!$B:$B, $B356, Log!$C:$C, $C356),""))</f>
        <v/>
      </c>
      <c r="M356" s="9" t="str">
        <f>IF(COUNTBLANK($A356:$E356)&gt;0, "", IFERROR(AVERAGEIFS(Log!$I:$I, Log!$A:$A, $A356, Log!$B:$B, $B356, Log!$C:$C, $C356),""))</f>
        <v/>
      </c>
      <c r="N356" s="9" t="str">
        <f>IF(COUNTBLANK($A356:$E356)&gt;0, "", IFERROR(_xlfn.MINIFS(Log!$G:$G, Log!$A:$A, $A356, Log!$B:$B, $B356, Log!$C:$C, $C356),""))</f>
        <v/>
      </c>
      <c r="O356" s="9" t="str">
        <f>IF(COUNTBLANK($A356:$E356)&gt;0, "", IFERROR(_xlfn.MAXIFS(Log!$G:$G, Log!$A:$A, $A356, Log!$B:$B, $B356, Log!$C:$C, $C356),""))</f>
        <v/>
      </c>
    </row>
    <row r="357" spans="2:15" x14ac:dyDescent="0.3">
      <c r="B357" s="8" t="s">
        <v>117</v>
      </c>
      <c r="C357" s="66">
        <v>0</v>
      </c>
      <c r="H357" s="14" t="str">
        <f>IF(COUNTBLANK($A357:$E357)&gt;0, "", IFERROR(AVERAGEIFS(Log!$E:$E, Log!$A:$A, $A357, Log!$B:$B, $B357, Log!$C:$C, $C357),""))</f>
        <v/>
      </c>
      <c r="I357" s="64" t="str">
        <f t="shared" si="5"/>
        <v/>
      </c>
      <c r="J357" s="9" t="str">
        <f>IF(COUNTBLANK($A357:$E357)&gt;0, "", IFERROR(AVERAGEIFS(Log!$H:$H, Log!$A:$A, $A357, Log!$B:$B, $B357, Log!$C:$C, $C357),""))</f>
        <v/>
      </c>
      <c r="K357" s="9" t="str">
        <f>IF(COUNTBLANK($A357:$E357)&gt;0, "", IFERROR(_xlfn.MINIFS(Log!$F:$F, Log!$A:$A, $A357, Log!$B:$B, $B357, Log!$C:$C, $C357),""))</f>
        <v/>
      </c>
      <c r="L357" s="9" t="str">
        <f>IF(COUNTBLANK($A357:$E357)&gt;0, "", IFERROR(_xlfn.MAXIFS(Log!$F:$F, Log!$A:$A, $A357, Log!$B:$B, $B357, Log!$C:$C, $C357),""))</f>
        <v/>
      </c>
      <c r="M357" s="9" t="str">
        <f>IF(COUNTBLANK($A357:$E357)&gt;0, "", IFERROR(AVERAGEIFS(Log!$I:$I, Log!$A:$A, $A357, Log!$B:$B, $B357, Log!$C:$C, $C357),""))</f>
        <v/>
      </c>
      <c r="N357" s="9" t="str">
        <f>IF(COUNTBLANK($A357:$E357)&gt;0, "", IFERROR(_xlfn.MINIFS(Log!$G:$G, Log!$A:$A, $A357, Log!$B:$B, $B357, Log!$C:$C, $C357),""))</f>
        <v/>
      </c>
      <c r="O357" s="9" t="str">
        <f>IF(COUNTBLANK($A357:$E357)&gt;0, "", IFERROR(_xlfn.MAXIFS(Log!$G:$G, Log!$A:$A, $A357, Log!$B:$B, $B357, Log!$C:$C, $C357),""))</f>
        <v/>
      </c>
    </row>
    <row r="358" spans="2:15" x14ac:dyDescent="0.3">
      <c r="B358" s="8" t="s">
        <v>117</v>
      </c>
      <c r="C358" s="66">
        <v>0</v>
      </c>
      <c r="H358" s="14" t="str">
        <f>IF(COUNTBLANK($A358:$E358)&gt;0, "", IFERROR(AVERAGEIFS(Log!$E:$E, Log!$A:$A, $A358, Log!$B:$B, $B358, Log!$C:$C, $C358),""))</f>
        <v/>
      </c>
      <c r="I358" s="64" t="str">
        <f t="shared" si="5"/>
        <v/>
      </c>
      <c r="J358" s="9" t="str">
        <f>IF(COUNTBLANK($A358:$E358)&gt;0, "", IFERROR(AVERAGEIFS(Log!$H:$H, Log!$A:$A, $A358, Log!$B:$B, $B358, Log!$C:$C, $C358),""))</f>
        <v/>
      </c>
      <c r="K358" s="9" t="str">
        <f>IF(COUNTBLANK($A358:$E358)&gt;0, "", IFERROR(_xlfn.MINIFS(Log!$F:$F, Log!$A:$A, $A358, Log!$B:$B, $B358, Log!$C:$C, $C358),""))</f>
        <v/>
      </c>
      <c r="L358" s="9" t="str">
        <f>IF(COUNTBLANK($A358:$E358)&gt;0, "", IFERROR(_xlfn.MAXIFS(Log!$F:$F, Log!$A:$A, $A358, Log!$B:$B, $B358, Log!$C:$C, $C358),""))</f>
        <v/>
      </c>
      <c r="M358" s="9" t="str">
        <f>IF(COUNTBLANK($A358:$E358)&gt;0, "", IFERROR(AVERAGEIFS(Log!$I:$I, Log!$A:$A, $A358, Log!$B:$B, $B358, Log!$C:$C, $C358),""))</f>
        <v/>
      </c>
      <c r="N358" s="9" t="str">
        <f>IF(COUNTBLANK($A358:$E358)&gt;0, "", IFERROR(_xlfn.MINIFS(Log!$G:$G, Log!$A:$A, $A358, Log!$B:$B, $B358, Log!$C:$C, $C358),""))</f>
        <v/>
      </c>
      <c r="O358" s="9" t="str">
        <f>IF(COUNTBLANK($A358:$E358)&gt;0, "", IFERROR(_xlfn.MAXIFS(Log!$G:$G, Log!$A:$A, $A358, Log!$B:$B, $B358, Log!$C:$C, $C358),""))</f>
        <v/>
      </c>
    </row>
    <row r="359" spans="2:15" x14ac:dyDescent="0.3">
      <c r="B359" s="8" t="s">
        <v>117</v>
      </c>
      <c r="C359" s="66">
        <v>0</v>
      </c>
      <c r="H359" s="14" t="str">
        <f>IF(COUNTBLANK($A359:$E359)&gt;0, "", IFERROR(AVERAGEIFS(Log!$E:$E, Log!$A:$A, $A359, Log!$B:$B, $B359, Log!$C:$C, $C359),""))</f>
        <v/>
      </c>
      <c r="I359" s="64" t="str">
        <f t="shared" si="5"/>
        <v/>
      </c>
      <c r="J359" s="9" t="str">
        <f>IF(COUNTBLANK($A359:$E359)&gt;0, "", IFERROR(AVERAGEIFS(Log!$H:$H, Log!$A:$A, $A359, Log!$B:$B, $B359, Log!$C:$C, $C359),""))</f>
        <v/>
      </c>
      <c r="K359" s="9" t="str">
        <f>IF(COUNTBLANK($A359:$E359)&gt;0, "", IFERROR(_xlfn.MINIFS(Log!$F:$F, Log!$A:$A, $A359, Log!$B:$B, $B359, Log!$C:$C, $C359),""))</f>
        <v/>
      </c>
      <c r="L359" s="9" t="str">
        <f>IF(COUNTBLANK($A359:$E359)&gt;0, "", IFERROR(_xlfn.MAXIFS(Log!$F:$F, Log!$A:$A, $A359, Log!$B:$B, $B359, Log!$C:$C, $C359),""))</f>
        <v/>
      </c>
      <c r="M359" s="9" t="str">
        <f>IF(COUNTBLANK($A359:$E359)&gt;0, "", IFERROR(AVERAGEIFS(Log!$I:$I, Log!$A:$A, $A359, Log!$B:$B, $B359, Log!$C:$C, $C359),""))</f>
        <v/>
      </c>
      <c r="N359" s="9" t="str">
        <f>IF(COUNTBLANK($A359:$E359)&gt;0, "", IFERROR(_xlfn.MINIFS(Log!$G:$G, Log!$A:$A, $A359, Log!$B:$B, $B359, Log!$C:$C, $C359),""))</f>
        <v/>
      </c>
      <c r="O359" s="9" t="str">
        <f>IF(COUNTBLANK($A359:$E359)&gt;0, "", IFERROR(_xlfn.MAXIFS(Log!$G:$G, Log!$A:$A, $A359, Log!$B:$B, $B359, Log!$C:$C, $C359),""))</f>
        <v/>
      </c>
    </row>
    <row r="360" spans="2:15" x14ac:dyDescent="0.3">
      <c r="B360" s="8" t="s">
        <v>117</v>
      </c>
      <c r="C360" s="66">
        <v>0</v>
      </c>
      <c r="H360" s="14" t="str">
        <f>IF(COUNTBLANK($A360:$E360)&gt;0, "", IFERROR(AVERAGEIFS(Log!$E:$E, Log!$A:$A, $A360, Log!$B:$B, $B360, Log!$C:$C, $C360),""))</f>
        <v/>
      </c>
      <c r="I360" s="64" t="str">
        <f t="shared" si="5"/>
        <v/>
      </c>
      <c r="J360" s="9" t="str">
        <f>IF(COUNTBLANK($A360:$E360)&gt;0, "", IFERROR(AVERAGEIFS(Log!$H:$H, Log!$A:$A, $A360, Log!$B:$B, $B360, Log!$C:$C, $C360),""))</f>
        <v/>
      </c>
      <c r="K360" s="9" t="str">
        <f>IF(COUNTBLANK($A360:$E360)&gt;0, "", IFERROR(_xlfn.MINIFS(Log!$F:$F, Log!$A:$A, $A360, Log!$B:$B, $B360, Log!$C:$C, $C360),""))</f>
        <v/>
      </c>
      <c r="L360" s="9" t="str">
        <f>IF(COUNTBLANK($A360:$E360)&gt;0, "", IFERROR(_xlfn.MAXIFS(Log!$F:$F, Log!$A:$A, $A360, Log!$B:$B, $B360, Log!$C:$C, $C360),""))</f>
        <v/>
      </c>
      <c r="M360" s="9" t="str">
        <f>IF(COUNTBLANK($A360:$E360)&gt;0, "", IFERROR(AVERAGEIFS(Log!$I:$I, Log!$A:$A, $A360, Log!$B:$B, $B360, Log!$C:$C, $C360),""))</f>
        <v/>
      </c>
      <c r="N360" s="9" t="str">
        <f>IF(COUNTBLANK($A360:$E360)&gt;0, "", IFERROR(_xlfn.MINIFS(Log!$G:$G, Log!$A:$A, $A360, Log!$B:$B, $B360, Log!$C:$C, $C360),""))</f>
        <v/>
      </c>
      <c r="O360" s="9" t="str">
        <f>IF(COUNTBLANK($A360:$E360)&gt;0, "", IFERROR(_xlfn.MAXIFS(Log!$G:$G, Log!$A:$A, $A360, Log!$B:$B, $B360, Log!$C:$C, $C360),""))</f>
        <v/>
      </c>
    </row>
    <row r="361" spans="2:15" x14ac:dyDescent="0.3">
      <c r="B361" s="8" t="s">
        <v>117</v>
      </c>
      <c r="C361" s="66">
        <v>0</v>
      </c>
      <c r="H361" s="14" t="str">
        <f>IF(COUNTBLANK($A361:$E361)&gt;0, "", IFERROR(AVERAGEIFS(Log!$E:$E, Log!$A:$A, $A361, Log!$B:$B, $B361, Log!$C:$C, $C361),""))</f>
        <v/>
      </c>
      <c r="I361" s="64" t="str">
        <f t="shared" si="5"/>
        <v/>
      </c>
      <c r="J361" s="9" t="str">
        <f>IF(COUNTBLANK($A361:$E361)&gt;0, "", IFERROR(AVERAGEIFS(Log!$H:$H, Log!$A:$A, $A361, Log!$B:$B, $B361, Log!$C:$C, $C361),""))</f>
        <v/>
      </c>
      <c r="K361" s="9" t="str">
        <f>IF(COUNTBLANK($A361:$E361)&gt;0, "", IFERROR(_xlfn.MINIFS(Log!$F:$F, Log!$A:$A, $A361, Log!$B:$B, $B361, Log!$C:$C, $C361),""))</f>
        <v/>
      </c>
      <c r="L361" s="9" t="str">
        <f>IF(COUNTBLANK($A361:$E361)&gt;0, "", IFERROR(_xlfn.MAXIFS(Log!$F:$F, Log!$A:$A, $A361, Log!$B:$B, $B361, Log!$C:$C, $C361),""))</f>
        <v/>
      </c>
      <c r="M361" s="9" t="str">
        <f>IF(COUNTBLANK($A361:$E361)&gt;0, "", IFERROR(AVERAGEIFS(Log!$I:$I, Log!$A:$A, $A361, Log!$B:$B, $B361, Log!$C:$C, $C361),""))</f>
        <v/>
      </c>
      <c r="N361" s="9" t="str">
        <f>IF(COUNTBLANK($A361:$E361)&gt;0, "", IFERROR(_xlfn.MINIFS(Log!$G:$G, Log!$A:$A, $A361, Log!$B:$B, $B361, Log!$C:$C, $C361),""))</f>
        <v/>
      </c>
      <c r="O361" s="9" t="str">
        <f>IF(COUNTBLANK($A361:$E361)&gt;0, "", IFERROR(_xlfn.MAXIFS(Log!$G:$G, Log!$A:$A, $A361, Log!$B:$B, $B361, Log!$C:$C, $C361),""))</f>
        <v/>
      </c>
    </row>
    <row r="362" spans="2:15" x14ac:dyDescent="0.3">
      <c r="B362" s="8" t="s">
        <v>117</v>
      </c>
      <c r="C362" s="66">
        <v>0</v>
      </c>
      <c r="H362" s="14" t="str">
        <f>IF(COUNTBLANK($A362:$E362)&gt;0, "", IFERROR(AVERAGEIFS(Log!$E:$E, Log!$A:$A, $A362, Log!$B:$B, $B362, Log!$C:$C, $C362),""))</f>
        <v/>
      </c>
      <c r="I362" s="64" t="str">
        <f t="shared" si="5"/>
        <v/>
      </c>
      <c r="J362" s="9" t="str">
        <f>IF(COUNTBLANK($A362:$E362)&gt;0, "", IFERROR(AVERAGEIFS(Log!$H:$H, Log!$A:$A, $A362, Log!$B:$B, $B362, Log!$C:$C, $C362),""))</f>
        <v/>
      </c>
      <c r="K362" s="9" t="str">
        <f>IF(COUNTBLANK($A362:$E362)&gt;0, "", IFERROR(_xlfn.MINIFS(Log!$F:$F, Log!$A:$A, $A362, Log!$B:$B, $B362, Log!$C:$C, $C362),""))</f>
        <v/>
      </c>
      <c r="L362" s="9" t="str">
        <f>IF(COUNTBLANK($A362:$E362)&gt;0, "", IFERROR(_xlfn.MAXIFS(Log!$F:$F, Log!$A:$A, $A362, Log!$B:$B, $B362, Log!$C:$C, $C362),""))</f>
        <v/>
      </c>
      <c r="M362" s="9" t="str">
        <f>IF(COUNTBLANK($A362:$E362)&gt;0, "", IFERROR(AVERAGEIFS(Log!$I:$I, Log!$A:$A, $A362, Log!$B:$B, $B362, Log!$C:$C, $C362),""))</f>
        <v/>
      </c>
      <c r="N362" s="9" t="str">
        <f>IF(COUNTBLANK($A362:$E362)&gt;0, "", IFERROR(_xlfn.MINIFS(Log!$G:$G, Log!$A:$A, $A362, Log!$B:$B, $B362, Log!$C:$C, $C362),""))</f>
        <v/>
      </c>
      <c r="O362" s="9" t="str">
        <f>IF(COUNTBLANK($A362:$E362)&gt;0, "", IFERROR(_xlfn.MAXIFS(Log!$G:$G, Log!$A:$A, $A362, Log!$B:$B, $B362, Log!$C:$C, $C362),""))</f>
        <v/>
      </c>
    </row>
    <row r="363" spans="2:15" x14ac:dyDescent="0.3">
      <c r="B363" s="8" t="s">
        <v>117</v>
      </c>
      <c r="C363" s="66">
        <v>0</v>
      </c>
      <c r="H363" s="14" t="str">
        <f>IF(COUNTBLANK($A363:$E363)&gt;0, "", IFERROR(AVERAGEIFS(Log!$E:$E, Log!$A:$A, $A363, Log!$B:$B, $B363, Log!$C:$C, $C363),""))</f>
        <v/>
      </c>
      <c r="I363" s="64" t="str">
        <f t="shared" si="5"/>
        <v/>
      </c>
      <c r="J363" s="9" t="str">
        <f>IF(COUNTBLANK($A363:$E363)&gt;0, "", IFERROR(AVERAGEIFS(Log!$H:$H, Log!$A:$A, $A363, Log!$B:$B, $B363, Log!$C:$C, $C363),""))</f>
        <v/>
      </c>
      <c r="K363" s="9" t="str">
        <f>IF(COUNTBLANK($A363:$E363)&gt;0, "", IFERROR(_xlfn.MINIFS(Log!$F:$F, Log!$A:$A, $A363, Log!$B:$B, $B363, Log!$C:$C, $C363),""))</f>
        <v/>
      </c>
      <c r="L363" s="9" t="str">
        <f>IF(COUNTBLANK($A363:$E363)&gt;0, "", IFERROR(_xlfn.MAXIFS(Log!$F:$F, Log!$A:$A, $A363, Log!$B:$B, $B363, Log!$C:$C, $C363),""))</f>
        <v/>
      </c>
      <c r="M363" s="9" t="str">
        <f>IF(COUNTBLANK($A363:$E363)&gt;0, "", IFERROR(AVERAGEIFS(Log!$I:$I, Log!$A:$A, $A363, Log!$B:$B, $B363, Log!$C:$C, $C363),""))</f>
        <v/>
      </c>
      <c r="N363" s="9" t="str">
        <f>IF(COUNTBLANK($A363:$E363)&gt;0, "", IFERROR(_xlfn.MINIFS(Log!$G:$G, Log!$A:$A, $A363, Log!$B:$B, $B363, Log!$C:$C, $C363),""))</f>
        <v/>
      </c>
      <c r="O363" s="9" t="str">
        <f>IF(COUNTBLANK($A363:$E363)&gt;0, "", IFERROR(_xlfn.MAXIFS(Log!$G:$G, Log!$A:$A, $A363, Log!$B:$B, $B363, Log!$C:$C, $C363),""))</f>
        <v/>
      </c>
    </row>
    <row r="364" spans="2:15" x14ac:dyDescent="0.3">
      <c r="B364" s="8" t="s">
        <v>117</v>
      </c>
      <c r="C364" s="66">
        <v>0</v>
      </c>
      <c r="H364" s="14" t="str">
        <f>IF(COUNTBLANK($A364:$E364)&gt;0, "", IFERROR(AVERAGEIFS(Log!$E:$E, Log!$A:$A, $A364, Log!$B:$B, $B364, Log!$C:$C, $C364),""))</f>
        <v/>
      </c>
      <c r="I364" s="64" t="str">
        <f t="shared" si="5"/>
        <v/>
      </c>
      <c r="J364" s="9" t="str">
        <f>IF(COUNTBLANK($A364:$E364)&gt;0, "", IFERROR(AVERAGEIFS(Log!$H:$H, Log!$A:$A, $A364, Log!$B:$B, $B364, Log!$C:$C, $C364),""))</f>
        <v/>
      </c>
      <c r="K364" s="9" t="str">
        <f>IF(COUNTBLANK($A364:$E364)&gt;0, "", IFERROR(_xlfn.MINIFS(Log!$F:$F, Log!$A:$A, $A364, Log!$B:$B, $B364, Log!$C:$C, $C364),""))</f>
        <v/>
      </c>
      <c r="L364" s="9" t="str">
        <f>IF(COUNTBLANK($A364:$E364)&gt;0, "", IFERROR(_xlfn.MAXIFS(Log!$F:$F, Log!$A:$A, $A364, Log!$B:$B, $B364, Log!$C:$C, $C364),""))</f>
        <v/>
      </c>
      <c r="M364" s="9" t="str">
        <f>IF(COUNTBLANK($A364:$E364)&gt;0, "", IFERROR(AVERAGEIFS(Log!$I:$I, Log!$A:$A, $A364, Log!$B:$B, $B364, Log!$C:$C, $C364),""))</f>
        <v/>
      </c>
      <c r="N364" s="9" t="str">
        <f>IF(COUNTBLANK($A364:$E364)&gt;0, "", IFERROR(_xlfn.MINIFS(Log!$G:$G, Log!$A:$A, $A364, Log!$B:$B, $B364, Log!$C:$C, $C364),""))</f>
        <v/>
      </c>
      <c r="O364" s="9" t="str">
        <f>IF(COUNTBLANK($A364:$E364)&gt;0, "", IFERROR(_xlfn.MAXIFS(Log!$G:$G, Log!$A:$A, $A364, Log!$B:$B, $B364, Log!$C:$C, $C364),""))</f>
        <v/>
      </c>
    </row>
    <row r="365" spans="2:15" x14ac:dyDescent="0.3">
      <c r="B365" s="8" t="s">
        <v>117</v>
      </c>
      <c r="C365" s="66">
        <v>0</v>
      </c>
      <c r="H365" s="14" t="str">
        <f>IF(COUNTBLANK($A365:$E365)&gt;0, "", IFERROR(AVERAGEIFS(Log!$E:$E, Log!$A:$A, $A365, Log!$B:$B, $B365, Log!$C:$C, $C365),""))</f>
        <v/>
      </c>
      <c r="I365" s="64" t="str">
        <f t="shared" si="5"/>
        <v/>
      </c>
      <c r="J365" s="9" t="str">
        <f>IF(COUNTBLANK($A365:$E365)&gt;0, "", IFERROR(AVERAGEIFS(Log!$H:$H, Log!$A:$A, $A365, Log!$B:$B, $B365, Log!$C:$C, $C365),""))</f>
        <v/>
      </c>
      <c r="K365" s="9" t="str">
        <f>IF(COUNTBLANK($A365:$E365)&gt;0, "", IFERROR(_xlfn.MINIFS(Log!$F:$F, Log!$A:$A, $A365, Log!$B:$B, $B365, Log!$C:$C, $C365),""))</f>
        <v/>
      </c>
      <c r="L365" s="9" t="str">
        <f>IF(COUNTBLANK($A365:$E365)&gt;0, "", IFERROR(_xlfn.MAXIFS(Log!$F:$F, Log!$A:$A, $A365, Log!$B:$B, $B365, Log!$C:$C, $C365),""))</f>
        <v/>
      </c>
      <c r="M365" s="9" t="str">
        <f>IF(COUNTBLANK($A365:$E365)&gt;0, "", IFERROR(AVERAGEIFS(Log!$I:$I, Log!$A:$A, $A365, Log!$B:$B, $B365, Log!$C:$C, $C365),""))</f>
        <v/>
      </c>
      <c r="N365" s="9" t="str">
        <f>IF(COUNTBLANK($A365:$E365)&gt;0, "", IFERROR(_xlfn.MINIFS(Log!$G:$G, Log!$A:$A, $A365, Log!$B:$B, $B365, Log!$C:$C, $C365),""))</f>
        <v/>
      </c>
      <c r="O365" s="9" t="str">
        <f>IF(COUNTBLANK($A365:$E365)&gt;0, "", IFERROR(_xlfn.MAXIFS(Log!$G:$G, Log!$A:$A, $A365, Log!$B:$B, $B365, Log!$C:$C, $C365),""))</f>
        <v/>
      </c>
    </row>
    <row r="366" spans="2:15" x14ac:dyDescent="0.3">
      <c r="B366" s="8" t="s">
        <v>117</v>
      </c>
      <c r="C366" s="66">
        <v>0</v>
      </c>
      <c r="H366" s="14" t="str">
        <f>IF(COUNTBLANK($A366:$E366)&gt;0, "", IFERROR(AVERAGEIFS(Log!$E:$E, Log!$A:$A, $A366, Log!$B:$B, $B366, Log!$C:$C, $C366),""))</f>
        <v/>
      </c>
      <c r="I366" s="64" t="str">
        <f t="shared" si="5"/>
        <v/>
      </c>
      <c r="J366" s="9" t="str">
        <f>IF(COUNTBLANK($A366:$E366)&gt;0, "", IFERROR(AVERAGEIFS(Log!$H:$H, Log!$A:$A, $A366, Log!$B:$B, $B366, Log!$C:$C, $C366),""))</f>
        <v/>
      </c>
      <c r="K366" s="9" t="str">
        <f>IF(COUNTBLANK($A366:$E366)&gt;0, "", IFERROR(_xlfn.MINIFS(Log!$F:$F, Log!$A:$A, $A366, Log!$B:$B, $B366, Log!$C:$C, $C366),""))</f>
        <v/>
      </c>
      <c r="L366" s="9" t="str">
        <f>IF(COUNTBLANK($A366:$E366)&gt;0, "", IFERROR(_xlfn.MAXIFS(Log!$F:$F, Log!$A:$A, $A366, Log!$B:$B, $B366, Log!$C:$C, $C366),""))</f>
        <v/>
      </c>
      <c r="M366" s="9" t="str">
        <f>IF(COUNTBLANK($A366:$E366)&gt;0, "", IFERROR(AVERAGEIFS(Log!$I:$I, Log!$A:$A, $A366, Log!$B:$B, $B366, Log!$C:$C, $C366),""))</f>
        <v/>
      </c>
      <c r="N366" s="9" t="str">
        <f>IF(COUNTBLANK($A366:$E366)&gt;0, "", IFERROR(_xlfn.MINIFS(Log!$G:$G, Log!$A:$A, $A366, Log!$B:$B, $B366, Log!$C:$C, $C366),""))</f>
        <v/>
      </c>
      <c r="O366" s="9" t="str">
        <f>IF(COUNTBLANK($A366:$E366)&gt;0, "", IFERROR(_xlfn.MAXIFS(Log!$G:$G, Log!$A:$A, $A366, Log!$B:$B, $B366, Log!$C:$C, $C366),""))</f>
        <v/>
      </c>
    </row>
    <row r="367" spans="2:15" x14ac:dyDescent="0.3">
      <c r="B367" s="8" t="s">
        <v>117</v>
      </c>
      <c r="C367" s="66">
        <v>0</v>
      </c>
      <c r="H367" s="14" t="str">
        <f>IF(COUNTBLANK($A367:$E367)&gt;0, "", IFERROR(AVERAGEIFS(Log!$E:$E, Log!$A:$A, $A367, Log!$B:$B, $B367, Log!$C:$C, $C367),""))</f>
        <v/>
      </c>
      <c r="I367" s="64" t="str">
        <f t="shared" si="5"/>
        <v/>
      </c>
      <c r="J367" s="9" t="str">
        <f>IF(COUNTBLANK($A367:$E367)&gt;0, "", IFERROR(AVERAGEIFS(Log!$H:$H, Log!$A:$A, $A367, Log!$B:$B, $B367, Log!$C:$C, $C367),""))</f>
        <v/>
      </c>
      <c r="K367" s="9" t="str">
        <f>IF(COUNTBLANK($A367:$E367)&gt;0, "", IFERROR(_xlfn.MINIFS(Log!$F:$F, Log!$A:$A, $A367, Log!$B:$B, $B367, Log!$C:$C, $C367),""))</f>
        <v/>
      </c>
      <c r="L367" s="9" t="str">
        <f>IF(COUNTBLANK($A367:$E367)&gt;0, "", IFERROR(_xlfn.MAXIFS(Log!$F:$F, Log!$A:$A, $A367, Log!$B:$B, $B367, Log!$C:$C, $C367),""))</f>
        <v/>
      </c>
      <c r="M367" s="9" t="str">
        <f>IF(COUNTBLANK($A367:$E367)&gt;0, "", IFERROR(AVERAGEIFS(Log!$I:$I, Log!$A:$A, $A367, Log!$B:$B, $B367, Log!$C:$C, $C367),""))</f>
        <v/>
      </c>
      <c r="N367" s="9" t="str">
        <f>IF(COUNTBLANK($A367:$E367)&gt;0, "", IFERROR(_xlfn.MINIFS(Log!$G:$G, Log!$A:$A, $A367, Log!$B:$B, $B367, Log!$C:$C, $C367),""))</f>
        <v/>
      </c>
      <c r="O367" s="9" t="str">
        <f>IF(COUNTBLANK($A367:$E367)&gt;0, "", IFERROR(_xlfn.MAXIFS(Log!$G:$G, Log!$A:$A, $A367, Log!$B:$B, $B367, Log!$C:$C, $C367),""))</f>
        <v/>
      </c>
    </row>
    <row r="368" spans="2:15" x14ac:dyDescent="0.3">
      <c r="B368" s="8" t="s">
        <v>117</v>
      </c>
      <c r="C368" s="66">
        <v>0</v>
      </c>
      <c r="H368" s="14" t="str">
        <f>IF(COUNTBLANK($A368:$E368)&gt;0, "", IFERROR(AVERAGEIFS(Log!$E:$E, Log!$A:$A, $A368, Log!$B:$B, $B368, Log!$C:$C, $C368),""))</f>
        <v/>
      </c>
      <c r="I368" s="64" t="str">
        <f t="shared" si="5"/>
        <v/>
      </c>
      <c r="J368" s="9" t="str">
        <f>IF(COUNTBLANK($A368:$E368)&gt;0, "", IFERROR(AVERAGEIFS(Log!$H:$H, Log!$A:$A, $A368, Log!$B:$B, $B368, Log!$C:$C, $C368),""))</f>
        <v/>
      </c>
      <c r="K368" s="9" t="str">
        <f>IF(COUNTBLANK($A368:$E368)&gt;0, "", IFERROR(_xlfn.MINIFS(Log!$F:$F, Log!$A:$A, $A368, Log!$B:$B, $B368, Log!$C:$C, $C368),""))</f>
        <v/>
      </c>
      <c r="L368" s="9" t="str">
        <f>IF(COUNTBLANK($A368:$E368)&gt;0, "", IFERROR(_xlfn.MAXIFS(Log!$F:$F, Log!$A:$A, $A368, Log!$B:$B, $B368, Log!$C:$C, $C368),""))</f>
        <v/>
      </c>
      <c r="M368" s="9" t="str">
        <f>IF(COUNTBLANK($A368:$E368)&gt;0, "", IFERROR(AVERAGEIFS(Log!$I:$I, Log!$A:$A, $A368, Log!$B:$B, $B368, Log!$C:$C, $C368),""))</f>
        <v/>
      </c>
      <c r="N368" s="9" t="str">
        <f>IF(COUNTBLANK($A368:$E368)&gt;0, "", IFERROR(_xlfn.MINIFS(Log!$G:$G, Log!$A:$A, $A368, Log!$B:$B, $B368, Log!$C:$C, $C368),""))</f>
        <v/>
      </c>
      <c r="O368" s="9" t="str">
        <f>IF(COUNTBLANK($A368:$E368)&gt;0, "", IFERROR(_xlfn.MAXIFS(Log!$G:$G, Log!$A:$A, $A368, Log!$B:$B, $B368, Log!$C:$C, $C368),""))</f>
        <v/>
      </c>
    </row>
    <row r="369" spans="2:15" x14ac:dyDescent="0.3">
      <c r="B369" s="8" t="s">
        <v>117</v>
      </c>
      <c r="C369" s="66">
        <v>0</v>
      </c>
      <c r="H369" s="14" t="str">
        <f>IF(COUNTBLANK($A369:$E369)&gt;0, "", IFERROR(AVERAGEIFS(Log!$E:$E, Log!$A:$A, $A369, Log!$B:$B, $B369, Log!$C:$C, $C369),""))</f>
        <v/>
      </c>
      <c r="I369" s="64" t="str">
        <f t="shared" si="5"/>
        <v/>
      </c>
      <c r="J369" s="9" t="str">
        <f>IF(COUNTBLANK($A369:$E369)&gt;0, "", IFERROR(AVERAGEIFS(Log!$H:$H, Log!$A:$A, $A369, Log!$B:$B, $B369, Log!$C:$C, $C369),""))</f>
        <v/>
      </c>
      <c r="K369" s="9" t="str">
        <f>IF(COUNTBLANK($A369:$E369)&gt;0, "", IFERROR(_xlfn.MINIFS(Log!$F:$F, Log!$A:$A, $A369, Log!$B:$B, $B369, Log!$C:$C, $C369),""))</f>
        <v/>
      </c>
      <c r="L369" s="9" t="str">
        <f>IF(COUNTBLANK($A369:$E369)&gt;0, "", IFERROR(_xlfn.MAXIFS(Log!$F:$F, Log!$A:$A, $A369, Log!$B:$B, $B369, Log!$C:$C, $C369),""))</f>
        <v/>
      </c>
      <c r="M369" s="9" t="str">
        <f>IF(COUNTBLANK($A369:$E369)&gt;0, "", IFERROR(AVERAGEIFS(Log!$I:$I, Log!$A:$A, $A369, Log!$B:$B, $B369, Log!$C:$C, $C369),""))</f>
        <v/>
      </c>
      <c r="N369" s="9" t="str">
        <f>IF(COUNTBLANK($A369:$E369)&gt;0, "", IFERROR(_xlfn.MINIFS(Log!$G:$G, Log!$A:$A, $A369, Log!$B:$B, $B369, Log!$C:$C, $C369),""))</f>
        <v/>
      </c>
      <c r="O369" s="9" t="str">
        <f>IF(COUNTBLANK($A369:$E369)&gt;0, "", IFERROR(_xlfn.MAXIFS(Log!$G:$G, Log!$A:$A, $A369, Log!$B:$B, $B369, Log!$C:$C, $C369),""))</f>
        <v/>
      </c>
    </row>
    <row r="370" spans="2:15" x14ac:dyDescent="0.3">
      <c r="B370" s="8" t="s">
        <v>117</v>
      </c>
      <c r="C370" s="66">
        <v>0</v>
      </c>
      <c r="H370" s="14" t="str">
        <f>IF(COUNTBLANK($A370:$E370)&gt;0, "", IFERROR(AVERAGEIFS(Log!$E:$E, Log!$A:$A, $A370, Log!$B:$B, $B370, Log!$C:$C, $C370),""))</f>
        <v/>
      </c>
      <c r="I370" s="64" t="str">
        <f t="shared" si="5"/>
        <v/>
      </c>
      <c r="J370" s="9" t="str">
        <f>IF(COUNTBLANK($A370:$E370)&gt;0, "", IFERROR(AVERAGEIFS(Log!$H:$H, Log!$A:$A, $A370, Log!$B:$B, $B370, Log!$C:$C, $C370),""))</f>
        <v/>
      </c>
      <c r="K370" s="9" t="str">
        <f>IF(COUNTBLANK($A370:$E370)&gt;0, "", IFERROR(_xlfn.MINIFS(Log!$F:$F, Log!$A:$A, $A370, Log!$B:$B, $B370, Log!$C:$C, $C370),""))</f>
        <v/>
      </c>
      <c r="L370" s="9" t="str">
        <f>IF(COUNTBLANK($A370:$E370)&gt;0, "", IFERROR(_xlfn.MAXIFS(Log!$F:$F, Log!$A:$A, $A370, Log!$B:$B, $B370, Log!$C:$C, $C370),""))</f>
        <v/>
      </c>
      <c r="M370" s="9" t="str">
        <f>IF(COUNTBLANK($A370:$E370)&gt;0, "", IFERROR(AVERAGEIFS(Log!$I:$I, Log!$A:$A, $A370, Log!$B:$B, $B370, Log!$C:$C, $C370),""))</f>
        <v/>
      </c>
      <c r="N370" s="9" t="str">
        <f>IF(COUNTBLANK($A370:$E370)&gt;0, "", IFERROR(_xlfn.MINIFS(Log!$G:$G, Log!$A:$A, $A370, Log!$B:$B, $B370, Log!$C:$C, $C370),""))</f>
        <v/>
      </c>
      <c r="O370" s="9" t="str">
        <f>IF(COUNTBLANK($A370:$E370)&gt;0, "", IFERROR(_xlfn.MAXIFS(Log!$G:$G, Log!$A:$A, $A370, Log!$B:$B, $B370, Log!$C:$C, $C370),""))</f>
        <v/>
      </c>
    </row>
    <row r="371" spans="2:15" x14ac:dyDescent="0.3">
      <c r="B371" s="8" t="s">
        <v>117</v>
      </c>
      <c r="C371" s="66">
        <v>0</v>
      </c>
      <c r="H371" s="14" t="str">
        <f>IF(COUNTBLANK($A371:$E371)&gt;0, "", IFERROR(AVERAGEIFS(Log!$E:$E, Log!$A:$A, $A371, Log!$B:$B, $B371, Log!$C:$C, $C371),""))</f>
        <v/>
      </c>
      <c r="I371" s="64" t="str">
        <f t="shared" si="5"/>
        <v/>
      </c>
      <c r="J371" s="9" t="str">
        <f>IF(COUNTBLANK($A371:$E371)&gt;0, "", IFERROR(AVERAGEIFS(Log!$H:$H, Log!$A:$A, $A371, Log!$B:$B, $B371, Log!$C:$C, $C371),""))</f>
        <v/>
      </c>
      <c r="K371" s="9" t="str">
        <f>IF(COUNTBLANK($A371:$E371)&gt;0, "", IFERROR(_xlfn.MINIFS(Log!$F:$F, Log!$A:$A, $A371, Log!$B:$B, $B371, Log!$C:$C, $C371),""))</f>
        <v/>
      </c>
      <c r="L371" s="9" t="str">
        <f>IF(COUNTBLANK($A371:$E371)&gt;0, "", IFERROR(_xlfn.MAXIFS(Log!$F:$F, Log!$A:$A, $A371, Log!$B:$B, $B371, Log!$C:$C, $C371),""))</f>
        <v/>
      </c>
      <c r="M371" s="9" t="str">
        <f>IF(COUNTBLANK($A371:$E371)&gt;0, "", IFERROR(AVERAGEIFS(Log!$I:$I, Log!$A:$A, $A371, Log!$B:$B, $B371, Log!$C:$C, $C371),""))</f>
        <v/>
      </c>
      <c r="N371" s="9" t="str">
        <f>IF(COUNTBLANK($A371:$E371)&gt;0, "", IFERROR(_xlfn.MINIFS(Log!$G:$G, Log!$A:$A, $A371, Log!$B:$B, $B371, Log!$C:$C, $C371),""))</f>
        <v/>
      </c>
      <c r="O371" s="9" t="str">
        <f>IF(COUNTBLANK($A371:$E371)&gt;0, "", IFERROR(_xlfn.MAXIFS(Log!$G:$G, Log!$A:$A, $A371, Log!$B:$B, $B371, Log!$C:$C, $C371),""))</f>
        <v/>
      </c>
    </row>
    <row r="372" spans="2:15" x14ac:dyDescent="0.3">
      <c r="B372" s="8" t="s">
        <v>117</v>
      </c>
      <c r="C372" s="66">
        <v>0</v>
      </c>
      <c r="H372" s="14" t="str">
        <f>IF(COUNTBLANK($A372:$E372)&gt;0, "", IFERROR(AVERAGEIFS(Log!$E:$E, Log!$A:$A, $A372, Log!$B:$B, $B372, Log!$C:$C, $C372),""))</f>
        <v/>
      </c>
      <c r="I372" s="64" t="str">
        <f t="shared" si="5"/>
        <v/>
      </c>
      <c r="J372" s="9" t="str">
        <f>IF(COUNTBLANK($A372:$E372)&gt;0, "", IFERROR(AVERAGEIFS(Log!$H:$H, Log!$A:$A, $A372, Log!$B:$B, $B372, Log!$C:$C, $C372),""))</f>
        <v/>
      </c>
      <c r="K372" s="9" t="str">
        <f>IF(COUNTBLANK($A372:$E372)&gt;0, "", IFERROR(_xlfn.MINIFS(Log!$F:$F, Log!$A:$A, $A372, Log!$B:$B, $B372, Log!$C:$C, $C372),""))</f>
        <v/>
      </c>
      <c r="L372" s="9" t="str">
        <f>IF(COUNTBLANK($A372:$E372)&gt;0, "", IFERROR(_xlfn.MAXIFS(Log!$F:$F, Log!$A:$A, $A372, Log!$B:$B, $B372, Log!$C:$C, $C372),""))</f>
        <v/>
      </c>
      <c r="M372" s="9" t="str">
        <f>IF(COUNTBLANK($A372:$E372)&gt;0, "", IFERROR(AVERAGEIFS(Log!$I:$I, Log!$A:$A, $A372, Log!$B:$B, $B372, Log!$C:$C, $C372),""))</f>
        <v/>
      </c>
      <c r="N372" s="9" t="str">
        <f>IF(COUNTBLANK($A372:$E372)&gt;0, "", IFERROR(_xlfn.MINIFS(Log!$G:$G, Log!$A:$A, $A372, Log!$B:$B, $B372, Log!$C:$C, $C372),""))</f>
        <v/>
      </c>
      <c r="O372" s="9" t="str">
        <f>IF(COUNTBLANK($A372:$E372)&gt;0, "", IFERROR(_xlfn.MAXIFS(Log!$G:$G, Log!$A:$A, $A372, Log!$B:$B, $B372, Log!$C:$C, $C372),""))</f>
        <v/>
      </c>
    </row>
    <row r="373" spans="2:15" x14ac:dyDescent="0.3">
      <c r="B373" s="8" t="s">
        <v>117</v>
      </c>
      <c r="C373" s="66">
        <v>0</v>
      </c>
      <c r="H373" s="14" t="str">
        <f>IF(COUNTBLANK($A373:$E373)&gt;0, "", IFERROR(AVERAGEIFS(Log!$E:$E, Log!$A:$A, $A373, Log!$B:$B, $B373, Log!$C:$C, $C373),""))</f>
        <v/>
      </c>
      <c r="I373" s="64" t="str">
        <f t="shared" si="5"/>
        <v/>
      </c>
      <c r="J373" s="9" t="str">
        <f>IF(COUNTBLANK($A373:$E373)&gt;0, "", IFERROR(AVERAGEIFS(Log!$H:$H, Log!$A:$A, $A373, Log!$B:$B, $B373, Log!$C:$C, $C373),""))</f>
        <v/>
      </c>
      <c r="K373" s="9" t="str">
        <f>IF(COUNTBLANK($A373:$E373)&gt;0, "", IFERROR(_xlfn.MINIFS(Log!$F:$F, Log!$A:$A, $A373, Log!$B:$B, $B373, Log!$C:$C, $C373),""))</f>
        <v/>
      </c>
      <c r="L373" s="9" t="str">
        <f>IF(COUNTBLANK($A373:$E373)&gt;0, "", IFERROR(_xlfn.MAXIFS(Log!$F:$F, Log!$A:$A, $A373, Log!$B:$B, $B373, Log!$C:$C, $C373),""))</f>
        <v/>
      </c>
      <c r="M373" s="9" t="str">
        <f>IF(COUNTBLANK($A373:$E373)&gt;0, "", IFERROR(AVERAGEIFS(Log!$I:$I, Log!$A:$A, $A373, Log!$B:$B, $B373, Log!$C:$C, $C373),""))</f>
        <v/>
      </c>
      <c r="N373" s="9" t="str">
        <f>IF(COUNTBLANK($A373:$E373)&gt;0, "", IFERROR(_xlfn.MINIFS(Log!$G:$G, Log!$A:$A, $A373, Log!$B:$B, $B373, Log!$C:$C, $C373),""))</f>
        <v/>
      </c>
      <c r="O373" s="9" t="str">
        <f>IF(COUNTBLANK($A373:$E373)&gt;0, "", IFERROR(_xlfn.MAXIFS(Log!$G:$G, Log!$A:$A, $A373, Log!$B:$B, $B373, Log!$C:$C, $C373),""))</f>
        <v/>
      </c>
    </row>
    <row r="374" spans="2:15" x14ac:dyDescent="0.3">
      <c r="B374" s="8" t="s">
        <v>117</v>
      </c>
      <c r="C374" s="66">
        <v>0</v>
      </c>
      <c r="H374" s="14" t="str">
        <f>IF(COUNTBLANK($A374:$E374)&gt;0, "", IFERROR(AVERAGEIFS(Log!$E:$E, Log!$A:$A, $A374, Log!$B:$B, $B374, Log!$C:$C, $C374),""))</f>
        <v/>
      </c>
      <c r="I374" s="64" t="str">
        <f t="shared" si="5"/>
        <v/>
      </c>
      <c r="J374" s="9" t="str">
        <f>IF(COUNTBLANK($A374:$E374)&gt;0, "", IFERROR(AVERAGEIFS(Log!$H:$H, Log!$A:$A, $A374, Log!$B:$B, $B374, Log!$C:$C, $C374),""))</f>
        <v/>
      </c>
      <c r="K374" s="9" t="str">
        <f>IF(COUNTBLANK($A374:$E374)&gt;0, "", IFERROR(_xlfn.MINIFS(Log!$F:$F, Log!$A:$A, $A374, Log!$B:$B, $B374, Log!$C:$C, $C374),""))</f>
        <v/>
      </c>
      <c r="L374" s="9" t="str">
        <f>IF(COUNTBLANK($A374:$E374)&gt;0, "", IFERROR(_xlfn.MAXIFS(Log!$F:$F, Log!$A:$A, $A374, Log!$B:$B, $B374, Log!$C:$C, $C374),""))</f>
        <v/>
      </c>
      <c r="M374" s="9" t="str">
        <f>IF(COUNTBLANK($A374:$E374)&gt;0, "", IFERROR(AVERAGEIFS(Log!$I:$I, Log!$A:$A, $A374, Log!$B:$B, $B374, Log!$C:$C, $C374),""))</f>
        <v/>
      </c>
      <c r="N374" s="9" t="str">
        <f>IF(COUNTBLANK($A374:$E374)&gt;0, "", IFERROR(_xlfn.MINIFS(Log!$G:$G, Log!$A:$A, $A374, Log!$B:$B, $B374, Log!$C:$C, $C374),""))</f>
        <v/>
      </c>
      <c r="O374" s="9" t="str">
        <f>IF(COUNTBLANK($A374:$E374)&gt;0, "", IFERROR(_xlfn.MAXIFS(Log!$G:$G, Log!$A:$A, $A374, Log!$B:$B, $B374, Log!$C:$C, $C374),""))</f>
        <v/>
      </c>
    </row>
    <row r="375" spans="2:15" x14ac:dyDescent="0.3">
      <c r="B375" s="8" t="s">
        <v>117</v>
      </c>
      <c r="C375" s="66">
        <v>0</v>
      </c>
      <c r="H375" s="14" t="str">
        <f>IF(COUNTBLANK($A375:$E375)&gt;0, "", IFERROR(AVERAGEIFS(Log!$E:$E, Log!$A:$A, $A375, Log!$B:$B, $B375, Log!$C:$C, $C375),""))</f>
        <v/>
      </c>
      <c r="I375" s="64" t="str">
        <f t="shared" si="5"/>
        <v/>
      </c>
      <c r="J375" s="9" t="str">
        <f>IF(COUNTBLANK($A375:$E375)&gt;0, "", IFERROR(AVERAGEIFS(Log!$H:$H, Log!$A:$A, $A375, Log!$B:$B, $B375, Log!$C:$C, $C375),""))</f>
        <v/>
      </c>
      <c r="K375" s="9" t="str">
        <f>IF(COUNTBLANK($A375:$E375)&gt;0, "", IFERROR(_xlfn.MINIFS(Log!$F:$F, Log!$A:$A, $A375, Log!$B:$B, $B375, Log!$C:$C, $C375),""))</f>
        <v/>
      </c>
      <c r="L375" s="9" t="str">
        <f>IF(COUNTBLANK($A375:$E375)&gt;0, "", IFERROR(_xlfn.MAXIFS(Log!$F:$F, Log!$A:$A, $A375, Log!$B:$B, $B375, Log!$C:$C, $C375),""))</f>
        <v/>
      </c>
      <c r="M375" s="9" t="str">
        <f>IF(COUNTBLANK($A375:$E375)&gt;0, "", IFERROR(AVERAGEIFS(Log!$I:$I, Log!$A:$A, $A375, Log!$B:$B, $B375, Log!$C:$C, $C375),""))</f>
        <v/>
      </c>
      <c r="N375" s="9" t="str">
        <f>IF(COUNTBLANK($A375:$E375)&gt;0, "", IFERROR(_xlfn.MINIFS(Log!$G:$G, Log!$A:$A, $A375, Log!$B:$B, $B375, Log!$C:$C, $C375),""))</f>
        <v/>
      </c>
      <c r="O375" s="9" t="str">
        <f>IF(COUNTBLANK($A375:$E375)&gt;0, "", IFERROR(_xlfn.MAXIFS(Log!$G:$G, Log!$A:$A, $A375, Log!$B:$B, $B375, Log!$C:$C, $C375),""))</f>
        <v/>
      </c>
    </row>
    <row r="376" spans="2:15" x14ac:dyDescent="0.3">
      <c r="B376" s="8" t="s">
        <v>117</v>
      </c>
      <c r="C376" s="66">
        <v>0</v>
      </c>
      <c r="H376" s="14" t="str">
        <f>IF(COUNTBLANK($A376:$E376)&gt;0, "", IFERROR(AVERAGEIFS(Log!$E:$E, Log!$A:$A, $A376, Log!$B:$B, $B376, Log!$C:$C, $C376),""))</f>
        <v/>
      </c>
      <c r="I376" s="64" t="str">
        <f t="shared" si="5"/>
        <v/>
      </c>
      <c r="J376" s="9" t="str">
        <f>IF(COUNTBLANK($A376:$E376)&gt;0, "", IFERROR(AVERAGEIFS(Log!$H:$H, Log!$A:$A, $A376, Log!$B:$B, $B376, Log!$C:$C, $C376),""))</f>
        <v/>
      </c>
      <c r="K376" s="9" t="str">
        <f>IF(COUNTBLANK($A376:$E376)&gt;0, "", IFERROR(_xlfn.MINIFS(Log!$F:$F, Log!$A:$A, $A376, Log!$B:$B, $B376, Log!$C:$C, $C376),""))</f>
        <v/>
      </c>
      <c r="L376" s="9" t="str">
        <f>IF(COUNTBLANK($A376:$E376)&gt;0, "", IFERROR(_xlfn.MAXIFS(Log!$F:$F, Log!$A:$A, $A376, Log!$B:$B, $B376, Log!$C:$C, $C376),""))</f>
        <v/>
      </c>
      <c r="M376" s="9" t="str">
        <f>IF(COUNTBLANK($A376:$E376)&gt;0, "", IFERROR(AVERAGEIFS(Log!$I:$I, Log!$A:$A, $A376, Log!$B:$B, $B376, Log!$C:$C, $C376),""))</f>
        <v/>
      </c>
      <c r="N376" s="9" t="str">
        <f>IF(COUNTBLANK($A376:$E376)&gt;0, "", IFERROR(_xlfn.MINIFS(Log!$G:$G, Log!$A:$A, $A376, Log!$B:$B, $B376, Log!$C:$C, $C376),""))</f>
        <v/>
      </c>
      <c r="O376" s="9" t="str">
        <f>IF(COUNTBLANK($A376:$E376)&gt;0, "", IFERROR(_xlfn.MAXIFS(Log!$G:$G, Log!$A:$A, $A376, Log!$B:$B, $B376, Log!$C:$C, $C376),""))</f>
        <v/>
      </c>
    </row>
    <row r="377" spans="2:15" x14ac:dyDescent="0.3">
      <c r="B377" s="8" t="s">
        <v>117</v>
      </c>
      <c r="C377" s="66">
        <v>0</v>
      </c>
      <c r="H377" s="14" t="str">
        <f>IF(COUNTBLANK($A377:$E377)&gt;0, "", IFERROR(AVERAGEIFS(Log!$E:$E, Log!$A:$A, $A377, Log!$B:$B, $B377, Log!$C:$C, $C377),""))</f>
        <v/>
      </c>
      <c r="I377" s="64" t="str">
        <f t="shared" si="5"/>
        <v/>
      </c>
      <c r="J377" s="9" t="str">
        <f>IF(COUNTBLANK($A377:$E377)&gt;0, "", IFERROR(AVERAGEIFS(Log!$H:$H, Log!$A:$A, $A377, Log!$B:$B, $B377, Log!$C:$C, $C377),""))</f>
        <v/>
      </c>
      <c r="K377" s="9" t="str">
        <f>IF(COUNTBLANK($A377:$E377)&gt;0, "", IFERROR(_xlfn.MINIFS(Log!$F:$F, Log!$A:$A, $A377, Log!$B:$B, $B377, Log!$C:$C, $C377),""))</f>
        <v/>
      </c>
      <c r="L377" s="9" t="str">
        <f>IF(COUNTBLANK($A377:$E377)&gt;0, "", IFERROR(_xlfn.MAXIFS(Log!$F:$F, Log!$A:$A, $A377, Log!$B:$B, $B377, Log!$C:$C, $C377),""))</f>
        <v/>
      </c>
      <c r="M377" s="9" t="str">
        <f>IF(COUNTBLANK($A377:$E377)&gt;0, "", IFERROR(AVERAGEIFS(Log!$I:$I, Log!$A:$A, $A377, Log!$B:$B, $B377, Log!$C:$C, $C377),""))</f>
        <v/>
      </c>
      <c r="N377" s="9" t="str">
        <f>IF(COUNTBLANK($A377:$E377)&gt;0, "", IFERROR(_xlfn.MINIFS(Log!$G:$G, Log!$A:$A, $A377, Log!$B:$B, $B377, Log!$C:$C, $C377),""))</f>
        <v/>
      </c>
      <c r="O377" s="9" t="str">
        <f>IF(COUNTBLANK($A377:$E377)&gt;0, "", IFERROR(_xlfn.MAXIFS(Log!$G:$G, Log!$A:$A, $A377, Log!$B:$B, $B377, Log!$C:$C, $C377),""))</f>
        <v/>
      </c>
    </row>
    <row r="378" spans="2:15" x14ac:dyDescent="0.3">
      <c r="B378" s="8" t="s">
        <v>117</v>
      </c>
      <c r="C378" s="66">
        <v>0</v>
      </c>
      <c r="H378" s="14" t="str">
        <f>IF(COUNTBLANK($A378:$E378)&gt;0, "", IFERROR(AVERAGEIFS(Log!$E:$E, Log!$A:$A, $A378, Log!$B:$B, $B378, Log!$C:$C, $C378),""))</f>
        <v/>
      </c>
      <c r="I378" s="64" t="str">
        <f t="shared" si="5"/>
        <v/>
      </c>
      <c r="J378" s="9" t="str">
        <f>IF(COUNTBLANK($A378:$E378)&gt;0, "", IFERROR(AVERAGEIFS(Log!$H:$H, Log!$A:$A, $A378, Log!$B:$B, $B378, Log!$C:$C, $C378),""))</f>
        <v/>
      </c>
      <c r="K378" s="9" t="str">
        <f>IF(COUNTBLANK($A378:$E378)&gt;0, "", IFERROR(_xlfn.MINIFS(Log!$F:$F, Log!$A:$A, $A378, Log!$B:$B, $B378, Log!$C:$C, $C378),""))</f>
        <v/>
      </c>
      <c r="L378" s="9" t="str">
        <f>IF(COUNTBLANK($A378:$E378)&gt;0, "", IFERROR(_xlfn.MAXIFS(Log!$F:$F, Log!$A:$A, $A378, Log!$B:$B, $B378, Log!$C:$C, $C378),""))</f>
        <v/>
      </c>
      <c r="M378" s="9" t="str">
        <f>IF(COUNTBLANK($A378:$E378)&gt;0, "", IFERROR(AVERAGEIFS(Log!$I:$I, Log!$A:$A, $A378, Log!$B:$B, $B378, Log!$C:$C, $C378),""))</f>
        <v/>
      </c>
      <c r="N378" s="9" t="str">
        <f>IF(COUNTBLANK($A378:$E378)&gt;0, "", IFERROR(_xlfn.MINIFS(Log!$G:$G, Log!$A:$A, $A378, Log!$B:$B, $B378, Log!$C:$C, $C378),""))</f>
        <v/>
      </c>
      <c r="O378" s="9" t="str">
        <f>IF(COUNTBLANK($A378:$E378)&gt;0, "", IFERROR(_xlfn.MAXIFS(Log!$G:$G, Log!$A:$A, $A378, Log!$B:$B, $B378, Log!$C:$C, $C378),""))</f>
        <v/>
      </c>
    </row>
    <row r="379" spans="2:15" x14ac:dyDescent="0.3">
      <c r="B379" s="8" t="s">
        <v>117</v>
      </c>
      <c r="C379" s="66">
        <v>0</v>
      </c>
      <c r="H379" s="14" t="str">
        <f>IF(COUNTBLANK($A379:$E379)&gt;0, "", IFERROR(AVERAGEIFS(Log!$E:$E, Log!$A:$A, $A379, Log!$B:$B, $B379, Log!$C:$C, $C379),""))</f>
        <v/>
      </c>
      <c r="I379" s="64" t="str">
        <f t="shared" si="5"/>
        <v/>
      </c>
      <c r="J379" s="9" t="str">
        <f>IF(COUNTBLANK($A379:$E379)&gt;0, "", IFERROR(AVERAGEIFS(Log!$H:$H, Log!$A:$A, $A379, Log!$B:$B, $B379, Log!$C:$C, $C379),""))</f>
        <v/>
      </c>
      <c r="K379" s="9" t="str">
        <f>IF(COUNTBLANK($A379:$E379)&gt;0, "", IFERROR(_xlfn.MINIFS(Log!$F:$F, Log!$A:$A, $A379, Log!$B:$B, $B379, Log!$C:$C, $C379),""))</f>
        <v/>
      </c>
      <c r="L379" s="9" t="str">
        <f>IF(COUNTBLANK($A379:$E379)&gt;0, "", IFERROR(_xlfn.MAXIFS(Log!$F:$F, Log!$A:$A, $A379, Log!$B:$B, $B379, Log!$C:$C, $C379),""))</f>
        <v/>
      </c>
      <c r="M379" s="9" t="str">
        <f>IF(COUNTBLANK($A379:$E379)&gt;0, "", IFERROR(AVERAGEIFS(Log!$I:$I, Log!$A:$A, $A379, Log!$B:$B, $B379, Log!$C:$C, $C379),""))</f>
        <v/>
      </c>
      <c r="N379" s="9" t="str">
        <f>IF(COUNTBLANK($A379:$E379)&gt;0, "", IFERROR(_xlfn.MINIFS(Log!$G:$G, Log!$A:$A, $A379, Log!$B:$B, $B379, Log!$C:$C, $C379),""))</f>
        <v/>
      </c>
      <c r="O379" s="9" t="str">
        <f>IF(COUNTBLANK($A379:$E379)&gt;0, "", IFERROR(_xlfn.MAXIFS(Log!$G:$G, Log!$A:$A, $A379, Log!$B:$B, $B379, Log!$C:$C, $C379),""))</f>
        <v/>
      </c>
    </row>
    <row r="380" spans="2:15" x14ac:dyDescent="0.3">
      <c r="B380" s="8" t="s">
        <v>117</v>
      </c>
      <c r="C380" s="66">
        <v>0</v>
      </c>
      <c r="H380" s="14" t="str">
        <f>IF(COUNTBLANK($A380:$E380)&gt;0, "", IFERROR(AVERAGEIFS(Log!$E:$E, Log!$A:$A, $A380, Log!$B:$B, $B380, Log!$C:$C, $C380),""))</f>
        <v/>
      </c>
      <c r="I380" s="64" t="str">
        <f t="shared" si="5"/>
        <v/>
      </c>
      <c r="J380" s="9" t="str">
        <f>IF(COUNTBLANK($A380:$E380)&gt;0, "", IFERROR(AVERAGEIFS(Log!$H:$H, Log!$A:$A, $A380, Log!$B:$B, $B380, Log!$C:$C, $C380),""))</f>
        <v/>
      </c>
      <c r="K380" s="9" t="str">
        <f>IF(COUNTBLANK($A380:$E380)&gt;0, "", IFERROR(_xlfn.MINIFS(Log!$F:$F, Log!$A:$A, $A380, Log!$B:$B, $B380, Log!$C:$C, $C380),""))</f>
        <v/>
      </c>
      <c r="L380" s="9" t="str">
        <f>IF(COUNTBLANK($A380:$E380)&gt;0, "", IFERROR(_xlfn.MAXIFS(Log!$F:$F, Log!$A:$A, $A380, Log!$B:$B, $B380, Log!$C:$C, $C380),""))</f>
        <v/>
      </c>
      <c r="M380" s="9" t="str">
        <f>IF(COUNTBLANK($A380:$E380)&gt;0, "", IFERROR(AVERAGEIFS(Log!$I:$I, Log!$A:$A, $A380, Log!$B:$B, $B380, Log!$C:$C, $C380),""))</f>
        <v/>
      </c>
      <c r="N380" s="9" t="str">
        <f>IF(COUNTBLANK($A380:$E380)&gt;0, "", IFERROR(_xlfn.MINIFS(Log!$G:$G, Log!$A:$A, $A380, Log!$B:$B, $B380, Log!$C:$C, $C380),""))</f>
        <v/>
      </c>
      <c r="O380" s="9" t="str">
        <f>IF(COUNTBLANK($A380:$E380)&gt;0, "", IFERROR(_xlfn.MAXIFS(Log!$G:$G, Log!$A:$A, $A380, Log!$B:$B, $B380, Log!$C:$C, $C380),""))</f>
        <v/>
      </c>
    </row>
    <row r="381" spans="2:15" x14ac:dyDescent="0.3">
      <c r="B381" s="8" t="s">
        <v>117</v>
      </c>
      <c r="C381" s="66">
        <v>0</v>
      </c>
      <c r="H381" s="14" t="str">
        <f>IF(COUNTBLANK($A381:$E381)&gt;0, "", IFERROR(AVERAGEIFS(Log!$E:$E, Log!$A:$A, $A381, Log!$B:$B, $B381, Log!$C:$C, $C381),""))</f>
        <v/>
      </c>
      <c r="I381" s="64" t="str">
        <f t="shared" si="5"/>
        <v/>
      </c>
      <c r="J381" s="9" t="str">
        <f>IF(COUNTBLANK($A381:$E381)&gt;0, "", IFERROR(AVERAGEIFS(Log!$H:$H, Log!$A:$A, $A381, Log!$B:$B, $B381, Log!$C:$C, $C381),""))</f>
        <v/>
      </c>
      <c r="K381" s="9" t="str">
        <f>IF(COUNTBLANK($A381:$E381)&gt;0, "", IFERROR(_xlfn.MINIFS(Log!$F:$F, Log!$A:$A, $A381, Log!$B:$B, $B381, Log!$C:$C, $C381),""))</f>
        <v/>
      </c>
      <c r="L381" s="9" t="str">
        <f>IF(COUNTBLANK($A381:$E381)&gt;0, "", IFERROR(_xlfn.MAXIFS(Log!$F:$F, Log!$A:$A, $A381, Log!$B:$B, $B381, Log!$C:$C, $C381),""))</f>
        <v/>
      </c>
      <c r="M381" s="9" t="str">
        <f>IF(COUNTBLANK($A381:$E381)&gt;0, "", IFERROR(AVERAGEIFS(Log!$I:$I, Log!$A:$A, $A381, Log!$B:$B, $B381, Log!$C:$C, $C381),""))</f>
        <v/>
      </c>
      <c r="N381" s="9" t="str">
        <f>IF(COUNTBLANK($A381:$E381)&gt;0, "", IFERROR(_xlfn.MINIFS(Log!$G:$G, Log!$A:$A, $A381, Log!$B:$B, $B381, Log!$C:$C, $C381),""))</f>
        <v/>
      </c>
      <c r="O381" s="9" t="str">
        <f>IF(COUNTBLANK($A381:$E381)&gt;0, "", IFERROR(_xlfn.MAXIFS(Log!$G:$G, Log!$A:$A, $A381, Log!$B:$B, $B381, Log!$C:$C, $C381),""))</f>
        <v/>
      </c>
    </row>
    <row r="382" spans="2:15" x14ac:dyDescent="0.3">
      <c r="B382" s="8" t="s">
        <v>117</v>
      </c>
      <c r="C382" s="66">
        <v>0</v>
      </c>
      <c r="H382" s="14" t="str">
        <f>IF(COUNTBLANK($A382:$E382)&gt;0, "", IFERROR(AVERAGEIFS(Log!$E:$E, Log!$A:$A, $A382, Log!$B:$B, $B382, Log!$C:$C, $C382),""))</f>
        <v/>
      </c>
      <c r="I382" s="64" t="str">
        <f t="shared" si="5"/>
        <v/>
      </c>
      <c r="J382" s="9" t="str">
        <f>IF(COUNTBLANK($A382:$E382)&gt;0, "", IFERROR(AVERAGEIFS(Log!$H:$H, Log!$A:$A, $A382, Log!$B:$B, $B382, Log!$C:$C, $C382),""))</f>
        <v/>
      </c>
      <c r="K382" s="9" t="str">
        <f>IF(COUNTBLANK($A382:$E382)&gt;0, "", IFERROR(_xlfn.MINIFS(Log!$F:$F, Log!$A:$A, $A382, Log!$B:$B, $B382, Log!$C:$C, $C382),""))</f>
        <v/>
      </c>
      <c r="L382" s="9" t="str">
        <f>IF(COUNTBLANK($A382:$E382)&gt;0, "", IFERROR(_xlfn.MAXIFS(Log!$F:$F, Log!$A:$A, $A382, Log!$B:$B, $B382, Log!$C:$C, $C382),""))</f>
        <v/>
      </c>
      <c r="M382" s="9" t="str">
        <f>IF(COUNTBLANK($A382:$E382)&gt;0, "", IFERROR(AVERAGEIFS(Log!$I:$I, Log!$A:$A, $A382, Log!$B:$B, $B382, Log!$C:$C, $C382),""))</f>
        <v/>
      </c>
      <c r="N382" s="9" t="str">
        <f>IF(COUNTBLANK($A382:$E382)&gt;0, "", IFERROR(_xlfn.MINIFS(Log!$G:$G, Log!$A:$A, $A382, Log!$B:$B, $B382, Log!$C:$C, $C382),""))</f>
        <v/>
      </c>
      <c r="O382" s="9" t="str">
        <f>IF(COUNTBLANK($A382:$E382)&gt;0, "", IFERROR(_xlfn.MAXIFS(Log!$G:$G, Log!$A:$A, $A382, Log!$B:$B, $B382, Log!$C:$C, $C382),""))</f>
        <v/>
      </c>
    </row>
    <row r="383" spans="2:15" x14ac:dyDescent="0.3">
      <c r="B383" s="8" t="s">
        <v>117</v>
      </c>
      <c r="C383" s="66">
        <v>0</v>
      </c>
      <c r="H383" s="14" t="str">
        <f>IF(COUNTBLANK($A383:$E383)&gt;0, "", IFERROR(AVERAGEIFS(Log!$E:$E, Log!$A:$A, $A383, Log!$B:$B, $B383, Log!$C:$C, $C383),""))</f>
        <v/>
      </c>
      <c r="I383" s="64" t="str">
        <f t="shared" si="5"/>
        <v/>
      </c>
      <c r="J383" s="9" t="str">
        <f>IF(COUNTBLANK($A383:$E383)&gt;0, "", IFERROR(AVERAGEIFS(Log!$H:$H, Log!$A:$A, $A383, Log!$B:$B, $B383, Log!$C:$C, $C383),""))</f>
        <v/>
      </c>
      <c r="K383" s="9" t="str">
        <f>IF(COUNTBLANK($A383:$E383)&gt;0, "", IFERROR(_xlfn.MINIFS(Log!$F:$F, Log!$A:$A, $A383, Log!$B:$B, $B383, Log!$C:$C, $C383),""))</f>
        <v/>
      </c>
      <c r="L383" s="9" t="str">
        <f>IF(COUNTBLANK($A383:$E383)&gt;0, "", IFERROR(_xlfn.MAXIFS(Log!$F:$F, Log!$A:$A, $A383, Log!$B:$B, $B383, Log!$C:$C, $C383),""))</f>
        <v/>
      </c>
      <c r="M383" s="9" t="str">
        <f>IF(COUNTBLANK($A383:$E383)&gt;0, "", IFERROR(AVERAGEIFS(Log!$I:$I, Log!$A:$A, $A383, Log!$B:$B, $B383, Log!$C:$C, $C383),""))</f>
        <v/>
      </c>
      <c r="N383" s="9" t="str">
        <f>IF(COUNTBLANK($A383:$E383)&gt;0, "", IFERROR(_xlfn.MINIFS(Log!$G:$G, Log!$A:$A, $A383, Log!$B:$B, $B383, Log!$C:$C, $C383),""))</f>
        <v/>
      </c>
      <c r="O383" s="9" t="str">
        <f>IF(COUNTBLANK($A383:$E383)&gt;0, "", IFERROR(_xlfn.MAXIFS(Log!$G:$G, Log!$A:$A, $A383, Log!$B:$B, $B383, Log!$C:$C, $C383),""))</f>
        <v/>
      </c>
    </row>
    <row r="384" spans="2:15" x14ac:dyDescent="0.3">
      <c r="B384" s="8" t="s">
        <v>117</v>
      </c>
      <c r="C384" s="66">
        <v>0</v>
      </c>
      <c r="H384" s="14" t="str">
        <f>IF(COUNTBLANK($A384:$E384)&gt;0, "", IFERROR(AVERAGEIFS(Log!$E:$E, Log!$A:$A, $A384, Log!$B:$B, $B384, Log!$C:$C, $C384),""))</f>
        <v/>
      </c>
      <c r="I384" s="64" t="str">
        <f t="shared" si="5"/>
        <v/>
      </c>
      <c r="J384" s="9" t="str">
        <f>IF(COUNTBLANK($A384:$E384)&gt;0, "", IFERROR(AVERAGEIFS(Log!$H:$H, Log!$A:$A, $A384, Log!$B:$B, $B384, Log!$C:$C, $C384),""))</f>
        <v/>
      </c>
      <c r="K384" s="9" t="str">
        <f>IF(COUNTBLANK($A384:$E384)&gt;0, "", IFERROR(_xlfn.MINIFS(Log!$F:$F, Log!$A:$A, $A384, Log!$B:$B, $B384, Log!$C:$C, $C384),""))</f>
        <v/>
      </c>
      <c r="L384" s="9" t="str">
        <f>IF(COUNTBLANK($A384:$E384)&gt;0, "", IFERROR(_xlfn.MAXIFS(Log!$F:$F, Log!$A:$A, $A384, Log!$B:$B, $B384, Log!$C:$C, $C384),""))</f>
        <v/>
      </c>
      <c r="M384" s="9" t="str">
        <f>IF(COUNTBLANK($A384:$E384)&gt;0, "", IFERROR(AVERAGEIFS(Log!$I:$I, Log!$A:$A, $A384, Log!$B:$B, $B384, Log!$C:$C, $C384),""))</f>
        <v/>
      </c>
      <c r="N384" s="9" t="str">
        <f>IF(COUNTBLANK($A384:$E384)&gt;0, "", IFERROR(_xlfn.MINIFS(Log!$G:$G, Log!$A:$A, $A384, Log!$B:$B, $B384, Log!$C:$C, $C384),""))</f>
        <v/>
      </c>
      <c r="O384" s="9" t="str">
        <f>IF(COUNTBLANK($A384:$E384)&gt;0, "", IFERROR(_xlfn.MAXIFS(Log!$G:$G, Log!$A:$A, $A384, Log!$B:$B, $B384, Log!$C:$C, $C384),""))</f>
        <v/>
      </c>
    </row>
    <row r="385" spans="2:15" x14ac:dyDescent="0.3">
      <c r="B385" s="8" t="s">
        <v>117</v>
      </c>
      <c r="C385" s="66">
        <v>0</v>
      </c>
      <c r="H385" s="14" t="str">
        <f>IF(COUNTBLANK($A385:$E385)&gt;0, "", IFERROR(AVERAGEIFS(Log!$E:$E, Log!$A:$A, $A385, Log!$B:$B, $B385, Log!$C:$C, $C385),""))</f>
        <v/>
      </c>
      <c r="I385" s="64" t="str">
        <f t="shared" si="5"/>
        <v/>
      </c>
      <c r="J385" s="9" t="str">
        <f>IF(COUNTBLANK($A385:$E385)&gt;0, "", IFERROR(AVERAGEIFS(Log!$H:$H, Log!$A:$A, $A385, Log!$B:$B, $B385, Log!$C:$C, $C385),""))</f>
        <v/>
      </c>
      <c r="K385" s="9" t="str">
        <f>IF(COUNTBLANK($A385:$E385)&gt;0, "", IFERROR(_xlfn.MINIFS(Log!$F:$F, Log!$A:$A, $A385, Log!$B:$B, $B385, Log!$C:$C, $C385),""))</f>
        <v/>
      </c>
      <c r="L385" s="9" t="str">
        <f>IF(COUNTBLANK($A385:$E385)&gt;0, "", IFERROR(_xlfn.MAXIFS(Log!$F:$F, Log!$A:$A, $A385, Log!$B:$B, $B385, Log!$C:$C, $C385),""))</f>
        <v/>
      </c>
      <c r="M385" s="9" t="str">
        <f>IF(COUNTBLANK($A385:$E385)&gt;0, "", IFERROR(AVERAGEIFS(Log!$I:$I, Log!$A:$A, $A385, Log!$B:$B, $B385, Log!$C:$C, $C385),""))</f>
        <v/>
      </c>
      <c r="N385" s="9" t="str">
        <f>IF(COUNTBLANK($A385:$E385)&gt;0, "", IFERROR(_xlfn.MINIFS(Log!$G:$G, Log!$A:$A, $A385, Log!$B:$B, $B385, Log!$C:$C, $C385),""))</f>
        <v/>
      </c>
      <c r="O385" s="9" t="str">
        <f>IF(COUNTBLANK($A385:$E385)&gt;0, "", IFERROR(_xlfn.MAXIFS(Log!$G:$G, Log!$A:$A, $A385, Log!$B:$B, $B385, Log!$C:$C, $C385),""))</f>
        <v/>
      </c>
    </row>
    <row r="386" spans="2:15" x14ac:dyDescent="0.3">
      <c r="B386" s="8" t="s">
        <v>117</v>
      </c>
      <c r="C386" s="66">
        <v>0</v>
      </c>
      <c r="H386" s="14" t="str">
        <f>IF(COUNTBLANK($A386:$E386)&gt;0, "", IFERROR(AVERAGEIFS(Log!$E:$E, Log!$A:$A, $A386, Log!$B:$B, $B386, Log!$C:$C, $C386),""))</f>
        <v/>
      </c>
      <c r="I386" s="64" t="str">
        <f t="shared" si="5"/>
        <v/>
      </c>
      <c r="J386" s="9" t="str">
        <f>IF(COUNTBLANK($A386:$E386)&gt;0, "", IFERROR(AVERAGEIFS(Log!$H:$H, Log!$A:$A, $A386, Log!$B:$B, $B386, Log!$C:$C, $C386),""))</f>
        <v/>
      </c>
      <c r="K386" s="9" t="str">
        <f>IF(COUNTBLANK($A386:$E386)&gt;0, "", IFERROR(_xlfn.MINIFS(Log!$F:$F, Log!$A:$A, $A386, Log!$B:$B, $B386, Log!$C:$C, $C386),""))</f>
        <v/>
      </c>
      <c r="L386" s="9" t="str">
        <f>IF(COUNTBLANK($A386:$E386)&gt;0, "", IFERROR(_xlfn.MAXIFS(Log!$F:$F, Log!$A:$A, $A386, Log!$B:$B, $B386, Log!$C:$C, $C386),""))</f>
        <v/>
      </c>
      <c r="M386" s="9" t="str">
        <f>IF(COUNTBLANK($A386:$E386)&gt;0, "", IFERROR(AVERAGEIFS(Log!$I:$I, Log!$A:$A, $A386, Log!$B:$B, $B386, Log!$C:$C, $C386),""))</f>
        <v/>
      </c>
      <c r="N386" s="9" t="str">
        <f>IF(COUNTBLANK($A386:$E386)&gt;0, "", IFERROR(_xlfn.MINIFS(Log!$G:$G, Log!$A:$A, $A386, Log!$B:$B, $B386, Log!$C:$C, $C386),""))</f>
        <v/>
      </c>
      <c r="O386" s="9" t="str">
        <f>IF(COUNTBLANK($A386:$E386)&gt;0, "", IFERROR(_xlfn.MAXIFS(Log!$G:$G, Log!$A:$A, $A386, Log!$B:$B, $B386, Log!$C:$C, $C386),""))</f>
        <v/>
      </c>
    </row>
    <row r="387" spans="2:15" x14ac:dyDescent="0.3">
      <c r="B387" s="8" t="s">
        <v>117</v>
      </c>
      <c r="C387" s="66">
        <v>0</v>
      </c>
      <c r="H387" s="14" t="str">
        <f>IF(COUNTBLANK($A387:$E387)&gt;0, "", IFERROR(AVERAGEIFS(Log!$E:$E, Log!$A:$A, $A387, Log!$B:$B, $B387, Log!$C:$C, $C387),""))</f>
        <v/>
      </c>
      <c r="I387" s="64" t="str">
        <f t="shared" si="5"/>
        <v/>
      </c>
      <c r="J387" s="9" t="str">
        <f>IF(COUNTBLANK($A387:$E387)&gt;0, "", IFERROR(AVERAGEIFS(Log!$H:$H, Log!$A:$A, $A387, Log!$B:$B, $B387, Log!$C:$C, $C387),""))</f>
        <v/>
      </c>
      <c r="K387" s="9" t="str">
        <f>IF(COUNTBLANK($A387:$E387)&gt;0, "", IFERROR(_xlfn.MINIFS(Log!$F:$F, Log!$A:$A, $A387, Log!$B:$B, $B387, Log!$C:$C, $C387),""))</f>
        <v/>
      </c>
      <c r="L387" s="9" t="str">
        <f>IF(COUNTBLANK($A387:$E387)&gt;0, "", IFERROR(_xlfn.MAXIFS(Log!$F:$F, Log!$A:$A, $A387, Log!$B:$B, $B387, Log!$C:$C, $C387),""))</f>
        <v/>
      </c>
      <c r="M387" s="9" t="str">
        <f>IF(COUNTBLANK($A387:$E387)&gt;0, "", IFERROR(AVERAGEIFS(Log!$I:$I, Log!$A:$A, $A387, Log!$B:$B, $B387, Log!$C:$C, $C387),""))</f>
        <v/>
      </c>
      <c r="N387" s="9" t="str">
        <f>IF(COUNTBLANK($A387:$E387)&gt;0, "", IFERROR(_xlfn.MINIFS(Log!$G:$G, Log!$A:$A, $A387, Log!$B:$B, $B387, Log!$C:$C, $C387),""))</f>
        <v/>
      </c>
      <c r="O387" s="9" t="str">
        <f>IF(COUNTBLANK($A387:$E387)&gt;0, "", IFERROR(_xlfn.MAXIFS(Log!$G:$G, Log!$A:$A, $A387, Log!$B:$B, $B387, Log!$C:$C, $C387),""))</f>
        <v/>
      </c>
    </row>
    <row r="388" spans="2:15" x14ac:dyDescent="0.3">
      <c r="B388" s="8" t="s">
        <v>117</v>
      </c>
      <c r="C388" s="66">
        <v>0</v>
      </c>
      <c r="H388" s="14" t="str">
        <f>IF(COUNTBLANK($A388:$E388)&gt;0, "", IFERROR(AVERAGEIFS(Log!$E:$E, Log!$A:$A, $A388, Log!$B:$B, $B388, Log!$C:$C, $C388),""))</f>
        <v/>
      </c>
      <c r="I388" s="64" t="str">
        <f t="shared" si="5"/>
        <v/>
      </c>
      <c r="J388" s="9" t="str">
        <f>IF(COUNTBLANK($A388:$E388)&gt;0, "", IFERROR(AVERAGEIFS(Log!$H:$H, Log!$A:$A, $A388, Log!$B:$B, $B388, Log!$C:$C, $C388),""))</f>
        <v/>
      </c>
      <c r="K388" s="9" t="str">
        <f>IF(COUNTBLANK($A388:$E388)&gt;0, "", IFERROR(_xlfn.MINIFS(Log!$F:$F, Log!$A:$A, $A388, Log!$B:$B, $B388, Log!$C:$C, $C388),""))</f>
        <v/>
      </c>
      <c r="L388" s="9" t="str">
        <f>IF(COUNTBLANK($A388:$E388)&gt;0, "", IFERROR(_xlfn.MAXIFS(Log!$F:$F, Log!$A:$A, $A388, Log!$B:$B, $B388, Log!$C:$C, $C388),""))</f>
        <v/>
      </c>
      <c r="M388" s="9" t="str">
        <f>IF(COUNTBLANK($A388:$E388)&gt;0, "", IFERROR(AVERAGEIFS(Log!$I:$I, Log!$A:$A, $A388, Log!$B:$B, $B388, Log!$C:$C, $C388),""))</f>
        <v/>
      </c>
      <c r="N388" s="9" t="str">
        <f>IF(COUNTBLANK($A388:$E388)&gt;0, "", IFERROR(_xlfn.MINIFS(Log!$G:$G, Log!$A:$A, $A388, Log!$B:$B, $B388, Log!$C:$C, $C388),""))</f>
        <v/>
      </c>
      <c r="O388" s="9" t="str">
        <f>IF(COUNTBLANK($A388:$E388)&gt;0, "", IFERROR(_xlfn.MAXIFS(Log!$G:$G, Log!$A:$A, $A388, Log!$B:$B, $B388, Log!$C:$C, $C388),""))</f>
        <v/>
      </c>
    </row>
    <row r="389" spans="2:15" x14ac:dyDescent="0.3">
      <c r="B389" s="8" t="s">
        <v>117</v>
      </c>
      <c r="C389" s="66">
        <v>0</v>
      </c>
      <c r="H389" s="14" t="str">
        <f>IF(COUNTBLANK($A389:$E389)&gt;0, "", IFERROR(AVERAGEIFS(Log!$E:$E, Log!$A:$A, $A389, Log!$B:$B, $B389, Log!$C:$C, $C389),""))</f>
        <v/>
      </c>
      <c r="I389" s="64" t="str">
        <f t="shared" si="5"/>
        <v/>
      </c>
      <c r="J389" s="9" t="str">
        <f>IF(COUNTBLANK($A389:$E389)&gt;0, "", IFERROR(AVERAGEIFS(Log!$H:$H, Log!$A:$A, $A389, Log!$B:$B, $B389, Log!$C:$C, $C389),""))</f>
        <v/>
      </c>
      <c r="K389" s="9" t="str">
        <f>IF(COUNTBLANK($A389:$E389)&gt;0, "", IFERROR(_xlfn.MINIFS(Log!$F:$F, Log!$A:$A, $A389, Log!$B:$B, $B389, Log!$C:$C, $C389),""))</f>
        <v/>
      </c>
      <c r="L389" s="9" t="str">
        <f>IF(COUNTBLANK($A389:$E389)&gt;0, "", IFERROR(_xlfn.MAXIFS(Log!$F:$F, Log!$A:$A, $A389, Log!$B:$B, $B389, Log!$C:$C, $C389),""))</f>
        <v/>
      </c>
      <c r="M389" s="9" t="str">
        <f>IF(COUNTBLANK($A389:$E389)&gt;0, "", IFERROR(AVERAGEIFS(Log!$I:$I, Log!$A:$A, $A389, Log!$B:$B, $B389, Log!$C:$C, $C389),""))</f>
        <v/>
      </c>
      <c r="N389" s="9" t="str">
        <f>IF(COUNTBLANK($A389:$E389)&gt;0, "", IFERROR(_xlfn.MINIFS(Log!$G:$G, Log!$A:$A, $A389, Log!$B:$B, $B389, Log!$C:$C, $C389),""))</f>
        <v/>
      </c>
      <c r="O389" s="9" t="str">
        <f>IF(COUNTBLANK($A389:$E389)&gt;0, "", IFERROR(_xlfn.MAXIFS(Log!$G:$G, Log!$A:$A, $A389, Log!$B:$B, $B389, Log!$C:$C, $C389),""))</f>
        <v/>
      </c>
    </row>
    <row r="390" spans="2:15" x14ac:dyDescent="0.3">
      <c r="B390" s="8" t="s">
        <v>117</v>
      </c>
      <c r="C390" s="66">
        <v>0</v>
      </c>
      <c r="H390" s="14" t="str">
        <f>IF(COUNTBLANK($A390:$E390)&gt;0, "", IFERROR(AVERAGEIFS(Log!$E:$E, Log!$A:$A, $A390, Log!$B:$B, $B390, Log!$C:$C, $C390),""))</f>
        <v/>
      </c>
      <c r="I390" s="64" t="str">
        <f t="shared" ref="I390:I407" si="6">IF(AND($H390&lt;&gt;"", $G390&lt;&gt;""), $H390/$G390, "")</f>
        <v/>
      </c>
      <c r="J390" s="9" t="str">
        <f>IF(COUNTBLANK($A390:$E390)&gt;0, "", IFERROR(AVERAGEIFS(Log!$H:$H, Log!$A:$A, $A390, Log!$B:$B, $B390, Log!$C:$C, $C390),""))</f>
        <v/>
      </c>
      <c r="K390" s="9" t="str">
        <f>IF(COUNTBLANK($A390:$E390)&gt;0, "", IFERROR(_xlfn.MINIFS(Log!$F:$F, Log!$A:$A, $A390, Log!$B:$B, $B390, Log!$C:$C, $C390),""))</f>
        <v/>
      </c>
      <c r="L390" s="9" t="str">
        <f>IF(COUNTBLANK($A390:$E390)&gt;0, "", IFERROR(_xlfn.MAXIFS(Log!$F:$F, Log!$A:$A, $A390, Log!$B:$B, $B390, Log!$C:$C, $C390),""))</f>
        <v/>
      </c>
      <c r="M390" s="9" t="str">
        <f>IF(COUNTBLANK($A390:$E390)&gt;0, "", IFERROR(AVERAGEIFS(Log!$I:$I, Log!$A:$A, $A390, Log!$B:$B, $B390, Log!$C:$C, $C390),""))</f>
        <v/>
      </c>
      <c r="N390" s="9" t="str">
        <f>IF(COUNTBLANK($A390:$E390)&gt;0, "", IFERROR(_xlfn.MINIFS(Log!$G:$G, Log!$A:$A, $A390, Log!$B:$B, $B390, Log!$C:$C, $C390),""))</f>
        <v/>
      </c>
      <c r="O390" s="9" t="str">
        <f>IF(COUNTBLANK($A390:$E390)&gt;0, "", IFERROR(_xlfn.MAXIFS(Log!$G:$G, Log!$A:$A, $A390, Log!$B:$B, $B390, Log!$C:$C, $C390),""))</f>
        <v/>
      </c>
    </row>
    <row r="391" spans="2:15" x14ac:dyDescent="0.3">
      <c r="B391" s="8" t="s">
        <v>117</v>
      </c>
      <c r="C391" s="66">
        <v>0</v>
      </c>
      <c r="H391" s="14" t="str">
        <f>IF(COUNTBLANK($A391:$E391)&gt;0, "", IFERROR(AVERAGEIFS(Log!$E:$E, Log!$A:$A, $A391, Log!$B:$B, $B391, Log!$C:$C, $C391),""))</f>
        <v/>
      </c>
      <c r="I391" s="64" t="str">
        <f t="shared" si="6"/>
        <v/>
      </c>
      <c r="J391" s="9" t="str">
        <f>IF(COUNTBLANK($A391:$E391)&gt;0, "", IFERROR(AVERAGEIFS(Log!$H:$H, Log!$A:$A, $A391, Log!$B:$B, $B391, Log!$C:$C, $C391),""))</f>
        <v/>
      </c>
      <c r="K391" s="9" t="str">
        <f>IF(COUNTBLANK($A391:$E391)&gt;0, "", IFERROR(_xlfn.MINIFS(Log!$F:$F, Log!$A:$A, $A391, Log!$B:$B, $B391, Log!$C:$C, $C391),""))</f>
        <v/>
      </c>
      <c r="L391" s="9" t="str">
        <f>IF(COUNTBLANK($A391:$E391)&gt;0, "", IFERROR(_xlfn.MAXIFS(Log!$F:$F, Log!$A:$A, $A391, Log!$B:$B, $B391, Log!$C:$C, $C391),""))</f>
        <v/>
      </c>
      <c r="M391" s="9" t="str">
        <f>IF(COUNTBLANK($A391:$E391)&gt;0, "", IFERROR(AVERAGEIFS(Log!$I:$I, Log!$A:$A, $A391, Log!$B:$B, $B391, Log!$C:$C, $C391),""))</f>
        <v/>
      </c>
      <c r="N391" s="9" t="str">
        <f>IF(COUNTBLANK($A391:$E391)&gt;0, "", IFERROR(_xlfn.MINIFS(Log!$G:$G, Log!$A:$A, $A391, Log!$B:$B, $B391, Log!$C:$C, $C391),""))</f>
        <v/>
      </c>
      <c r="O391" s="9" t="str">
        <f>IF(COUNTBLANK($A391:$E391)&gt;0, "", IFERROR(_xlfn.MAXIFS(Log!$G:$G, Log!$A:$A, $A391, Log!$B:$B, $B391, Log!$C:$C, $C391),""))</f>
        <v/>
      </c>
    </row>
    <row r="392" spans="2:15" x14ac:dyDescent="0.3">
      <c r="B392" s="8" t="s">
        <v>117</v>
      </c>
      <c r="C392" s="66">
        <v>0</v>
      </c>
      <c r="H392" s="14" t="str">
        <f>IF(COUNTBLANK($A392:$E392)&gt;0, "", IFERROR(AVERAGEIFS(Log!$E:$E, Log!$A:$A, $A392, Log!$B:$B, $B392, Log!$C:$C, $C392),""))</f>
        <v/>
      </c>
      <c r="I392" s="64" t="str">
        <f t="shared" si="6"/>
        <v/>
      </c>
      <c r="J392" s="9" t="str">
        <f>IF(COUNTBLANK($A392:$E392)&gt;0, "", IFERROR(AVERAGEIFS(Log!$H:$H, Log!$A:$A, $A392, Log!$B:$B, $B392, Log!$C:$C, $C392),""))</f>
        <v/>
      </c>
      <c r="K392" s="9" t="str">
        <f>IF(COUNTBLANK($A392:$E392)&gt;0, "", IFERROR(_xlfn.MINIFS(Log!$F:$F, Log!$A:$A, $A392, Log!$B:$B, $B392, Log!$C:$C, $C392),""))</f>
        <v/>
      </c>
      <c r="L392" s="9" t="str">
        <f>IF(COUNTBLANK($A392:$E392)&gt;0, "", IFERROR(_xlfn.MAXIFS(Log!$F:$F, Log!$A:$A, $A392, Log!$B:$B, $B392, Log!$C:$C, $C392),""))</f>
        <v/>
      </c>
      <c r="M392" s="9" t="str">
        <f>IF(COUNTBLANK($A392:$E392)&gt;0, "", IFERROR(AVERAGEIFS(Log!$I:$I, Log!$A:$A, $A392, Log!$B:$B, $B392, Log!$C:$C, $C392),""))</f>
        <v/>
      </c>
      <c r="N392" s="9" t="str">
        <f>IF(COUNTBLANK($A392:$E392)&gt;0, "", IFERROR(_xlfn.MINIFS(Log!$G:$G, Log!$A:$A, $A392, Log!$B:$B, $B392, Log!$C:$C, $C392),""))</f>
        <v/>
      </c>
      <c r="O392" s="9" t="str">
        <f>IF(COUNTBLANK($A392:$E392)&gt;0, "", IFERROR(_xlfn.MAXIFS(Log!$G:$G, Log!$A:$A, $A392, Log!$B:$B, $B392, Log!$C:$C, $C392),""))</f>
        <v/>
      </c>
    </row>
    <row r="393" spans="2:15" x14ac:dyDescent="0.3">
      <c r="B393" s="8" t="s">
        <v>117</v>
      </c>
      <c r="C393" s="66">
        <v>0</v>
      </c>
      <c r="H393" s="14" t="str">
        <f>IF(COUNTBLANK($A393:$E393)&gt;0, "", IFERROR(AVERAGEIFS(Log!$E:$E, Log!$A:$A, $A393, Log!$B:$B, $B393, Log!$C:$C, $C393),""))</f>
        <v/>
      </c>
      <c r="I393" s="64" t="str">
        <f t="shared" si="6"/>
        <v/>
      </c>
      <c r="J393" s="9" t="str">
        <f>IF(COUNTBLANK($A393:$E393)&gt;0, "", IFERROR(AVERAGEIFS(Log!$H:$H, Log!$A:$A, $A393, Log!$B:$B, $B393, Log!$C:$C, $C393),""))</f>
        <v/>
      </c>
      <c r="K393" s="9" t="str">
        <f>IF(COUNTBLANK($A393:$E393)&gt;0, "", IFERROR(_xlfn.MINIFS(Log!$F:$F, Log!$A:$A, $A393, Log!$B:$B, $B393, Log!$C:$C, $C393),""))</f>
        <v/>
      </c>
      <c r="L393" s="9" t="str">
        <f>IF(COUNTBLANK($A393:$E393)&gt;0, "", IFERROR(_xlfn.MAXIFS(Log!$F:$F, Log!$A:$A, $A393, Log!$B:$B, $B393, Log!$C:$C, $C393),""))</f>
        <v/>
      </c>
      <c r="M393" s="9" t="str">
        <f>IF(COUNTBLANK($A393:$E393)&gt;0, "", IFERROR(AVERAGEIFS(Log!$I:$I, Log!$A:$A, $A393, Log!$B:$B, $B393, Log!$C:$C, $C393),""))</f>
        <v/>
      </c>
      <c r="N393" s="9" t="str">
        <f>IF(COUNTBLANK($A393:$E393)&gt;0, "", IFERROR(_xlfn.MINIFS(Log!$G:$G, Log!$A:$A, $A393, Log!$B:$B, $B393, Log!$C:$C, $C393),""))</f>
        <v/>
      </c>
      <c r="O393" s="9" t="str">
        <f>IF(COUNTBLANK($A393:$E393)&gt;0, "", IFERROR(_xlfn.MAXIFS(Log!$G:$G, Log!$A:$A, $A393, Log!$B:$B, $B393, Log!$C:$C, $C393),""))</f>
        <v/>
      </c>
    </row>
    <row r="394" spans="2:15" x14ac:dyDescent="0.3">
      <c r="B394" s="8" t="s">
        <v>117</v>
      </c>
      <c r="C394" s="66">
        <v>0</v>
      </c>
      <c r="H394" s="14" t="str">
        <f>IF(COUNTBLANK($A394:$E394)&gt;0, "", IFERROR(AVERAGEIFS(Log!$E:$E, Log!$A:$A, $A394, Log!$B:$B, $B394, Log!$C:$C, $C394),""))</f>
        <v/>
      </c>
      <c r="I394" s="64" t="str">
        <f t="shared" si="6"/>
        <v/>
      </c>
      <c r="J394" s="9" t="str">
        <f>IF(COUNTBLANK($A394:$E394)&gt;0, "", IFERROR(AVERAGEIFS(Log!$H:$H, Log!$A:$A, $A394, Log!$B:$B, $B394, Log!$C:$C, $C394),""))</f>
        <v/>
      </c>
      <c r="K394" s="9" t="str">
        <f>IF(COUNTBLANK($A394:$E394)&gt;0, "", IFERROR(_xlfn.MINIFS(Log!$F:$F, Log!$A:$A, $A394, Log!$B:$B, $B394, Log!$C:$C, $C394),""))</f>
        <v/>
      </c>
      <c r="L394" s="9" t="str">
        <f>IF(COUNTBLANK($A394:$E394)&gt;0, "", IFERROR(_xlfn.MAXIFS(Log!$F:$F, Log!$A:$A, $A394, Log!$B:$B, $B394, Log!$C:$C, $C394),""))</f>
        <v/>
      </c>
      <c r="M394" s="9" t="str">
        <f>IF(COUNTBLANK($A394:$E394)&gt;0, "", IFERROR(AVERAGEIFS(Log!$I:$I, Log!$A:$A, $A394, Log!$B:$B, $B394, Log!$C:$C, $C394),""))</f>
        <v/>
      </c>
      <c r="N394" s="9" t="str">
        <f>IF(COUNTBLANK($A394:$E394)&gt;0, "", IFERROR(_xlfn.MINIFS(Log!$G:$G, Log!$A:$A, $A394, Log!$B:$B, $B394, Log!$C:$C, $C394),""))</f>
        <v/>
      </c>
      <c r="O394" s="9" t="str">
        <f>IF(COUNTBLANK($A394:$E394)&gt;0, "", IFERROR(_xlfn.MAXIFS(Log!$G:$G, Log!$A:$A, $A394, Log!$B:$B, $B394, Log!$C:$C, $C394),""))</f>
        <v/>
      </c>
    </row>
    <row r="395" spans="2:15" x14ac:dyDescent="0.3">
      <c r="B395" s="8" t="s">
        <v>117</v>
      </c>
      <c r="C395" s="66">
        <v>0</v>
      </c>
      <c r="H395" s="14" t="str">
        <f>IF(COUNTBLANK($A395:$E395)&gt;0, "", IFERROR(AVERAGEIFS(Log!$E:$E, Log!$A:$A, $A395, Log!$B:$B, $B395, Log!$C:$C, $C395),""))</f>
        <v/>
      </c>
      <c r="I395" s="64" t="str">
        <f t="shared" si="6"/>
        <v/>
      </c>
      <c r="J395" s="9" t="str">
        <f>IF(COUNTBLANK($A395:$E395)&gt;0, "", IFERROR(AVERAGEIFS(Log!$H:$H, Log!$A:$A, $A395, Log!$B:$B, $B395, Log!$C:$C, $C395),""))</f>
        <v/>
      </c>
      <c r="K395" s="9" t="str">
        <f>IF(COUNTBLANK($A395:$E395)&gt;0, "", IFERROR(_xlfn.MINIFS(Log!$F:$F, Log!$A:$A, $A395, Log!$B:$B, $B395, Log!$C:$C, $C395),""))</f>
        <v/>
      </c>
      <c r="L395" s="9" t="str">
        <f>IF(COUNTBLANK($A395:$E395)&gt;0, "", IFERROR(_xlfn.MAXIFS(Log!$F:$F, Log!$A:$A, $A395, Log!$B:$B, $B395, Log!$C:$C, $C395),""))</f>
        <v/>
      </c>
      <c r="M395" s="9" t="str">
        <f>IF(COUNTBLANK($A395:$E395)&gt;0, "", IFERROR(AVERAGEIFS(Log!$I:$I, Log!$A:$A, $A395, Log!$B:$B, $B395, Log!$C:$C, $C395),""))</f>
        <v/>
      </c>
      <c r="N395" s="9" t="str">
        <f>IF(COUNTBLANK($A395:$E395)&gt;0, "", IFERROR(_xlfn.MINIFS(Log!$G:$G, Log!$A:$A, $A395, Log!$B:$B, $B395, Log!$C:$C, $C395),""))</f>
        <v/>
      </c>
      <c r="O395" s="9" t="str">
        <f>IF(COUNTBLANK($A395:$E395)&gt;0, "", IFERROR(_xlfn.MAXIFS(Log!$G:$G, Log!$A:$A, $A395, Log!$B:$B, $B395, Log!$C:$C, $C395),""))</f>
        <v/>
      </c>
    </row>
    <row r="396" spans="2:15" x14ac:dyDescent="0.3">
      <c r="B396" s="8" t="s">
        <v>117</v>
      </c>
      <c r="C396" s="66">
        <v>0</v>
      </c>
      <c r="H396" s="14" t="str">
        <f>IF(COUNTBLANK($A396:$E396)&gt;0, "", IFERROR(AVERAGEIFS(Log!$E:$E, Log!$A:$A, $A396, Log!$B:$B, $B396, Log!$C:$C, $C396),""))</f>
        <v/>
      </c>
      <c r="I396" s="64" t="str">
        <f t="shared" si="6"/>
        <v/>
      </c>
      <c r="J396" s="9" t="str">
        <f>IF(COUNTBLANK($A396:$E396)&gt;0, "", IFERROR(AVERAGEIFS(Log!$H:$H, Log!$A:$A, $A396, Log!$B:$B, $B396, Log!$C:$C, $C396),""))</f>
        <v/>
      </c>
      <c r="K396" s="9" t="str">
        <f>IF(COUNTBLANK($A396:$E396)&gt;0, "", IFERROR(_xlfn.MINIFS(Log!$F:$F, Log!$A:$A, $A396, Log!$B:$B, $B396, Log!$C:$C, $C396),""))</f>
        <v/>
      </c>
      <c r="L396" s="9" t="str">
        <f>IF(COUNTBLANK($A396:$E396)&gt;0, "", IFERROR(_xlfn.MAXIFS(Log!$F:$F, Log!$A:$A, $A396, Log!$B:$B, $B396, Log!$C:$C, $C396),""))</f>
        <v/>
      </c>
      <c r="M396" s="9" t="str">
        <f>IF(COUNTBLANK($A396:$E396)&gt;0, "", IFERROR(AVERAGEIFS(Log!$I:$I, Log!$A:$A, $A396, Log!$B:$B, $B396, Log!$C:$C, $C396),""))</f>
        <v/>
      </c>
      <c r="N396" s="9" t="str">
        <f>IF(COUNTBLANK($A396:$E396)&gt;0, "", IFERROR(_xlfn.MINIFS(Log!$G:$G, Log!$A:$A, $A396, Log!$B:$B, $B396, Log!$C:$C, $C396),""))</f>
        <v/>
      </c>
      <c r="O396" s="9" t="str">
        <f>IF(COUNTBLANK($A396:$E396)&gt;0, "", IFERROR(_xlfn.MAXIFS(Log!$G:$G, Log!$A:$A, $A396, Log!$B:$B, $B396, Log!$C:$C, $C396),""))</f>
        <v/>
      </c>
    </row>
    <row r="397" spans="2:15" x14ac:dyDescent="0.3">
      <c r="B397" s="8" t="s">
        <v>117</v>
      </c>
      <c r="C397" s="66">
        <v>0</v>
      </c>
      <c r="H397" s="14" t="str">
        <f>IF(COUNTBLANK($A397:$E397)&gt;0, "", IFERROR(AVERAGEIFS(Log!$E:$E, Log!$A:$A, $A397, Log!$B:$B, $B397, Log!$C:$C, $C397),""))</f>
        <v/>
      </c>
      <c r="I397" s="64" t="str">
        <f t="shared" si="6"/>
        <v/>
      </c>
      <c r="J397" s="9" t="str">
        <f>IF(COUNTBLANK($A397:$E397)&gt;0, "", IFERROR(AVERAGEIFS(Log!$H:$H, Log!$A:$A, $A397, Log!$B:$B, $B397, Log!$C:$C, $C397),""))</f>
        <v/>
      </c>
      <c r="K397" s="9" t="str">
        <f>IF(COUNTBLANK($A397:$E397)&gt;0, "", IFERROR(_xlfn.MINIFS(Log!$F:$F, Log!$A:$A, $A397, Log!$B:$B, $B397, Log!$C:$C, $C397),""))</f>
        <v/>
      </c>
      <c r="L397" s="9" t="str">
        <f>IF(COUNTBLANK($A397:$E397)&gt;0, "", IFERROR(_xlfn.MAXIFS(Log!$F:$F, Log!$A:$A, $A397, Log!$B:$B, $B397, Log!$C:$C, $C397),""))</f>
        <v/>
      </c>
      <c r="M397" s="9" t="str">
        <f>IF(COUNTBLANK($A397:$E397)&gt;0, "", IFERROR(AVERAGEIFS(Log!$I:$I, Log!$A:$A, $A397, Log!$B:$B, $B397, Log!$C:$C, $C397),""))</f>
        <v/>
      </c>
      <c r="N397" s="9" t="str">
        <f>IF(COUNTBLANK($A397:$E397)&gt;0, "", IFERROR(_xlfn.MINIFS(Log!$G:$G, Log!$A:$A, $A397, Log!$B:$B, $B397, Log!$C:$C, $C397),""))</f>
        <v/>
      </c>
      <c r="O397" s="9" t="str">
        <f>IF(COUNTBLANK($A397:$E397)&gt;0, "", IFERROR(_xlfn.MAXIFS(Log!$G:$G, Log!$A:$A, $A397, Log!$B:$B, $B397, Log!$C:$C, $C397),""))</f>
        <v/>
      </c>
    </row>
    <row r="398" spans="2:15" x14ac:dyDescent="0.3">
      <c r="B398" s="8" t="s">
        <v>117</v>
      </c>
      <c r="C398" s="66">
        <v>0</v>
      </c>
      <c r="H398" s="14" t="str">
        <f>IF(COUNTBLANK($A398:$E398)&gt;0, "", IFERROR(AVERAGEIFS(Log!$E:$E, Log!$A:$A, $A398, Log!$B:$B, $B398, Log!$C:$C, $C398),""))</f>
        <v/>
      </c>
      <c r="I398" s="64" t="str">
        <f t="shared" si="6"/>
        <v/>
      </c>
      <c r="J398" s="9" t="str">
        <f>IF(COUNTBLANK($A398:$E398)&gt;0, "", IFERROR(AVERAGEIFS(Log!$H:$H, Log!$A:$A, $A398, Log!$B:$B, $B398, Log!$C:$C, $C398),""))</f>
        <v/>
      </c>
      <c r="K398" s="9" t="str">
        <f>IF(COUNTBLANK($A398:$E398)&gt;0, "", IFERROR(_xlfn.MINIFS(Log!$F:$F, Log!$A:$A, $A398, Log!$B:$B, $B398, Log!$C:$C, $C398),""))</f>
        <v/>
      </c>
      <c r="L398" s="9" t="str">
        <f>IF(COUNTBLANK($A398:$E398)&gt;0, "", IFERROR(_xlfn.MAXIFS(Log!$F:$F, Log!$A:$A, $A398, Log!$B:$B, $B398, Log!$C:$C, $C398),""))</f>
        <v/>
      </c>
      <c r="M398" s="9" t="str">
        <f>IF(COUNTBLANK($A398:$E398)&gt;0, "", IFERROR(AVERAGEIFS(Log!$I:$I, Log!$A:$A, $A398, Log!$B:$B, $B398, Log!$C:$C, $C398),""))</f>
        <v/>
      </c>
      <c r="N398" s="9" t="str">
        <f>IF(COUNTBLANK($A398:$E398)&gt;0, "", IFERROR(_xlfn.MINIFS(Log!$G:$G, Log!$A:$A, $A398, Log!$B:$B, $B398, Log!$C:$C, $C398),""))</f>
        <v/>
      </c>
      <c r="O398" s="9" t="str">
        <f>IF(COUNTBLANK($A398:$E398)&gt;0, "", IFERROR(_xlfn.MAXIFS(Log!$G:$G, Log!$A:$A, $A398, Log!$B:$B, $B398, Log!$C:$C, $C398),""))</f>
        <v/>
      </c>
    </row>
    <row r="399" spans="2:15" x14ac:dyDescent="0.3">
      <c r="B399" s="8" t="s">
        <v>117</v>
      </c>
      <c r="C399" s="66">
        <v>0</v>
      </c>
      <c r="H399" s="14" t="str">
        <f>IF(COUNTBLANK($A399:$E399)&gt;0, "", IFERROR(AVERAGEIFS(Log!$E:$E, Log!$A:$A, $A399, Log!$B:$B, $B399, Log!$C:$C, $C399),""))</f>
        <v/>
      </c>
      <c r="I399" s="64" t="str">
        <f t="shared" si="6"/>
        <v/>
      </c>
      <c r="J399" s="9" t="str">
        <f>IF(COUNTBLANK($A399:$E399)&gt;0, "", IFERROR(AVERAGEIFS(Log!$H:$H, Log!$A:$A, $A399, Log!$B:$B, $B399, Log!$C:$C, $C399),""))</f>
        <v/>
      </c>
      <c r="K399" s="9" t="str">
        <f>IF(COUNTBLANK($A399:$E399)&gt;0, "", IFERROR(_xlfn.MINIFS(Log!$F:$F, Log!$A:$A, $A399, Log!$B:$B, $B399, Log!$C:$C, $C399),""))</f>
        <v/>
      </c>
      <c r="L399" s="9" t="str">
        <f>IF(COUNTBLANK($A399:$E399)&gt;0, "", IFERROR(_xlfn.MAXIFS(Log!$F:$F, Log!$A:$A, $A399, Log!$B:$B, $B399, Log!$C:$C, $C399),""))</f>
        <v/>
      </c>
      <c r="M399" s="9" t="str">
        <f>IF(COUNTBLANK($A399:$E399)&gt;0, "", IFERROR(AVERAGEIFS(Log!$I:$I, Log!$A:$A, $A399, Log!$B:$B, $B399, Log!$C:$C, $C399),""))</f>
        <v/>
      </c>
      <c r="N399" s="9" t="str">
        <f>IF(COUNTBLANK($A399:$E399)&gt;0, "", IFERROR(_xlfn.MINIFS(Log!$G:$G, Log!$A:$A, $A399, Log!$B:$B, $B399, Log!$C:$C, $C399),""))</f>
        <v/>
      </c>
      <c r="O399" s="9" t="str">
        <f>IF(COUNTBLANK($A399:$E399)&gt;0, "", IFERROR(_xlfn.MAXIFS(Log!$G:$G, Log!$A:$A, $A399, Log!$B:$B, $B399, Log!$C:$C, $C399),""))</f>
        <v/>
      </c>
    </row>
    <row r="400" spans="2:15" x14ac:dyDescent="0.3">
      <c r="B400" s="8" t="s">
        <v>117</v>
      </c>
      <c r="C400" s="66">
        <v>0</v>
      </c>
      <c r="H400" s="14" t="str">
        <f>IF(COUNTBLANK($A400:$E400)&gt;0, "", IFERROR(AVERAGEIFS(Log!$E:$E, Log!$A:$A, $A400, Log!$B:$B, $B400, Log!$C:$C, $C400),""))</f>
        <v/>
      </c>
      <c r="I400" s="64" t="str">
        <f t="shared" si="6"/>
        <v/>
      </c>
      <c r="J400" s="9" t="str">
        <f>IF(COUNTBLANK($A400:$E400)&gt;0, "", IFERROR(AVERAGEIFS(Log!$H:$H, Log!$A:$A, $A400, Log!$B:$B, $B400, Log!$C:$C, $C400),""))</f>
        <v/>
      </c>
      <c r="K400" s="9" t="str">
        <f>IF(COUNTBLANK($A400:$E400)&gt;0, "", IFERROR(_xlfn.MINIFS(Log!$F:$F, Log!$A:$A, $A400, Log!$B:$B, $B400, Log!$C:$C, $C400),""))</f>
        <v/>
      </c>
      <c r="L400" s="9" t="str">
        <f>IF(COUNTBLANK($A400:$E400)&gt;0, "", IFERROR(_xlfn.MAXIFS(Log!$F:$F, Log!$A:$A, $A400, Log!$B:$B, $B400, Log!$C:$C, $C400),""))</f>
        <v/>
      </c>
      <c r="M400" s="9" t="str">
        <f>IF(COUNTBLANK($A400:$E400)&gt;0, "", IFERROR(AVERAGEIFS(Log!$I:$I, Log!$A:$A, $A400, Log!$B:$B, $B400, Log!$C:$C, $C400),""))</f>
        <v/>
      </c>
      <c r="N400" s="9" t="str">
        <f>IF(COUNTBLANK($A400:$E400)&gt;0, "", IFERROR(_xlfn.MINIFS(Log!$G:$G, Log!$A:$A, $A400, Log!$B:$B, $B400, Log!$C:$C, $C400),""))</f>
        <v/>
      </c>
      <c r="O400" s="9" t="str">
        <f>IF(COUNTBLANK($A400:$E400)&gt;0, "", IFERROR(_xlfn.MAXIFS(Log!$G:$G, Log!$A:$A, $A400, Log!$B:$B, $B400, Log!$C:$C, $C400),""))</f>
        <v/>
      </c>
    </row>
    <row r="401" spans="2:15" x14ac:dyDescent="0.3">
      <c r="B401" s="8" t="s">
        <v>117</v>
      </c>
      <c r="C401" s="66">
        <v>0</v>
      </c>
      <c r="H401" s="14" t="str">
        <f>IF(COUNTBLANK($A401:$E401)&gt;0, "", IFERROR(AVERAGEIFS(Log!$E:$E, Log!$A:$A, $A401, Log!$B:$B, $B401, Log!$C:$C, $C401),""))</f>
        <v/>
      </c>
      <c r="I401" s="64" t="str">
        <f t="shared" si="6"/>
        <v/>
      </c>
      <c r="J401" s="9" t="str">
        <f>IF(COUNTBLANK($A401:$E401)&gt;0, "", IFERROR(AVERAGEIFS(Log!$H:$H, Log!$A:$A, $A401, Log!$B:$B, $B401, Log!$C:$C, $C401),""))</f>
        <v/>
      </c>
      <c r="K401" s="9" t="str">
        <f>IF(COUNTBLANK($A401:$E401)&gt;0, "", IFERROR(_xlfn.MINIFS(Log!$F:$F, Log!$A:$A, $A401, Log!$B:$B, $B401, Log!$C:$C, $C401),""))</f>
        <v/>
      </c>
      <c r="L401" s="9" t="str">
        <f>IF(COUNTBLANK($A401:$E401)&gt;0, "", IFERROR(_xlfn.MAXIFS(Log!$F:$F, Log!$A:$A, $A401, Log!$B:$B, $B401, Log!$C:$C, $C401),""))</f>
        <v/>
      </c>
      <c r="M401" s="9" t="str">
        <f>IF(COUNTBLANK($A401:$E401)&gt;0, "", IFERROR(AVERAGEIFS(Log!$I:$I, Log!$A:$A, $A401, Log!$B:$B, $B401, Log!$C:$C, $C401),""))</f>
        <v/>
      </c>
      <c r="N401" s="9" t="str">
        <f>IF(COUNTBLANK($A401:$E401)&gt;0, "", IFERROR(_xlfn.MINIFS(Log!$G:$G, Log!$A:$A, $A401, Log!$B:$B, $B401, Log!$C:$C, $C401),""))</f>
        <v/>
      </c>
      <c r="O401" s="9" t="str">
        <f>IF(COUNTBLANK($A401:$E401)&gt;0, "", IFERROR(_xlfn.MAXIFS(Log!$G:$G, Log!$A:$A, $A401, Log!$B:$B, $B401, Log!$C:$C, $C401),""))</f>
        <v/>
      </c>
    </row>
    <row r="402" spans="2:15" x14ac:dyDescent="0.3">
      <c r="B402" s="8" t="s">
        <v>117</v>
      </c>
      <c r="C402" s="66">
        <v>0</v>
      </c>
      <c r="H402" s="14" t="str">
        <f>IF(COUNTBLANK($A402:$E402)&gt;0, "", IFERROR(AVERAGEIFS(Log!$E:$E, Log!$A:$A, $A402, Log!$B:$B, $B402, Log!$C:$C, $C402),""))</f>
        <v/>
      </c>
      <c r="I402" s="64" t="str">
        <f t="shared" si="6"/>
        <v/>
      </c>
      <c r="J402" s="9" t="str">
        <f>IF(COUNTBLANK($A402:$E402)&gt;0, "", IFERROR(AVERAGEIFS(Log!$H:$H, Log!$A:$A, $A402, Log!$B:$B, $B402, Log!$C:$C, $C402),""))</f>
        <v/>
      </c>
      <c r="K402" s="9" t="str">
        <f>IF(COUNTBLANK($A402:$E402)&gt;0, "", IFERROR(_xlfn.MINIFS(Log!$F:$F, Log!$A:$A, $A402, Log!$B:$B, $B402, Log!$C:$C, $C402),""))</f>
        <v/>
      </c>
      <c r="L402" s="9" t="str">
        <f>IF(COUNTBLANK($A402:$E402)&gt;0, "", IFERROR(_xlfn.MAXIFS(Log!$F:$F, Log!$A:$A, $A402, Log!$B:$B, $B402, Log!$C:$C, $C402),""))</f>
        <v/>
      </c>
      <c r="M402" s="9" t="str">
        <f>IF(COUNTBLANK($A402:$E402)&gt;0, "", IFERROR(AVERAGEIFS(Log!$I:$I, Log!$A:$A, $A402, Log!$B:$B, $B402, Log!$C:$C, $C402),""))</f>
        <v/>
      </c>
      <c r="N402" s="9" t="str">
        <f>IF(COUNTBLANK($A402:$E402)&gt;0, "", IFERROR(_xlfn.MINIFS(Log!$G:$G, Log!$A:$A, $A402, Log!$B:$B, $B402, Log!$C:$C, $C402),""))</f>
        <v/>
      </c>
      <c r="O402" s="9" t="str">
        <f>IF(COUNTBLANK($A402:$E402)&gt;0, "", IFERROR(_xlfn.MAXIFS(Log!$G:$G, Log!$A:$A, $A402, Log!$B:$B, $B402, Log!$C:$C, $C402),""))</f>
        <v/>
      </c>
    </row>
    <row r="403" spans="2:15" x14ac:dyDescent="0.3">
      <c r="B403" s="8" t="s">
        <v>117</v>
      </c>
      <c r="C403" s="66">
        <v>0</v>
      </c>
      <c r="H403" s="14" t="str">
        <f>IF(COUNTBLANK($A403:$E403)&gt;0, "", IFERROR(AVERAGEIFS(Log!$E:$E, Log!$A:$A, $A403, Log!$B:$B, $B403, Log!$C:$C, $C403),""))</f>
        <v/>
      </c>
      <c r="I403" s="64" t="str">
        <f t="shared" si="6"/>
        <v/>
      </c>
      <c r="J403" s="9" t="str">
        <f>IF(COUNTBLANK($A403:$E403)&gt;0, "", IFERROR(AVERAGEIFS(Log!$H:$H, Log!$A:$A, $A403, Log!$B:$B, $B403, Log!$C:$C, $C403),""))</f>
        <v/>
      </c>
      <c r="K403" s="9" t="str">
        <f>IF(COUNTBLANK($A403:$E403)&gt;0, "", IFERROR(_xlfn.MINIFS(Log!$F:$F, Log!$A:$A, $A403, Log!$B:$B, $B403, Log!$C:$C, $C403),""))</f>
        <v/>
      </c>
      <c r="L403" s="9" t="str">
        <f>IF(COUNTBLANK($A403:$E403)&gt;0, "", IFERROR(_xlfn.MAXIFS(Log!$F:$F, Log!$A:$A, $A403, Log!$B:$B, $B403, Log!$C:$C, $C403),""))</f>
        <v/>
      </c>
      <c r="M403" s="9" t="str">
        <f>IF(COUNTBLANK($A403:$E403)&gt;0, "", IFERROR(AVERAGEIFS(Log!$I:$I, Log!$A:$A, $A403, Log!$B:$B, $B403, Log!$C:$C, $C403),""))</f>
        <v/>
      </c>
      <c r="N403" s="9" t="str">
        <f>IF(COUNTBLANK($A403:$E403)&gt;0, "", IFERROR(_xlfn.MINIFS(Log!$G:$G, Log!$A:$A, $A403, Log!$B:$B, $B403, Log!$C:$C, $C403),""))</f>
        <v/>
      </c>
      <c r="O403" s="9" t="str">
        <f>IF(COUNTBLANK($A403:$E403)&gt;0, "", IFERROR(_xlfn.MAXIFS(Log!$G:$G, Log!$A:$A, $A403, Log!$B:$B, $B403, Log!$C:$C, $C403),""))</f>
        <v/>
      </c>
    </row>
    <row r="404" spans="2:15" x14ac:dyDescent="0.3">
      <c r="B404" s="8" t="s">
        <v>117</v>
      </c>
      <c r="C404" s="66">
        <v>0</v>
      </c>
      <c r="H404" s="14" t="str">
        <f>IF(COUNTBLANK($A404:$E404)&gt;0, "", IFERROR(AVERAGEIFS(Log!$E:$E, Log!$A:$A, $A404, Log!$B:$B, $B404, Log!$C:$C, $C404),""))</f>
        <v/>
      </c>
      <c r="I404" s="64" t="str">
        <f t="shared" si="6"/>
        <v/>
      </c>
      <c r="J404" s="9" t="str">
        <f>IF(COUNTBLANK($A404:$E404)&gt;0, "", IFERROR(AVERAGEIFS(Log!$H:$H, Log!$A:$A, $A404, Log!$B:$B, $B404, Log!$C:$C, $C404),""))</f>
        <v/>
      </c>
      <c r="K404" s="9" t="str">
        <f>IF(COUNTBLANK($A404:$E404)&gt;0, "", IFERROR(_xlfn.MINIFS(Log!$F:$F, Log!$A:$A, $A404, Log!$B:$B, $B404, Log!$C:$C, $C404),""))</f>
        <v/>
      </c>
      <c r="L404" s="9" t="str">
        <f>IF(COUNTBLANK($A404:$E404)&gt;0, "", IFERROR(_xlfn.MAXIFS(Log!$F:$F, Log!$A:$A, $A404, Log!$B:$B, $B404, Log!$C:$C, $C404),""))</f>
        <v/>
      </c>
      <c r="M404" s="9" t="str">
        <f>IF(COUNTBLANK($A404:$E404)&gt;0, "", IFERROR(AVERAGEIFS(Log!$I:$I, Log!$A:$A, $A404, Log!$B:$B, $B404, Log!$C:$C, $C404),""))</f>
        <v/>
      </c>
      <c r="N404" s="9" t="str">
        <f>IF(COUNTBLANK($A404:$E404)&gt;0, "", IFERROR(_xlfn.MINIFS(Log!$G:$G, Log!$A:$A, $A404, Log!$B:$B, $B404, Log!$C:$C, $C404),""))</f>
        <v/>
      </c>
      <c r="O404" s="9" t="str">
        <f>IF(COUNTBLANK($A404:$E404)&gt;0, "", IFERROR(_xlfn.MAXIFS(Log!$G:$G, Log!$A:$A, $A404, Log!$B:$B, $B404, Log!$C:$C, $C404),""))</f>
        <v/>
      </c>
    </row>
    <row r="405" spans="2:15" x14ac:dyDescent="0.3">
      <c r="B405" s="8" t="s">
        <v>117</v>
      </c>
      <c r="C405" s="66">
        <v>0</v>
      </c>
      <c r="H405" s="14" t="str">
        <f>IF(COUNTBLANK($A405:$E405)&gt;0, "", IFERROR(AVERAGEIFS(Log!$E:$E, Log!$A:$A, $A405, Log!$B:$B, $B405, Log!$C:$C, $C405),""))</f>
        <v/>
      </c>
      <c r="I405" s="64" t="str">
        <f t="shared" si="6"/>
        <v/>
      </c>
      <c r="J405" s="9" t="str">
        <f>IF(COUNTBLANK($A405:$E405)&gt;0, "", IFERROR(AVERAGEIFS(Log!$H:$H, Log!$A:$A, $A405, Log!$B:$B, $B405, Log!$C:$C, $C405),""))</f>
        <v/>
      </c>
      <c r="K405" s="9" t="str">
        <f>IF(COUNTBLANK($A405:$E405)&gt;0, "", IFERROR(_xlfn.MINIFS(Log!$F:$F, Log!$A:$A, $A405, Log!$B:$B, $B405, Log!$C:$C, $C405),""))</f>
        <v/>
      </c>
      <c r="L405" s="9" t="str">
        <f>IF(COUNTBLANK($A405:$E405)&gt;0, "", IFERROR(_xlfn.MAXIFS(Log!$F:$F, Log!$A:$A, $A405, Log!$B:$B, $B405, Log!$C:$C, $C405),""))</f>
        <v/>
      </c>
      <c r="M405" s="9" t="str">
        <f>IF(COUNTBLANK($A405:$E405)&gt;0, "", IFERROR(AVERAGEIFS(Log!$I:$I, Log!$A:$A, $A405, Log!$B:$B, $B405, Log!$C:$C, $C405),""))</f>
        <v/>
      </c>
      <c r="N405" s="9" t="str">
        <f>IF(COUNTBLANK($A405:$E405)&gt;0, "", IFERROR(_xlfn.MINIFS(Log!$G:$G, Log!$A:$A, $A405, Log!$B:$B, $B405, Log!$C:$C, $C405),""))</f>
        <v/>
      </c>
      <c r="O405" s="9" t="str">
        <f>IF(COUNTBLANK($A405:$E405)&gt;0, "", IFERROR(_xlfn.MAXIFS(Log!$G:$G, Log!$A:$A, $A405, Log!$B:$B, $B405, Log!$C:$C, $C405),""))</f>
        <v/>
      </c>
    </row>
    <row r="406" spans="2:15" x14ac:dyDescent="0.3">
      <c r="B406" s="8" t="s">
        <v>117</v>
      </c>
      <c r="C406" s="66">
        <v>0</v>
      </c>
      <c r="H406" s="14" t="str">
        <f>IF(COUNTBLANK($A406:$E406)&gt;0, "", IFERROR(AVERAGEIFS(Log!$E:$E, Log!$A:$A, $A406, Log!$B:$B, $B406, Log!$C:$C, $C406),""))</f>
        <v/>
      </c>
      <c r="I406" s="64" t="str">
        <f t="shared" si="6"/>
        <v/>
      </c>
      <c r="J406" s="9" t="str">
        <f>IF(COUNTBLANK($A406:$E406)&gt;0, "", IFERROR(AVERAGEIFS(Log!$H:$H, Log!$A:$A, $A406, Log!$B:$B, $B406, Log!$C:$C, $C406),""))</f>
        <v/>
      </c>
      <c r="K406" s="9" t="str">
        <f>IF(COUNTBLANK($A406:$E406)&gt;0, "", IFERROR(_xlfn.MINIFS(Log!$F:$F, Log!$A:$A, $A406, Log!$B:$B, $B406, Log!$C:$C, $C406),""))</f>
        <v/>
      </c>
      <c r="L406" s="9" t="str">
        <f>IF(COUNTBLANK($A406:$E406)&gt;0, "", IFERROR(_xlfn.MAXIFS(Log!$F:$F, Log!$A:$A, $A406, Log!$B:$B, $B406, Log!$C:$C, $C406),""))</f>
        <v/>
      </c>
      <c r="M406" s="9" t="str">
        <f>IF(COUNTBLANK($A406:$E406)&gt;0, "", IFERROR(AVERAGEIFS(Log!$I:$I, Log!$A:$A, $A406, Log!$B:$B, $B406, Log!$C:$C, $C406),""))</f>
        <v/>
      </c>
      <c r="N406" s="9" t="str">
        <f>IF(COUNTBLANK($A406:$E406)&gt;0, "", IFERROR(_xlfn.MINIFS(Log!$G:$G, Log!$A:$A, $A406, Log!$B:$B, $B406, Log!$C:$C, $C406),""))</f>
        <v/>
      </c>
      <c r="O406" s="9" t="str">
        <f>IF(COUNTBLANK($A406:$E406)&gt;0, "", IFERROR(_xlfn.MAXIFS(Log!$G:$G, Log!$A:$A, $A406, Log!$B:$B, $B406, Log!$C:$C, $C406),""))</f>
        <v/>
      </c>
    </row>
    <row r="407" spans="2:15" x14ac:dyDescent="0.3">
      <c r="B407" s="8" t="s">
        <v>117</v>
      </c>
      <c r="C407" s="66">
        <v>0</v>
      </c>
      <c r="H407" s="14" t="str">
        <f>IF(COUNTBLANK($A407:$E407)&gt;0, "", IFERROR(AVERAGEIFS(Log!$E:$E, Log!$A:$A, $A407, Log!$B:$B, $B407, Log!$C:$C, $C407),""))</f>
        <v/>
      </c>
      <c r="I407" s="64" t="str">
        <f t="shared" si="6"/>
        <v/>
      </c>
      <c r="J407" s="9" t="str">
        <f>IF(COUNTBLANK($A407:$E407)&gt;0, "", IFERROR(AVERAGEIFS(Log!$H:$H, Log!$A:$A, $A407, Log!$B:$B, $B407, Log!$C:$C, $C407),""))</f>
        <v/>
      </c>
      <c r="K407" s="9" t="str">
        <f>IF(COUNTBLANK($A407:$E407)&gt;0, "", IFERROR(_xlfn.MINIFS(Log!$F:$F, Log!$A:$A, $A407, Log!$B:$B, $B407, Log!$C:$C, $C407),""))</f>
        <v/>
      </c>
      <c r="L407" s="9" t="str">
        <f>IF(COUNTBLANK($A407:$E407)&gt;0, "", IFERROR(_xlfn.MAXIFS(Log!$F:$F, Log!$A:$A, $A407, Log!$B:$B, $B407, Log!$C:$C, $C407),""))</f>
        <v/>
      </c>
      <c r="M407" s="9" t="str">
        <f>IF(COUNTBLANK($A407:$E407)&gt;0, "", IFERROR(AVERAGEIFS(Log!$I:$I, Log!$A:$A, $A407, Log!$B:$B, $B407, Log!$C:$C, $C407),""))</f>
        <v/>
      </c>
      <c r="N407" s="9" t="str">
        <f>IF(COUNTBLANK($A407:$E407)&gt;0, "", IFERROR(_xlfn.MINIFS(Log!$G:$G, Log!$A:$A, $A407, Log!$B:$B, $B407, Log!$C:$C, $C407),""))</f>
        <v/>
      </c>
      <c r="O407" s="9" t="str">
        <f>IF(COUNTBLANK($A407:$E407)&gt;0, "", IFERROR(_xlfn.MAXIFS(Log!$G:$G, Log!$A:$A, $A407, Log!$B:$B, $B407, Log!$C:$C, $C407),""))</f>
        <v/>
      </c>
    </row>
    <row r="408" spans="2:15" x14ac:dyDescent="0.3">
      <c r="B408" s="8" t="s">
        <v>117</v>
      </c>
      <c r="C408" s="66">
        <v>0</v>
      </c>
    </row>
    <row r="409" spans="2:15" x14ac:dyDescent="0.3">
      <c r="B409" s="8" t="s">
        <v>117</v>
      </c>
      <c r="C409" s="66">
        <v>0</v>
      </c>
    </row>
    <row r="410" spans="2:15" x14ac:dyDescent="0.3">
      <c r="B410" s="8" t="s">
        <v>117</v>
      </c>
      <c r="C410" s="66">
        <v>0</v>
      </c>
    </row>
    <row r="411" spans="2:15" x14ac:dyDescent="0.3">
      <c r="B411" s="8" t="s">
        <v>117</v>
      </c>
      <c r="C411" s="66">
        <v>0</v>
      </c>
    </row>
    <row r="412" spans="2:15" x14ac:dyDescent="0.3">
      <c r="B412" s="8" t="s">
        <v>117</v>
      </c>
      <c r="C412" s="66">
        <v>0</v>
      </c>
    </row>
    <row r="413" spans="2:15" x14ac:dyDescent="0.3">
      <c r="B413" s="8" t="s">
        <v>117</v>
      </c>
      <c r="C413" s="66">
        <v>0</v>
      </c>
    </row>
    <row r="414" spans="2:15" x14ac:dyDescent="0.3">
      <c r="B414" s="8" t="s">
        <v>117</v>
      </c>
      <c r="C414" s="66">
        <v>0</v>
      </c>
    </row>
    <row r="415" spans="2:15" x14ac:dyDescent="0.3">
      <c r="B415" s="8" t="s">
        <v>117</v>
      </c>
      <c r="C415" s="66">
        <v>0</v>
      </c>
    </row>
    <row r="416" spans="2:15" x14ac:dyDescent="0.3">
      <c r="B416" s="8" t="s">
        <v>117</v>
      </c>
      <c r="C416" s="66">
        <v>0</v>
      </c>
    </row>
    <row r="417" spans="2:3" x14ac:dyDescent="0.3">
      <c r="B417" s="8" t="s">
        <v>117</v>
      </c>
      <c r="C417" s="66">
        <v>0</v>
      </c>
    </row>
    <row r="418" spans="2:3" x14ac:dyDescent="0.3">
      <c r="B418" s="8" t="s">
        <v>117</v>
      </c>
      <c r="C418" s="66">
        <v>0</v>
      </c>
    </row>
    <row r="419" spans="2:3" x14ac:dyDescent="0.3">
      <c r="B419" s="8" t="s">
        <v>117</v>
      </c>
      <c r="C419" s="66">
        <v>0</v>
      </c>
    </row>
    <row r="420" spans="2:3" x14ac:dyDescent="0.3">
      <c r="B420" s="8" t="s">
        <v>117</v>
      </c>
      <c r="C420" s="66">
        <v>0</v>
      </c>
    </row>
    <row r="421" spans="2:3" x14ac:dyDescent="0.3">
      <c r="B421" s="8" t="s">
        <v>117</v>
      </c>
      <c r="C421" s="66">
        <v>0</v>
      </c>
    </row>
    <row r="422" spans="2:3" x14ac:dyDescent="0.3">
      <c r="B422" s="8" t="s">
        <v>117</v>
      </c>
      <c r="C422" s="66">
        <v>0</v>
      </c>
    </row>
    <row r="423" spans="2:3" x14ac:dyDescent="0.3">
      <c r="B423" s="8" t="s">
        <v>117</v>
      </c>
      <c r="C423" s="66">
        <v>0</v>
      </c>
    </row>
    <row r="424" spans="2:3" x14ac:dyDescent="0.3">
      <c r="B424" s="8" t="s">
        <v>117</v>
      </c>
      <c r="C424" s="66">
        <v>0</v>
      </c>
    </row>
    <row r="425" spans="2:3" x14ac:dyDescent="0.3">
      <c r="B425" s="8" t="s">
        <v>117</v>
      </c>
      <c r="C425" s="66">
        <v>0</v>
      </c>
    </row>
    <row r="426" spans="2:3" x14ac:dyDescent="0.3">
      <c r="B426" s="8" t="s">
        <v>117</v>
      </c>
      <c r="C426" s="66">
        <v>0</v>
      </c>
    </row>
    <row r="427" spans="2:3" x14ac:dyDescent="0.3">
      <c r="B427" s="8" t="s">
        <v>117</v>
      </c>
      <c r="C427" s="66">
        <v>0</v>
      </c>
    </row>
    <row r="428" spans="2:3" x14ac:dyDescent="0.3">
      <c r="B428" s="8" t="s">
        <v>117</v>
      </c>
      <c r="C428" s="66">
        <v>0</v>
      </c>
    </row>
    <row r="429" spans="2:3" x14ac:dyDescent="0.3">
      <c r="B429" s="8" t="s">
        <v>117</v>
      </c>
      <c r="C429" s="66">
        <v>0</v>
      </c>
    </row>
    <row r="430" spans="2:3" x14ac:dyDescent="0.3">
      <c r="B430" s="8" t="s">
        <v>117</v>
      </c>
      <c r="C430" s="66">
        <v>0</v>
      </c>
    </row>
    <row r="431" spans="2:3" x14ac:dyDescent="0.3">
      <c r="B431" s="8" t="s">
        <v>117</v>
      </c>
      <c r="C431" s="66">
        <v>0</v>
      </c>
    </row>
    <row r="432" spans="2:3" x14ac:dyDescent="0.3">
      <c r="B432" s="8" t="s">
        <v>117</v>
      </c>
      <c r="C432" s="66">
        <v>0</v>
      </c>
    </row>
    <row r="433" spans="2:3" x14ac:dyDescent="0.3">
      <c r="B433" s="8" t="s">
        <v>117</v>
      </c>
      <c r="C433" s="66">
        <v>0</v>
      </c>
    </row>
    <row r="434" spans="2:3" x14ac:dyDescent="0.3">
      <c r="B434" s="8" t="s">
        <v>117</v>
      </c>
      <c r="C434" s="66">
        <v>0</v>
      </c>
    </row>
    <row r="435" spans="2:3" x14ac:dyDescent="0.3">
      <c r="B435" s="8" t="s">
        <v>117</v>
      </c>
      <c r="C435" s="66">
        <v>0</v>
      </c>
    </row>
    <row r="436" spans="2:3" x14ac:dyDescent="0.3">
      <c r="B436" s="8" t="s">
        <v>117</v>
      </c>
      <c r="C436" s="66">
        <v>0</v>
      </c>
    </row>
    <row r="437" spans="2:3" x14ac:dyDescent="0.3">
      <c r="B437" s="8" t="s">
        <v>117</v>
      </c>
      <c r="C437" s="66">
        <v>0</v>
      </c>
    </row>
    <row r="438" spans="2:3" x14ac:dyDescent="0.3">
      <c r="B438" s="8" t="s">
        <v>117</v>
      </c>
      <c r="C438" s="66">
        <v>0</v>
      </c>
    </row>
    <row r="439" spans="2:3" x14ac:dyDescent="0.3">
      <c r="B439" s="8" t="s">
        <v>117</v>
      </c>
      <c r="C439" s="66">
        <v>0</v>
      </c>
    </row>
    <row r="440" spans="2:3" x14ac:dyDescent="0.3">
      <c r="B440" s="8" t="s">
        <v>117</v>
      </c>
      <c r="C440" s="66">
        <v>0</v>
      </c>
    </row>
    <row r="441" spans="2:3" x14ac:dyDescent="0.3">
      <c r="B441" s="8" t="s">
        <v>117</v>
      </c>
      <c r="C441" s="66">
        <v>0</v>
      </c>
    </row>
    <row r="442" spans="2:3" x14ac:dyDescent="0.3">
      <c r="B442" s="8" t="s">
        <v>117</v>
      </c>
      <c r="C442" s="66">
        <v>0</v>
      </c>
    </row>
    <row r="443" spans="2:3" x14ac:dyDescent="0.3">
      <c r="B443" s="8" t="s">
        <v>117</v>
      </c>
      <c r="C443" s="66">
        <v>0</v>
      </c>
    </row>
    <row r="444" spans="2:3" x14ac:dyDescent="0.3">
      <c r="B444" s="8" t="s">
        <v>117</v>
      </c>
      <c r="C444" s="66">
        <v>0</v>
      </c>
    </row>
    <row r="445" spans="2:3" x14ac:dyDescent="0.3">
      <c r="B445" s="8" t="s">
        <v>117</v>
      </c>
      <c r="C445" s="66">
        <v>0</v>
      </c>
    </row>
    <row r="446" spans="2:3" x14ac:dyDescent="0.3">
      <c r="B446" s="8" t="s">
        <v>117</v>
      </c>
      <c r="C446" s="66">
        <v>0</v>
      </c>
    </row>
    <row r="447" spans="2:3" x14ac:dyDescent="0.3">
      <c r="B447" s="8" t="s">
        <v>117</v>
      </c>
      <c r="C447" s="66">
        <v>0</v>
      </c>
    </row>
    <row r="448" spans="2:3" x14ac:dyDescent="0.3">
      <c r="B448" s="8" t="s">
        <v>117</v>
      </c>
      <c r="C448" s="66">
        <v>0</v>
      </c>
    </row>
    <row r="449" spans="2:3" x14ac:dyDescent="0.3">
      <c r="B449" s="8" t="s">
        <v>117</v>
      </c>
      <c r="C449" s="66">
        <v>0</v>
      </c>
    </row>
    <row r="450" spans="2:3" x14ac:dyDescent="0.3">
      <c r="B450" s="8" t="s">
        <v>117</v>
      </c>
      <c r="C450" s="66">
        <v>0</v>
      </c>
    </row>
    <row r="451" spans="2:3" x14ac:dyDescent="0.3">
      <c r="B451" s="8" t="s">
        <v>117</v>
      </c>
      <c r="C451" s="66">
        <v>0</v>
      </c>
    </row>
    <row r="452" spans="2:3" x14ac:dyDescent="0.3">
      <c r="B452" s="8" t="s">
        <v>117</v>
      </c>
      <c r="C452" s="66">
        <v>0</v>
      </c>
    </row>
    <row r="453" spans="2:3" x14ac:dyDescent="0.3">
      <c r="B453" s="8" t="s">
        <v>117</v>
      </c>
      <c r="C453" s="66">
        <v>0</v>
      </c>
    </row>
    <row r="454" spans="2:3" x14ac:dyDescent="0.3">
      <c r="B454" s="8" t="s">
        <v>117</v>
      </c>
      <c r="C454" s="66">
        <v>0</v>
      </c>
    </row>
    <row r="455" spans="2:3" x14ac:dyDescent="0.3">
      <c r="B455" s="8" t="s">
        <v>117</v>
      </c>
      <c r="C455" s="66">
        <v>0</v>
      </c>
    </row>
    <row r="456" spans="2:3" x14ac:dyDescent="0.3">
      <c r="B456" s="8" t="s">
        <v>117</v>
      </c>
      <c r="C456" s="66">
        <v>0</v>
      </c>
    </row>
    <row r="457" spans="2:3" x14ac:dyDescent="0.3">
      <c r="B457" s="8" t="s">
        <v>117</v>
      </c>
      <c r="C457" s="66">
        <v>0</v>
      </c>
    </row>
    <row r="458" spans="2:3" x14ac:dyDescent="0.3">
      <c r="B458" s="8" t="s">
        <v>117</v>
      </c>
      <c r="C458" s="66">
        <v>0</v>
      </c>
    </row>
    <row r="459" spans="2:3" x14ac:dyDescent="0.3">
      <c r="B459" s="8" t="s">
        <v>117</v>
      </c>
      <c r="C459" s="66">
        <v>0</v>
      </c>
    </row>
    <row r="460" spans="2:3" x14ac:dyDescent="0.3">
      <c r="B460" s="8" t="s">
        <v>117</v>
      </c>
      <c r="C460" s="66">
        <v>0</v>
      </c>
    </row>
    <row r="461" spans="2:3" x14ac:dyDescent="0.3">
      <c r="B461" s="8" t="s">
        <v>117</v>
      </c>
      <c r="C461" s="66">
        <v>0</v>
      </c>
    </row>
    <row r="462" spans="2:3" x14ac:dyDescent="0.3">
      <c r="B462" s="8" t="s">
        <v>117</v>
      </c>
      <c r="C462" s="66">
        <v>0</v>
      </c>
    </row>
    <row r="463" spans="2:3" x14ac:dyDescent="0.3">
      <c r="B463" s="8" t="s">
        <v>117</v>
      </c>
      <c r="C463" s="66">
        <v>0</v>
      </c>
    </row>
    <row r="464" spans="2:3" x14ac:dyDescent="0.3">
      <c r="B464" s="8" t="s">
        <v>117</v>
      </c>
      <c r="C464" s="66">
        <v>0</v>
      </c>
    </row>
    <row r="465" spans="2:3" x14ac:dyDescent="0.3">
      <c r="B465" s="8" t="s">
        <v>117</v>
      </c>
      <c r="C465" s="66">
        <v>0</v>
      </c>
    </row>
    <row r="466" spans="2:3" x14ac:dyDescent="0.3">
      <c r="B466" s="8" t="s">
        <v>117</v>
      </c>
      <c r="C466" s="66">
        <v>0</v>
      </c>
    </row>
    <row r="467" spans="2:3" x14ac:dyDescent="0.3">
      <c r="B467" s="8" t="s">
        <v>117</v>
      </c>
      <c r="C467" s="66">
        <v>0</v>
      </c>
    </row>
    <row r="468" spans="2:3" x14ac:dyDescent="0.3">
      <c r="B468" s="8" t="s">
        <v>117</v>
      </c>
      <c r="C468" s="66">
        <v>0</v>
      </c>
    </row>
    <row r="469" spans="2:3" x14ac:dyDescent="0.3">
      <c r="B469" s="8" t="s">
        <v>117</v>
      </c>
      <c r="C469" s="66">
        <v>0</v>
      </c>
    </row>
    <row r="470" spans="2:3" x14ac:dyDescent="0.3">
      <c r="B470" s="8" t="s">
        <v>117</v>
      </c>
      <c r="C470" s="66">
        <v>0</v>
      </c>
    </row>
    <row r="471" spans="2:3" x14ac:dyDescent="0.3">
      <c r="B471" s="8" t="s">
        <v>117</v>
      </c>
      <c r="C471" s="66">
        <v>0</v>
      </c>
    </row>
    <row r="472" spans="2:3" x14ac:dyDescent="0.3">
      <c r="B472" s="8" t="s">
        <v>117</v>
      </c>
      <c r="C472" s="66">
        <v>0</v>
      </c>
    </row>
    <row r="473" spans="2:3" x14ac:dyDescent="0.3">
      <c r="B473" s="8" t="s">
        <v>117</v>
      </c>
      <c r="C473" s="66">
        <v>0</v>
      </c>
    </row>
    <row r="474" spans="2:3" x14ac:dyDescent="0.3">
      <c r="B474" s="8" t="s">
        <v>117</v>
      </c>
      <c r="C474" s="66">
        <v>0</v>
      </c>
    </row>
    <row r="475" spans="2:3" x14ac:dyDescent="0.3">
      <c r="B475" s="8" t="s">
        <v>117</v>
      </c>
      <c r="C475" s="66">
        <v>0</v>
      </c>
    </row>
    <row r="476" spans="2:3" x14ac:dyDescent="0.3">
      <c r="B476" s="8" t="s">
        <v>117</v>
      </c>
      <c r="C476" s="66">
        <v>0</v>
      </c>
    </row>
    <row r="477" spans="2:3" x14ac:dyDescent="0.3">
      <c r="B477" s="8" t="s">
        <v>117</v>
      </c>
      <c r="C477" s="66">
        <v>0</v>
      </c>
    </row>
    <row r="478" spans="2:3" x14ac:dyDescent="0.3">
      <c r="B478" s="8" t="s">
        <v>117</v>
      </c>
      <c r="C478" s="66">
        <v>0</v>
      </c>
    </row>
    <row r="479" spans="2:3" x14ac:dyDescent="0.3">
      <c r="B479" s="8" t="s">
        <v>117</v>
      </c>
      <c r="C479" s="66">
        <v>0</v>
      </c>
    </row>
    <row r="480" spans="2:3" x14ac:dyDescent="0.3">
      <c r="B480" s="8" t="s">
        <v>117</v>
      </c>
      <c r="C480" s="66">
        <v>0</v>
      </c>
    </row>
    <row r="481" spans="2:3" x14ac:dyDescent="0.3">
      <c r="B481" s="8" t="s">
        <v>117</v>
      </c>
      <c r="C481" s="66">
        <v>0</v>
      </c>
    </row>
    <row r="482" spans="2:3" x14ac:dyDescent="0.3">
      <c r="B482" s="8" t="s">
        <v>117</v>
      </c>
      <c r="C482" s="66">
        <v>0</v>
      </c>
    </row>
    <row r="483" spans="2:3" x14ac:dyDescent="0.3">
      <c r="B483" s="8" t="s">
        <v>117</v>
      </c>
      <c r="C483" s="66">
        <v>0</v>
      </c>
    </row>
    <row r="484" spans="2:3" x14ac:dyDescent="0.3">
      <c r="B484" s="8" t="s">
        <v>117</v>
      </c>
      <c r="C484" s="66">
        <v>0</v>
      </c>
    </row>
    <row r="485" spans="2:3" x14ac:dyDescent="0.3">
      <c r="B485" s="8" t="s">
        <v>117</v>
      </c>
      <c r="C485" s="66">
        <v>0</v>
      </c>
    </row>
    <row r="486" spans="2:3" x14ac:dyDescent="0.3">
      <c r="B486" s="8" t="s">
        <v>117</v>
      </c>
      <c r="C486" s="66">
        <v>0</v>
      </c>
    </row>
    <row r="487" spans="2:3" x14ac:dyDescent="0.3">
      <c r="B487" s="8" t="s">
        <v>117</v>
      </c>
      <c r="C487" s="66">
        <v>0</v>
      </c>
    </row>
    <row r="488" spans="2:3" x14ac:dyDescent="0.3">
      <c r="B488" s="8" t="s">
        <v>117</v>
      </c>
      <c r="C488" s="66">
        <v>0</v>
      </c>
    </row>
    <row r="489" spans="2:3" x14ac:dyDescent="0.3">
      <c r="B489" s="8" t="s">
        <v>117</v>
      </c>
      <c r="C489" s="66">
        <v>0</v>
      </c>
    </row>
    <row r="490" spans="2:3" x14ac:dyDescent="0.3">
      <c r="B490" s="8" t="s">
        <v>117</v>
      </c>
      <c r="C490" s="66">
        <v>0</v>
      </c>
    </row>
    <row r="491" spans="2:3" x14ac:dyDescent="0.3">
      <c r="B491" s="8" t="s">
        <v>117</v>
      </c>
      <c r="C491" s="66">
        <v>0</v>
      </c>
    </row>
    <row r="492" spans="2:3" x14ac:dyDescent="0.3">
      <c r="B492" s="8" t="s">
        <v>117</v>
      </c>
      <c r="C492" s="66">
        <v>0</v>
      </c>
    </row>
    <row r="493" spans="2:3" x14ac:dyDescent="0.3">
      <c r="B493" s="8" t="s">
        <v>117</v>
      </c>
      <c r="C493" s="66">
        <v>0</v>
      </c>
    </row>
    <row r="494" spans="2:3" x14ac:dyDescent="0.3">
      <c r="B494" s="8" t="s">
        <v>117</v>
      </c>
      <c r="C494" s="66">
        <v>0</v>
      </c>
    </row>
    <row r="495" spans="2:3" x14ac:dyDescent="0.3">
      <c r="B495" s="8" t="s">
        <v>117</v>
      </c>
      <c r="C495" s="66">
        <v>0</v>
      </c>
    </row>
    <row r="496" spans="2:3" x14ac:dyDescent="0.3">
      <c r="B496" s="8" t="s">
        <v>117</v>
      </c>
      <c r="C496" s="66">
        <v>0</v>
      </c>
    </row>
    <row r="497" spans="2:3" x14ac:dyDescent="0.3">
      <c r="B497" s="8" t="s">
        <v>117</v>
      </c>
      <c r="C497" s="66">
        <v>0</v>
      </c>
    </row>
    <row r="498" spans="2:3" x14ac:dyDescent="0.3">
      <c r="B498" s="8" t="s">
        <v>117</v>
      </c>
      <c r="C498" s="66">
        <v>0</v>
      </c>
    </row>
    <row r="499" spans="2:3" x14ac:dyDescent="0.3">
      <c r="B499" s="8" t="s">
        <v>117</v>
      </c>
      <c r="C499" s="66">
        <v>0</v>
      </c>
    </row>
    <row r="500" spans="2:3" x14ac:dyDescent="0.3">
      <c r="B500" s="8" t="s">
        <v>117</v>
      </c>
      <c r="C500" s="66">
        <v>0</v>
      </c>
    </row>
    <row r="501" spans="2:3" x14ac:dyDescent="0.3">
      <c r="B501" s="8" t="s">
        <v>117</v>
      </c>
      <c r="C501" s="66">
        <v>0</v>
      </c>
    </row>
    <row r="502" spans="2:3" x14ac:dyDescent="0.3">
      <c r="B502" s="8" t="s">
        <v>117</v>
      </c>
      <c r="C502" s="66">
        <v>0</v>
      </c>
    </row>
    <row r="503" spans="2:3" x14ac:dyDescent="0.3">
      <c r="B503" s="8" t="s">
        <v>117</v>
      </c>
      <c r="C503" s="66">
        <v>0</v>
      </c>
    </row>
    <row r="504" spans="2:3" x14ac:dyDescent="0.3">
      <c r="B504" s="8" t="s">
        <v>117</v>
      </c>
      <c r="C504" s="66">
        <v>0</v>
      </c>
    </row>
    <row r="505" spans="2:3" x14ac:dyDescent="0.3">
      <c r="B505" s="8" t="s">
        <v>117</v>
      </c>
      <c r="C505" s="66">
        <v>0</v>
      </c>
    </row>
    <row r="506" spans="2:3" x14ac:dyDescent="0.3">
      <c r="B506" s="8" t="s">
        <v>117</v>
      </c>
      <c r="C506" s="66">
        <v>0</v>
      </c>
    </row>
    <row r="507" spans="2:3" x14ac:dyDescent="0.3">
      <c r="B507" s="8" t="s">
        <v>117</v>
      </c>
      <c r="C507" s="66">
        <v>0</v>
      </c>
    </row>
    <row r="508" spans="2:3" x14ac:dyDescent="0.3">
      <c r="B508" s="8" t="s">
        <v>117</v>
      </c>
      <c r="C508" s="66">
        <v>0</v>
      </c>
    </row>
    <row r="509" spans="2:3" x14ac:dyDescent="0.3">
      <c r="B509" s="8" t="s">
        <v>117</v>
      </c>
      <c r="C509" s="66">
        <v>0</v>
      </c>
    </row>
    <row r="510" spans="2:3" x14ac:dyDescent="0.3">
      <c r="B510" s="8" t="s">
        <v>117</v>
      </c>
      <c r="C510" s="66">
        <v>0</v>
      </c>
    </row>
    <row r="511" spans="2:3" x14ac:dyDescent="0.3">
      <c r="B511" s="8" t="s">
        <v>117</v>
      </c>
      <c r="C511" s="66">
        <v>0</v>
      </c>
    </row>
    <row r="512" spans="2:3" x14ac:dyDescent="0.3">
      <c r="B512" s="8" t="s">
        <v>117</v>
      </c>
      <c r="C512" s="66">
        <v>0</v>
      </c>
    </row>
    <row r="513" spans="2:3" x14ac:dyDescent="0.3">
      <c r="B513" s="8" t="s">
        <v>117</v>
      </c>
      <c r="C513" s="66">
        <v>0</v>
      </c>
    </row>
    <row r="514" spans="2:3" x14ac:dyDescent="0.3">
      <c r="B514" s="8" t="s">
        <v>117</v>
      </c>
      <c r="C514" s="66">
        <v>0</v>
      </c>
    </row>
    <row r="515" spans="2:3" x14ac:dyDescent="0.3">
      <c r="B515" s="8" t="s">
        <v>117</v>
      </c>
      <c r="C515" s="66">
        <v>0</v>
      </c>
    </row>
    <row r="516" spans="2:3" x14ac:dyDescent="0.3">
      <c r="B516" s="8" t="s">
        <v>117</v>
      </c>
      <c r="C516" s="66">
        <v>0</v>
      </c>
    </row>
    <row r="517" spans="2:3" x14ac:dyDescent="0.3">
      <c r="B517" s="8" t="s">
        <v>117</v>
      </c>
      <c r="C517" s="66">
        <v>0</v>
      </c>
    </row>
    <row r="518" spans="2:3" x14ac:dyDescent="0.3">
      <c r="B518" s="8" t="s">
        <v>117</v>
      </c>
      <c r="C518" s="66">
        <v>0</v>
      </c>
    </row>
    <row r="519" spans="2:3" x14ac:dyDescent="0.3">
      <c r="B519" s="8" t="s">
        <v>117</v>
      </c>
      <c r="C519" s="66">
        <v>0</v>
      </c>
    </row>
    <row r="520" spans="2:3" x14ac:dyDescent="0.3">
      <c r="B520" s="8" t="s">
        <v>117</v>
      </c>
      <c r="C520" s="66">
        <v>0</v>
      </c>
    </row>
    <row r="521" spans="2:3" x14ac:dyDescent="0.3">
      <c r="B521" s="8" t="s">
        <v>117</v>
      </c>
      <c r="C521" s="66">
        <v>0</v>
      </c>
    </row>
    <row r="522" spans="2:3" x14ac:dyDescent="0.3">
      <c r="B522" s="8" t="s">
        <v>117</v>
      </c>
      <c r="C522" s="66">
        <v>0</v>
      </c>
    </row>
    <row r="523" spans="2:3" x14ac:dyDescent="0.3">
      <c r="B523" s="8" t="s">
        <v>117</v>
      </c>
      <c r="C523" s="66">
        <v>0</v>
      </c>
    </row>
    <row r="524" spans="2:3" x14ac:dyDescent="0.3">
      <c r="B524" s="8" t="s">
        <v>117</v>
      </c>
      <c r="C524" s="66">
        <v>0</v>
      </c>
    </row>
    <row r="525" spans="2:3" x14ac:dyDescent="0.3">
      <c r="B525" s="8" t="s">
        <v>117</v>
      </c>
      <c r="C525" s="66">
        <v>0</v>
      </c>
    </row>
    <row r="526" spans="2:3" x14ac:dyDescent="0.3">
      <c r="B526" s="8" t="s">
        <v>117</v>
      </c>
      <c r="C526" s="66">
        <v>0</v>
      </c>
    </row>
    <row r="527" spans="2:3" x14ac:dyDescent="0.3">
      <c r="B527" s="8" t="s">
        <v>117</v>
      </c>
      <c r="C527" s="66">
        <v>0</v>
      </c>
    </row>
    <row r="528" spans="2:3" x14ac:dyDescent="0.3">
      <c r="B528" s="8" t="s">
        <v>117</v>
      </c>
      <c r="C528" s="66">
        <v>0</v>
      </c>
    </row>
    <row r="529" spans="2:3" x14ac:dyDescent="0.3">
      <c r="B529" s="8" t="s">
        <v>117</v>
      </c>
      <c r="C529" s="66">
        <v>0</v>
      </c>
    </row>
    <row r="530" spans="2:3" x14ac:dyDescent="0.3">
      <c r="B530" s="8" t="s">
        <v>117</v>
      </c>
      <c r="C530" s="66">
        <v>0</v>
      </c>
    </row>
    <row r="531" spans="2:3" x14ac:dyDescent="0.3">
      <c r="B531" s="8" t="s">
        <v>117</v>
      </c>
      <c r="C531" s="66">
        <v>0</v>
      </c>
    </row>
    <row r="532" spans="2:3" x14ac:dyDescent="0.3">
      <c r="B532" s="8" t="s">
        <v>117</v>
      </c>
      <c r="C532" s="66">
        <v>0</v>
      </c>
    </row>
    <row r="533" spans="2:3" x14ac:dyDescent="0.3">
      <c r="B533" s="8" t="s">
        <v>117</v>
      </c>
      <c r="C533" s="66">
        <v>0</v>
      </c>
    </row>
    <row r="534" spans="2:3" x14ac:dyDescent="0.3">
      <c r="B534" s="8" t="s">
        <v>117</v>
      </c>
      <c r="C534" s="66">
        <v>0</v>
      </c>
    </row>
    <row r="535" spans="2:3" x14ac:dyDescent="0.3">
      <c r="B535" s="8" t="s">
        <v>117</v>
      </c>
      <c r="C535" s="66">
        <v>0</v>
      </c>
    </row>
    <row r="536" spans="2:3" x14ac:dyDescent="0.3">
      <c r="B536" s="8" t="s">
        <v>117</v>
      </c>
      <c r="C536" s="66">
        <v>0</v>
      </c>
    </row>
    <row r="537" spans="2:3" x14ac:dyDescent="0.3">
      <c r="B537" s="8" t="s">
        <v>117</v>
      </c>
      <c r="C537" s="66">
        <v>0</v>
      </c>
    </row>
    <row r="538" spans="2:3" x14ac:dyDescent="0.3">
      <c r="B538" s="8" t="s">
        <v>117</v>
      </c>
      <c r="C538" s="66">
        <v>0</v>
      </c>
    </row>
    <row r="539" spans="2:3" x14ac:dyDescent="0.3">
      <c r="B539" s="8" t="s">
        <v>117</v>
      </c>
      <c r="C539" s="66">
        <v>0</v>
      </c>
    </row>
    <row r="540" spans="2:3" x14ac:dyDescent="0.3">
      <c r="B540" s="8" t="s">
        <v>117</v>
      </c>
      <c r="C540" s="66">
        <v>0</v>
      </c>
    </row>
    <row r="541" spans="2:3" x14ac:dyDescent="0.3">
      <c r="B541" s="8" t="s">
        <v>117</v>
      </c>
      <c r="C541" s="66">
        <v>0</v>
      </c>
    </row>
    <row r="542" spans="2:3" x14ac:dyDescent="0.3">
      <c r="B542" s="8" t="s">
        <v>117</v>
      </c>
      <c r="C542" s="66">
        <v>0</v>
      </c>
    </row>
    <row r="543" spans="2:3" x14ac:dyDescent="0.3">
      <c r="B543" s="8" t="s">
        <v>117</v>
      </c>
      <c r="C543" s="66">
        <v>0</v>
      </c>
    </row>
    <row r="544" spans="2:3" x14ac:dyDescent="0.3">
      <c r="B544" s="8" t="s">
        <v>117</v>
      </c>
      <c r="C544" s="66">
        <v>0</v>
      </c>
    </row>
    <row r="545" spans="2:3" x14ac:dyDescent="0.3">
      <c r="B545" s="8" t="s">
        <v>117</v>
      </c>
      <c r="C545" s="66">
        <v>0</v>
      </c>
    </row>
    <row r="546" spans="2:3" x14ac:dyDescent="0.3">
      <c r="B546" s="8" t="s">
        <v>117</v>
      </c>
      <c r="C546" s="66">
        <v>0</v>
      </c>
    </row>
    <row r="547" spans="2:3" x14ac:dyDescent="0.3">
      <c r="B547" s="8" t="s">
        <v>117</v>
      </c>
      <c r="C547" s="66">
        <v>0</v>
      </c>
    </row>
    <row r="548" spans="2:3" x14ac:dyDescent="0.3">
      <c r="B548" s="8" t="s">
        <v>117</v>
      </c>
      <c r="C548" s="66">
        <v>0</v>
      </c>
    </row>
    <row r="549" spans="2:3" x14ac:dyDescent="0.3">
      <c r="B549" s="8" t="s">
        <v>117</v>
      </c>
      <c r="C549" s="66">
        <v>0</v>
      </c>
    </row>
    <row r="550" spans="2:3" x14ac:dyDescent="0.3">
      <c r="B550" s="8" t="s">
        <v>117</v>
      </c>
      <c r="C550" s="66">
        <v>0</v>
      </c>
    </row>
    <row r="551" spans="2:3" x14ac:dyDescent="0.3">
      <c r="B551" s="8" t="s">
        <v>117</v>
      </c>
      <c r="C551" s="66">
        <v>0</v>
      </c>
    </row>
    <row r="552" spans="2:3" x14ac:dyDescent="0.3">
      <c r="B552" s="8" t="s">
        <v>117</v>
      </c>
      <c r="C552" s="66">
        <v>0</v>
      </c>
    </row>
    <row r="553" spans="2:3" x14ac:dyDescent="0.3">
      <c r="B553" s="8" t="s">
        <v>117</v>
      </c>
      <c r="C553" s="66">
        <v>0</v>
      </c>
    </row>
    <row r="554" spans="2:3" x14ac:dyDescent="0.3">
      <c r="B554" s="8" t="s">
        <v>117</v>
      </c>
      <c r="C554" s="66">
        <v>0</v>
      </c>
    </row>
    <row r="555" spans="2:3" x14ac:dyDescent="0.3">
      <c r="B555" s="8" t="s">
        <v>117</v>
      </c>
      <c r="C555" s="66">
        <v>0</v>
      </c>
    </row>
    <row r="556" spans="2:3" x14ac:dyDescent="0.3">
      <c r="B556" s="8" t="s">
        <v>117</v>
      </c>
      <c r="C556" s="66">
        <v>0</v>
      </c>
    </row>
    <row r="557" spans="2:3" x14ac:dyDescent="0.3">
      <c r="B557" s="8" t="s">
        <v>117</v>
      </c>
      <c r="C557" s="66">
        <v>0</v>
      </c>
    </row>
    <row r="558" spans="2:3" x14ac:dyDescent="0.3">
      <c r="B558" s="8" t="s">
        <v>117</v>
      </c>
      <c r="C558" s="66">
        <v>0</v>
      </c>
    </row>
    <row r="559" spans="2:3" x14ac:dyDescent="0.3">
      <c r="B559" s="8" t="s">
        <v>117</v>
      </c>
      <c r="C559" s="66">
        <v>0</v>
      </c>
    </row>
    <row r="560" spans="2:3" x14ac:dyDescent="0.3">
      <c r="B560" s="8" t="s">
        <v>117</v>
      </c>
      <c r="C560" s="66">
        <v>0</v>
      </c>
    </row>
    <row r="561" spans="2:3" x14ac:dyDescent="0.3">
      <c r="B561" s="8" t="s">
        <v>117</v>
      </c>
      <c r="C561" s="66">
        <v>0</v>
      </c>
    </row>
    <row r="562" spans="2:3" x14ac:dyDescent="0.3">
      <c r="B562" s="8" t="s">
        <v>117</v>
      </c>
      <c r="C562" s="66">
        <v>0</v>
      </c>
    </row>
    <row r="563" spans="2:3" x14ac:dyDescent="0.3">
      <c r="B563" s="8" t="s">
        <v>117</v>
      </c>
      <c r="C563" s="66">
        <v>0</v>
      </c>
    </row>
    <row r="564" spans="2:3" x14ac:dyDescent="0.3">
      <c r="B564" s="8" t="s">
        <v>117</v>
      </c>
      <c r="C564" s="66">
        <v>0</v>
      </c>
    </row>
    <row r="565" spans="2:3" x14ac:dyDescent="0.3">
      <c r="B565" s="8" t="s">
        <v>117</v>
      </c>
      <c r="C565" s="66">
        <v>0</v>
      </c>
    </row>
    <row r="566" spans="2:3" x14ac:dyDescent="0.3">
      <c r="B566" s="8" t="s">
        <v>117</v>
      </c>
      <c r="C566" s="66">
        <v>0</v>
      </c>
    </row>
    <row r="567" spans="2:3" x14ac:dyDescent="0.3">
      <c r="B567" s="8" t="s">
        <v>117</v>
      </c>
      <c r="C567" s="66">
        <v>0</v>
      </c>
    </row>
    <row r="568" spans="2:3" x14ac:dyDescent="0.3">
      <c r="B568" s="8" t="s">
        <v>117</v>
      </c>
      <c r="C568" s="66">
        <v>0</v>
      </c>
    </row>
    <row r="569" spans="2:3" x14ac:dyDescent="0.3">
      <c r="B569" s="8" t="s">
        <v>117</v>
      </c>
      <c r="C569" s="66">
        <v>0</v>
      </c>
    </row>
    <row r="570" spans="2:3" x14ac:dyDescent="0.3">
      <c r="B570" s="8" t="s">
        <v>117</v>
      </c>
      <c r="C570" s="66">
        <v>0</v>
      </c>
    </row>
    <row r="571" spans="2:3" x14ac:dyDescent="0.3">
      <c r="B571" s="8" t="s">
        <v>117</v>
      </c>
      <c r="C571" s="66">
        <v>0</v>
      </c>
    </row>
    <row r="572" spans="2:3" x14ac:dyDescent="0.3">
      <c r="B572" s="8" t="s">
        <v>117</v>
      </c>
      <c r="C572" s="66">
        <v>0</v>
      </c>
    </row>
    <row r="573" spans="2:3" x14ac:dyDescent="0.3">
      <c r="B573" s="8" t="s">
        <v>117</v>
      </c>
      <c r="C573" s="66">
        <v>0</v>
      </c>
    </row>
    <row r="574" spans="2:3" x14ac:dyDescent="0.3">
      <c r="B574" s="8" t="s">
        <v>117</v>
      </c>
      <c r="C574" s="66">
        <v>0</v>
      </c>
    </row>
    <row r="575" spans="2:3" x14ac:dyDescent="0.3">
      <c r="B575" s="8" t="s">
        <v>117</v>
      </c>
      <c r="C575" s="66">
        <v>0</v>
      </c>
    </row>
    <row r="576" spans="2:3" x14ac:dyDescent="0.3">
      <c r="B576" s="8" t="s">
        <v>117</v>
      </c>
      <c r="C576" s="66">
        <v>0</v>
      </c>
    </row>
    <row r="577" spans="2:3" x14ac:dyDescent="0.3">
      <c r="B577" s="8" t="s">
        <v>117</v>
      </c>
      <c r="C577" s="66">
        <v>0</v>
      </c>
    </row>
    <row r="578" spans="2:3" x14ac:dyDescent="0.3">
      <c r="B578" s="8" t="s">
        <v>117</v>
      </c>
      <c r="C578" s="66">
        <v>0</v>
      </c>
    </row>
    <row r="579" spans="2:3" x14ac:dyDescent="0.3">
      <c r="B579" s="8" t="s">
        <v>117</v>
      </c>
      <c r="C579" s="66">
        <v>0</v>
      </c>
    </row>
    <row r="580" spans="2:3" x14ac:dyDescent="0.3">
      <c r="B580" s="8" t="s">
        <v>117</v>
      </c>
      <c r="C580" s="66">
        <v>0</v>
      </c>
    </row>
    <row r="581" spans="2:3" x14ac:dyDescent="0.3">
      <c r="B581" s="8" t="s">
        <v>117</v>
      </c>
      <c r="C581" s="66">
        <v>0</v>
      </c>
    </row>
    <row r="582" spans="2:3" x14ac:dyDescent="0.3">
      <c r="B582" s="8" t="s">
        <v>117</v>
      </c>
      <c r="C582" s="66">
        <v>0</v>
      </c>
    </row>
    <row r="583" spans="2:3" x14ac:dyDescent="0.3">
      <c r="B583" s="8" t="s">
        <v>117</v>
      </c>
      <c r="C583" s="66">
        <v>0</v>
      </c>
    </row>
    <row r="584" spans="2:3" x14ac:dyDescent="0.3">
      <c r="B584" s="8" t="s">
        <v>117</v>
      </c>
      <c r="C584" s="66">
        <v>0</v>
      </c>
    </row>
    <row r="585" spans="2:3" x14ac:dyDescent="0.3">
      <c r="B585" s="8" t="s">
        <v>117</v>
      </c>
      <c r="C585" s="66">
        <v>0</v>
      </c>
    </row>
    <row r="586" spans="2:3" x14ac:dyDescent="0.3">
      <c r="B586" s="8" t="s">
        <v>117</v>
      </c>
      <c r="C586" s="66">
        <v>0</v>
      </c>
    </row>
    <row r="587" spans="2:3" x14ac:dyDescent="0.3">
      <c r="B587" s="8" t="s">
        <v>117</v>
      </c>
      <c r="C587" s="66">
        <v>0</v>
      </c>
    </row>
    <row r="588" spans="2:3" x14ac:dyDescent="0.3">
      <c r="B588" s="8" t="s">
        <v>117</v>
      </c>
      <c r="C588" s="66">
        <v>0</v>
      </c>
    </row>
    <row r="589" spans="2:3" x14ac:dyDescent="0.3">
      <c r="B589" s="8" t="s">
        <v>117</v>
      </c>
      <c r="C589" s="66">
        <v>0</v>
      </c>
    </row>
    <row r="590" spans="2:3" x14ac:dyDescent="0.3">
      <c r="B590" s="8" t="s">
        <v>117</v>
      </c>
      <c r="C590" s="66">
        <v>0</v>
      </c>
    </row>
    <row r="591" spans="2:3" x14ac:dyDescent="0.3">
      <c r="B591" s="8" t="s">
        <v>117</v>
      </c>
      <c r="C591" s="66">
        <v>0</v>
      </c>
    </row>
    <row r="592" spans="2:3" x14ac:dyDescent="0.3">
      <c r="B592" s="8" t="s">
        <v>117</v>
      </c>
      <c r="C592" s="66">
        <v>0</v>
      </c>
    </row>
    <row r="593" spans="2:3" x14ac:dyDescent="0.3">
      <c r="B593" s="8" t="s">
        <v>117</v>
      </c>
      <c r="C593" s="66">
        <v>0</v>
      </c>
    </row>
    <row r="594" spans="2:3" x14ac:dyDescent="0.3">
      <c r="B594" s="8" t="s">
        <v>117</v>
      </c>
      <c r="C594" s="66">
        <v>0</v>
      </c>
    </row>
    <row r="595" spans="2:3" x14ac:dyDescent="0.3">
      <c r="B595" s="8" t="s">
        <v>117</v>
      </c>
      <c r="C595" s="66">
        <v>0</v>
      </c>
    </row>
    <row r="596" spans="2:3" x14ac:dyDescent="0.3">
      <c r="B596" s="8" t="s">
        <v>117</v>
      </c>
      <c r="C596" s="66">
        <v>0</v>
      </c>
    </row>
    <row r="597" spans="2:3" x14ac:dyDescent="0.3">
      <c r="B597" s="8" t="s">
        <v>117</v>
      </c>
      <c r="C597" s="66">
        <v>0</v>
      </c>
    </row>
    <row r="598" spans="2:3" x14ac:dyDescent="0.3">
      <c r="B598" s="8" t="s">
        <v>117</v>
      </c>
      <c r="C598" s="66">
        <v>0</v>
      </c>
    </row>
    <row r="599" spans="2:3" x14ac:dyDescent="0.3">
      <c r="B599" s="8" t="s">
        <v>117</v>
      </c>
      <c r="C599" s="66">
        <v>0</v>
      </c>
    </row>
    <row r="600" spans="2:3" x14ac:dyDescent="0.3">
      <c r="B600" s="8" t="s">
        <v>117</v>
      </c>
      <c r="C600" s="66">
        <v>0</v>
      </c>
    </row>
    <row r="601" spans="2:3" x14ac:dyDescent="0.3">
      <c r="B601" s="8" t="s">
        <v>117</v>
      </c>
      <c r="C601" s="66">
        <v>0</v>
      </c>
    </row>
    <row r="602" spans="2:3" x14ac:dyDescent="0.3">
      <c r="B602" s="8" t="s">
        <v>117</v>
      </c>
      <c r="C602" s="66">
        <v>0</v>
      </c>
    </row>
    <row r="603" spans="2:3" x14ac:dyDescent="0.3">
      <c r="B603" s="8" t="s">
        <v>117</v>
      </c>
      <c r="C603" s="66">
        <v>0</v>
      </c>
    </row>
    <row r="604" spans="2:3" x14ac:dyDescent="0.3">
      <c r="B604" s="8" t="s">
        <v>117</v>
      </c>
      <c r="C604" s="66">
        <v>0</v>
      </c>
    </row>
    <row r="605" spans="2:3" x14ac:dyDescent="0.3">
      <c r="B605" s="8" t="s">
        <v>117</v>
      </c>
      <c r="C605" s="66">
        <v>0</v>
      </c>
    </row>
    <row r="606" spans="2:3" x14ac:dyDescent="0.3">
      <c r="B606" s="8" t="s">
        <v>117</v>
      </c>
      <c r="C606" s="66">
        <v>0</v>
      </c>
    </row>
    <row r="607" spans="2:3" x14ac:dyDescent="0.3">
      <c r="B607" s="8" t="s">
        <v>117</v>
      </c>
      <c r="C607" s="66">
        <v>0</v>
      </c>
    </row>
    <row r="608" spans="2:3" x14ac:dyDescent="0.3">
      <c r="B608" s="8" t="s">
        <v>117</v>
      </c>
      <c r="C608" s="66">
        <v>0</v>
      </c>
    </row>
    <row r="609" spans="2:3" x14ac:dyDescent="0.3">
      <c r="B609" s="8" t="s">
        <v>117</v>
      </c>
      <c r="C609" s="66">
        <v>0</v>
      </c>
    </row>
    <row r="610" spans="2:3" x14ac:dyDescent="0.3">
      <c r="B610" s="8" t="s">
        <v>117</v>
      </c>
      <c r="C610" s="66">
        <v>0</v>
      </c>
    </row>
    <row r="611" spans="2:3" x14ac:dyDescent="0.3">
      <c r="B611" s="8" t="s">
        <v>117</v>
      </c>
      <c r="C611" s="66">
        <v>0</v>
      </c>
    </row>
    <row r="612" spans="2:3" x14ac:dyDescent="0.3">
      <c r="B612" s="8" t="s">
        <v>117</v>
      </c>
      <c r="C612" s="66">
        <v>0</v>
      </c>
    </row>
    <row r="613" spans="2:3" x14ac:dyDescent="0.3">
      <c r="B613" s="8" t="s">
        <v>117</v>
      </c>
      <c r="C613" s="66">
        <v>0</v>
      </c>
    </row>
    <row r="614" spans="2:3" x14ac:dyDescent="0.3">
      <c r="B614" s="8" t="s">
        <v>117</v>
      </c>
      <c r="C614" s="66">
        <v>0</v>
      </c>
    </row>
    <row r="615" spans="2:3" x14ac:dyDescent="0.3">
      <c r="B615" s="8" t="s">
        <v>117</v>
      </c>
      <c r="C615" s="66">
        <v>0</v>
      </c>
    </row>
    <row r="616" spans="2:3" x14ac:dyDescent="0.3">
      <c r="B616" s="8" t="s">
        <v>117</v>
      </c>
      <c r="C616" s="66">
        <v>0</v>
      </c>
    </row>
    <row r="617" spans="2:3" x14ac:dyDescent="0.3">
      <c r="B617" s="8" t="s">
        <v>117</v>
      </c>
      <c r="C617" s="66">
        <v>0</v>
      </c>
    </row>
    <row r="618" spans="2:3" x14ac:dyDescent="0.3">
      <c r="B618" s="8" t="s">
        <v>117</v>
      </c>
      <c r="C618" s="66">
        <v>0</v>
      </c>
    </row>
    <row r="619" spans="2:3" x14ac:dyDescent="0.3">
      <c r="B619" s="8" t="s">
        <v>117</v>
      </c>
      <c r="C619" s="66">
        <v>0</v>
      </c>
    </row>
    <row r="620" spans="2:3" x14ac:dyDescent="0.3">
      <c r="B620" s="8" t="s">
        <v>117</v>
      </c>
      <c r="C620" s="66">
        <v>0</v>
      </c>
    </row>
    <row r="621" spans="2:3" x14ac:dyDescent="0.3">
      <c r="B621" s="8" t="s">
        <v>117</v>
      </c>
      <c r="C621" s="66">
        <v>0</v>
      </c>
    </row>
    <row r="622" spans="2:3" x14ac:dyDescent="0.3">
      <c r="B622" s="8" t="s">
        <v>117</v>
      </c>
      <c r="C622" s="66">
        <v>0</v>
      </c>
    </row>
    <row r="623" spans="2:3" x14ac:dyDescent="0.3">
      <c r="B623" s="8" t="s">
        <v>117</v>
      </c>
      <c r="C623" s="66">
        <v>0</v>
      </c>
    </row>
    <row r="624" spans="2:3" x14ac:dyDescent="0.3">
      <c r="B624" s="8" t="s">
        <v>117</v>
      </c>
      <c r="C624" s="66">
        <v>0</v>
      </c>
    </row>
    <row r="625" spans="2:3" x14ac:dyDescent="0.3">
      <c r="B625" s="8" t="s">
        <v>117</v>
      </c>
      <c r="C625" s="66">
        <v>0</v>
      </c>
    </row>
    <row r="626" spans="2:3" x14ac:dyDescent="0.3">
      <c r="B626" s="8" t="s">
        <v>117</v>
      </c>
      <c r="C626" s="66">
        <v>0</v>
      </c>
    </row>
    <row r="627" spans="2:3" x14ac:dyDescent="0.3">
      <c r="B627" s="8" t="s">
        <v>117</v>
      </c>
      <c r="C627" s="66">
        <v>0</v>
      </c>
    </row>
    <row r="628" spans="2:3" x14ac:dyDescent="0.3">
      <c r="B628" s="8" t="s">
        <v>117</v>
      </c>
      <c r="C628" s="66">
        <v>0</v>
      </c>
    </row>
    <row r="629" spans="2:3" x14ac:dyDescent="0.3">
      <c r="B629" s="8" t="s">
        <v>117</v>
      </c>
      <c r="C629" s="66">
        <v>0</v>
      </c>
    </row>
    <row r="630" spans="2:3" x14ac:dyDescent="0.3">
      <c r="B630" s="8" t="s">
        <v>117</v>
      </c>
      <c r="C630" s="66">
        <v>0</v>
      </c>
    </row>
    <row r="631" spans="2:3" x14ac:dyDescent="0.3">
      <c r="B631" s="8" t="s">
        <v>117</v>
      </c>
      <c r="C631" s="66">
        <v>0</v>
      </c>
    </row>
    <row r="632" spans="2:3" x14ac:dyDescent="0.3">
      <c r="B632" s="8" t="s">
        <v>117</v>
      </c>
      <c r="C632" s="66">
        <v>0</v>
      </c>
    </row>
    <row r="633" spans="2:3" x14ac:dyDescent="0.3">
      <c r="B633" s="8" t="s">
        <v>117</v>
      </c>
      <c r="C633" s="66">
        <v>0</v>
      </c>
    </row>
    <row r="634" spans="2:3" x14ac:dyDescent="0.3">
      <c r="B634" s="8" t="s">
        <v>117</v>
      </c>
      <c r="C634" s="66">
        <v>0</v>
      </c>
    </row>
    <row r="635" spans="2:3" x14ac:dyDescent="0.3">
      <c r="B635" s="8" t="s">
        <v>117</v>
      </c>
      <c r="C635" s="66">
        <v>0</v>
      </c>
    </row>
    <row r="636" spans="2:3" x14ac:dyDescent="0.3">
      <c r="B636" s="8" t="s">
        <v>117</v>
      </c>
      <c r="C636" s="66">
        <v>0</v>
      </c>
    </row>
    <row r="637" spans="2:3" x14ac:dyDescent="0.3">
      <c r="B637" s="8" t="s">
        <v>117</v>
      </c>
      <c r="C637" s="66">
        <v>0</v>
      </c>
    </row>
    <row r="638" spans="2:3" x14ac:dyDescent="0.3">
      <c r="B638" s="8" t="s">
        <v>117</v>
      </c>
      <c r="C638" s="66">
        <v>0</v>
      </c>
    </row>
    <row r="639" spans="2:3" x14ac:dyDescent="0.3">
      <c r="B639" s="8" t="s">
        <v>117</v>
      </c>
      <c r="C639" s="66">
        <v>0</v>
      </c>
    </row>
    <row r="640" spans="2:3" x14ac:dyDescent="0.3">
      <c r="B640" s="8" t="s">
        <v>117</v>
      </c>
      <c r="C640" s="66">
        <v>0</v>
      </c>
    </row>
    <row r="641" spans="2:3" x14ac:dyDescent="0.3">
      <c r="B641" s="8" t="s">
        <v>117</v>
      </c>
      <c r="C641" s="66">
        <v>0</v>
      </c>
    </row>
    <row r="642" spans="2:3" x14ac:dyDescent="0.3">
      <c r="B642" s="8" t="s">
        <v>117</v>
      </c>
      <c r="C642" s="66">
        <v>0</v>
      </c>
    </row>
    <row r="643" spans="2:3" x14ac:dyDescent="0.3">
      <c r="B643" s="8" t="s">
        <v>117</v>
      </c>
      <c r="C643" s="66">
        <v>0</v>
      </c>
    </row>
    <row r="644" spans="2:3" x14ac:dyDescent="0.3">
      <c r="B644" s="8" t="s">
        <v>117</v>
      </c>
      <c r="C644" s="66">
        <v>0</v>
      </c>
    </row>
    <row r="645" spans="2:3" x14ac:dyDescent="0.3">
      <c r="B645" s="8" t="s">
        <v>117</v>
      </c>
      <c r="C645" s="66">
        <v>0</v>
      </c>
    </row>
    <row r="646" spans="2:3" x14ac:dyDescent="0.3">
      <c r="B646" s="8" t="s">
        <v>117</v>
      </c>
      <c r="C646" s="66">
        <v>0</v>
      </c>
    </row>
    <row r="647" spans="2:3" x14ac:dyDescent="0.3">
      <c r="B647" s="8" t="s">
        <v>117</v>
      </c>
      <c r="C647" s="66">
        <v>0</v>
      </c>
    </row>
    <row r="648" spans="2:3" x14ac:dyDescent="0.3">
      <c r="B648" s="8" t="s">
        <v>117</v>
      </c>
      <c r="C648" s="66">
        <v>0</v>
      </c>
    </row>
    <row r="649" spans="2:3" x14ac:dyDescent="0.3">
      <c r="B649" s="8" t="s">
        <v>117</v>
      </c>
      <c r="C649" s="66">
        <v>0</v>
      </c>
    </row>
    <row r="650" spans="2:3" x14ac:dyDescent="0.3">
      <c r="B650" s="8" t="s">
        <v>117</v>
      </c>
      <c r="C650" s="66">
        <v>0</v>
      </c>
    </row>
    <row r="651" spans="2:3" x14ac:dyDescent="0.3">
      <c r="B651" s="8" t="s">
        <v>117</v>
      </c>
      <c r="C651" s="66">
        <v>0</v>
      </c>
    </row>
    <row r="652" spans="2:3" x14ac:dyDescent="0.3">
      <c r="B652" s="8" t="s">
        <v>117</v>
      </c>
      <c r="C652" s="66">
        <v>0</v>
      </c>
    </row>
    <row r="653" spans="2:3" x14ac:dyDescent="0.3">
      <c r="B653" s="8" t="s">
        <v>117</v>
      </c>
      <c r="C653" s="66">
        <v>0</v>
      </c>
    </row>
    <row r="654" spans="2:3" x14ac:dyDescent="0.3">
      <c r="C654" s="66">
        <v>0</v>
      </c>
    </row>
    <row r="655" spans="2:3" x14ac:dyDescent="0.3">
      <c r="C655" s="66">
        <v>0</v>
      </c>
    </row>
    <row r="656" spans="2:3" x14ac:dyDescent="0.3">
      <c r="C656" s="66">
        <v>0</v>
      </c>
    </row>
    <row r="657" spans="3:3" x14ac:dyDescent="0.3">
      <c r="C657" s="66">
        <v>0</v>
      </c>
    </row>
    <row r="658" spans="3:3" x14ac:dyDescent="0.3">
      <c r="C658" s="66">
        <v>0</v>
      </c>
    </row>
    <row r="659" spans="3:3" x14ac:dyDescent="0.3">
      <c r="C659" s="66">
        <v>0</v>
      </c>
    </row>
    <row r="660" spans="3:3" x14ac:dyDescent="0.3">
      <c r="C660" s="66">
        <v>0</v>
      </c>
    </row>
    <row r="661" spans="3:3" x14ac:dyDescent="0.3">
      <c r="C661" s="66">
        <v>0</v>
      </c>
    </row>
    <row r="662" spans="3:3" x14ac:dyDescent="0.3">
      <c r="C662" s="66">
        <v>0</v>
      </c>
    </row>
    <row r="663" spans="3:3" x14ac:dyDescent="0.3">
      <c r="C663" s="66">
        <v>0</v>
      </c>
    </row>
    <row r="664" spans="3:3" x14ac:dyDescent="0.3">
      <c r="C664" s="66">
        <v>0</v>
      </c>
    </row>
    <row r="665" spans="3:3" x14ac:dyDescent="0.3">
      <c r="C665" s="66">
        <v>0</v>
      </c>
    </row>
    <row r="666" spans="3:3" x14ac:dyDescent="0.3">
      <c r="C666" s="66">
        <v>0</v>
      </c>
    </row>
    <row r="667" spans="3:3" x14ac:dyDescent="0.3">
      <c r="C667" s="66">
        <v>0</v>
      </c>
    </row>
    <row r="668" spans="3:3" x14ac:dyDescent="0.3">
      <c r="C668" s="66">
        <v>0</v>
      </c>
    </row>
    <row r="669" spans="3:3" x14ac:dyDescent="0.3">
      <c r="C669" s="66">
        <v>0</v>
      </c>
    </row>
    <row r="670" spans="3:3" x14ac:dyDescent="0.3">
      <c r="C670" s="66">
        <v>0</v>
      </c>
    </row>
    <row r="671" spans="3:3" x14ac:dyDescent="0.3">
      <c r="C671" s="66">
        <v>0</v>
      </c>
    </row>
    <row r="672" spans="3:3" x14ac:dyDescent="0.3">
      <c r="C672" s="66">
        <v>0</v>
      </c>
    </row>
    <row r="673" spans="3:3" x14ac:dyDescent="0.3">
      <c r="C673" s="66">
        <v>0</v>
      </c>
    </row>
    <row r="674" spans="3:3" x14ac:dyDescent="0.3">
      <c r="C674" s="66">
        <v>0</v>
      </c>
    </row>
    <row r="675" spans="3:3" x14ac:dyDescent="0.3">
      <c r="C675" s="66">
        <v>0</v>
      </c>
    </row>
    <row r="676" spans="3:3" x14ac:dyDescent="0.3">
      <c r="C676" s="66">
        <v>0</v>
      </c>
    </row>
    <row r="677" spans="3:3" x14ac:dyDescent="0.3">
      <c r="C677" s="66">
        <v>0</v>
      </c>
    </row>
    <row r="678" spans="3:3" x14ac:dyDescent="0.3">
      <c r="C678" s="66">
        <v>0</v>
      </c>
    </row>
    <row r="679" spans="3:3" x14ac:dyDescent="0.3">
      <c r="C679" s="66">
        <v>0</v>
      </c>
    </row>
    <row r="680" spans="3:3" x14ac:dyDescent="0.3">
      <c r="C680" s="66">
        <v>0</v>
      </c>
    </row>
    <row r="681" spans="3:3" x14ac:dyDescent="0.3">
      <c r="C681" s="66">
        <v>0</v>
      </c>
    </row>
    <row r="682" spans="3:3" x14ac:dyDescent="0.3">
      <c r="C682" s="66">
        <v>0</v>
      </c>
    </row>
    <row r="683" spans="3:3" x14ac:dyDescent="0.3">
      <c r="C683" s="66">
        <v>0</v>
      </c>
    </row>
    <row r="684" spans="3:3" x14ac:dyDescent="0.3">
      <c r="C684" s="66">
        <v>0</v>
      </c>
    </row>
    <row r="685" spans="3:3" x14ac:dyDescent="0.3">
      <c r="C685" s="66">
        <v>0</v>
      </c>
    </row>
    <row r="686" spans="3:3" x14ac:dyDescent="0.3">
      <c r="C686" s="66">
        <v>0</v>
      </c>
    </row>
    <row r="687" spans="3:3" x14ac:dyDescent="0.3">
      <c r="C687" s="66">
        <v>0</v>
      </c>
    </row>
    <row r="688" spans="3:3" x14ac:dyDescent="0.3">
      <c r="C688" s="66">
        <v>0</v>
      </c>
    </row>
    <row r="689" spans="3:3" x14ac:dyDescent="0.3">
      <c r="C689" s="66">
        <v>0</v>
      </c>
    </row>
    <row r="690" spans="3:3" x14ac:dyDescent="0.3">
      <c r="C690" s="66">
        <v>0</v>
      </c>
    </row>
    <row r="691" spans="3:3" x14ac:dyDescent="0.3">
      <c r="C691" s="66">
        <v>0</v>
      </c>
    </row>
    <row r="692" spans="3:3" x14ac:dyDescent="0.3">
      <c r="C692" s="66">
        <v>0</v>
      </c>
    </row>
    <row r="693" spans="3:3" x14ac:dyDescent="0.3">
      <c r="C693" s="66">
        <v>0</v>
      </c>
    </row>
    <row r="694" spans="3:3" x14ac:dyDescent="0.3">
      <c r="C694" s="66">
        <v>0</v>
      </c>
    </row>
    <row r="695" spans="3:3" x14ac:dyDescent="0.3">
      <c r="C695" s="66">
        <v>0</v>
      </c>
    </row>
    <row r="696" spans="3:3" x14ac:dyDescent="0.3">
      <c r="C696" s="66">
        <v>0</v>
      </c>
    </row>
    <row r="697" spans="3:3" x14ac:dyDescent="0.3">
      <c r="C697" s="66">
        <v>0</v>
      </c>
    </row>
    <row r="698" spans="3:3" x14ac:dyDescent="0.3">
      <c r="C698" s="66">
        <v>0</v>
      </c>
    </row>
    <row r="699" spans="3:3" x14ac:dyDescent="0.3">
      <c r="C699" s="66">
        <v>0</v>
      </c>
    </row>
    <row r="700" spans="3:3" x14ac:dyDescent="0.3">
      <c r="C700" s="66">
        <v>0</v>
      </c>
    </row>
    <row r="701" spans="3:3" x14ac:dyDescent="0.3">
      <c r="C701" s="66">
        <v>0</v>
      </c>
    </row>
    <row r="702" spans="3:3" x14ac:dyDescent="0.3">
      <c r="C702" s="66">
        <v>0</v>
      </c>
    </row>
    <row r="703" spans="3:3" x14ac:dyDescent="0.3">
      <c r="C703" s="66">
        <v>0</v>
      </c>
    </row>
    <row r="704" spans="3:3" x14ac:dyDescent="0.3">
      <c r="C704" s="66">
        <v>0</v>
      </c>
    </row>
    <row r="705" spans="3:3" x14ac:dyDescent="0.3">
      <c r="C705" s="66">
        <v>0</v>
      </c>
    </row>
    <row r="706" spans="3:3" x14ac:dyDescent="0.3">
      <c r="C706" s="66">
        <v>0</v>
      </c>
    </row>
    <row r="707" spans="3:3" x14ac:dyDescent="0.3">
      <c r="C707" s="66">
        <v>0</v>
      </c>
    </row>
    <row r="708" spans="3:3" x14ac:dyDescent="0.3">
      <c r="C708" s="66">
        <v>0</v>
      </c>
    </row>
    <row r="709" spans="3:3" x14ac:dyDescent="0.3">
      <c r="C709" s="66">
        <v>0</v>
      </c>
    </row>
    <row r="710" spans="3:3" x14ac:dyDescent="0.3">
      <c r="C710" s="66">
        <v>0</v>
      </c>
    </row>
    <row r="711" spans="3:3" x14ac:dyDescent="0.3">
      <c r="C711" s="66">
        <v>0</v>
      </c>
    </row>
    <row r="712" spans="3:3" x14ac:dyDescent="0.3">
      <c r="C712" s="66">
        <v>0</v>
      </c>
    </row>
    <row r="713" spans="3:3" x14ac:dyDescent="0.3">
      <c r="C713" s="66">
        <v>0</v>
      </c>
    </row>
    <row r="714" spans="3:3" x14ac:dyDescent="0.3">
      <c r="C714" s="66">
        <v>0</v>
      </c>
    </row>
    <row r="715" spans="3:3" x14ac:dyDescent="0.3">
      <c r="C715" s="66">
        <v>0</v>
      </c>
    </row>
    <row r="716" spans="3:3" x14ac:dyDescent="0.3">
      <c r="C716" s="66">
        <v>0</v>
      </c>
    </row>
    <row r="717" spans="3:3" x14ac:dyDescent="0.3">
      <c r="C717" s="66">
        <v>0</v>
      </c>
    </row>
    <row r="718" spans="3:3" x14ac:dyDescent="0.3">
      <c r="C718" s="66">
        <v>0</v>
      </c>
    </row>
    <row r="719" spans="3:3" x14ac:dyDescent="0.3">
      <c r="C719" s="66">
        <v>0</v>
      </c>
    </row>
    <row r="720" spans="3:3" x14ac:dyDescent="0.3">
      <c r="C720" s="66">
        <v>0</v>
      </c>
    </row>
    <row r="721" spans="3:3" x14ac:dyDescent="0.3">
      <c r="C721" s="66">
        <v>0</v>
      </c>
    </row>
    <row r="722" spans="3:3" x14ac:dyDescent="0.3">
      <c r="C722" s="66">
        <v>0</v>
      </c>
    </row>
    <row r="723" spans="3:3" x14ac:dyDescent="0.3">
      <c r="C723" s="66">
        <v>0</v>
      </c>
    </row>
    <row r="724" spans="3:3" x14ac:dyDescent="0.3">
      <c r="C724" s="66">
        <v>0</v>
      </c>
    </row>
    <row r="725" spans="3:3" x14ac:dyDescent="0.3">
      <c r="C725" s="66">
        <v>0</v>
      </c>
    </row>
    <row r="726" spans="3:3" x14ac:dyDescent="0.3">
      <c r="C726" s="66">
        <v>0</v>
      </c>
    </row>
    <row r="727" spans="3:3" x14ac:dyDescent="0.3">
      <c r="C727" s="66">
        <v>0</v>
      </c>
    </row>
    <row r="728" spans="3:3" x14ac:dyDescent="0.3">
      <c r="C728" s="66">
        <v>0</v>
      </c>
    </row>
    <row r="729" spans="3:3" x14ac:dyDescent="0.3">
      <c r="C729" s="66">
        <v>0</v>
      </c>
    </row>
    <row r="730" spans="3:3" x14ac:dyDescent="0.3">
      <c r="C730" s="66">
        <v>0</v>
      </c>
    </row>
    <row r="731" spans="3:3" x14ac:dyDescent="0.3">
      <c r="C731" s="66">
        <v>0</v>
      </c>
    </row>
    <row r="732" spans="3:3" x14ac:dyDescent="0.3">
      <c r="C732" s="66">
        <v>0</v>
      </c>
    </row>
    <row r="733" spans="3:3" x14ac:dyDescent="0.3">
      <c r="C733" s="66">
        <v>0</v>
      </c>
    </row>
    <row r="734" spans="3:3" x14ac:dyDescent="0.3">
      <c r="C734" s="66">
        <v>0</v>
      </c>
    </row>
    <row r="735" spans="3:3" x14ac:dyDescent="0.3">
      <c r="C735" s="66">
        <v>0</v>
      </c>
    </row>
    <row r="736" spans="3:3" x14ac:dyDescent="0.3">
      <c r="C736" s="66">
        <v>0</v>
      </c>
    </row>
    <row r="737" spans="3:3" x14ac:dyDescent="0.3">
      <c r="C737" s="66">
        <v>0</v>
      </c>
    </row>
    <row r="738" spans="3:3" x14ac:dyDescent="0.3">
      <c r="C738" s="66">
        <v>0</v>
      </c>
    </row>
    <row r="739" spans="3:3" x14ac:dyDescent="0.3">
      <c r="C739" s="66">
        <v>0</v>
      </c>
    </row>
    <row r="740" spans="3:3" x14ac:dyDescent="0.3">
      <c r="C740" s="66">
        <v>0</v>
      </c>
    </row>
    <row r="741" spans="3:3" x14ac:dyDescent="0.3">
      <c r="C741" s="66">
        <v>0</v>
      </c>
    </row>
    <row r="742" spans="3:3" x14ac:dyDescent="0.3">
      <c r="C742" s="66">
        <v>0</v>
      </c>
    </row>
    <row r="743" spans="3:3" x14ac:dyDescent="0.3">
      <c r="C743" s="66">
        <v>0</v>
      </c>
    </row>
    <row r="744" spans="3:3" x14ac:dyDescent="0.3">
      <c r="C744" s="66">
        <v>0</v>
      </c>
    </row>
    <row r="745" spans="3:3" x14ac:dyDescent="0.3">
      <c r="C745" s="66">
        <v>0</v>
      </c>
    </row>
    <row r="746" spans="3:3" x14ac:dyDescent="0.3">
      <c r="C746" s="66">
        <v>0</v>
      </c>
    </row>
    <row r="747" spans="3:3" x14ac:dyDescent="0.3">
      <c r="C747" s="66">
        <v>0</v>
      </c>
    </row>
    <row r="748" spans="3:3" x14ac:dyDescent="0.3">
      <c r="C748" s="66">
        <v>0</v>
      </c>
    </row>
    <row r="749" spans="3:3" x14ac:dyDescent="0.3">
      <c r="C749" s="66">
        <v>0</v>
      </c>
    </row>
    <row r="750" spans="3:3" x14ac:dyDescent="0.3">
      <c r="C750" s="66">
        <v>0</v>
      </c>
    </row>
    <row r="751" spans="3:3" x14ac:dyDescent="0.3">
      <c r="C751" s="66">
        <v>0</v>
      </c>
    </row>
    <row r="752" spans="3:3" x14ac:dyDescent="0.3">
      <c r="C752" s="66">
        <v>0</v>
      </c>
    </row>
    <row r="753" spans="3:3" x14ac:dyDescent="0.3">
      <c r="C753" s="66">
        <v>0</v>
      </c>
    </row>
    <row r="754" spans="3:3" x14ac:dyDescent="0.3">
      <c r="C754" s="66">
        <v>0</v>
      </c>
    </row>
    <row r="755" spans="3:3" x14ac:dyDescent="0.3">
      <c r="C755" s="66">
        <v>0</v>
      </c>
    </row>
    <row r="756" spans="3:3" x14ac:dyDescent="0.3">
      <c r="C756" s="66">
        <v>0</v>
      </c>
    </row>
    <row r="757" spans="3:3" x14ac:dyDescent="0.3">
      <c r="C757" s="66">
        <v>0</v>
      </c>
    </row>
    <row r="758" spans="3:3" x14ac:dyDescent="0.3">
      <c r="C758" s="66">
        <v>0</v>
      </c>
    </row>
    <row r="759" spans="3:3" x14ac:dyDescent="0.3">
      <c r="C759" s="66">
        <v>0</v>
      </c>
    </row>
    <row r="760" spans="3:3" x14ac:dyDescent="0.3">
      <c r="C760" s="66">
        <v>0</v>
      </c>
    </row>
    <row r="761" spans="3:3" x14ac:dyDescent="0.3">
      <c r="C761" s="66">
        <v>0</v>
      </c>
    </row>
    <row r="762" spans="3:3" x14ac:dyDescent="0.3">
      <c r="C762" s="66">
        <v>0</v>
      </c>
    </row>
    <row r="763" spans="3:3" x14ac:dyDescent="0.3">
      <c r="C763" s="66">
        <v>0</v>
      </c>
    </row>
    <row r="764" spans="3:3" x14ac:dyDescent="0.3">
      <c r="C764" s="66">
        <v>0</v>
      </c>
    </row>
    <row r="765" spans="3:3" x14ac:dyDescent="0.3">
      <c r="C765" s="66">
        <v>0</v>
      </c>
    </row>
    <row r="766" spans="3:3" x14ac:dyDescent="0.3">
      <c r="C766" s="66">
        <v>0</v>
      </c>
    </row>
    <row r="767" spans="3:3" x14ac:dyDescent="0.3">
      <c r="C767" s="66">
        <v>0</v>
      </c>
    </row>
    <row r="768" spans="3:3" x14ac:dyDescent="0.3">
      <c r="C768" s="66">
        <v>0</v>
      </c>
    </row>
    <row r="769" spans="3:3" x14ac:dyDescent="0.3">
      <c r="C769" s="66">
        <v>0</v>
      </c>
    </row>
    <row r="770" spans="3:3" x14ac:dyDescent="0.3">
      <c r="C770" s="66">
        <v>0</v>
      </c>
    </row>
    <row r="771" spans="3:3" x14ac:dyDescent="0.3">
      <c r="C771" s="66">
        <v>0</v>
      </c>
    </row>
    <row r="772" spans="3:3" x14ac:dyDescent="0.3">
      <c r="C772" s="66">
        <v>0</v>
      </c>
    </row>
    <row r="773" spans="3:3" x14ac:dyDescent="0.3">
      <c r="C773" s="66">
        <v>0</v>
      </c>
    </row>
    <row r="774" spans="3:3" x14ac:dyDescent="0.3">
      <c r="C774" s="66">
        <v>0</v>
      </c>
    </row>
    <row r="775" spans="3:3" x14ac:dyDescent="0.3">
      <c r="C775" s="66">
        <v>0</v>
      </c>
    </row>
    <row r="776" spans="3:3" x14ac:dyDescent="0.3">
      <c r="C776" s="66">
        <v>0</v>
      </c>
    </row>
    <row r="777" spans="3:3" x14ac:dyDescent="0.3">
      <c r="C777" s="66">
        <v>0</v>
      </c>
    </row>
    <row r="778" spans="3:3" x14ac:dyDescent="0.3">
      <c r="C778" s="66">
        <v>0</v>
      </c>
    </row>
    <row r="779" spans="3:3" x14ac:dyDescent="0.3">
      <c r="C779" s="66">
        <v>0</v>
      </c>
    </row>
    <row r="780" spans="3:3" x14ac:dyDescent="0.3">
      <c r="C780" s="66">
        <v>0</v>
      </c>
    </row>
    <row r="781" spans="3:3" x14ac:dyDescent="0.3">
      <c r="C781" s="66">
        <v>0</v>
      </c>
    </row>
    <row r="782" spans="3:3" x14ac:dyDescent="0.3">
      <c r="C782" s="66">
        <v>0</v>
      </c>
    </row>
    <row r="783" spans="3:3" x14ac:dyDescent="0.3">
      <c r="C783" s="66">
        <v>0</v>
      </c>
    </row>
    <row r="784" spans="3:3" x14ac:dyDescent="0.3">
      <c r="C784" s="66">
        <v>0</v>
      </c>
    </row>
    <row r="785" spans="3:3" x14ac:dyDescent="0.3">
      <c r="C785" s="66">
        <v>0</v>
      </c>
    </row>
    <row r="786" spans="3:3" x14ac:dyDescent="0.3">
      <c r="C786" s="66">
        <v>0</v>
      </c>
    </row>
    <row r="787" spans="3:3" x14ac:dyDescent="0.3">
      <c r="C787" s="66">
        <v>0</v>
      </c>
    </row>
    <row r="788" spans="3:3" x14ac:dyDescent="0.3">
      <c r="C788" s="66">
        <v>0</v>
      </c>
    </row>
    <row r="789" spans="3:3" x14ac:dyDescent="0.3">
      <c r="C789" s="66">
        <v>0</v>
      </c>
    </row>
    <row r="790" spans="3:3" x14ac:dyDescent="0.3">
      <c r="C790" s="66">
        <v>0</v>
      </c>
    </row>
    <row r="791" spans="3:3" x14ac:dyDescent="0.3">
      <c r="C791" s="66">
        <v>0</v>
      </c>
    </row>
    <row r="792" spans="3:3" x14ac:dyDescent="0.3">
      <c r="C792" s="66">
        <v>0</v>
      </c>
    </row>
    <row r="793" spans="3:3" x14ac:dyDescent="0.3">
      <c r="C793" s="66">
        <v>0</v>
      </c>
    </row>
    <row r="794" spans="3:3" x14ac:dyDescent="0.3">
      <c r="C794" s="66">
        <v>0</v>
      </c>
    </row>
    <row r="795" spans="3:3" x14ac:dyDescent="0.3">
      <c r="C795" s="66">
        <v>0</v>
      </c>
    </row>
    <row r="796" spans="3:3" x14ac:dyDescent="0.3">
      <c r="C796" s="66">
        <v>0</v>
      </c>
    </row>
    <row r="797" spans="3:3" x14ac:dyDescent="0.3">
      <c r="C797" s="66">
        <v>0</v>
      </c>
    </row>
    <row r="798" spans="3:3" x14ac:dyDescent="0.3">
      <c r="C798" s="66">
        <v>0</v>
      </c>
    </row>
    <row r="799" spans="3:3" x14ac:dyDescent="0.3">
      <c r="C799" s="66">
        <v>0</v>
      </c>
    </row>
    <row r="800" spans="3:3" x14ac:dyDescent="0.3">
      <c r="C800" s="66">
        <v>0</v>
      </c>
    </row>
    <row r="801" spans="3:3" x14ac:dyDescent="0.3">
      <c r="C801" s="66">
        <v>0</v>
      </c>
    </row>
    <row r="802" spans="3:3" x14ac:dyDescent="0.3">
      <c r="C802" s="66">
        <v>0</v>
      </c>
    </row>
    <row r="803" spans="3:3" x14ac:dyDescent="0.3">
      <c r="C803" s="66">
        <v>0</v>
      </c>
    </row>
    <row r="804" spans="3:3" x14ac:dyDescent="0.3">
      <c r="C804" s="66">
        <v>0</v>
      </c>
    </row>
    <row r="805" spans="3:3" x14ac:dyDescent="0.3">
      <c r="C805" s="66">
        <v>0</v>
      </c>
    </row>
    <row r="806" spans="3:3" x14ac:dyDescent="0.3">
      <c r="C806" s="66">
        <v>0</v>
      </c>
    </row>
    <row r="807" spans="3:3" x14ac:dyDescent="0.3">
      <c r="C807" s="66">
        <v>0</v>
      </c>
    </row>
    <row r="808" spans="3:3" x14ac:dyDescent="0.3">
      <c r="C808" s="66">
        <v>0</v>
      </c>
    </row>
    <row r="809" spans="3:3" x14ac:dyDescent="0.3">
      <c r="C809" s="66">
        <v>0</v>
      </c>
    </row>
    <row r="810" spans="3:3" x14ac:dyDescent="0.3">
      <c r="C810" s="66">
        <v>0</v>
      </c>
    </row>
    <row r="811" spans="3:3" x14ac:dyDescent="0.3">
      <c r="C811" s="66">
        <v>0</v>
      </c>
    </row>
    <row r="812" spans="3:3" x14ac:dyDescent="0.3">
      <c r="C812" s="66">
        <v>0</v>
      </c>
    </row>
    <row r="813" spans="3:3" x14ac:dyDescent="0.3">
      <c r="C813" s="66">
        <v>0</v>
      </c>
    </row>
    <row r="814" spans="3:3" x14ac:dyDescent="0.3">
      <c r="C814" s="66">
        <v>0</v>
      </c>
    </row>
    <row r="815" spans="3:3" x14ac:dyDescent="0.3">
      <c r="C815" s="66">
        <v>0</v>
      </c>
    </row>
    <row r="816" spans="3:3" x14ac:dyDescent="0.3">
      <c r="C816" s="66">
        <v>0</v>
      </c>
    </row>
    <row r="817" spans="3:3" x14ac:dyDescent="0.3">
      <c r="C817" s="66">
        <v>0</v>
      </c>
    </row>
    <row r="818" spans="3:3" x14ac:dyDescent="0.3">
      <c r="C818" s="66">
        <v>0</v>
      </c>
    </row>
    <row r="819" spans="3:3" x14ac:dyDescent="0.3">
      <c r="C819" s="66">
        <v>0</v>
      </c>
    </row>
    <row r="820" spans="3:3" x14ac:dyDescent="0.3">
      <c r="C820" s="66">
        <v>0</v>
      </c>
    </row>
    <row r="821" spans="3:3" x14ac:dyDescent="0.3">
      <c r="C821" s="66">
        <v>0</v>
      </c>
    </row>
    <row r="822" spans="3:3" x14ac:dyDescent="0.3">
      <c r="C822" s="66">
        <v>0</v>
      </c>
    </row>
    <row r="823" spans="3:3" x14ac:dyDescent="0.3">
      <c r="C823" s="66">
        <v>0</v>
      </c>
    </row>
    <row r="824" spans="3:3" x14ac:dyDescent="0.3">
      <c r="C824" s="66">
        <v>0</v>
      </c>
    </row>
    <row r="825" spans="3:3" x14ac:dyDescent="0.3">
      <c r="C825" s="66">
        <v>0</v>
      </c>
    </row>
    <row r="826" spans="3:3" x14ac:dyDescent="0.3">
      <c r="C826" s="66">
        <v>0</v>
      </c>
    </row>
    <row r="827" spans="3:3" x14ac:dyDescent="0.3">
      <c r="C827" s="66">
        <v>0</v>
      </c>
    </row>
    <row r="828" spans="3:3" x14ac:dyDescent="0.3">
      <c r="C828" s="66">
        <v>0</v>
      </c>
    </row>
    <row r="829" spans="3:3" x14ac:dyDescent="0.3">
      <c r="C829" s="66">
        <v>0</v>
      </c>
    </row>
    <row r="830" spans="3:3" x14ac:dyDescent="0.3">
      <c r="C830" s="66">
        <v>0</v>
      </c>
    </row>
    <row r="831" spans="3:3" x14ac:dyDescent="0.3">
      <c r="C831" s="66">
        <v>0</v>
      </c>
    </row>
    <row r="832" spans="3:3" x14ac:dyDescent="0.3">
      <c r="C832" s="66">
        <v>0</v>
      </c>
    </row>
    <row r="833" spans="3:3" x14ac:dyDescent="0.3">
      <c r="C833" s="66">
        <v>0</v>
      </c>
    </row>
    <row r="834" spans="3:3" x14ac:dyDescent="0.3">
      <c r="C834" s="66">
        <v>0</v>
      </c>
    </row>
    <row r="835" spans="3:3" x14ac:dyDescent="0.3">
      <c r="C835" s="66">
        <v>0</v>
      </c>
    </row>
    <row r="836" spans="3:3" x14ac:dyDescent="0.3">
      <c r="C836" s="66">
        <v>0</v>
      </c>
    </row>
    <row r="837" spans="3:3" x14ac:dyDescent="0.3">
      <c r="C837" s="66">
        <v>0</v>
      </c>
    </row>
    <row r="838" spans="3:3" x14ac:dyDescent="0.3">
      <c r="C838" s="66">
        <v>0</v>
      </c>
    </row>
    <row r="839" spans="3:3" x14ac:dyDescent="0.3">
      <c r="C839" s="66">
        <v>0</v>
      </c>
    </row>
    <row r="840" spans="3:3" x14ac:dyDescent="0.3">
      <c r="C840" s="66">
        <v>0</v>
      </c>
    </row>
    <row r="841" spans="3:3" x14ac:dyDescent="0.3">
      <c r="C841" s="66">
        <v>0</v>
      </c>
    </row>
    <row r="842" spans="3:3" x14ac:dyDescent="0.3">
      <c r="C842" s="66">
        <v>0</v>
      </c>
    </row>
    <row r="843" spans="3:3" x14ac:dyDescent="0.3">
      <c r="C843" s="66">
        <v>0</v>
      </c>
    </row>
    <row r="844" spans="3:3" x14ac:dyDescent="0.3">
      <c r="C844" s="66">
        <v>0</v>
      </c>
    </row>
    <row r="845" spans="3:3" x14ac:dyDescent="0.3">
      <c r="C845" s="66">
        <v>0</v>
      </c>
    </row>
    <row r="846" spans="3:3" x14ac:dyDescent="0.3">
      <c r="C846" s="66">
        <v>0</v>
      </c>
    </row>
    <row r="847" spans="3:3" x14ac:dyDescent="0.3">
      <c r="C847" s="66">
        <v>0</v>
      </c>
    </row>
    <row r="848" spans="3:3" x14ac:dyDescent="0.3">
      <c r="C848" s="66">
        <v>0</v>
      </c>
    </row>
    <row r="849" spans="3:3" x14ac:dyDescent="0.3">
      <c r="C849" s="66">
        <v>0</v>
      </c>
    </row>
    <row r="850" spans="3:3" x14ac:dyDescent="0.3">
      <c r="C850" s="66">
        <v>0</v>
      </c>
    </row>
    <row r="851" spans="3:3" x14ac:dyDescent="0.3">
      <c r="C851" s="66">
        <v>0</v>
      </c>
    </row>
    <row r="852" spans="3:3" x14ac:dyDescent="0.3">
      <c r="C852" s="66">
        <v>0</v>
      </c>
    </row>
    <row r="853" spans="3:3" x14ac:dyDescent="0.3">
      <c r="C853" s="66">
        <v>0</v>
      </c>
    </row>
    <row r="854" spans="3:3" x14ac:dyDescent="0.3">
      <c r="C854" s="66">
        <v>0</v>
      </c>
    </row>
    <row r="855" spans="3:3" x14ac:dyDescent="0.3">
      <c r="C855" s="66">
        <v>0</v>
      </c>
    </row>
    <row r="856" spans="3:3" x14ac:dyDescent="0.3">
      <c r="C856" s="66">
        <v>0</v>
      </c>
    </row>
    <row r="857" spans="3:3" x14ac:dyDescent="0.3">
      <c r="C857" s="66">
        <v>0</v>
      </c>
    </row>
    <row r="858" spans="3:3" x14ac:dyDescent="0.3">
      <c r="C858" s="66">
        <v>0</v>
      </c>
    </row>
    <row r="859" spans="3:3" x14ac:dyDescent="0.3">
      <c r="C859" s="66">
        <v>0</v>
      </c>
    </row>
    <row r="860" spans="3:3" x14ac:dyDescent="0.3">
      <c r="C860" s="66">
        <v>0</v>
      </c>
    </row>
    <row r="861" spans="3:3" x14ac:dyDescent="0.3">
      <c r="C861" s="66">
        <v>0</v>
      </c>
    </row>
    <row r="862" spans="3:3" x14ac:dyDescent="0.3">
      <c r="C862" s="66">
        <v>0</v>
      </c>
    </row>
    <row r="863" spans="3:3" x14ac:dyDescent="0.3">
      <c r="C863" s="66">
        <v>0</v>
      </c>
    </row>
    <row r="864" spans="3:3" x14ac:dyDescent="0.3">
      <c r="C864" s="66">
        <v>0</v>
      </c>
    </row>
    <row r="865" spans="3:3" x14ac:dyDescent="0.3">
      <c r="C865" s="66">
        <v>0</v>
      </c>
    </row>
    <row r="866" spans="3:3" x14ac:dyDescent="0.3">
      <c r="C866" s="66">
        <v>0</v>
      </c>
    </row>
    <row r="867" spans="3:3" x14ac:dyDescent="0.3">
      <c r="C867" s="66">
        <v>0</v>
      </c>
    </row>
    <row r="868" spans="3:3" x14ac:dyDescent="0.3">
      <c r="C868" s="66">
        <v>0</v>
      </c>
    </row>
    <row r="869" spans="3:3" x14ac:dyDescent="0.3">
      <c r="C869" s="66">
        <v>0</v>
      </c>
    </row>
    <row r="870" spans="3:3" x14ac:dyDescent="0.3">
      <c r="C870" s="66">
        <v>0</v>
      </c>
    </row>
    <row r="871" spans="3:3" x14ac:dyDescent="0.3">
      <c r="C871" s="66">
        <v>0</v>
      </c>
    </row>
    <row r="872" spans="3:3" x14ac:dyDescent="0.3">
      <c r="C872" s="66">
        <v>0</v>
      </c>
    </row>
    <row r="873" spans="3:3" x14ac:dyDescent="0.3">
      <c r="C873" s="66">
        <v>0</v>
      </c>
    </row>
    <row r="874" spans="3:3" x14ac:dyDescent="0.3">
      <c r="C874" s="66">
        <v>0</v>
      </c>
    </row>
    <row r="875" spans="3:3" x14ac:dyDescent="0.3">
      <c r="C875" s="66">
        <v>0</v>
      </c>
    </row>
    <row r="876" spans="3:3" x14ac:dyDescent="0.3">
      <c r="C876" s="66">
        <v>0</v>
      </c>
    </row>
    <row r="877" spans="3:3" x14ac:dyDescent="0.3">
      <c r="C877" s="66">
        <v>0</v>
      </c>
    </row>
    <row r="878" spans="3:3" x14ac:dyDescent="0.3">
      <c r="C878" s="66">
        <v>0</v>
      </c>
    </row>
    <row r="879" spans="3:3" x14ac:dyDescent="0.3">
      <c r="C879" s="66">
        <v>0</v>
      </c>
    </row>
    <row r="880" spans="3:3" x14ac:dyDescent="0.3">
      <c r="C880" s="66">
        <v>0</v>
      </c>
    </row>
    <row r="881" spans="3:3" x14ac:dyDescent="0.3">
      <c r="C881" s="66">
        <v>0</v>
      </c>
    </row>
    <row r="882" spans="3:3" x14ac:dyDescent="0.3">
      <c r="C882" s="66">
        <v>0</v>
      </c>
    </row>
    <row r="883" spans="3:3" x14ac:dyDescent="0.3">
      <c r="C883" s="66">
        <v>0</v>
      </c>
    </row>
    <row r="884" spans="3:3" x14ac:dyDescent="0.3">
      <c r="C884" s="66">
        <v>0</v>
      </c>
    </row>
    <row r="885" spans="3:3" x14ac:dyDescent="0.3">
      <c r="C885" s="66">
        <v>0</v>
      </c>
    </row>
    <row r="886" spans="3:3" x14ac:dyDescent="0.3">
      <c r="C886" s="66">
        <v>0</v>
      </c>
    </row>
    <row r="887" spans="3:3" x14ac:dyDescent="0.3">
      <c r="C887" s="66">
        <v>0</v>
      </c>
    </row>
    <row r="888" spans="3:3" x14ac:dyDescent="0.3">
      <c r="C888" s="66">
        <v>0</v>
      </c>
    </row>
    <row r="889" spans="3:3" x14ac:dyDescent="0.3">
      <c r="C889" s="66">
        <v>0</v>
      </c>
    </row>
    <row r="890" spans="3:3" x14ac:dyDescent="0.3">
      <c r="C890" s="66">
        <v>0</v>
      </c>
    </row>
    <row r="891" spans="3:3" x14ac:dyDescent="0.3">
      <c r="C891" s="66">
        <v>0</v>
      </c>
    </row>
    <row r="892" spans="3:3" x14ac:dyDescent="0.3">
      <c r="C892" s="66">
        <v>0</v>
      </c>
    </row>
    <row r="893" spans="3:3" x14ac:dyDescent="0.3">
      <c r="C893" s="66">
        <v>0</v>
      </c>
    </row>
    <row r="894" spans="3:3" x14ac:dyDescent="0.3">
      <c r="C894" s="66">
        <v>0</v>
      </c>
    </row>
    <row r="895" spans="3:3" x14ac:dyDescent="0.3">
      <c r="C895" s="66">
        <v>0</v>
      </c>
    </row>
    <row r="896" spans="3:3" x14ac:dyDescent="0.3">
      <c r="C896" s="66">
        <v>0</v>
      </c>
    </row>
    <row r="897" spans="3:3" x14ac:dyDescent="0.3">
      <c r="C897" s="66">
        <v>0</v>
      </c>
    </row>
    <row r="898" spans="3:3" x14ac:dyDescent="0.3">
      <c r="C898" s="66">
        <v>0</v>
      </c>
    </row>
    <row r="899" spans="3:3" x14ac:dyDescent="0.3">
      <c r="C899" s="66">
        <v>0</v>
      </c>
    </row>
    <row r="900" spans="3:3" x14ac:dyDescent="0.3">
      <c r="C900" s="66">
        <v>0</v>
      </c>
    </row>
    <row r="901" spans="3:3" x14ac:dyDescent="0.3">
      <c r="C901" s="66">
        <v>0</v>
      </c>
    </row>
    <row r="902" spans="3:3" x14ac:dyDescent="0.3">
      <c r="C902" s="66">
        <v>0</v>
      </c>
    </row>
    <row r="903" spans="3:3" x14ac:dyDescent="0.3">
      <c r="C903" s="66">
        <v>0</v>
      </c>
    </row>
    <row r="904" spans="3:3" x14ac:dyDescent="0.3">
      <c r="C904" s="66">
        <v>0</v>
      </c>
    </row>
    <row r="905" spans="3:3" x14ac:dyDescent="0.3">
      <c r="C905" s="66">
        <v>0</v>
      </c>
    </row>
    <row r="906" spans="3:3" x14ac:dyDescent="0.3">
      <c r="C906" s="66">
        <v>0</v>
      </c>
    </row>
    <row r="907" spans="3:3" x14ac:dyDescent="0.3">
      <c r="C907" s="66">
        <v>0</v>
      </c>
    </row>
    <row r="908" spans="3:3" x14ac:dyDescent="0.3">
      <c r="C908" s="66">
        <v>0</v>
      </c>
    </row>
    <row r="909" spans="3:3" x14ac:dyDescent="0.3">
      <c r="C909" s="66">
        <v>0</v>
      </c>
    </row>
    <row r="910" spans="3:3" x14ac:dyDescent="0.3">
      <c r="C910" s="66">
        <v>0</v>
      </c>
    </row>
    <row r="911" spans="3:3" x14ac:dyDescent="0.3">
      <c r="C911" s="66">
        <v>0</v>
      </c>
    </row>
    <row r="912" spans="3:3" x14ac:dyDescent="0.3">
      <c r="C912" s="66">
        <v>0</v>
      </c>
    </row>
    <row r="913" spans="3:3" x14ac:dyDescent="0.3">
      <c r="C913" s="66">
        <v>0</v>
      </c>
    </row>
    <row r="914" spans="3:3" x14ac:dyDescent="0.3">
      <c r="C914" s="66">
        <v>0</v>
      </c>
    </row>
    <row r="915" spans="3:3" x14ac:dyDescent="0.3">
      <c r="C915" s="66">
        <v>0</v>
      </c>
    </row>
    <row r="916" spans="3:3" x14ac:dyDescent="0.3">
      <c r="C916" s="66">
        <v>0</v>
      </c>
    </row>
    <row r="917" spans="3:3" x14ac:dyDescent="0.3">
      <c r="C917" s="66">
        <v>0</v>
      </c>
    </row>
    <row r="918" spans="3:3" x14ac:dyDescent="0.3">
      <c r="C918" s="66">
        <v>0</v>
      </c>
    </row>
    <row r="919" spans="3:3" x14ac:dyDescent="0.3">
      <c r="C919" s="66">
        <v>0</v>
      </c>
    </row>
    <row r="920" spans="3:3" x14ac:dyDescent="0.3">
      <c r="C920" s="66">
        <v>0</v>
      </c>
    </row>
    <row r="921" spans="3:3" x14ac:dyDescent="0.3">
      <c r="C921" s="66">
        <v>0</v>
      </c>
    </row>
    <row r="922" spans="3:3" x14ac:dyDescent="0.3">
      <c r="C922" s="66">
        <v>0</v>
      </c>
    </row>
    <row r="923" spans="3:3" x14ac:dyDescent="0.3">
      <c r="C923" s="66">
        <v>0</v>
      </c>
    </row>
    <row r="924" spans="3:3" x14ac:dyDescent="0.3">
      <c r="C924" s="66">
        <v>0</v>
      </c>
    </row>
    <row r="925" spans="3:3" x14ac:dyDescent="0.3">
      <c r="C925" s="66">
        <v>0</v>
      </c>
    </row>
    <row r="926" spans="3:3" x14ac:dyDescent="0.3">
      <c r="C926" s="66">
        <v>0</v>
      </c>
    </row>
    <row r="927" spans="3:3" x14ac:dyDescent="0.3">
      <c r="C927" s="66">
        <v>0</v>
      </c>
    </row>
    <row r="928" spans="3:3" x14ac:dyDescent="0.3">
      <c r="C928" s="66">
        <v>0</v>
      </c>
    </row>
    <row r="929" spans="3:3" x14ac:dyDescent="0.3">
      <c r="C929" s="66">
        <v>0</v>
      </c>
    </row>
    <row r="930" spans="3:3" x14ac:dyDescent="0.3">
      <c r="C930" s="66">
        <v>0</v>
      </c>
    </row>
    <row r="931" spans="3:3" x14ac:dyDescent="0.3">
      <c r="C931" s="66">
        <v>0</v>
      </c>
    </row>
    <row r="932" spans="3:3" x14ac:dyDescent="0.3">
      <c r="C932" s="66">
        <v>0</v>
      </c>
    </row>
    <row r="933" spans="3:3" x14ac:dyDescent="0.3">
      <c r="C933" s="66">
        <v>0</v>
      </c>
    </row>
    <row r="934" spans="3:3" x14ac:dyDescent="0.3">
      <c r="C934" s="66">
        <v>0</v>
      </c>
    </row>
    <row r="935" spans="3:3" x14ac:dyDescent="0.3">
      <c r="C935" s="66">
        <v>0</v>
      </c>
    </row>
    <row r="936" spans="3:3" x14ac:dyDescent="0.3">
      <c r="C936" s="66">
        <v>0</v>
      </c>
    </row>
    <row r="937" spans="3:3" x14ac:dyDescent="0.3">
      <c r="C937" s="66">
        <v>0</v>
      </c>
    </row>
    <row r="938" spans="3:3" x14ac:dyDescent="0.3">
      <c r="C938" s="66">
        <v>0</v>
      </c>
    </row>
    <row r="939" spans="3:3" x14ac:dyDescent="0.3">
      <c r="C939" s="66">
        <v>0</v>
      </c>
    </row>
    <row r="940" spans="3:3" x14ac:dyDescent="0.3">
      <c r="C940" s="66">
        <v>0</v>
      </c>
    </row>
    <row r="941" spans="3:3" x14ac:dyDescent="0.3">
      <c r="C941" s="66">
        <v>0</v>
      </c>
    </row>
    <row r="942" spans="3:3" x14ac:dyDescent="0.3">
      <c r="C942" s="66">
        <v>0</v>
      </c>
    </row>
    <row r="943" spans="3:3" x14ac:dyDescent="0.3">
      <c r="C943" s="66">
        <v>0</v>
      </c>
    </row>
    <row r="944" spans="3:3" x14ac:dyDescent="0.3">
      <c r="C944" s="66">
        <v>0</v>
      </c>
    </row>
    <row r="945" spans="3:3" x14ac:dyDescent="0.3">
      <c r="C945" s="66">
        <v>0</v>
      </c>
    </row>
    <row r="946" spans="3:3" x14ac:dyDescent="0.3">
      <c r="C946" s="66">
        <v>0</v>
      </c>
    </row>
    <row r="947" spans="3:3" x14ac:dyDescent="0.3">
      <c r="C947" s="66">
        <v>0</v>
      </c>
    </row>
    <row r="948" spans="3:3" x14ac:dyDescent="0.3">
      <c r="C948" s="66">
        <v>0</v>
      </c>
    </row>
    <row r="949" spans="3:3" x14ac:dyDescent="0.3">
      <c r="C949" s="66">
        <v>0</v>
      </c>
    </row>
    <row r="950" spans="3:3" x14ac:dyDescent="0.3">
      <c r="C950" s="66">
        <v>0</v>
      </c>
    </row>
    <row r="951" spans="3:3" x14ac:dyDescent="0.3">
      <c r="C951" s="66">
        <v>0</v>
      </c>
    </row>
    <row r="952" spans="3:3" x14ac:dyDescent="0.3">
      <c r="C952" s="66">
        <v>0</v>
      </c>
    </row>
    <row r="953" spans="3:3" x14ac:dyDescent="0.3">
      <c r="C953" s="66">
        <v>0</v>
      </c>
    </row>
    <row r="954" spans="3:3" x14ac:dyDescent="0.3">
      <c r="C954" s="66">
        <v>0</v>
      </c>
    </row>
    <row r="955" spans="3:3" x14ac:dyDescent="0.3">
      <c r="C955" s="66">
        <v>0</v>
      </c>
    </row>
    <row r="956" spans="3:3" x14ac:dyDescent="0.3">
      <c r="C956" s="66">
        <v>0</v>
      </c>
    </row>
    <row r="957" spans="3:3" x14ac:dyDescent="0.3">
      <c r="C957" s="66">
        <v>0</v>
      </c>
    </row>
    <row r="958" spans="3:3" x14ac:dyDescent="0.3">
      <c r="C958" s="66">
        <v>0</v>
      </c>
    </row>
    <row r="959" spans="3:3" x14ac:dyDescent="0.3">
      <c r="C959" s="66">
        <v>0</v>
      </c>
    </row>
    <row r="960" spans="3:3" x14ac:dyDescent="0.3">
      <c r="C960" s="66">
        <v>0</v>
      </c>
    </row>
    <row r="961" spans="3:3" x14ac:dyDescent="0.3">
      <c r="C961" s="66">
        <v>0</v>
      </c>
    </row>
    <row r="962" spans="3:3" x14ac:dyDescent="0.3">
      <c r="C962" s="66">
        <v>0</v>
      </c>
    </row>
    <row r="963" spans="3:3" x14ac:dyDescent="0.3">
      <c r="C963" s="66">
        <v>0</v>
      </c>
    </row>
    <row r="964" spans="3:3" x14ac:dyDescent="0.3">
      <c r="C964" s="66">
        <v>0</v>
      </c>
    </row>
    <row r="965" spans="3:3" x14ac:dyDescent="0.3">
      <c r="C965" s="66">
        <v>0</v>
      </c>
    </row>
    <row r="966" spans="3:3" x14ac:dyDescent="0.3">
      <c r="C966" s="66">
        <v>0</v>
      </c>
    </row>
    <row r="967" spans="3:3" x14ac:dyDescent="0.3">
      <c r="C967" s="66">
        <v>0</v>
      </c>
    </row>
    <row r="968" spans="3:3" x14ac:dyDescent="0.3">
      <c r="C968" s="66">
        <v>0</v>
      </c>
    </row>
    <row r="969" spans="3:3" x14ac:dyDescent="0.3">
      <c r="C969" s="66">
        <v>0</v>
      </c>
    </row>
    <row r="970" spans="3:3" x14ac:dyDescent="0.3">
      <c r="C970" s="66">
        <v>0</v>
      </c>
    </row>
    <row r="971" spans="3:3" x14ac:dyDescent="0.3">
      <c r="C971" s="66">
        <v>0</v>
      </c>
    </row>
    <row r="972" spans="3:3" x14ac:dyDescent="0.3">
      <c r="C972" s="66">
        <v>0</v>
      </c>
    </row>
    <row r="973" spans="3:3" x14ac:dyDescent="0.3">
      <c r="C973" s="66">
        <v>0</v>
      </c>
    </row>
    <row r="974" spans="3:3" x14ac:dyDescent="0.3">
      <c r="C974" s="66">
        <v>0</v>
      </c>
    </row>
    <row r="975" spans="3:3" x14ac:dyDescent="0.3">
      <c r="C975" s="66">
        <v>0</v>
      </c>
    </row>
    <row r="976" spans="3:3" x14ac:dyDescent="0.3">
      <c r="C976" s="66">
        <v>0</v>
      </c>
    </row>
    <row r="977" spans="3:3" x14ac:dyDescent="0.3">
      <c r="C977" s="66">
        <v>0</v>
      </c>
    </row>
    <row r="978" spans="3:3" x14ac:dyDescent="0.3">
      <c r="C978" s="66">
        <v>0</v>
      </c>
    </row>
    <row r="979" spans="3:3" x14ac:dyDescent="0.3">
      <c r="C979" s="66">
        <v>0</v>
      </c>
    </row>
    <row r="980" spans="3:3" x14ac:dyDescent="0.3">
      <c r="C980" s="66">
        <v>0</v>
      </c>
    </row>
    <row r="981" spans="3:3" x14ac:dyDescent="0.3">
      <c r="C981" s="66">
        <v>0</v>
      </c>
    </row>
    <row r="982" spans="3:3" x14ac:dyDescent="0.3">
      <c r="C982" s="66">
        <v>0</v>
      </c>
    </row>
    <row r="983" spans="3:3" x14ac:dyDescent="0.3">
      <c r="C983" s="66">
        <v>0</v>
      </c>
    </row>
    <row r="984" spans="3:3" x14ac:dyDescent="0.3">
      <c r="C984" s="66">
        <v>0</v>
      </c>
    </row>
    <row r="985" spans="3:3" x14ac:dyDescent="0.3">
      <c r="C985" s="66">
        <v>0</v>
      </c>
    </row>
    <row r="986" spans="3:3" x14ac:dyDescent="0.3">
      <c r="C986" s="66">
        <v>0</v>
      </c>
    </row>
    <row r="987" spans="3:3" x14ac:dyDescent="0.3">
      <c r="C987" s="66">
        <v>0</v>
      </c>
    </row>
    <row r="988" spans="3:3" x14ac:dyDescent="0.3">
      <c r="C988" s="66">
        <v>0</v>
      </c>
    </row>
    <row r="989" spans="3:3" x14ac:dyDescent="0.3">
      <c r="C989" s="66">
        <v>0</v>
      </c>
    </row>
    <row r="990" spans="3:3" x14ac:dyDescent="0.3">
      <c r="C990" s="66">
        <v>0</v>
      </c>
    </row>
    <row r="991" spans="3:3" x14ac:dyDescent="0.3">
      <c r="C991" s="66">
        <v>0</v>
      </c>
    </row>
    <row r="992" spans="3:3" x14ac:dyDescent="0.3">
      <c r="C992" s="66">
        <v>0</v>
      </c>
    </row>
    <row r="993" spans="3:3" x14ac:dyDescent="0.3">
      <c r="C993" s="66">
        <v>0</v>
      </c>
    </row>
    <row r="994" spans="3:3" x14ac:dyDescent="0.3">
      <c r="C994" s="66">
        <v>0</v>
      </c>
    </row>
    <row r="995" spans="3:3" x14ac:dyDescent="0.3">
      <c r="C995" s="66">
        <v>0</v>
      </c>
    </row>
    <row r="996" spans="3:3" x14ac:dyDescent="0.3">
      <c r="C996" s="66">
        <v>0</v>
      </c>
    </row>
    <row r="997" spans="3:3" x14ac:dyDescent="0.3">
      <c r="C997" s="66">
        <v>0</v>
      </c>
    </row>
    <row r="998" spans="3:3" x14ac:dyDescent="0.3">
      <c r="C998" s="66">
        <v>0</v>
      </c>
    </row>
    <row r="999" spans="3:3" x14ac:dyDescent="0.3">
      <c r="C999" s="66">
        <v>0</v>
      </c>
    </row>
    <row r="1000" spans="3:3" x14ac:dyDescent="0.3">
      <c r="C1000" s="66">
        <v>0</v>
      </c>
    </row>
    <row r="1001" spans="3:3" x14ac:dyDescent="0.3">
      <c r="C1001" s="66">
        <v>0</v>
      </c>
    </row>
    <row r="1002" spans="3:3" x14ac:dyDescent="0.3">
      <c r="C1002" s="66">
        <v>0</v>
      </c>
    </row>
  </sheetData>
  <mergeCells count="25">
    <mergeCell ref="D1:P1"/>
    <mergeCell ref="D2:P2"/>
    <mergeCell ref="A1:C2"/>
    <mergeCell ref="R8:S8"/>
    <mergeCell ref="R7:S7"/>
    <mergeCell ref="S11:Y11"/>
    <mergeCell ref="S12:Y12"/>
    <mergeCell ref="S13:Y13"/>
    <mergeCell ref="T6:X6"/>
    <mergeCell ref="T7:X7"/>
    <mergeCell ref="R5:S5"/>
    <mergeCell ref="R6:S6"/>
    <mergeCell ref="R10:X10"/>
    <mergeCell ref="F3:F4"/>
    <mergeCell ref="A3:A4"/>
    <mergeCell ref="B3:B4"/>
    <mergeCell ref="C3:C4"/>
    <mergeCell ref="E3:E4"/>
    <mergeCell ref="D3:D4"/>
    <mergeCell ref="G3:G4"/>
    <mergeCell ref="H3:H4"/>
    <mergeCell ref="P3:P4"/>
    <mergeCell ref="J3:L3"/>
    <mergeCell ref="M3:O3"/>
    <mergeCell ref="I3:I4"/>
  </mergeCells>
  <conditionalFormatting sqref="H5:H1048576">
    <cfRule type="colorScale" priority="19">
      <colorScale>
        <cfvo type="min"/>
        <cfvo type="percentile" val="50"/>
        <cfvo type="max"/>
        <color rgb="FFF8696B"/>
        <color rgb="FFFFEB84"/>
        <color rgb="FF63BE7B"/>
      </colorScale>
    </cfRule>
  </conditionalFormatting>
  <conditionalFormatting sqref="I5:I1048576">
    <cfRule type="colorScale" priority="11">
      <colorScale>
        <cfvo type="min"/>
        <cfvo type="max"/>
        <color rgb="FFFF7128"/>
        <color rgb="FFFFEF9C"/>
      </colorScale>
    </cfRule>
  </conditionalFormatting>
  <conditionalFormatting sqref="J4:J1048576">
    <cfRule type="colorScale" priority="14">
      <colorScale>
        <cfvo type="min"/>
        <cfvo type="percentile" val="50"/>
        <cfvo type="max"/>
        <color rgb="FF63BE7B"/>
        <color rgb="FFFFEB84"/>
        <color rgb="FFF8696B"/>
      </colorScale>
    </cfRule>
  </conditionalFormatting>
  <conditionalFormatting sqref="K3:K1048576">
    <cfRule type="colorScale" priority="10">
      <colorScale>
        <cfvo type="min"/>
        <cfvo type="max"/>
        <color rgb="FFFFEF9C"/>
        <color rgb="FFFF7128"/>
      </colorScale>
    </cfRule>
  </conditionalFormatting>
  <conditionalFormatting sqref="L3:L1048576">
    <cfRule type="colorScale" priority="9">
      <colorScale>
        <cfvo type="min"/>
        <cfvo type="max"/>
        <color rgb="FFFFEF9C"/>
        <color rgb="FFFF7128"/>
      </colorScale>
    </cfRule>
  </conditionalFormatting>
  <conditionalFormatting sqref="M5:M1048576">
    <cfRule type="colorScale" priority="18">
      <colorScale>
        <cfvo type="min"/>
        <cfvo type="percentile" val="50"/>
        <cfvo type="max"/>
        <color rgb="FF63BE7B"/>
        <color rgb="FFFFEB84"/>
        <color rgb="FFF8696B"/>
      </colorScale>
    </cfRule>
  </conditionalFormatting>
  <conditionalFormatting sqref="N5:N1048576 N3">
    <cfRule type="colorScale" priority="8">
      <colorScale>
        <cfvo type="min"/>
        <cfvo type="max"/>
        <color rgb="FFFFEF9C"/>
        <color rgb="FFFF7128"/>
      </colorScale>
    </cfRule>
  </conditionalFormatting>
  <conditionalFormatting sqref="O5:O1048576 O3">
    <cfRule type="colorScale" priority="7">
      <colorScale>
        <cfvo type="min"/>
        <cfvo type="max"/>
        <color rgb="FFFFEF9C"/>
        <color rgb="FFFF7128"/>
      </colorScale>
    </cfRule>
  </conditionalFormatting>
  <conditionalFormatting sqref="M4">
    <cfRule type="colorScale" priority="6">
      <colorScale>
        <cfvo type="min"/>
        <cfvo type="percentile" val="50"/>
        <cfvo type="max"/>
        <color rgb="FF63BE7B"/>
        <color rgb="FFFFEB84"/>
        <color rgb="FFF8696B"/>
      </colorScale>
    </cfRule>
  </conditionalFormatting>
  <conditionalFormatting sqref="N4">
    <cfRule type="colorScale" priority="5">
      <colorScale>
        <cfvo type="min"/>
        <cfvo type="max"/>
        <color rgb="FFFFEF9C"/>
        <color rgb="FFFF7128"/>
      </colorScale>
    </cfRule>
  </conditionalFormatting>
  <conditionalFormatting sqref="O4">
    <cfRule type="colorScale" priority="4">
      <colorScale>
        <cfvo type="min"/>
        <cfvo type="max"/>
        <color rgb="FFFFEF9C"/>
        <color rgb="FFFF7128"/>
      </colorScale>
    </cfRule>
  </conditionalFormatting>
  <conditionalFormatting sqref="A5:C9999">
    <cfRule type="expression" dxfId="20" priority="1">
      <formula>EXACT($A5, "Daily")</formula>
    </cfRule>
    <cfRule type="expression" dxfId="19" priority="2">
      <formula>EXACT($A5, "Error")</formula>
    </cfRule>
    <cfRule type="expression" dxfId="18" priority="3">
      <formula>EXACT($A5, "Trial")</formula>
    </cfRule>
  </conditionalFormatting>
  <dataValidations count="1">
    <dataValidation type="list" allowBlank="1" showInputMessage="1" showErrorMessage="1" sqref="F5:F16" xr:uid="{5549649D-492D-4226-81DB-54DD516C3CD2}">
      <formula1>$R$11:$R$16</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31516B4D-791E-4827-856C-FBC85B89B1BE}">
          <x14:formula1>
            <xm:f>'Data-Lists'!$C$3:$C$5</xm:f>
          </x14:formula1>
          <xm:sqref>A5:A16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4649-EFDA-431E-9141-7935EEC262D6}">
  <sheetPr>
    <tabColor rgb="FFFFCCCC"/>
  </sheetPr>
  <dimension ref="A1:Z653"/>
  <sheetViews>
    <sheetView showZeros="0" zoomScale="75" zoomScaleNormal="75" workbookViewId="0">
      <pane ySplit="4" topLeftCell="A5" activePane="bottomLeft" state="frozen"/>
      <selection pane="bottomLeft" activeCell="F7" sqref="F7"/>
    </sheetView>
  </sheetViews>
  <sheetFormatPr defaultColWidth="8.6640625" defaultRowHeight="14.4" x14ac:dyDescent="0.3"/>
  <cols>
    <col min="1" max="1" width="10.77734375" style="66" customWidth="1"/>
    <col min="2" max="2" width="15.77734375" style="257" customWidth="1"/>
    <col min="3" max="3" width="15.77734375" style="66" customWidth="1"/>
    <col min="4" max="4" width="15.77734375" style="67" customWidth="1"/>
    <col min="5" max="5" width="12.77734375" style="77" customWidth="1"/>
    <col min="6" max="6" width="12.77734375" style="66" customWidth="1"/>
    <col min="7" max="7" width="15.77734375" style="78" customWidth="1"/>
    <col min="8" max="8" width="15" style="66" customWidth="1"/>
    <col min="9" max="9" width="18.77734375" style="79" customWidth="1"/>
    <col min="10" max="15" width="15" style="66" customWidth="1"/>
    <col min="16" max="16" width="50.77734375" style="36" customWidth="1"/>
    <col min="17" max="17" width="60.77734375" style="75" customWidth="1"/>
    <col min="18" max="19" width="8.6640625" style="66"/>
    <col min="20" max="20" width="8.6640625" style="76" customWidth="1"/>
    <col min="21" max="16384" width="8.6640625" style="66"/>
  </cols>
  <sheetData>
    <row r="1" spans="1:26" s="222" customFormat="1" ht="13.8" x14ac:dyDescent="0.3">
      <c r="A1" s="248" t="s">
        <v>185</v>
      </c>
      <c r="B1" s="248"/>
      <c r="C1" s="249"/>
      <c r="D1" s="224" t="s">
        <v>178</v>
      </c>
      <c r="E1" s="224"/>
      <c r="F1" s="224"/>
      <c r="G1" s="224"/>
      <c r="H1" s="224"/>
      <c r="I1" s="224"/>
      <c r="J1" s="224"/>
      <c r="K1" s="224"/>
      <c r="L1" s="224"/>
      <c r="M1" s="224"/>
      <c r="N1" s="224"/>
      <c r="O1" s="224"/>
      <c r="P1" s="224"/>
      <c r="Q1" s="224"/>
      <c r="T1" s="223"/>
    </row>
    <row r="2" spans="1:26" s="222" customFormat="1" ht="13.8" x14ac:dyDescent="0.3">
      <c r="A2" s="250"/>
      <c r="B2" s="250"/>
      <c r="C2" s="251"/>
      <c r="D2" s="219" t="s">
        <v>168</v>
      </c>
      <c r="E2" s="219"/>
      <c r="F2" s="219"/>
      <c r="G2" s="219"/>
      <c r="H2" s="219"/>
      <c r="I2" s="219"/>
      <c r="J2" s="219"/>
      <c r="K2" s="219"/>
      <c r="L2" s="219"/>
      <c r="M2" s="219"/>
      <c r="N2" s="219"/>
      <c r="O2" s="219"/>
      <c r="P2" s="219"/>
      <c r="Q2" s="219"/>
      <c r="T2" s="223"/>
    </row>
    <row r="3" spans="1:26" ht="15.6" customHeight="1" x14ac:dyDescent="0.3">
      <c r="A3" s="287" t="s">
        <v>112</v>
      </c>
      <c r="B3" s="288" t="s">
        <v>114</v>
      </c>
      <c r="C3" s="285" t="s">
        <v>31</v>
      </c>
      <c r="D3" s="116" t="s">
        <v>58</v>
      </c>
      <c r="E3" s="116" t="s">
        <v>59</v>
      </c>
      <c r="F3" s="231" t="s">
        <v>99</v>
      </c>
      <c r="G3" s="118" t="s">
        <v>75</v>
      </c>
      <c r="H3" s="233" t="s">
        <v>35</v>
      </c>
      <c r="I3" s="234" t="s">
        <v>148</v>
      </c>
      <c r="J3" s="237" t="s">
        <v>33</v>
      </c>
      <c r="K3" s="237"/>
      <c r="L3" s="237"/>
      <c r="M3" s="237" t="s">
        <v>34</v>
      </c>
      <c r="N3" s="237"/>
      <c r="O3" s="237"/>
      <c r="P3" s="138" t="s">
        <v>152</v>
      </c>
      <c r="Q3" s="144" t="s">
        <v>153</v>
      </c>
    </row>
    <row r="4" spans="1:26" thickBot="1" x14ac:dyDescent="0.35">
      <c r="A4" s="290"/>
      <c r="B4" s="291"/>
      <c r="C4" s="286"/>
      <c r="D4" s="117"/>
      <c r="E4" s="117"/>
      <c r="F4" s="232"/>
      <c r="G4" s="119"/>
      <c r="H4" s="235"/>
      <c r="I4" s="236"/>
      <c r="J4" s="238" t="s">
        <v>149</v>
      </c>
      <c r="K4" s="238" t="s">
        <v>150</v>
      </c>
      <c r="L4" s="238" t="s">
        <v>151</v>
      </c>
      <c r="M4" s="238" t="s">
        <v>149</v>
      </c>
      <c r="N4" s="238" t="s">
        <v>150</v>
      </c>
      <c r="O4" s="238" t="s">
        <v>151</v>
      </c>
      <c r="P4" s="292"/>
      <c r="Q4" s="145"/>
    </row>
    <row r="5" spans="1:26" ht="43.2" x14ac:dyDescent="0.3">
      <c r="A5" s="239" t="s">
        <v>108</v>
      </c>
      <c r="B5" s="256" t="s">
        <v>174</v>
      </c>
      <c r="C5" s="8">
        <v>46234</v>
      </c>
      <c r="D5" s="51">
        <v>23.5</v>
      </c>
      <c r="E5" s="52">
        <v>0.85833333333333328</v>
      </c>
      <c r="F5" s="140" t="s">
        <v>100</v>
      </c>
      <c r="G5" s="63">
        <v>1000</v>
      </c>
      <c r="H5" s="14">
        <f>IF(COUNTBLANK($A5:$E5)&gt;0, "", IFERROR(AVERAGEIFS(Log!$E:$E, Log!$A:$A, $A5, Log!$B:$B, $B5, Log!$C:$C, $C5),""))</f>
        <v>1595.7222222222222</v>
      </c>
      <c r="I5" s="64">
        <f>IF(AND($H5&lt;&gt;"", $G5&lt;&gt;""), $H5/$G5, "")</f>
        <v>1.5957222222222223</v>
      </c>
      <c r="J5" s="9">
        <f>IF(COUNTBLANK($A5:$E5)&gt;0, "", IFERROR(AVERAGEIFS(Log!$H:$H, Log!$A:$A, $A5, Log!$B:$B, $B5, Log!$C:$C, $C5),""))</f>
        <v>0.33997577777777788</v>
      </c>
      <c r="K5" s="9">
        <f>IF(COUNTBLANK($A5:$E5)&gt;0, "", IFERROR(_xlfn.MINIFS(Log!$F:$F, Log!$A:$A, $A5, Log!$B:$B, $B5, Log!$C:$C, $C5),""))</f>
        <v>0.179396</v>
      </c>
      <c r="L5" s="9">
        <f>IF(COUNTBLANK($A5:$E5)&gt;0, "", IFERROR(_xlfn.MAXIFS(Log!$F:$F, Log!$A:$A, $A5, Log!$B:$B, $B5, Log!$C:$C, $C5),""))</f>
        <v>0.46051599999999998</v>
      </c>
      <c r="M5" s="9">
        <f>IF(COUNTBLANK($A5:$E5)&gt;0, "", IFERROR(AVERAGEIFS(Log!$I:$I, Log!$A:$A, $A5, Log!$B:$B, $B5, Log!$C:$C, $C5),""))</f>
        <v>8.2925216666666676E-2</v>
      </c>
      <c r="N5" s="9">
        <f>IF(COUNTBLANK($A5:$E5)&gt;0, "", IFERROR(_xlfn.MINIFS(Log!$G:$G, Log!$A:$A, $A5, Log!$B:$B, $B5, Log!$C:$C, $C5),""))</f>
        <v>4.7875099999999997E-2</v>
      </c>
      <c r="O5" s="9">
        <f>IF(COUNTBLANK($A5:$E5)&gt;0, "", IFERROR(_xlfn.MAXIFS(Log!$G:$G, Log!$A:$A, $A5, Log!$B:$B, $B5, Log!$C:$C, $C5),""))</f>
        <v>0.15438299999999999</v>
      </c>
      <c r="P5" s="36" t="s">
        <v>73</v>
      </c>
      <c r="Q5" s="36" t="s">
        <v>71</v>
      </c>
      <c r="S5" s="206" t="s">
        <v>130</v>
      </c>
      <c r="T5" s="206"/>
      <c r="U5"/>
      <c r="V5"/>
      <c r="W5"/>
      <c r="X5"/>
    </row>
    <row r="6" spans="1:26" x14ac:dyDescent="0.3">
      <c r="A6" s="239" t="s">
        <v>108</v>
      </c>
      <c r="B6" s="256" t="s">
        <v>175</v>
      </c>
      <c r="C6" s="8">
        <v>46234</v>
      </c>
      <c r="D6" s="51">
        <v>23.5</v>
      </c>
      <c r="E6" s="52">
        <v>0.60138888888888886</v>
      </c>
      <c r="F6" s="140" t="s">
        <v>100</v>
      </c>
      <c r="G6" s="63">
        <v>1000</v>
      </c>
      <c r="H6" s="14">
        <f>IF(COUNTBLANK($A6:$E6)&gt;0, "", IFERROR(AVERAGEIFS(Log!$E:$E, Log!$A:$A, $A6, Log!$B:$B, $B6, Log!$C:$C, $C6),""))</f>
        <v>2021.0555555555557</v>
      </c>
      <c r="I6" s="64">
        <f t="shared" ref="I6:I69" si="0">IF(AND($H6&lt;&gt;"", $G6&lt;&gt;""), $H6/$G6, "")</f>
        <v>2.0210555555555558</v>
      </c>
      <c r="J6" s="9">
        <f>IF(COUNTBLANK($A6:$E6)&gt;0, "", IFERROR(AVERAGEIFS(Log!$H:$H, Log!$A:$A, $A6, Log!$B:$B, $B6, Log!$C:$C, $C6),""))</f>
        <v>0.35394088888888908</v>
      </c>
      <c r="K6" s="9">
        <f>IF(COUNTBLANK($A6:$E6)&gt;0, "", IFERROR(_xlfn.MINIFS(Log!$F:$F, Log!$A:$A, $A6, Log!$B:$B, $B6, Log!$C:$C, $C6),""))</f>
        <v>0.180475</v>
      </c>
      <c r="L6" s="9">
        <f>IF(COUNTBLANK($A6:$E6)&gt;0, "", IFERROR(_xlfn.MAXIFS(Log!$F:$F, Log!$A:$A, $A6, Log!$B:$B, $B6, Log!$C:$C, $C6),""))</f>
        <v>0.495338</v>
      </c>
      <c r="M6" s="9">
        <f>IF(COUNTBLANK($A6:$E6)&gt;0, "", IFERROR(AVERAGEIFS(Log!$I:$I, Log!$A:$A, $A6, Log!$B:$B, $B6, Log!$C:$C, $C6),""))</f>
        <v>8.5412650000000034E-2</v>
      </c>
      <c r="N6" s="9">
        <f>IF(COUNTBLANK($A6:$E6)&gt;0, "", IFERROR(_xlfn.MINIFS(Log!$G:$G, Log!$A:$A, $A6, Log!$B:$B, $B6, Log!$C:$C, $C6),""))</f>
        <v>5.1520099999999999E-2</v>
      </c>
      <c r="O6" s="9">
        <f>IF(COUNTBLANK($A6:$E6)&gt;0, "", IFERROR(_xlfn.MAXIFS(Log!$G:$G, Log!$A:$A, $A6, Log!$B:$B, $B6, Log!$C:$C, $C6),""))</f>
        <v>0.107513</v>
      </c>
      <c r="P6" s="68" t="s">
        <v>169</v>
      </c>
      <c r="Q6" s="36"/>
      <c r="S6" s="226"/>
      <c r="T6" s="226"/>
      <c r="U6" s="227" t="s">
        <v>180</v>
      </c>
      <c r="V6" s="227"/>
      <c r="W6" s="227"/>
      <c r="X6" s="227"/>
      <c r="Y6" s="227"/>
    </row>
    <row r="7" spans="1:26" ht="43.2" x14ac:dyDescent="0.3">
      <c r="A7" s="239" t="s">
        <v>108</v>
      </c>
      <c r="B7" s="256" t="s">
        <v>176</v>
      </c>
      <c r="C7" s="8">
        <v>46237</v>
      </c>
      <c r="D7" s="51">
        <v>24.5</v>
      </c>
      <c r="E7" s="52">
        <v>0.50694444444444442</v>
      </c>
      <c r="F7" s="140" t="s">
        <v>100</v>
      </c>
      <c r="G7" s="63">
        <v>1000</v>
      </c>
      <c r="H7" s="14">
        <f>IF(COUNTBLANK($A7:$E7)&gt;0, "", IFERROR(AVERAGEIFS(Log!$E:$E, Log!$A:$A, $A7, Log!$B:$B, $B7, Log!$C:$C, $C7),""))</f>
        <v>2223.3888888888887</v>
      </c>
      <c r="I7" s="64">
        <f t="shared" si="0"/>
        <v>2.2233888888888886</v>
      </c>
      <c r="J7" s="9">
        <f>IF(COUNTBLANK($A7:$E7)&gt;0, "", IFERROR(AVERAGEIFS(Log!$H:$H, Log!$A:$A, $A7, Log!$B:$B, $B7, Log!$C:$C, $C7),""))</f>
        <v>0.31301488888888873</v>
      </c>
      <c r="K7" s="9">
        <f>IF(COUNTBLANK($A7:$E7)&gt;0, "", IFERROR(_xlfn.MINIFS(Log!$F:$F, Log!$A:$A, $A7, Log!$B:$B, $B7, Log!$C:$C, $C7),""))</f>
        <v>0.167988</v>
      </c>
      <c r="L7" s="9">
        <f>IF(COUNTBLANK($A7:$E7)&gt;0, "", IFERROR(_xlfn.MAXIFS(Log!$F:$F, Log!$A:$A, $A7, Log!$B:$B, $B7, Log!$C:$C, $C7),""))</f>
        <v>0.47886200000000001</v>
      </c>
      <c r="M7" s="9">
        <f>IF(COUNTBLANK($A7:$E7)&gt;0, "", IFERROR(AVERAGEIFS(Log!$I:$I, Log!$A:$A, $A7, Log!$B:$B, $B7, Log!$C:$C, $C7),""))</f>
        <v>7.6518505555555533E-2</v>
      </c>
      <c r="N7" s="9">
        <f>IF(COUNTBLANK($A7:$E7)&gt;0, "", IFERROR(_xlfn.MINIFS(Log!$G:$G, Log!$A:$A, $A7, Log!$B:$B, $B7, Log!$C:$C, $C7),""))</f>
        <v>4.9786400000000001E-2</v>
      </c>
      <c r="O7" s="9">
        <f>IF(COUNTBLANK($A7:$E7)&gt;0, "", IFERROR(_xlfn.MAXIFS(Log!$G:$G, Log!$A:$A, $A7, Log!$B:$B, $B7, Log!$C:$C, $C7),""))</f>
        <v>0.12086</v>
      </c>
      <c r="P7" s="36" t="s">
        <v>80</v>
      </c>
      <c r="Q7" s="36" t="s">
        <v>77</v>
      </c>
      <c r="S7" s="293"/>
      <c r="T7" s="293"/>
      <c r="U7" s="227" t="s">
        <v>179</v>
      </c>
      <c r="V7" s="227"/>
      <c r="W7" s="227"/>
      <c r="X7" s="227"/>
      <c r="Y7" s="227"/>
    </row>
    <row r="8" spans="1:26" x14ac:dyDescent="0.3">
      <c r="A8" s="239" t="s">
        <v>108</v>
      </c>
      <c r="B8" s="256" t="s">
        <v>177</v>
      </c>
      <c r="C8" s="8">
        <v>46237</v>
      </c>
      <c r="D8" s="51">
        <v>25.5</v>
      </c>
      <c r="E8" s="52">
        <v>0.82291666666666663</v>
      </c>
      <c r="F8" s="140" t="s">
        <v>100</v>
      </c>
      <c r="G8" s="63">
        <v>1000</v>
      </c>
      <c r="H8" s="14">
        <f>IF(COUNTBLANK($A8:$E8)&gt;0, "", IFERROR(AVERAGEIFS(Log!$E:$E, Log!$A:$A, $A8, Log!$B:$B, $B8, Log!$C:$C, $C8),""))</f>
        <v>2320.8888888888887</v>
      </c>
      <c r="I8" s="64">
        <f t="shared" si="0"/>
        <v>2.3208888888888888</v>
      </c>
      <c r="J8" s="9">
        <f>IF(COUNTBLANK($A8:$E8)&gt;0, "", IFERROR(AVERAGEIFS(Log!$H:$H, Log!$A:$A, $A8, Log!$B:$B, $B8, Log!$C:$C, $C8),""))</f>
        <v>0.32503816666666652</v>
      </c>
      <c r="K8" s="9">
        <f>IF(COUNTBLANK($A8:$E8)&gt;0, "", IFERROR(_xlfn.MINIFS(Log!$F:$F, Log!$A:$A, $A8, Log!$B:$B, $B8, Log!$C:$C, $C8),""))</f>
        <v>0.18529899999999999</v>
      </c>
      <c r="L8" s="9">
        <f>IF(COUNTBLANK($A8:$E8)&gt;0, "", IFERROR(_xlfn.MAXIFS(Log!$F:$F, Log!$A:$A, $A8, Log!$B:$B, $B8, Log!$C:$C, $C8),""))</f>
        <v>0.44907000000000002</v>
      </c>
      <c r="M8" s="9">
        <f>IF(COUNTBLANK($A8:$E8)&gt;0, "", IFERROR(AVERAGEIFS(Log!$I:$I, Log!$A:$A, $A8, Log!$B:$B, $B8, Log!$C:$C, $C8),""))</f>
        <v>7.8212433333333359E-2</v>
      </c>
      <c r="N8" s="9">
        <f>IF(COUNTBLANK($A8:$E8)&gt;0, "", IFERROR(_xlfn.MINIFS(Log!$G:$G, Log!$A:$A, $A8, Log!$B:$B, $B8, Log!$C:$C, $C8),""))</f>
        <v>5.3656599999999999E-2</v>
      </c>
      <c r="O8" s="9">
        <f>IF(COUNTBLANK($A8:$E8)&gt;0, "", IFERROR(_xlfn.MAXIFS(Log!$G:$G, Log!$A:$A, $A8, Log!$B:$B, $B8, Log!$C:$C, $C8),""))</f>
        <v>0.111335</v>
      </c>
      <c r="P8" s="36" t="s">
        <v>79</v>
      </c>
      <c r="Q8" s="36" t="s">
        <v>78</v>
      </c>
      <c r="S8" s="294"/>
      <c r="T8" s="295"/>
      <c r="U8" s="228" t="s">
        <v>129</v>
      </c>
      <c r="V8" s="228"/>
      <c r="W8" s="228"/>
      <c r="X8" s="228"/>
      <c r="Y8" s="228"/>
    </row>
    <row r="9" spans="1:26" ht="13.8" customHeight="1" x14ac:dyDescent="0.3">
      <c r="A9" s="8"/>
      <c r="B9" s="256"/>
      <c r="C9" s="8"/>
      <c r="D9" s="51"/>
      <c r="E9" s="52"/>
      <c r="G9" s="63"/>
      <c r="H9" s="14" t="str">
        <f>IF(COUNTBLANK($A9:$E9)&gt;0, "", IFERROR(AVERAGEIFS(Log!$E:$E, Log!$A:$A, $A9, Log!$B:$B, $B9, Log!$C:$C, $C9),""))</f>
        <v/>
      </c>
      <c r="I9" s="64" t="str">
        <f t="shared" si="0"/>
        <v/>
      </c>
      <c r="J9" s="9" t="str">
        <f>IF(COUNTBLANK($A9:$E9)&gt;0, "", IFERROR(AVERAGEIFS(Log!$H:$H, Log!$A:$A, $A9, Log!$B:$B, $B9, Log!$C:$C, $C9),""))</f>
        <v/>
      </c>
      <c r="K9" s="9" t="str">
        <f>IF(COUNTBLANK($A9:$E9)&gt;0, "", IFERROR(_xlfn.MINIFS(Log!$F:$F, Log!$A:$A, $A9, Log!$B:$B, $B9, Log!$C:$C, $C9),""))</f>
        <v/>
      </c>
      <c r="L9" s="9" t="str">
        <f>IF(COUNTBLANK($A9:$E9)&gt;0, "", IFERROR(_xlfn.MAXIFS(Log!$F:$F, Log!$A:$A, $A9, Log!$B:$B, $B9, Log!$C:$C, $C9),""))</f>
        <v/>
      </c>
      <c r="M9" s="9" t="str">
        <f>IF(COUNTBLANK($A9:$E9)&gt;0, "", IFERROR(AVERAGEIFS(Log!$I:$I, Log!$A:$A, $A9, Log!$B:$B, $B9, Log!$C:$C, $C9),""))</f>
        <v/>
      </c>
      <c r="N9" s="9" t="str">
        <f>IF(COUNTBLANK($A9:$E9)&gt;0, "", IFERROR(_xlfn.MINIFS(Log!$G:$G, Log!$A:$A, $A9, Log!$B:$B, $B9, Log!$C:$C, $C9),""))</f>
        <v/>
      </c>
      <c r="O9" s="9" t="str">
        <f>IF(COUNTBLANK($A9:$E9)&gt;0, "", IFERROR(_xlfn.MAXIFS(Log!$G:$G, Log!$A:$A, $A9, Log!$B:$B, $B9, Log!$C:$C, $C9),""))</f>
        <v/>
      </c>
      <c r="P9" s="66"/>
      <c r="Q9" s="66"/>
      <c r="T9" s="66"/>
    </row>
    <row r="10" spans="1:26" ht="14.4" customHeight="1" x14ac:dyDescent="0.3">
      <c r="A10" s="8"/>
      <c r="B10" s="256"/>
      <c r="C10" s="8"/>
      <c r="D10" s="51"/>
      <c r="E10" s="52"/>
      <c r="G10" s="63"/>
      <c r="H10" s="14" t="str">
        <f>IF(COUNTBLANK($A10:$E10)&gt;0, "", IFERROR(AVERAGEIFS(Log!$E:$E, Log!$A:$A, $A10, Log!$B:$B, $B10, Log!$C:$C, $C10),""))</f>
        <v/>
      </c>
      <c r="I10" s="64" t="str">
        <f t="shared" si="0"/>
        <v/>
      </c>
      <c r="J10" s="9" t="str">
        <f>IF(COUNTBLANK($A10:$E10)&gt;0, "", IFERROR(AVERAGEIFS(Log!$H:$H, Log!$A:$A, $A10, Log!$B:$B, $B10, Log!$C:$C, $C10),""))</f>
        <v/>
      </c>
      <c r="K10" s="9" t="str">
        <f>IF(COUNTBLANK($A10:$E10)&gt;0, "", IFERROR(_xlfn.MINIFS(Log!$F:$F, Log!$A:$A, $A10, Log!$B:$B, $B10, Log!$C:$C, $C10),""))</f>
        <v/>
      </c>
      <c r="L10" s="9" t="str">
        <f>IF(COUNTBLANK($A10:$E10)&gt;0, "", IFERROR(_xlfn.MAXIFS(Log!$F:$F, Log!$A:$A, $A10, Log!$B:$B, $B10, Log!$C:$C, $C10),""))</f>
        <v/>
      </c>
      <c r="M10" s="9" t="str">
        <f>IF(COUNTBLANK($A10:$E10)&gt;0, "", IFERROR(AVERAGEIFS(Log!$I:$I, Log!$A:$A, $A10, Log!$B:$B, $B10, Log!$C:$C, $C10),""))</f>
        <v/>
      </c>
      <c r="N10" s="9" t="str">
        <f>IF(COUNTBLANK($A10:$E10)&gt;0, "", IFERROR(_xlfn.MINIFS(Log!$G:$G, Log!$A:$A, $A10, Log!$B:$B, $B10, Log!$C:$C, $C10),""))</f>
        <v/>
      </c>
      <c r="O10" s="9" t="str">
        <f>IF(COUNTBLANK($A10:$E10)&gt;0, "", IFERROR(_xlfn.MAXIFS(Log!$G:$G, Log!$A:$A, $A10, Log!$B:$B, $B10, Log!$C:$C, $C10),""))</f>
        <v/>
      </c>
      <c r="S10" s="296" t="s">
        <v>96</v>
      </c>
      <c r="T10" s="297"/>
      <c r="U10" s="297"/>
      <c r="V10" s="297"/>
      <c r="W10" s="297"/>
      <c r="X10" s="297"/>
      <c r="Y10" s="298"/>
      <c r="Z10" s="299"/>
    </row>
    <row r="11" spans="1:26" ht="14.4" customHeight="1" x14ac:dyDescent="0.3">
      <c r="A11" s="8"/>
      <c r="B11" s="256"/>
      <c r="C11" s="8"/>
      <c r="D11" s="51"/>
      <c r="E11" s="52"/>
      <c r="G11" s="63"/>
      <c r="H11" s="14" t="str">
        <f>IF(COUNTBLANK($A11:$E11)&gt;0, "", IFERROR(AVERAGEIFS(Log!$E:$E, Log!$A:$A, $A11, Log!$B:$B, $B11, Log!$C:$C, $C11),""))</f>
        <v/>
      </c>
      <c r="I11" s="64" t="str">
        <f t="shared" si="0"/>
        <v/>
      </c>
      <c r="J11" s="9" t="str">
        <f>IF(COUNTBLANK($A11:$E11)&gt;0, "", IFERROR(AVERAGEIFS(Log!$H:$H, Log!$A:$A, $A11, Log!$B:$B, $B11, Log!$C:$C, $C11),""))</f>
        <v/>
      </c>
      <c r="K11" s="9" t="str">
        <f>IF(COUNTBLANK($A11:$E11)&gt;0, "", IFERROR(_xlfn.MINIFS(Log!$F:$F, Log!$A:$A, $A11, Log!$B:$B, $B11, Log!$C:$C, $C11),""))</f>
        <v/>
      </c>
      <c r="L11" s="9" t="str">
        <f>IF(COUNTBLANK($A11:$E11)&gt;0, "", IFERROR(_xlfn.MAXIFS(Log!$F:$F, Log!$A:$A, $A11, Log!$B:$B, $B11, Log!$C:$C, $C11),""))</f>
        <v/>
      </c>
      <c r="M11" s="9" t="str">
        <f>IF(COUNTBLANK($A11:$E11)&gt;0, "", IFERROR(AVERAGEIFS(Log!$I:$I, Log!$A:$A, $A11, Log!$B:$B, $B11, Log!$C:$C, $C11),""))</f>
        <v/>
      </c>
      <c r="N11" s="9" t="str">
        <f>IF(COUNTBLANK($A11:$E11)&gt;0, "", IFERROR(_xlfn.MINIFS(Log!$G:$G, Log!$A:$A, $A11, Log!$B:$B, $B11, Log!$C:$C, $C11),""))</f>
        <v/>
      </c>
      <c r="O11" s="9" t="str">
        <f>IF(COUNTBLANK($A11:$E11)&gt;0, "", IFERROR(_xlfn.MAXIFS(Log!$G:$G, Log!$A:$A, $A11, Log!$B:$B, $B11, Log!$C:$C, $C11),""))</f>
        <v/>
      </c>
      <c r="S11" s="244" t="s">
        <v>160</v>
      </c>
      <c r="T11" s="245"/>
      <c r="U11" s="245"/>
      <c r="V11" s="245"/>
      <c r="W11" s="245"/>
      <c r="X11" s="245"/>
      <c r="Y11" s="245"/>
      <c r="Z11" s="246"/>
    </row>
    <row r="12" spans="1:26" ht="14.4" customHeight="1" x14ac:dyDescent="0.3">
      <c r="A12" s="8"/>
      <c r="B12" s="256"/>
      <c r="C12" s="8"/>
      <c r="D12" s="51"/>
      <c r="E12" s="52"/>
      <c r="G12" s="63"/>
      <c r="H12" s="14" t="str">
        <f>IF(COUNTBLANK($A12:$E12)&gt;0, "", IFERROR(AVERAGEIFS(Log!$E:$E, Log!$A:$A, $A12, Log!$B:$B, $B12, Log!$C:$C, $C12),""))</f>
        <v/>
      </c>
      <c r="I12" s="64" t="str">
        <f t="shared" si="0"/>
        <v/>
      </c>
      <c r="J12" s="9" t="str">
        <f>IF(COUNTBLANK($A12:$E12)&gt;0, "", IFERROR(AVERAGEIFS(Log!$H:$H, Log!$A:$A, $A12, Log!$B:$B, $B12, Log!$C:$C, $C12),""))</f>
        <v/>
      </c>
      <c r="K12" s="9" t="str">
        <f>IF(COUNTBLANK($A12:$E12)&gt;0, "", IFERROR(_xlfn.MINIFS(Log!$F:$F, Log!$A:$A, $A12, Log!$B:$B, $B12, Log!$C:$C, $C12),""))</f>
        <v/>
      </c>
      <c r="L12" s="9" t="str">
        <f>IF(COUNTBLANK($A12:$E12)&gt;0, "", IFERROR(_xlfn.MAXIFS(Log!$F:$F, Log!$A:$A, $A12, Log!$B:$B, $B12, Log!$C:$C, $C12),""))</f>
        <v/>
      </c>
      <c r="M12" s="9" t="str">
        <f>IF(COUNTBLANK($A12:$E12)&gt;0, "", IFERROR(AVERAGEIFS(Log!$I:$I, Log!$A:$A, $A12, Log!$B:$B, $B12, Log!$C:$C, $C12),""))</f>
        <v/>
      </c>
      <c r="N12" s="9" t="str">
        <f>IF(COUNTBLANK($A12:$E12)&gt;0, "", IFERROR(_xlfn.MINIFS(Log!$G:$G, Log!$A:$A, $A12, Log!$B:$B, $B12, Log!$C:$C, $C12),""))</f>
        <v/>
      </c>
      <c r="O12" s="9" t="str">
        <f>IF(COUNTBLANK($A12:$E12)&gt;0, "", IFERROR(_xlfn.MAXIFS(Log!$G:$G, Log!$A:$A, $A12, Log!$B:$B, $B12, Log!$C:$C, $C12),""))</f>
        <v/>
      </c>
      <c r="Q12" s="143"/>
    </row>
    <row r="13" spans="1:26" x14ac:dyDescent="0.3">
      <c r="A13" s="8"/>
      <c r="B13" s="256"/>
      <c r="C13" s="8"/>
      <c r="D13" s="51"/>
      <c r="E13" s="52"/>
      <c r="G13" s="63"/>
      <c r="H13" s="14" t="str">
        <f>IF(COUNTBLANK($A13:$E13)&gt;0, "", IFERROR(AVERAGEIFS(Log!$E:$E, Log!$A:$A, $A13, Log!$B:$B, $B13, Log!$C:$C, $C13),""))</f>
        <v/>
      </c>
      <c r="I13" s="64" t="str">
        <f t="shared" si="0"/>
        <v/>
      </c>
      <c r="J13" s="9" t="str">
        <f>IF(COUNTBLANK($A13:$E13)&gt;0, "", IFERROR(AVERAGEIFS(Log!$H:$H, Log!$A:$A, $A13, Log!$B:$B, $B13, Log!$C:$C, $C13),""))</f>
        <v/>
      </c>
      <c r="K13" s="9" t="str">
        <f>IF(COUNTBLANK($A13:$E13)&gt;0, "", IFERROR(_xlfn.MINIFS(Log!$F:$F, Log!$A:$A, $A13, Log!$B:$B, $B13, Log!$C:$C, $C13),""))</f>
        <v/>
      </c>
      <c r="L13" s="9" t="str">
        <f>IF(COUNTBLANK($A13:$E13)&gt;0, "", IFERROR(_xlfn.MAXIFS(Log!$F:$F, Log!$A:$A, $A13, Log!$B:$B, $B13, Log!$C:$C, $C13),""))</f>
        <v/>
      </c>
      <c r="M13" s="9" t="str">
        <f>IF(COUNTBLANK($A13:$E13)&gt;0, "", IFERROR(AVERAGEIFS(Log!$I:$I, Log!$A:$A, $A13, Log!$B:$B, $B13, Log!$C:$C, $C13),""))</f>
        <v/>
      </c>
      <c r="N13" s="9" t="str">
        <f>IF(COUNTBLANK($A13:$E13)&gt;0, "", IFERROR(_xlfn.MINIFS(Log!$G:$G, Log!$A:$A, $A13, Log!$B:$B, $B13, Log!$C:$C, $C13),""))</f>
        <v/>
      </c>
      <c r="O13" s="9" t="str">
        <f>IF(COUNTBLANK($A13:$E13)&gt;0, "", IFERROR(_xlfn.MAXIFS(Log!$G:$G, Log!$A:$A, $A13, Log!$B:$B, $B13, Log!$C:$C, $C13),""))</f>
        <v/>
      </c>
      <c r="T13" s="66"/>
    </row>
    <row r="14" spans="1:26" x14ac:dyDescent="0.3">
      <c r="A14" s="8"/>
      <c r="B14" s="256"/>
      <c r="C14" s="8"/>
      <c r="D14" s="51"/>
      <c r="E14" s="52"/>
      <c r="G14" s="63"/>
      <c r="H14" s="14" t="str">
        <f>IF(COUNTBLANK($A14:$E14)&gt;0, "", IFERROR(AVERAGEIFS(Log!$E:$E, Log!$A:$A, $A14, Log!$B:$B, $B14, Log!$C:$C, $C14),""))</f>
        <v/>
      </c>
      <c r="I14" s="64" t="str">
        <f t="shared" si="0"/>
        <v/>
      </c>
      <c r="J14" s="9" t="str">
        <f>IF(COUNTBLANK($A14:$E14)&gt;0, "", IFERROR(AVERAGEIFS(Log!$H:$H, Log!$A:$A, $A14, Log!$B:$B, $B14, Log!$C:$C, $C14),""))</f>
        <v/>
      </c>
      <c r="K14" s="9" t="str">
        <f>IF(COUNTBLANK($A14:$E14)&gt;0, "", IFERROR(_xlfn.MINIFS(Log!$F:$F, Log!$A:$A, $A14, Log!$B:$B, $B14, Log!$C:$C, $C14),""))</f>
        <v/>
      </c>
      <c r="L14" s="9" t="str">
        <f>IF(COUNTBLANK($A14:$E14)&gt;0, "", IFERROR(_xlfn.MAXIFS(Log!$F:$F, Log!$A:$A, $A14, Log!$B:$B, $B14, Log!$C:$C, $C14),""))</f>
        <v/>
      </c>
      <c r="M14" s="9" t="str">
        <f>IF(COUNTBLANK($A14:$E14)&gt;0, "", IFERROR(AVERAGEIFS(Log!$I:$I, Log!$A:$A, $A14, Log!$B:$B, $B14, Log!$C:$C, $C14),""))</f>
        <v/>
      </c>
      <c r="N14" s="9" t="str">
        <f>IF(COUNTBLANK($A14:$E14)&gt;0, "", IFERROR(_xlfn.MINIFS(Log!$G:$G, Log!$A:$A, $A14, Log!$B:$B, $B14, Log!$C:$C, $C14),""))</f>
        <v/>
      </c>
      <c r="O14" s="9" t="str">
        <f>IF(COUNTBLANK($A14:$E14)&gt;0, "", IFERROR(_xlfn.MAXIFS(Log!$G:$G, Log!$A:$A, $A14, Log!$B:$B, $B14, Log!$C:$C, $C14),""))</f>
        <v/>
      </c>
    </row>
    <row r="15" spans="1:26" ht="14.4" customHeight="1" x14ac:dyDescent="0.3">
      <c r="A15" s="8"/>
      <c r="B15" s="256"/>
      <c r="C15" s="8"/>
      <c r="D15" s="51"/>
      <c r="E15" s="52"/>
      <c r="G15" s="63"/>
      <c r="H15" s="14" t="str">
        <f>IF(COUNTBLANK($A15:$E15)&gt;0, "", IFERROR(AVERAGEIFS(Log!$E:$E, Log!$A:$A, $A15, Log!$B:$B, $B15, Log!$C:$C, $C15),""))</f>
        <v/>
      </c>
      <c r="I15" s="64" t="str">
        <f t="shared" si="0"/>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row>
    <row r="16" spans="1:26" ht="14.4" customHeight="1" x14ac:dyDescent="0.3">
      <c r="A16" s="8"/>
      <c r="B16" s="256"/>
      <c r="C16" s="8"/>
      <c r="D16" s="51"/>
      <c r="E16" s="52"/>
      <c r="G16" s="63"/>
      <c r="H16" s="14" t="str">
        <f>IF(COUNTBLANK($A16:$E16)&gt;0, "", IFERROR(AVERAGEIFS(Log!$E:$E, Log!$A:$A, $A16, Log!$B:$B, $B16, Log!$C:$C, $C16),""))</f>
        <v/>
      </c>
      <c r="I16" s="64" t="str">
        <f t="shared" si="0"/>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row>
    <row r="17" spans="1:20" x14ac:dyDescent="0.3">
      <c r="A17" s="8"/>
      <c r="B17" s="256"/>
      <c r="C17" s="8"/>
      <c r="D17" s="51"/>
      <c r="E17" s="52"/>
      <c r="G17" s="63"/>
      <c r="H17" s="14" t="str">
        <f>IF(COUNTBLANK($A17:$E17)&gt;0, "", IFERROR(AVERAGEIFS(Log!$E:$E, Log!$A:$A, $A17, Log!$B:$B, $B17, Log!$C:$C, $C17),""))</f>
        <v/>
      </c>
      <c r="I17" s="64" t="str">
        <f t="shared" si="0"/>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c r="T17" s="66"/>
    </row>
    <row r="18" spans="1:20" x14ac:dyDescent="0.3">
      <c r="A18" s="8"/>
      <c r="B18" s="256"/>
      <c r="C18" s="8"/>
      <c r="D18" s="51"/>
      <c r="E18" s="52"/>
      <c r="G18" s="63"/>
      <c r="H18" s="14" t="str">
        <f>IF(COUNTBLANK($A18:$E18)&gt;0, "", IFERROR(AVERAGEIFS(Log!$E:$E, Log!$A:$A, $A18, Log!$B:$B, $B18, Log!$C:$C, $C18),""))</f>
        <v/>
      </c>
      <c r="I18" s="64" t="str">
        <f t="shared" si="0"/>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T18" s="66"/>
    </row>
    <row r="19" spans="1:20" x14ac:dyDescent="0.3">
      <c r="A19" s="8"/>
      <c r="B19" s="256"/>
      <c r="C19" s="8"/>
      <c r="D19" s="51"/>
      <c r="E19" s="52"/>
      <c r="G19" s="63"/>
      <c r="H19" s="14" t="str">
        <f>IF(COUNTBLANK($A19:$E19)&gt;0, "", IFERROR(AVERAGEIFS(Log!$E:$E, Log!$A:$A, $A19, Log!$B:$B, $B19, Log!$C:$C, $C19),""))</f>
        <v/>
      </c>
      <c r="I19" s="64" t="str">
        <f t="shared" si="0"/>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c r="T19" s="66"/>
    </row>
    <row r="20" spans="1:20" x14ac:dyDescent="0.3">
      <c r="A20" s="8"/>
      <c r="B20" s="256"/>
      <c r="C20" s="8"/>
      <c r="D20" s="51"/>
      <c r="E20" s="52"/>
      <c r="G20" s="63"/>
      <c r="H20" s="14" t="str">
        <f>IF(COUNTBLANK($A20:$E20)&gt;0, "", IFERROR(AVERAGEIFS(Log!$E:$E, Log!$A:$A, $A20, Log!$B:$B, $B20, Log!$C:$C, $C20),""))</f>
        <v/>
      </c>
      <c r="I20" s="64" t="str">
        <f t="shared" si="0"/>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row>
    <row r="21" spans="1:20" x14ac:dyDescent="0.3">
      <c r="A21" s="8"/>
      <c r="B21" s="256"/>
      <c r="C21" s="8"/>
      <c r="D21" s="51"/>
      <c r="E21" s="52"/>
      <c r="G21" s="63"/>
      <c r="H21" s="14" t="str">
        <f>IF(COUNTBLANK($A21:$E21)&gt;0, "", IFERROR(AVERAGEIFS(Log!$E:$E, Log!$A:$A, $A21, Log!$B:$B, $B21, Log!$C:$C, $C21),""))</f>
        <v/>
      </c>
      <c r="I21" s="64" t="str">
        <f t="shared" si="0"/>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c r="T21" s="66"/>
    </row>
    <row r="22" spans="1:20" x14ac:dyDescent="0.3">
      <c r="A22" s="8"/>
      <c r="B22" s="256"/>
      <c r="C22" s="8"/>
      <c r="D22" s="51"/>
      <c r="E22" s="52"/>
      <c r="G22" s="63"/>
      <c r="H22" s="14" t="str">
        <f>IF(COUNTBLANK($A22:$E22)&gt;0, "", IFERROR(AVERAGEIFS(Log!$E:$E, Log!$A:$A, $A22, Log!$B:$B, $B22, Log!$C:$C, $C22),""))</f>
        <v/>
      </c>
      <c r="I22" s="64" t="str">
        <f t="shared" si="0"/>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c r="T22" s="66"/>
    </row>
    <row r="23" spans="1:20" x14ac:dyDescent="0.3">
      <c r="A23" s="8"/>
      <c r="B23" s="256"/>
      <c r="C23" s="8"/>
      <c r="D23" s="51"/>
      <c r="E23" s="52"/>
      <c r="G23" s="63"/>
      <c r="H23" s="14" t="str">
        <f>IF(COUNTBLANK($A23:$E23)&gt;0, "", IFERROR(AVERAGEIFS(Log!$E:$E, Log!$A:$A, $A23, Log!$B:$B, $B23, Log!$C:$C, $C23),""))</f>
        <v/>
      </c>
      <c r="I23" s="64" t="str">
        <f t="shared" si="0"/>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row>
    <row r="24" spans="1:20" x14ac:dyDescent="0.3">
      <c r="A24" s="8"/>
      <c r="B24" s="256"/>
      <c r="C24" s="8"/>
      <c r="D24" s="51"/>
      <c r="E24" s="52"/>
      <c r="G24" s="63"/>
      <c r="H24" s="14" t="str">
        <f>IF(COUNTBLANK($A24:$E24)&gt;0, "", IFERROR(AVERAGEIFS(Log!$E:$E, Log!$A:$A, $A24, Log!$B:$B, $B24, Log!$C:$C, $C24),""))</f>
        <v/>
      </c>
      <c r="I24" s="64" t="str">
        <f t="shared" si="0"/>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c r="T24" s="66"/>
    </row>
    <row r="25" spans="1:20" x14ac:dyDescent="0.3">
      <c r="A25" s="8"/>
      <c r="B25" s="256"/>
      <c r="C25" s="8"/>
      <c r="D25" s="51"/>
      <c r="E25" s="52"/>
      <c r="G25" s="63"/>
      <c r="H25" s="14" t="str">
        <f>IF(COUNTBLANK($A25:$E25)&gt;0, "", IFERROR(AVERAGEIFS(Log!$E:$E, Log!$A:$A, $A25, Log!$B:$B, $B25, Log!$C:$C, $C25),""))</f>
        <v/>
      </c>
      <c r="I25" s="64" t="str">
        <f t="shared" si="0"/>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c r="T25" s="66"/>
    </row>
    <row r="26" spans="1:20" x14ac:dyDescent="0.3">
      <c r="A26" s="8"/>
      <c r="B26" s="256"/>
      <c r="C26" s="8"/>
      <c r="D26" s="51"/>
      <c r="E26" s="52"/>
      <c r="G26" s="63"/>
      <c r="H26" s="14" t="str">
        <f>IF(COUNTBLANK($A26:$E26)&gt;0, "", IFERROR(AVERAGEIFS(Log!$E:$E, Log!$A:$A, $A26, Log!$B:$B, $B26, Log!$C:$C, $C26),""))</f>
        <v/>
      </c>
      <c r="I26" s="64" t="str">
        <f t="shared" si="0"/>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c r="T26" s="66"/>
    </row>
    <row r="27" spans="1:20" x14ac:dyDescent="0.3">
      <c r="A27" s="8"/>
      <c r="B27" s="256"/>
      <c r="C27" s="8"/>
      <c r="D27" s="51"/>
      <c r="E27" s="52"/>
      <c r="G27" s="63"/>
      <c r="H27" s="14" t="str">
        <f>IF(COUNTBLANK($A27:$E27)&gt;0, "", IFERROR(AVERAGEIFS(Log!$E:$E, Log!$A:$A, $A27, Log!$B:$B, $B27, Log!$C:$C, $C27),""))</f>
        <v/>
      </c>
      <c r="I27" s="64" t="str">
        <f t="shared" si="0"/>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row>
    <row r="28" spans="1:20" x14ac:dyDescent="0.3">
      <c r="A28" s="8"/>
      <c r="B28" s="256"/>
      <c r="C28" s="8"/>
      <c r="D28" s="51"/>
      <c r="E28" s="52"/>
      <c r="G28" s="63"/>
      <c r="H28" s="14" t="str">
        <f>IF(COUNTBLANK($A28:$E28)&gt;0, "", IFERROR(AVERAGEIFS(Log!$E:$E, Log!$A:$A, $A28, Log!$B:$B, $B28, Log!$C:$C, $C28),""))</f>
        <v/>
      </c>
      <c r="I28" s="64" t="str">
        <f t="shared" si="0"/>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row>
    <row r="29" spans="1:20" x14ac:dyDescent="0.3">
      <c r="A29" s="8"/>
      <c r="B29" s="256"/>
      <c r="C29" s="8"/>
      <c r="D29" s="51"/>
      <c r="E29" s="52"/>
      <c r="G29" s="63"/>
      <c r="H29" s="14" t="str">
        <f>IF(COUNTBLANK($A29:$E29)&gt;0, "", IFERROR(AVERAGEIFS(Log!$E:$E, Log!$A:$A, $A29, Log!$B:$B, $B29, Log!$C:$C, $C29),""))</f>
        <v/>
      </c>
      <c r="I29" s="64" t="str">
        <f t="shared" si="0"/>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20" x14ac:dyDescent="0.3">
      <c r="A30" s="8"/>
      <c r="B30" s="256"/>
      <c r="C30" s="8"/>
      <c r="D30" s="51"/>
      <c r="E30" s="52"/>
      <c r="G30" s="63"/>
      <c r="H30" s="14" t="str">
        <f>IF(COUNTBLANK($A30:$E30)&gt;0, "", IFERROR(AVERAGEIFS(Log!$E:$E, Log!$A:$A, $A30, Log!$B:$B, $B30, Log!$C:$C, $C30),""))</f>
        <v/>
      </c>
      <c r="I30" s="64" t="str">
        <f t="shared" si="0"/>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20" x14ac:dyDescent="0.3">
      <c r="A31" s="8"/>
      <c r="B31" s="256"/>
      <c r="C31" s="8"/>
      <c r="D31" s="51"/>
      <c r="E31" s="52"/>
      <c r="G31" s="63"/>
      <c r="H31" s="14" t="str">
        <f>IF(COUNTBLANK($A31:$E31)&gt;0, "", IFERROR(AVERAGEIFS(Log!$E:$E, Log!$A:$A, $A31, Log!$B:$B, $B31, Log!$C:$C, $C31),""))</f>
        <v/>
      </c>
      <c r="I31" s="64" t="str">
        <f t="shared" si="0"/>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20" x14ac:dyDescent="0.3">
      <c r="A32" s="8"/>
      <c r="B32" s="256"/>
      <c r="C32" s="8"/>
      <c r="D32" s="51"/>
      <c r="E32" s="52"/>
      <c r="G32" s="63"/>
      <c r="H32" s="14" t="str">
        <f>IF(COUNTBLANK($A32:$E32)&gt;0, "", IFERROR(AVERAGEIFS(Log!$E:$E, Log!$A:$A, $A32, Log!$B:$B, $B32, Log!$C:$C, $C32),""))</f>
        <v/>
      </c>
      <c r="I32" s="64" t="str">
        <f t="shared" si="0"/>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x14ac:dyDescent="0.3">
      <c r="A33" s="8"/>
      <c r="B33" s="256"/>
      <c r="C33" s="8"/>
      <c r="D33" s="51"/>
      <c r="E33" s="52"/>
      <c r="G33" s="63"/>
      <c r="H33" s="14" t="str">
        <f>IF(COUNTBLANK($A33:$E33)&gt;0, "", IFERROR(AVERAGEIFS(Log!$E:$E, Log!$A:$A, $A33, Log!$B:$B, $B33, Log!$C:$C, $C33),""))</f>
        <v/>
      </c>
      <c r="I33" s="64" t="str">
        <f t="shared" si="0"/>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x14ac:dyDescent="0.3">
      <c r="A34" s="8"/>
      <c r="B34" s="256"/>
      <c r="C34" s="8"/>
      <c r="D34" s="51"/>
      <c r="E34" s="52"/>
      <c r="G34" s="63"/>
      <c r="H34" s="14" t="str">
        <f>IF(COUNTBLANK($A34:$E34)&gt;0, "", IFERROR(AVERAGEIFS(Log!$E:$E, Log!$A:$A, $A34, Log!$B:$B, $B34, Log!$C:$C, $C34),""))</f>
        <v/>
      </c>
      <c r="I34" s="64" t="str">
        <f t="shared" si="0"/>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x14ac:dyDescent="0.3">
      <c r="A35" s="8"/>
      <c r="B35" s="256"/>
      <c r="C35" s="8"/>
      <c r="D35" s="51"/>
      <c r="E35" s="52"/>
      <c r="G35" s="63"/>
      <c r="H35" s="14" t="str">
        <f>IF(COUNTBLANK($A35:$E35)&gt;0, "", IFERROR(AVERAGEIFS(Log!$E:$E, Log!$A:$A, $A35, Log!$B:$B, $B35, Log!$C:$C, $C35),""))</f>
        <v/>
      </c>
      <c r="I35" s="64" t="str">
        <f t="shared" si="0"/>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x14ac:dyDescent="0.3">
      <c r="A36" s="8"/>
      <c r="B36" s="256"/>
      <c r="C36" s="8"/>
      <c r="D36" s="51"/>
      <c r="E36" s="52"/>
      <c r="G36" s="63"/>
      <c r="H36" s="14" t="str">
        <f>IF(COUNTBLANK($A36:$E36)&gt;0, "", IFERROR(AVERAGEIFS(Log!$E:$E, Log!$A:$A, $A36, Log!$B:$B, $B36, Log!$C:$C, $C36),""))</f>
        <v/>
      </c>
      <c r="I36" s="64" t="str">
        <f t="shared" si="0"/>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x14ac:dyDescent="0.3">
      <c r="A37" s="8"/>
      <c r="B37" s="256"/>
      <c r="C37" s="8"/>
      <c r="D37" s="51"/>
      <c r="E37" s="52"/>
      <c r="G37" s="63"/>
      <c r="H37" s="14" t="str">
        <f>IF(COUNTBLANK($A37:$E37)&gt;0, "", IFERROR(AVERAGEIFS(Log!$E:$E, Log!$A:$A, $A37, Log!$B:$B, $B37, Log!$C:$C, $C37),""))</f>
        <v/>
      </c>
      <c r="I37" s="64" t="str">
        <f t="shared" si="0"/>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x14ac:dyDescent="0.3">
      <c r="A38" s="8"/>
      <c r="B38" s="256"/>
      <c r="C38" s="8"/>
      <c r="D38" s="51"/>
      <c r="E38" s="52"/>
      <c r="G38" s="63"/>
      <c r="H38" s="14" t="str">
        <f>IF(COUNTBLANK($A38:$E38)&gt;0, "", IFERROR(AVERAGEIFS(Log!$E:$E, Log!$A:$A, $A38, Log!$B:$B, $B38, Log!$C:$C, $C38),""))</f>
        <v/>
      </c>
      <c r="I38" s="64" t="str">
        <f t="shared" si="0"/>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x14ac:dyDescent="0.3">
      <c r="A39" s="8"/>
      <c r="B39" s="256"/>
      <c r="C39" s="8"/>
      <c r="D39" s="51"/>
      <c r="E39" s="52"/>
      <c r="G39" s="63"/>
      <c r="H39" s="14" t="str">
        <f>IF(COUNTBLANK($A39:$E39)&gt;0, "", IFERROR(AVERAGEIFS(Log!$E:$E, Log!$A:$A, $A39, Log!$B:$B, $B39, Log!$C:$C, $C39),""))</f>
        <v/>
      </c>
      <c r="I39" s="64" t="str">
        <f t="shared" si="0"/>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x14ac:dyDescent="0.3">
      <c r="A40" s="8"/>
      <c r="B40" s="256"/>
      <c r="C40" s="8"/>
      <c r="D40" s="51"/>
      <c r="E40" s="52"/>
      <c r="G40" s="63"/>
      <c r="H40" s="14" t="str">
        <f>IF(COUNTBLANK($A40:$E40)&gt;0, "", IFERROR(AVERAGEIFS(Log!$E:$E, Log!$A:$A, $A40, Log!$B:$B, $B40, Log!$C:$C, $C40),""))</f>
        <v/>
      </c>
      <c r="I40" s="64" t="str">
        <f t="shared" si="0"/>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x14ac:dyDescent="0.3">
      <c r="A41" s="8"/>
      <c r="B41" s="256"/>
      <c r="C41" s="8"/>
      <c r="D41" s="51"/>
      <c r="E41" s="52"/>
      <c r="G41" s="63"/>
      <c r="H41" s="14" t="str">
        <f>IF(COUNTBLANK($A41:$E41)&gt;0, "", IFERROR(AVERAGEIFS(Log!$E:$E, Log!$A:$A, $A41, Log!$B:$B, $B41, Log!$C:$C, $C41),""))</f>
        <v/>
      </c>
      <c r="I41" s="64" t="str">
        <f t="shared" si="0"/>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x14ac:dyDescent="0.3">
      <c r="A42" s="8"/>
      <c r="B42" s="256"/>
      <c r="C42" s="8"/>
      <c r="D42" s="51"/>
      <c r="E42" s="52"/>
      <c r="G42" s="63"/>
      <c r="H42" s="14" t="str">
        <f>IF(COUNTBLANK($A42:$E42)&gt;0, "", IFERROR(AVERAGEIFS(Log!$E:$E, Log!$A:$A, $A42, Log!$B:$B, $B42, Log!$C:$C, $C42),""))</f>
        <v/>
      </c>
      <c r="I42" s="64" t="str">
        <f t="shared" si="0"/>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x14ac:dyDescent="0.3">
      <c r="A43" s="8"/>
      <c r="B43" s="256"/>
      <c r="C43" s="8"/>
      <c r="D43" s="51"/>
      <c r="E43" s="52"/>
      <c r="G43" s="63"/>
      <c r="H43" s="14" t="str">
        <f>IF(COUNTBLANK($A43:$E43)&gt;0, "", IFERROR(AVERAGEIFS(Log!$E:$E, Log!$A:$A, $A43, Log!$B:$B, $B43, Log!$C:$C, $C43),""))</f>
        <v/>
      </c>
      <c r="I43" s="64" t="str">
        <f t="shared" si="0"/>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x14ac:dyDescent="0.3">
      <c r="A44" s="8"/>
      <c r="B44" s="256"/>
      <c r="C44" s="8"/>
      <c r="D44" s="51"/>
      <c r="E44" s="52"/>
      <c r="G44" s="63"/>
      <c r="H44" s="14" t="str">
        <f>IF(COUNTBLANK($A44:$E44)&gt;0, "", IFERROR(AVERAGEIFS(Log!$E:$E, Log!$A:$A, $A44, Log!$B:$B, $B44, Log!$C:$C, $C44),""))</f>
        <v/>
      </c>
      <c r="I44" s="64" t="str">
        <f t="shared" si="0"/>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x14ac:dyDescent="0.3">
      <c r="A45" s="8"/>
      <c r="B45" s="256"/>
      <c r="C45" s="8"/>
      <c r="D45" s="51"/>
      <c r="E45" s="52"/>
      <c r="G45" s="63"/>
      <c r="H45" s="14" t="str">
        <f>IF(COUNTBLANK($A45:$E45)&gt;0, "", IFERROR(AVERAGEIFS(Log!$E:$E, Log!$A:$A, $A45, Log!$B:$B, $B45, Log!$C:$C, $C45),""))</f>
        <v/>
      </c>
      <c r="I45" s="64" t="str">
        <f t="shared" si="0"/>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x14ac:dyDescent="0.3">
      <c r="A46" s="8"/>
      <c r="B46" s="256"/>
      <c r="C46" s="8"/>
      <c r="D46" s="51"/>
      <c r="E46" s="52"/>
      <c r="G46" s="63"/>
      <c r="H46" s="14" t="str">
        <f>IF(COUNTBLANK($A46:$E46)&gt;0, "", IFERROR(AVERAGEIFS(Log!$E:$E, Log!$A:$A, $A46, Log!$B:$B, $B46, Log!$C:$C, $C46),""))</f>
        <v/>
      </c>
      <c r="I46" s="64" t="str">
        <f t="shared" si="0"/>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x14ac:dyDescent="0.3">
      <c r="A47" s="8"/>
      <c r="B47" s="256"/>
      <c r="C47" s="8"/>
      <c r="D47" s="51"/>
      <c r="E47" s="52"/>
      <c r="G47" s="63"/>
      <c r="H47" s="14" t="str">
        <f>IF(COUNTBLANK($A47:$E47)&gt;0, "", IFERROR(AVERAGEIFS(Log!$E:$E, Log!$A:$A, $A47, Log!$B:$B, $B47, Log!$C:$C, $C47),""))</f>
        <v/>
      </c>
      <c r="I47" s="64" t="str">
        <f t="shared" si="0"/>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x14ac:dyDescent="0.3">
      <c r="A48" s="8"/>
      <c r="B48" s="256"/>
      <c r="C48" s="8"/>
      <c r="D48" s="51"/>
      <c r="E48" s="52"/>
      <c r="G48" s="63"/>
      <c r="H48" s="14" t="str">
        <f>IF(COUNTBLANK($A48:$E48)&gt;0, "", IFERROR(AVERAGEIFS(Log!$E:$E, Log!$A:$A, $A48, Log!$B:$B, $B48, Log!$C:$C, $C48),""))</f>
        <v/>
      </c>
      <c r="I48" s="64" t="str">
        <f t="shared" si="0"/>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x14ac:dyDescent="0.3">
      <c r="A49" s="8"/>
      <c r="B49" s="256"/>
      <c r="C49" s="8"/>
      <c r="D49" s="51"/>
      <c r="E49" s="52"/>
      <c r="G49" s="63"/>
      <c r="H49" s="14" t="str">
        <f>IF(COUNTBLANK($A49:$E49)&gt;0, "", IFERROR(AVERAGEIFS(Log!$E:$E, Log!$A:$A, $A49, Log!$B:$B, $B49, Log!$C:$C, $C49),""))</f>
        <v/>
      </c>
      <c r="I49" s="64" t="str">
        <f t="shared" si="0"/>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x14ac:dyDescent="0.3">
      <c r="A50" s="8"/>
      <c r="B50" s="256"/>
      <c r="C50" s="8"/>
      <c r="D50" s="51"/>
      <c r="E50" s="52"/>
      <c r="G50" s="63"/>
      <c r="H50" s="14" t="str">
        <f>IF(COUNTBLANK($A50:$E50)&gt;0, "", IFERROR(AVERAGEIFS(Log!$E:$E, Log!$A:$A, $A50, Log!$B:$B, $B50, Log!$C:$C, $C50),""))</f>
        <v/>
      </c>
      <c r="I50" s="64" t="str">
        <f t="shared" si="0"/>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x14ac:dyDescent="0.3">
      <c r="A51" s="8"/>
      <c r="B51" s="256"/>
      <c r="C51" s="8"/>
      <c r="D51" s="51"/>
      <c r="E51" s="52"/>
      <c r="G51" s="63"/>
      <c r="H51" s="14" t="str">
        <f>IF(COUNTBLANK($A51:$E51)&gt;0, "", IFERROR(AVERAGEIFS(Log!$E:$E, Log!$A:$A, $A51, Log!$B:$B, $B51, Log!$C:$C, $C51),""))</f>
        <v/>
      </c>
      <c r="I51" s="64" t="str">
        <f t="shared" si="0"/>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x14ac:dyDescent="0.3">
      <c r="A52" s="8"/>
      <c r="B52" s="256"/>
      <c r="C52" s="8"/>
      <c r="D52" s="51"/>
      <c r="E52" s="52"/>
      <c r="G52" s="63"/>
      <c r="H52" s="14" t="str">
        <f>IF(COUNTBLANK($A52:$E52)&gt;0, "", IFERROR(AVERAGEIFS(Log!$E:$E, Log!$A:$A, $A52, Log!$B:$B, $B52, Log!$C:$C, $C52),""))</f>
        <v/>
      </c>
      <c r="I52" s="64" t="str">
        <f t="shared" si="0"/>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x14ac:dyDescent="0.3">
      <c r="A53" s="8"/>
      <c r="B53" s="256"/>
      <c r="C53" s="8"/>
      <c r="D53" s="51"/>
      <c r="E53" s="52"/>
      <c r="G53" s="63"/>
      <c r="H53" s="14" t="str">
        <f>IF(COUNTBLANK($A53:$E53)&gt;0, "", IFERROR(AVERAGEIFS(Log!$E:$E, Log!$A:$A, $A53, Log!$B:$B, $B53, Log!$C:$C, $C53),""))</f>
        <v/>
      </c>
      <c r="I53" s="64" t="str">
        <f t="shared" si="0"/>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x14ac:dyDescent="0.3">
      <c r="A54" s="8"/>
      <c r="B54" s="256"/>
      <c r="C54" s="8"/>
      <c r="D54" s="51"/>
      <c r="E54" s="52"/>
      <c r="G54" s="63"/>
      <c r="H54" s="14" t="str">
        <f>IF(COUNTBLANK($A54:$E54)&gt;0, "", IFERROR(AVERAGEIFS(Log!$E:$E, Log!$A:$A, $A54, Log!$B:$B, $B54, Log!$C:$C, $C54),""))</f>
        <v/>
      </c>
      <c r="I54" s="64" t="str">
        <f t="shared" si="0"/>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x14ac:dyDescent="0.3">
      <c r="A55" s="8"/>
      <c r="B55" s="256"/>
      <c r="C55" s="8"/>
      <c r="D55" s="51"/>
      <c r="E55" s="52"/>
      <c r="G55" s="63"/>
      <c r="H55" s="14" t="str">
        <f>IF(COUNTBLANK($A55:$E55)&gt;0, "", IFERROR(AVERAGEIFS(Log!$E:$E, Log!$A:$A, $A55, Log!$B:$B, $B55, Log!$C:$C, $C55),""))</f>
        <v/>
      </c>
      <c r="I55" s="64" t="str">
        <f t="shared" si="0"/>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x14ac:dyDescent="0.3">
      <c r="A56" s="8"/>
      <c r="B56" s="256"/>
      <c r="C56" s="8"/>
      <c r="D56" s="51"/>
      <c r="E56" s="52"/>
      <c r="G56" s="63"/>
      <c r="H56" s="14" t="str">
        <f>IF(COUNTBLANK($A56:$E56)&gt;0, "", IFERROR(AVERAGEIFS(Log!$E:$E, Log!$A:$A, $A56, Log!$B:$B, $B56, Log!$C:$C, $C56),""))</f>
        <v/>
      </c>
      <c r="I56" s="64" t="str">
        <f t="shared" si="0"/>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x14ac:dyDescent="0.3">
      <c r="A57" s="8"/>
      <c r="B57" s="256"/>
      <c r="C57" s="8"/>
      <c r="D57" s="51"/>
      <c r="E57" s="52"/>
      <c r="G57" s="63"/>
      <c r="H57" s="14" t="str">
        <f>IF(COUNTBLANK($A57:$E57)&gt;0, "", IFERROR(AVERAGEIFS(Log!$E:$E, Log!$A:$A, $A57, Log!$B:$B, $B57, Log!$C:$C, $C57),""))</f>
        <v/>
      </c>
      <c r="I57" s="64" t="str">
        <f t="shared" si="0"/>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x14ac:dyDescent="0.3">
      <c r="A58" s="8"/>
      <c r="B58" s="256"/>
      <c r="C58" s="8"/>
      <c r="D58" s="51"/>
      <c r="E58" s="52"/>
      <c r="G58" s="63"/>
      <c r="H58" s="14" t="str">
        <f>IF(COUNTBLANK($A58:$E58)&gt;0, "", IFERROR(AVERAGEIFS(Log!$E:$E, Log!$A:$A, $A58, Log!$B:$B, $B58, Log!$C:$C, $C58),""))</f>
        <v/>
      </c>
      <c r="I58" s="64" t="str">
        <f t="shared" si="0"/>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x14ac:dyDescent="0.3">
      <c r="B59" s="256"/>
      <c r="H59" s="14" t="str">
        <f>IF(COUNTBLANK($A59:$E59)&gt;0, "", IFERROR(AVERAGEIFS(Log!$E:$E, Log!$A:$A, $A59, Log!$B:$B, $B59, Log!$C:$C, $C59),""))</f>
        <v/>
      </c>
      <c r="I59" s="64" t="str">
        <f t="shared" si="0"/>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x14ac:dyDescent="0.3">
      <c r="B60" s="256"/>
      <c r="H60" s="14" t="str">
        <f>IF(COUNTBLANK($A60:$E60)&gt;0, "", IFERROR(AVERAGEIFS(Log!$E:$E, Log!$A:$A, $A60, Log!$B:$B, $B60, Log!$C:$C, $C60),""))</f>
        <v/>
      </c>
      <c r="I60" s="64" t="str">
        <f t="shared" si="0"/>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x14ac:dyDescent="0.3">
      <c r="B61" s="256"/>
      <c r="H61" s="14" t="str">
        <f>IF(COUNTBLANK($A61:$E61)&gt;0, "", IFERROR(AVERAGEIFS(Log!$E:$E, Log!$A:$A, $A61, Log!$B:$B, $B61, Log!$C:$C, $C61),""))</f>
        <v/>
      </c>
      <c r="I61" s="64" t="str">
        <f t="shared" si="0"/>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x14ac:dyDescent="0.3">
      <c r="B62" s="256"/>
      <c r="H62" s="14" t="str">
        <f>IF(COUNTBLANK($A62:$E62)&gt;0, "", IFERROR(AVERAGEIFS(Log!$E:$E, Log!$A:$A, $A62, Log!$B:$B, $B62, Log!$C:$C, $C62),""))</f>
        <v/>
      </c>
      <c r="I62" s="64" t="str">
        <f t="shared" si="0"/>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row>
    <row r="63" spans="1:15" x14ac:dyDescent="0.3">
      <c r="B63" s="256"/>
      <c r="H63" s="14" t="str">
        <f>IF(COUNTBLANK($A63:$E63)&gt;0, "", IFERROR(AVERAGEIFS(Log!$E:$E, Log!$A:$A, $A63, Log!$B:$B, $B63, Log!$C:$C, $C63),""))</f>
        <v/>
      </c>
      <c r="I63" s="64" t="str">
        <f t="shared" si="0"/>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row>
    <row r="64" spans="1:15" x14ac:dyDescent="0.3">
      <c r="B64" s="256"/>
      <c r="H64" s="14" t="str">
        <f>IF(COUNTBLANK($A64:$E64)&gt;0, "", IFERROR(AVERAGEIFS(Log!$E:$E, Log!$A:$A, $A64, Log!$B:$B, $B64, Log!$C:$C, $C64),""))</f>
        <v/>
      </c>
      <c r="I64" s="64" t="str">
        <f t="shared" si="0"/>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row>
    <row r="65" spans="2:15" x14ac:dyDescent="0.3">
      <c r="B65" s="256"/>
      <c r="H65" s="14" t="str">
        <f>IF(COUNTBLANK($A65:$E65)&gt;0, "", IFERROR(AVERAGEIFS(Log!$E:$E, Log!$A:$A, $A65, Log!$B:$B, $B65, Log!$C:$C, $C65),""))</f>
        <v/>
      </c>
      <c r="I65" s="64" t="str">
        <f t="shared" si="0"/>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row>
    <row r="66" spans="2:15" x14ac:dyDescent="0.3">
      <c r="B66" s="256"/>
      <c r="H66" s="14" t="str">
        <f>IF(COUNTBLANK($A66:$E66)&gt;0, "", IFERROR(AVERAGEIFS(Log!$E:$E, Log!$A:$A, $A66, Log!$B:$B, $B66, Log!$C:$C, $C66),""))</f>
        <v/>
      </c>
      <c r="I66" s="64" t="str">
        <f t="shared" si="0"/>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row>
    <row r="67" spans="2:15" x14ac:dyDescent="0.3">
      <c r="B67" s="256"/>
      <c r="H67" s="14" t="str">
        <f>IF(COUNTBLANK($A67:$E67)&gt;0, "", IFERROR(AVERAGEIFS(Log!$E:$E, Log!$A:$A, $A67, Log!$B:$B, $B67, Log!$C:$C, $C67),""))</f>
        <v/>
      </c>
      <c r="I67" s="64" t="str">
        <f t="shared" si="0"/>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row>
    <row r="68" spans="2:15" x14ac:dyDescent="0.3">
      <c r="B68" s="256"/>
      <c r="H68" s="14" t="str">
        <f>IF(COUNTBLANK($A68:$E68)&gt;0, "", IFERROR(AVERAGEIFS(Log!$E:$E, Log!$A:$A, $A68, Log!$B:$B, $B68, Log!$C:$C, $C68),""))</f>
        <v/>
      </c>
      <c r="I68" s="64" t="str">
        <f t="shared" si="0"/>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row>
    <row r="69" spans="2:15" x14ac:dyDescent="0.3">
      <c r="B69" s="256"/>
      <c r="H69" s="14" t="str">
        <f>IF(COUNTBLANK($A69:$E69)&gt;0, "", IFERROR(AVERAGEIFS(Log!$E:$E, Log!$A:$A, $A69, Log!$B:$B, $B69, Log!$C:$C, $C69),""))</f>
        <v/>
      </c>
      <c r="I69" s="64" t="str">
        <f t="shared" si="0"/>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row>
    <row r="70" spans="2:15" x14ac:dyDescent="0.3">
      <c r="B70" s="256"/>
      <c r="H70" s="14" t="str">
        <f>IF(COUNTBLANK($A70:$E70)&gt;0, "", IFERROR(AVERAGEIFS(Log!$E:$E, Log!$A:$A, $A70, Log!$B:$B, $B70, Log!$C:$C, $C70),""))</f>
        <v/>
      </c>
      <c r="I70" s="64" t="str">
        <f t="shared" ref="I70:I133" si="1">IF(AND($H70&lt;&gt;"", $G70&lt;&gt;""), $H70/$G70, "")</f>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row>
    <row r="71" spans="2:15" x14ac:dyDescent="0.3">
      <c r="B71" s="256"/>
      <c r="H71" s="14" t="str">
        <f>IF(COUNTBLANK($A71:$E71)&gt;0, "", IFERROR(AVERAGEIFS(Log!$E:$E, Log!$A:$A, $A71, Log!$B:$B, $B71, Log!$C:$C, $C71),""))</f>
        <v/>
      </c>
      <c r="I71" s="64" t="str">
        <f t="shared" si="1"/>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row>
    <row r="72" spans="2:15" x14ac:dyDescent="0.3">
      <c r="B72" s="256"/>
      <c r="H72" s="14" t="str">
        <f>IF(COUNTBLANK($A72:$E72)&gt;0, "", IFERROR(AVERAGEIFS(Log!$E:$E, Log!$A:$A, $A72, Log!$B:$B, $B72, Log!$C:$C, $C72),""))</f>
        <v/>
      </c>
      <c r="I72" s="64" t="str">
        <f t="shared" si="1"/>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row>
    <row r="73" spans="2:15" x14ac:dyDescent="0.3">
      <c r="B73" s="256"/>
      <c r="H73" s="14" t="str">
        <f>IF(COUNTBLANK($A73:$E73)&gt;0, "", IFERROR(AVERAGEIFS(Log!$E:$E, Log!$A:$A, $A73, Log!$B:$B, $B73, Log!$C:$C, $C73),""))</f>
        <v/>
      </c>
      <c r="I73" s="64" t="str">
        <f t="shared" si="1"/>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row>
    <row r="74" spans="2:15" x14ac:dyDescent="0.3">
      <c r="B74" s="256"/>
      <c r="H74" s="14" t="str">
        <f>IF(COUNTBLANK($A74:$E74)&gt;0, "", IFERROR(AVERAGEIFS(Log!$E:$E, Log!$A:$A, $A74, Log!$B:$B, $B74, Log!$C:$C, $C74),""))</f>
        <v/>
      </c>
      <c r="I74" s="64" t="str">
        <f t="shared" si="1"/>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row>
    <row r="75" spans="2:15" x14ac:dyDescent="0.3">
      <c r="B75" s="256"/>
      <c r="H75" s="14" t="str">
        <f>IF(COUNTBLANK($A75:$E75)&gt;0, "", IFERROR(AVERAGEIFS(Log!$E:$E, Log!$A:$A, $A75, Log!$B:$B, $B75, Log!$C:$C, $C75),""))</f>
        <v/>
      </c>
      <c r="I75" s="64" t="str">
        <f t="shared" si="1"/>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row>
    <row r="76" spans="2:15" x14ac:dyDescent="0.3">
      <c r="B76" s="256"/>
      <c r="H76" s="14" t="str">
        <f>IF(COUNTBLANK($A76:$E76)&gt;0, "", IFERROR(AVERAGEIFS(Log!$E:$E, Log!$A:$A, $A76, Log!$B:$B, $B76, Log!$C:$C, $C76),""))</f>
        <v/>
      </c>
      <c r="I76" s="64" t="str">
        <f t="shared" si="1"/>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row>
    <row r="77" spans="2:15" x14ac:dyDescent="0.3">
      <c r="B77" s="256"/>
      <c r="H77" s="14" t="str">
        <f>IF(COUNTBLANK($A77:$E77)&gt;0, "", IFERROR(AVERAGEIFS(Log!$E:$E, Log!$A:$A, $A77, Log!$B:$B, $B77, Log!$C:$C, $C77),""))</f>
        <v/>
      </c>
      <c r="I77" s="64" t="str">
        <f t="shared" si="1"/>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row>
    <row r="78" spans="2:15" x14ac:dyDescent="0.3">
      <c r="B78" s="256"/>
      <c r="H78" s="14" t="str">
        <f>IF(COUNTBLANK($A78:$E78)&gt;0, "", IFERROR(AVERAGEIFS(Log!$E:$E, Log!$A:$A, $A78, Log!$B:$B, $B78, Log!$C:$C, $C78),""))</f>
        <v/>
      </c>
      <c r="I78" s="64" t="str">
        <f t="shared" si="1"/>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row>
    <row r="79" spans="2:15" x14ac:dyDescent="0.3">
      <c r="B79" s="256"/>
      <c r="H79" s="14" t="str">
        <f>IF(COUNTBLANK($A79:$E79)&gt;0, "", IFERROR(AVERAGEIFS(Log!$E:$E, Log!$A:$A, $A79, Log!$B:$B, $B79, Log!$C:$C, $C79),""))</f>
        <v/>
      </c>
      <c r="I79" s="64" t="str">
        <f t="shared" si="1"/>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row>
    <row r="80" spans="2:15" x14ac:dyDescent="0.3">
      <c r="B80" s="256"/>
      <c r="H80" s="14" t="str">
        <f>IF(COUNTBLANK($A80:$E80)&gt;0, "", IFERROR(AVERAGEIFS(Log!$E:$E, Log!$A:$A, $A80, Log!$B:$B, $B80, Log!$C:$C, $C80),""))</f>
        <v/>
      </c>
      <c r="I80" s="64" t="str">
        <f t="shared" si="1"/>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row>
    <row r="81" spans="2:15" x14ac:dyDescent="0.3">
      <c r="B81" s="256"/>
      <c r="H81" s="14" t="str">
        <f>IF(COUNTBLANK($A81:$E81)&gt;0, "", IFERROR(AVERAGEIFS(Log!$E:$E, Log!$A:$A, $A81, Log!$B:$B, $B81, Log!$C:$C, $C81),""))</f>
        <v/>
      </c>
      <c r="I81" s="64" t="str">
        <f t="shared" si="1"/>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row>
    <row r="82" spans="2:15" x14ac:dyDescent="0.3">
      <c r="B82" s="256"/>
      <c r="H82" s="14" t="str">
        <f>IF(COUNTBLANK($A82:$E82)&gt;0, "", IFERROR(AVERAGEIFS(Log!$E:$E, Log!$A:$A, $A82, Log!$B:$B, $B82, Log!$C:$C, $C82),""))</f>
        <v/>
      </c>
      <c r="I82" s="64" t="str">
        <f t="shared" si="1"/>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row>
    <row r="83" spans="2:15" x14ac:dyDescent="0.3">
      <c r="B83" s="256"/>
      <c r="H83" s="14" t="str">
        <f>IF(COUNTBLANK($A83:$E83)&gt;0, "", IFERROR(AVERAGEIFS(Log!$E:$E, Log!$A:$A, $A83, Log!$B:$B, $B83, Log!$C:$C, $C83),""))</f>
        <v/>
      </c>
      <c r="I83" s="64" t="str">
        <f t="shared" si="1"/>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row>
    <row r="84" spans="2:15" x14ac:dyDescent="0.3">
      <c r="B84" s="256"/>
      <c r="H84" s="14" t="str">
        <f>IF(COUNTBLANK($A84:$E84)&gt;0, "", IFERROR(AVERAGEIFS(Log!$E:$E, Log!$A:$A, $A84, Log!$B:$B, $B84, Log!$C:$C, $C84),""))</f>
        <v/>
      </c>
      <c r="I84" s="64" t="str">
        <f t="shared" si="1"/>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row>
    <row r="85" spans="2:15" x14ac:dyDescent="0.3">
      <c r="B85" s="256"/>
      <c r="H85" s="14" t="str">
        <f>IF(COUNTBLANK($A85:$E85)&gt;0, "", IFERROR(AVERAGEIFS(Log!$E:$E, Log!$A:$A, $A85, Log!$B:$B, $B85, Log!$C:$C, $C85),""))</f>
        <v/>
      </c>
      <c r="I85" s="64" t="str">
        <f t="shared" si="1"/>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row>
    <row r="86" spans="2:15" x14ac:dyDescent="0.3">
      <c r="B86" s="256"/>
      <c r="H86" s="14" t="str">
        <f>IF(COUNTBLANK($A86:$E86)&gt;0, "", IFERROR(AVERAGEIFS(Log!$E:$E, Log!$A:$A, $A86, Log!$B:$B, $B86, Log!$C:$C, $C86),""))</f>
        <v/>
      </c>
      <c r="I86" s="64" t="str">
        <f t="shared" si="1"/>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row>
    <row r="87" spans="2:15" x14ac:dyDescent="0.3">
      <c r="B87" s="256"/>
      <c r="H87" s="14" t="str">
        <f>IF(COUNTBLANK($A87:$E87)&gt;0, "", IFERROR(AVERAGEIFS(Log!$E:$E, Log!$A:$A, $A87, Log!$B:$B, $B87, Log!$C:$C, $C87),""))</f>
        <v/>
      </c>
      <c r="I87" s="64" t="str">
        <f t="shared" si="1"/>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row>
    <row r="88" spans="2:15" x14ac:dyDescent="0.3">
      <c r="B88" s="256"/>
      <c r="H88" s="14" t="str">
        <f>IF(COUNTBLANK($A88:$E88)&gt;0, "", IFERROR(AVERAGEIFS(Log!$E:$E, Log!$A:$A, $A88, Log!$B:$B, $B88, Log!$C:$C, $C88),""))</f>
        <v/>
      </c>
      <c r="I88" s="64" t="str">
        <f t="shared" si="1"/>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row>
    <row r="89" spans="2:15" x14ac:dyDescent="0.3">
      <c r="B89" s="256"/>
      <c r="H89" s="14" t="str">
        <f>IF(COUNTBLANK($A89:$E89)&gt;0, "", IFERROR(AVERAGEIFS(Log!$E:$E, Log!$A:$A, $A89, Log!$B:$B, $B89, Log!$C:$C, $C89),""))</f>
        <v/>
      </c>
      <c r="I89" s="64" t="str">
        <f t="shared" si="1"/>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row>
    <row r="90" spans="2:15" x14ac:dyDescent="0.3">
      <c r="B90" s="256"/>
      <c r="H90" s="14" t="str">
        <f>IF(COUNTBLANK($A90:$E90)&gt;0, "", IFERROR(AVERAGEIFS(Log!$E:$E, Log!$A:$A, $A90, Log!$B:$B, $B90, Log!$C:$C, $C90),""))</f>
        <v/>
      </c>
      <c r="I90" s="64" t="str">
        <f t="shared" si="1"/>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row>
    <row r="91" spans="2:15" x14ac:dyDescent="0.3">
      <c r="B91" s="256"/>
      <c r="H91" s="14" t="str">
        <f>IF(COUNTBLANK($A91:$E91)&gt;0, "", IFERROR(AVERAGEIFS(Log!$E:$E, Log!$A:$A, $A91, Log!$B:$B, $B91, Log!$C:$C, $C91),""))</f>
        <v/>
      </c>
      <c r="I91" s="64" t="str">
        <f t="shared" si="1"/>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row>
    <row r="92" spans="2:15" x14ac:dyDescent="0.3">
      <c r="B92" s="256"/>
      <c r="H92" s="14" t="str">
        <f>IF(COUNTBLANK($A92:$E92)&gt;0, "", IFERROR(AVERAGEIFS(Log!$E:$E, Log!$A:$A, $A92, Log!$B:$B, $B92, Log!$C:$C, $C92),""))</f>
        <v/>
      </c>
      <c r="I92" s="64" t="str">
        <f t="shared" si="1"/>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row>
    <row r="93" spans="2:15" x14ac:dyDescent="0.3">
      <c r="B93" s="256"/>
      <c r="H93" s="14" t="str">
        <f>IF(COUNTBLANK($A93:$E93)&gt;0, "", IFERROR(AVERAGEIFS(Log!$E:$E, Log!$A:$A, $A93, Log!$B:$B, $B93, Log!$C:$C, $C93),""))</f>
        <v/>
      </c>
      <c r="I93" s="64" t="str">
        <f t="shared" si="1"/>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row>
    <row r="94" spans="2:15" x14ac:dyDescent="0.3">
      <c r="B94" s="256"/>
      <c r="H94" s="14" t="str">
        <f>IF(COUNTBLANK($A94:$E94)&gt;0, "", IFERROR(AVERAGEIFS(Log!$E:$E, Log!$A:$A, $A94, Log!$B:$B, $B94, Log!$C:$C, $C94),""))</f>
        <v/>
      </c>
      <c r="I94" s="64" t="str">
        <f t="shared" si="1"/>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row>
    <row r="95" spans="2:15" x14ac:dyDescent="0.3">
      <c r="B95" s="256"/>
      <c r="H95" s="14" t="str">
        <f>IF(COUNTBLANK($A95:$E95)&gt;0, "", IFERROR(AVERAGEIFS(Log!$E:$E, Log!$A:$A, $A95, Log!$B:$B, $B95, Log!$C:$C, $C95),""))</f>
        <v/>
      </c>
      <c r="I95" s="64" t="str">
        <f t="shared" si="1"/>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row>
    <row r="96" spans="2:15" x14ac:dyDescent="0.3">
      <c r="B96" s="256"/>
      <c r="H96" s="14" t="str">
        <f>IF(COUNTBLANK($A96:$E96)&gt;0, "", IFERROR(AVERAGEIFS(Log!$E:$E, Log!$A:$A, $A96, Log!$B:$B, $B96, Log!$C:$C, $C96),""))</f>
        <v/>
      </c>
      <c r="I96" s="64" t="str">
        <f t="shared" si="1"/>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row>
    <row r="97" spans="2:15" x14ac:dyDescent="0.3">
      <c r="B97" s="256"/>
      <c r="H97" s="14" t="str">
        <f>IF(COUNTBLANK($A97:$E97)&gt;0, "", IFERROR(AVERAGEIFS(Log!$E:$E, Log!$A:$A, $A97, Log!$B:$B, $B97, Log!$C:$C, $C97),""))</f>
        <v/>
      </c>
      <c r="I97" s="64" t="str">
        <f t="shared" si="1"/>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row>
    <row r="98" spans="2:15" x14ac:dyDescent="0.3">
      <c r="B98" s="256"/>
      <c r="H98" s="14" t="str">
        <f>IF(COUNTBLANK($A98:$E98)&gt;0, "", IFERROR(AVERAGEIFS(Log!$E:$E, Log!$A:$A, $A98, Log!$B:$B, $B98, Log!$C:$C, $C98),""))</f>
        <v/>
      </c>
      <c r="I98" s="64" t="str">
        <f t="shared" si="1"/>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row>
    <row r="99" spans="2:15" x14ac:dyDescent="0.3">
      <c r="B99" s="256"/>
      <c r="H99" s="14" t="str">
        <f>IF(COUNTBLANK($A99:$E99)&gt;0, "", IFERROR(AVERAGEIFS(Log!$E:$E, Log!$A:$A, $A99, Log!$B:$B, $B99, Log!$C:$C, $C99),""))</f>
        <v/>
      </c>
      <c r="I99" s="64" t="str">
        <f t="shared" si="1"/>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row>
    <row r="100" spans="2:15" x14ac:dyDescent="0.3">
      <c r="B100" s="256"/>
      <c r="H100" s="14" t="str">
        <f>IF(COUNTBLANK($A100:$E100)&gt;0, "", IFERROR(AVERAGEIFS(Log!$E:$E, Log!$A:$A, $A100, Log!$B:$B, $B100, Log!$C:$C, $C100),""))</f>
        <v/>
      </c>
      <c r="I100" s="64" t="str">
        <f t="shared" si="1"/>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row>
    <row r="101" spans="2:15" x14ac:dyDescent="0.3">
      <c r="B101" s="256"/>
      <c r="H101" s="14" t="str">
        <f>IF(COUNTBLANK($A101:$E101)&gt;0, "", IFERROR(AVERAGEIFS(Log!$E:$E, Log!$A:$A, $A101, Log!$B:$B, $B101, Log!$C:$C, $C101),""))</f>
        <v/>
      </c>
      <c r="I101" s="64" t="str">
        <f t="shared" si="1"/>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row>
    <row r="102" spans="2:15" x14ac:dyDescent="0.3">
      <c r="B102" s="256"/>
      <c r="H102" s="14" t="str">
        <f>IF(COUNTBLANK($A102:$E102)&gt;0, "", IFERROR(AVERAGEIFS(Log!$E:$E, Log!$A:$A, $A102, Log!$B:$B, $B102, Log!$C:$C, $C102),""))</f>
        <v/>
      </c>
      <c r="I102" s="64" t="str">
        <f t="shared" si="1"/>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row>
    <row r="103" spans="2:15" x14ac:dyDescent="0.3">
      <c r="B103" s="256"/>
      <c r="H103" s="14" t="str">
        <f>IF(COUNTBLANK($A103:$E103)&gt;0, "", IFERROR(AVERAGEIFS(Log!$E:$E, Log!$A:$A, $A103, Log!$B:$B, $B103, Log!$C:$C, $C103),""))</f>
        <v/>
      </c>
      <c r="I103" s="64" t="str">
        <f t="shared" si="1"/>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row>
    <row r="104" spans="2:15" x14ac:dyDescent="0.3">
      <c r="B104" s="256"/>
      <c r="H104" s="14" t="str">
        <f>IF(COUNTBLANK($A104:$E104)&gt;0, "", IFERROR(AVERAGEIFS(Log!$E:$E, Log!$A:$A, $A104, Log!$B:$B, $B104, Log!$C:$C, $C104),""))</f>
        <v/>
      </c>
      <c r="I104" s="64" t="str">
        <f t="shared" si="1"/>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row>
    <row r="105" spans="2:15" x14ac:dyDescent="0.3">
      <c r="B105" s="256"/>
      <c r="H105" s="14" t="str">
        <f>IF(COUNTBLANK($A105:$E105)&gt;0, "", IFERROR(AVERAGEIFS(Log!$E:$E, Log!$A:$A, $A105, Log!$B:$B, $B105, Log!$C:$C, $C105),""))</f>
        <v/>
      </c>
      <c r="I105" s="64" t="str">
        <f t="shared" si="1"/>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row>
    <row r="106" spans="2:15" x14ac:dyDescent="0.3">
      <c r="B106" s="256"/>
      <c r="H106" s="14" t="str">
        <f>IF(COUNTBLANK($A106:$E106)&gt;0, "", IFERROR(AVERAGEIFS(Log!$E:$E, Log!$A:$A, $A106, Log!$B:$B, $B106, Log!$C:$C, $C106),""))</f>
        <v/>
      </c>
      <c r="I106" s="64" t="str">
        <f t="shared" si="1"/>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row>
    <row r="107" spans="2:15" x14ac:dyDescent="0.3">
      <c r="B107" s="256"/>
      <c r="H107" s="14" t="str">
        <f>IF(COUNTBLANK($A107:$E107)&gt;0, "", IFERROR(AVERAGEIFS(Log!$E:$E, Log!$A:$A, $A107, Log!$B:$B, $B107, Log!$C:$C, $C107),""))</f>
        <v/>
      </c>
      <c r="I107" s="64" t="str">
        <f t="shared" si="1"/>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row>
    <row r="108" spans="2:15" x14ac:dyDescent="0.3">
      <c r="B108" s="256"/>
      <c r="H108" s="14" t="str">
        <f>IF(COUNTBLANK($A108:$E108)&gt;0, "", IFERROR(AVERAGEIFS(Log!$E:$E, Log!$A:$A, $A108, Log!$B:$B, $B108, Log!$C:$C, $C108),""))</f>
        <v/>
      </c>
      <c r="I108" s="64" t="str">
        <f t="shared" si="1"/>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row>
    <row r="109" spans="2:15" x14ac:dyDescent="0.3">
      <c r="B109" s="256"/>
      <c r="H109" s="14" t="str">
        <f>IF(COUNTBLANK($A109:$E109)&gt;0, "", IFERROR(AVERAGEIFS(Log!$E:$E, Log!$A:$A, $A109, Log!$B:$B, $B109, Log!$C:$C, $C109),""))</f>
        <v/>
      </c>
      <c r="I109" s="64" t="str">
        <f t="shared" si="1"/>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row>
    <row r="110" spans="2:15" x14ac:dyDescent="0.3">
      <c r="B110" s="256"/>
      <c r="H110" s="14" t="str">
        <f>IF(COUNTBLANK($A110:$E110)&gt;0, "", IFERROR(AVERAGEIFS(Log!$E:$E, Log!$A:$A, $A110, Log!$B:$B, $B110, Log!$C:$C, $C110),""))</f>
        <v/>
      </c>
      <c r="I110" s="64" t="str">
        <f t="shared" si="1"/>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row>
    <row r="111" spans="2:15" x14ac:dyDescent="0.3">
      <c r="B111" s="256"/>
      <c r="H111" s="14" t="str">
        <f>IF(COUNTBLANK($A111:$E111)&gt;0, "", IFERROR(AVERAGEIFS(Log!$E:$E, Log!$A:$A, $A111, Log!$B:$B, $B111, Log!$C:$C, $C111),""))</f>
        <v/>
      </c>
      <c r="I111" s="64" t="str">
        <f t="shared" si="1"/>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row>
    <row r="112" spans="2:15" x14ac:dyDescent="0.3">
      <c r="B112" s="256"/>
      <c r="H112" s="14" t="str">
        <f>IF(COUNTBLANK($A112:$E112)&gt;0, "", IFERROR(AVERAGEIFS(Log!$E:$E, Log!$A:$A, $A112, Log!$B:$B, $B112, Log!$C:$C, $C112),""))</f>
        <v/>
      </c>
      <c r="I112" s="64" t="str">
        <f t="shared" si="1"/>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row>
    <row r="113" spans="2:15" x14ac:dyDescent="0.3">
      <c r="B113" s="256"/>
      <c r="H113" s="14" t="str">
        <f>IF(COUNTBLANK($A113:$E113)&gt;0, "", IFERROR(AVERAGEIFS(Log!$E:$E, Log!$A:$A, $A113, Log!$B:$B, $B113, Log!$C:$C, $C113),""))</f>
        <v/>
      </c>
      <c r="I113" s="64" t="str">
        <f t="shared" si="1"/>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row>
    <row r="114" spans="2:15" x14ac:dyDescent="0.3">
      <c r="B114" s="256"/>
      <c r="H114" s="14" t="str">
        <f>IF(COUNTBLANK($A114:$E114)&gt;0, "", IFERROR(AVERAGEIFS(Log!$E:$E, Log!$A:$A, $A114, Log!$B:$B, $B114, Log!$C:$C, $C114),""))</f>
        <v/>
      </c>
      <c r="I114" s="64" t="str">
        <f t="shared" si="1"/>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row>
    <row r="115" spans="2:15" x14ac:dyDescent="0.3">
      <c r="B115" s="256"/>
      <c r="H115" s="14" t="str">
        <f>IF(COUNTBLANK($A115:$E115)&gt;0, "", IFERROR(AVERAGEIFS(Log!$E:$E, Log!$A:$A, $A115, Log!$B:$B, $B115, Log!$C:$C, $C115),""))</f>
        <v/>
      </c>
      <c r="I115" s="64" t="str">
        <f t="shared" si="1"/>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row>
    <row r="116" spans="2:15" x14ac:dyDescent="0.3">
      <c r="B116" s="256"/>
      <c r="H116" s="14" t="str">
        <f>IF(COUNTBLANK($A116:$E116)&gt;0, "", IFERROR(AVERAGEIFS(Log!$E:$E, Log!$A:$A, $A116, Log!$B:$B, $B116, Log!$C:$C, $C116),""))</f>
        <v/>
      </c>
      <c r="I116" s="64" t="str">
        <f t="shared" si="1"/>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row>
    <row r="117" spans="2:15" x14ac:dyDescent="0.3">
      <c r="B117" s="256"/>
      <c r="H117" s="14" t="str">
        <f>IF(COUNTBLANK($A117:$E117)&gt;0, "", IFERROR(AVERAGEIFS(Log!$E:$E, Log!$A:$A, $A117, Log!$B:$B, $B117, Log!$C:$C, $C117),""))</f>
        <v/>
      </c>
      <c r="I117" s="64" t="str">
        <f t="shared" si="1"/>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row>
    <row r="118" spans="2:15" x14ac:dyDescent="0.3">
      <c r="B118" s="256"/>
      <c r="H118" s="14" t="str">
        <f>IF(COUNTBLANK($A118:$E118)&gt;0, "", IFERROR(AVERAGEIFS(Log!$E:$E, Log!$A:$A, $A118, Log!$B:$B, $B118, Log!$C:$C, $C118),""))</f>
        <v/>
      </c>
      <c r="I118" s="64" t="str">
        <f t="shared" si="1"/>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row>
    <row r="119" spans="2:15" x14ac:dyDescent="0.3">
      <c r="B119" s="256"/>
      <c r="H119" s="14" t="str">
        <f>IF(COUNTBLANK($A119:$E119)&gt;0, "", IFERROR(AVERAGEIFS(Log!$E:$E, Log!$A:$A, $A119, Log!$B:$B, $B119, Log!$C:$C, $C119),""))</f>
        <v/>
      </c>
      <c r="I119" s="64" t="str">
        <f t="shared" si="1"/>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row>
    <row r="120" spans="2:15" x14ac:dyDescent="0.3">
      <c r="B120" s="256"/>
      <c r="H120" s="14" t="str">
        <f>IF(COUNTBLANK($A120:$E120)&gt;0, "", IFERROR(AVERAGEIFS(Log!$E:$E, Log!$A:$A, $A120, Log!$B:$B, $B120, Log!$C:$C, $C120),""))</f>
        <v/>
      </c>
      <c r="I120" s="64" t="str">
        <f t="shared" si="1"/>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row>
    <row r="121" spans="2:15" x14ac:dyDescent="0.3">
      <c r="B121" s="256"/>
      <c r="H121" s="14" t="str">
        <f>IF(COUNTBLANK($A121:$E121)&gt;0, "", IFERROR(AVERAGEIFS(Log!$E:$E, Log!$A:$A, $A121, Log!$B:$B, $B121, Log!$C:$C, $C121),""))</f>
        <v/>
      </c>
      <c r="I121" s="64" t="str">
        <f t="shared" si="1"/>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row>
    <row r="122" spans="2:15" x14ac:dyDescent="0.3">
      <c r="B122" s="256"/>
      <c r="H122" s="14" t="str">
        <f>IF(COUNTBLANK($A122:$E122)&gt;0, "", IFERROR(AVERAGEIFS(Log!$E:$E, Log!$A:$A, $A122, Log!$B:$B, $B122, Log!$C:$C, $C122),""))</f>
        <v/>
      </c>
      <c r="I122" s="64" t="str">
        <f t="shared" si="1"/>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row>
    <row r="123" spans="2:15" x14ac:dyDescent="0.3">
      <c r="B123" s="256"/>
      <c r="H123" s="14" t="str">
        <f>IF(COUNTBLANK($A123:$E123)&gt;0, "", IFERROR(AVERAGEIFS(Log!$E:$E, Log!$A:$A, $A123, Log!$B:$B, $B123, Log!$C:$C, $C123),""))</f>
        <v/>
      </c>
      <c r="I123" s="64" t="str">
        <f t="shared" si="1"/>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row>
    <row r="124" spans="2:15" x14ac:dyDescent="0.3">
      <c r="B124" s="256"/>
      <c r="H124" s="14" t="str">
        <f>IF(COUNTBLANK($A124:$E124)&gt;0, "", IFERROR(AVERAGEIFS(Log!$E:$E, Log!$A:$A, $A124, Log!$B:$B, $B124, Log!$C:$C, $C124),""))</f>
        <v/>
      </c>
      <c r="I124" s="64" t="str">
        <f t="shared" si="1"/>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row>
    <row r="125" spans="2:15" x14ac:dyDescent="0.3">
      <c r="B125" s="256"/>
      <c r="H125" s="14" t="str">
        <f>IF(COUNTBLANK($A125:$E125)&gt;0, "", IFERROR(AVERAGEIFS(Log!$E:$E, Log!$A:$A, $A125, Log!$B:$B, $B125, Log!$C:$C, $C125),""))</f>
        <v/>
      </c>
      <c r="I125" s="64" t="str">
        <f t="shared" si="1"/>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row>
    <row r="126" spans="2:15" x14ac:dyDescent="0.3">
      <c r="B126" s="256"/>
      <c r="H126" s="14" t="str">
        <f>IF(COUNTBLANK($A126:$E126)&gt;0, "", IFERROR(AVERAGEIFS(Log!$E:$E, Log!$A:$A, $A126, Log!$B:$B, $B126, Log!$C:$C, $C126),""))</f>
        <v/>
      </c>
      <c r="I126" s="64" t="str">
        <f t="shared" si="1"/>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row>
    <row r="127" spans="2:15" x14ac:dyDescent="0.3">
      <c r="B127" s="256"/>
      <c r="H127" s="14" t="str">
        <f>IF(COUNTBLANK($A127:$E127)&gt;0, "", IFERROR(AVERAGEIFS(Log!$E:$E, Log!$A:$A, $A127, Log!$B:$B, $B127, Log!$C:$C, $C127),""))</f>
        <v/>
      </c>
      <c r="I127" s="64" t="str">
        <f t="shared" si="1"/>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row>
    <row r="128" spans="2:15" x14ac:dyDescent="0.3">
      <c r="B128" s="256"/>
      <c r="H128" s="14" t="str">
        <f>IF(COUNTBLANK($A128:$E128)&gt;0, "", IFERROR(AVERAGEIFS(Log!$E:$E, Log!$A:$A, $A128, Log!$B:$B, $B128, Log!$C:$C, $C128),""))</f>
        <v/>
      </c>
      <c r="I128" s="64" t="str">
        <f t="shared" si="1"/>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row>
    <row r="129" spans="2:15" x14ac:dyDescent="0.3">
      <c r="B129" s="256"/>
      <c r="H129" s="14" t="str">
        <f>IF(COUNTBLANK($A129:$E129)&gt;0, "", IFERROR(AVERAGEIFS(Log!$E:$E, Log!$A:$A, $A129, Log!$B:$B, $B129, Log!$C:$C, $C129),""))</f>
        <v/>
      </c>
      <c r="I129" s="64" t="str">
        <f t="shared" si="1"/>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row>
    <row r="130" spans="2:15" x14ac:dyDescent="0.3">
      <c r="B130" s="256"/>
      <c r="H130" s="14" t="str">
        <f>IF(COUNTBLANK($A130:$E130)&gt;0, "", IFERROR(AVERAGEIFS(Log!$E:$E, Log!$A:$A, $A130, Log!$B:$B, $B130, Log!$C:$C, $C130),""))</f>
        <v/>
      </c>
      <c r="I130" s="64" t="str">
        <f t="shared" si="1"/>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row>
    <row r="131" spans="2:15" x14ac:dyDescent="0.3">
      <c r="B131" s="256"/>
      <c r="H131" s="14" t="str">
        <f>IF(COUNTBLANK($A131:$E131)&gt;0, "", IFERROR(AVERAGEIFS(Log!$E:$E, Log!$A:$A, $A131, Log!$B:$B, $B131, Log!$C:$C, $C131),""))</f>
        <v/>
      </c>
      <c r="I131" s="64" t="str">
        <f t="shared" si="1"/>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row>
    <row r="132" spans="2:15" x14ac:dyDescent="0.3">
      <c r="B132" s="256"/>
      <c r="H132" s="14" t="str">
        <f>IF(COUNTBLANK($A132:$E132)&gt;0, "", IFERROR(AVERAGEIFS(Log!$E:$E, Log!$A:$A, $A132, Log!$B:$B, $B132, Log!$C:$C, $C132),""))</f>
        <v/>
      </c>
      <c r="I132" s="64" t="str">
        <f t="shared" si="1"/>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row>
    <row r="133" spans="2:15" x14ac:dyDescent="0.3">
      <c r="B133" s="256"/>
      <c r="H133" s="14" t="str">
        <f>IF(COUNTBLANK($A133:$E133)&gt;0, "", IFERROR(AVERAGEIFS(Log!$E:$E, Log!$A:$A, $A133, Log!$B:$B, $B133, Log!$C:$C, $C133),""))</f>
        <v/>
      </c>
      <c r="I133" s="64" t="str">
        <f t="shared" si="1"/>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row>
    <row r="134" spans="2:15" x14ac:dyDescent="0.3">
      <c r="B134" s="256"/>
      <c r="H134" s="14" t="str">
        <f>IF(COUNTBLANK($A134:$E134)&gt;0, "", IFERROR(AVERAGEIFS(Log!$E:$E, Log!$A:$A, $A134, Log!$B:$B, $B134, Log!$C:$C, $C134),""))</f>
        <v/>
      </c>
      <c r="I134" s="64" t="str">
        <f t="shared" ref="I134:I185" si="2">IF(AND($H134&lt;&gt;"", $G134&lt;&gt;""), $H134/$G134, "")</f>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row>
    <row r="135" spans="2:15" x14ac:dyDescent="0.3">
      <c r="B135" s="256"/>
      <c r="H135" s="14" t="str">
        <f>IF(COUNTBLANK($A135:$E135)&gt;0, "", IFERROR(AVERAGEIFS(Log!$E:$E, Log!$A:$A, $A135, Log!$B:$B, $B135, Log!$C:$C, $C135),""))</f>
        <v/>
      </c>
      <c r="I135" s="64" t="str">
        <f t="shared" si="2"/>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row>
    <row r="136" spans="2:15" x14ac:dyDescent="0.3">
      <c r="B136" s="256"/>
      <c r="H136" s="14" t="str">
        <f>IF(COUNTBLANK($A136:$E136)&gt;0, "", IFERROR(AVERAGEIFS(Log!$E:$E, Log!$A:$A, $A136, Log!$B:$B, $B136, Log!$C:$C, $C136),""))</f>
        <v/>
      </c>
      <c r="I136" s="64" t="str">
        <f t="shared" si="2"/>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row>
    <row r="137" spans="2:15" x14ac:dyDescent="0.3">
      <c r="B137" s="256"/>
      <c r="H137" s="14" t="str">
        <f>IF(COUNTBLANK($A137:$E137)&gt;0, "", IFERROR(AVERAGEIFS(Log!$E:$E, Log!$A:$A, $A137, Log!$B:$B, $B137, Log!$C:$C, $C137),""))</f>
        <v/>
      </c>
      <c r="I137" s="64" t="str">
        <f t="shared" si="2"/>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row>
    <row r="138" spans="2:15" x14ac:dyDescent="0.3">
      <c r="B138" s="256"/>
      <c r="H138" s="14" t="str">
        <f>IF(COUNTBLANK($A138:$E138)&gt;0, "", IFERROR(AVERAGEIFS(Log!$E:$E, Log!$A:$A, $A138, Log!$B:$B, $B138, Log!$C:$C, $C138),""))</f>
        <v/>
      </c>
      <c r="I138" s="64" t="str">
        <f t="shared" si="2"/>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row>
    <row r="139" spans="2:15" x14ac:dyDescent="0.3">
      <c r="B139" s="256"/>
      <c r="H139" s="14" t="str">
        <f>IF(COUNTBLANK($A139:$E139)&gt;0, "", IFERROR(AVERAGEIFS(Log!$E:$E, Log!$A:$A, $A139, Log!$B:$B, $B139, Log!$C:$C, $C139),""))</f>
        <v/>
      </c>
      <c r="I139" s="64" t="str">
        <f t="shared" si="2"/>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row>
    <row r="140" spans="2:15" x14ac:dyDescent="0.3">
      <c r="B140" s="256"/>
      <c r="H140" s="14" t="str">
        <f>IF(COUNTBLANK($A140:$E140)&gt;0, "", IFERROR(AVERAGEIFS(Log!$E:$E, Log!$A:$A, $A140, Log!$B:$B, $B140, Log!$C:$C, $C140),""))</f>
        <v/>
      </c>
      <c r="I140" s="64" t="str">
        <f t="shared" si="2"/>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row>
    <row r="141" spans="2:15" x14ac:dyDescent="0.3">
      <c r="B141" s="256"/>
      <c r="H141" s="14" t="str">
        <f>IF(COUNTBLANK($A141:$E141)&gt;0, "", IFERROR(AVERAGEIFS(Log!$E:$E, Log!$A:$A, $A141, Log!$B:$B, $B141, Log!$C:$C, $C141),""))</f>
        <v/>
      </c>
      <c r="I141" s="64" t="str">
        <f t="shared" si="2"/>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row>
    <row r="142" spans="2:15" x14ac:dyDescent="0.3">
      <c r="B142" s="256"/>
      <c r="H142" s="14" t="str">
        <f>IF(COUNTBLANK($A142:$E142)&gt;0, "", IFERROR(AVERAGEIFS(Log!$E:$E, Log!$A:$A, $A142, Log!$B:$B, $B142, Log!$C:$C, $C142),""))</f>
        <v/>
      </c>
      <c r="I142" s="64" t="str">
        <f t="shared" si="2"/>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row>
    <row r="143" spans="2:15" x14ac:dyDescent="0.3">
      <c r="B143" s="256"/>
      <c r="H143" s="14" t="str">
        <f>IF(COUNTBLANK($A143:$E143)&gt;0, "", IFERROR(AVERAGEIFS(Log!$E:$E, Log!$A:$A, $A143, Log!$B:$B, $B143, Log!$C:$C, $C143),""))</f>
        <v/>
      </c>
      <c r="I143" s="64" t="str">
        <f t="shared" si="2"/>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row>
    <row r="144" spans="2:15" x14ac:dyDescent="0.3">
      <c r="B144" s="256"/>
      <c r="H144" s="14" t="str">
        <f>IF(COUNTBLANK($A144:$E144)&gt;0, "", IFERROR(AVERAGEIFS(Log!$E:$E, Log!$A:$A, $A144, Log!$B:$B, $B144, Log!$C:$C, $C144),""))</f>
        <v/>
      </c>
      <c r="I144" s="64" t="str">
        <f t="shared" si="2"/>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row>
    <row r="145" spans="2:15" x14ac:dyDescent="0.3">
      <c r="B145" s="256"/>
      <c r="H145" s="14" t="str">
        <f>IF(COUNTBLANK($A145:$E145)&gt;0, "", IFERROR(AVERAGEIFS(Log!$E:$E, Log!$A:$A, $A145, Log!$B:$B, $B145, Log!$C:$C, $C145),""))</f>
        <v/>
      </c>
      <c r="I145" s="64" t="str">
        <f t="shared" si="2"/>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row>
    <row r="146" spans="2:15" x14ac:dyDescent="0.3">
      <c r="B146" s="256"/>
      <c r="H146" s="14" t="str">
        <f>IF(COUNTBLANK($A146:$E146)&gt;0, "", IFERROR(AVERAGEIFS(Log!$E:$E, Log!$A:$A, $A146, Log!$B:$B, $B146, Log!$C:$C, $C146),""))</f>
        <v/>
      </c>
      <c r="I146" s="64" t="str">
        <f t="shared" si="2"/>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row>
    <row r="147" spans="2:15" x14ac:dyDescent="0.3">
      <c r="B147" s="256"/>
      <c r="H147" s="14" t="str">
        <f>IF(COUNTBLANK($A147:$E147)&gt;0, "", IFERROR(AVERAGEIFS(Log!$E:$E, Log!$A:$A, $A147, Log!$B:$B, $B147, Log!$C:$C, $C147),""))</f>
        <v/>
      </c>
      <c r="I147" s="64" t="str">
        <f t="shared" si="2"/>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row>
    <row r="148" spans="2:15" x14ac:dyDescent="0.3">
      <c r="B148" s="256"/>
      <c r="H148" s="14" t="str">
        <f>IF(COUNTBLANK($A148:$E148)&gt;0, "", IFERROR(AVERAGEIFS(Log!$E:$E, Log!$A:$A, $A148, Log!$B:$B, $B148, Log!$C:$C, $C148),""))</f>
        <v/>
      </c>
      <c r="I148" s="64" t="str">
        <f t="shared" si="2"/>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row>
    <row r="149" spans="2:15" x14ac:dyDescent="0.3">
      <c r="B149" s="256"/>
      <c r="H149" s="14" t="str">
        <f>IF(COUNTBLANK($A149:$E149)&gt;0, "", IFERROR(AVERAGEIFS(Log!$E:$E, Log!$A:$A, $A149, Log!$B:$B, $B149, Log!$C:$C, $C149),""))</f>
        <v/>
      </c>
      <c r="I149" s="64" t="str">
        <f t="shared" si="2"/>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row>
    <row r="150" spans="2:15" x14ac:dyDescent="0.3">
      <c r="B150" s="256"/>
      <c r="H150" s="14" t="str">
        <f>IF(COUNTBLANK($A150:$E150)&gt;0, "", IFERROR(AVERAGEIFS(Log!$E:$E, Log!$A:$A, $A150, Log!$B:$B, $B150, Log!$C:$C, $C150),""))</f>
        <v/>
      </c>
      <c r="I150" s="64" t="str">
        <f t="shared" si="2"/>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row>
    <row r="151" spans="2:15" x14ac:dyDescent="0.3">
      <c r="B151" s="256"/>
      <c r="H151" s="14" t="str">
        <f>IF(COUNTBLANK($A151:$E151)&gt;0, "", IFERROR(AVERAGEIFS(Log!$E:$E, Log!$A:$A, $A151, Log!$B:$B, $B151, Log!$C:$C, $C151),""))</f>
        <v/>
      </c>
      <c r="I151" s="64" t="str">
        <f t="shared" si="2"/>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row>
    <row r="152" spans="2:15" x14ac:dyDescent="0.3">
      <c r="B152" s="256"/>
      <c r="H152" s="14" t="str">
        <f>IF(COUNTBLANK($A152:$E152)&gt;0, "", IFERROR(AVERAGEIFS(Log!$E:$E, Log!$A:$A, $A152, Log!$B:$B, $B152, Log!$C:$C, $C152),""))</f>
        <v/>
      </c>
      <c r="I152" s="64" t="str">
        <f t="shared" si="2"/>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row>
    <row r="153" spans="2:15" x14ac:dyDescent="0.3">
      <c r="B153" s="256"/>
      <c r="H153" s="14" t="str">
        <f>IF(COUNTBLANK($A153:$E153)&gt;0, "", IFERROR(AVERAGEIFS(Log!$E:$E, Log!$A:$A, $A153, Log!$B:$B, $B153, Log!$C:$C, $C153),""))</f>
        <v/>
      </c>
      <c r="I153" s="64" t="str">
        <f t="shared" si="2"/>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row>
    <row r="154" spans="2:15" x14ac:dyDescent="0.3">
      <c r="B154" s="256"/>
      <c r="H154" s="14" t="str">
        <f>IF(COUNTBLANK($A154:$E154)&gt;0, "", IFERROR(AVERAGEIFS(Log!$E:$E, Log!$A:$A, $A154, Log!$B:$B, $B154, Log!$C:$C, $C154),""))</f>
        <v/>
      </c>
      <c r="I154" s="64" t="str">
        <f t="shared" si="2"/>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row>
    <row r="155" spans="2:15" x14ac:dyDescent="0.3">
      <c r="B155" s="256"/>
      <c r="H155" s="14" t="str">
        <f>IF(COUNTBLANK($A155:$E155)&gt;0, "", IFERROR(AVERAGEIFS(Log!$E:$E, Log!$A:$A, $A155, Log!$B:$B, $B155, Log!$C:$C, $C155),""))</f>
        <v/>
      </c>
      <c r="I155" s="64" t="str">
        <f t="shared" si="2"/>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row>
    <row r="156" spans="2:15" x14ac:dyDescent="0.3">
      <c r="B156" s="256"/>
      <c r="H156" s="14" t="str">
        <f>IF(COUNTBLANK($A156:$E156)&gt;0, "", IFERROR(AVERAGEIFS(Log!$E:$E, Log!$A:$A, $A156, Log!$B:$B, $B156, Log!$C:$C, $C156),""))</f>
        <v/>
      </c>
      <c r="I156" s="64" t="str">
        <f t="shared" si="2"/>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row>
    <row r="157" spans="2:15" x14ac:dyDescent="0.3">
      <c r="B157" s="256"/>
      <c r="H157" s="14" t="str">
        <f>IF(COUNTBLANK($A157:$E157)&gt;0, "", IFERROR(AVERAGEIFS(Log!$E:$E, Log!$A:$A, $A157, Log!$B:$B, $B157, Log!$C:$C, $C157),""))</f>
        <v/>
      </c>
      <c r="I157" s="64" t="str">
        <f t="shared" si="2"/>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row>
    <row r="158" spans="2:15" x14ac:dyDescent="0.3">
      <c r="B158" s="256"/>
      <c r="H158" s="14" t="str">
        <f>IF(COUNTBLANK($A158:$E158)&gt;0, "", IFERROR(AVERAGEIFS(Log!$E:$E, Log!$A:$A, $A158, Log!$B:$B, $B158, Log!$C:$C, $C158),""))</f>
        <v/>
      </c>
      <c r="I158" s="64" t="str">
        <f t="shared" si="2"/>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row>
    <row r="159" spans="2:15" x14ac:dyDescent="0.3">
      <c r="B159" s="256"/>
      <c r="H159" s="14" t="str">
        <f>IF(COUNTBLANK($A159:$E159)&gt;0, "", IFERROR(AVERAGEIFS(Log!$E:$E, Log!$A:$A, $A159, Log!$B:$B, $B159, Log!$C:$C, $C159),""))</f>
        <v/>
      </c>
      <c r="I159" s="64" t="str">
        <f t="shared" si="2"/>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row>
    <row r="160" spans="2:15" x14ac:dyDescent="0.3">
      <c r="B160" s="256"/>
      <c r="H160" s="14" t="str">
        <f>IF(COUNTBLANK($A160:$E160)&gt;0, "", IFERROR(AVERAGEIFS(Log!$E:$E, Log!$A:$A, $A160, Log!$B:$B, $B160, Log!$C:$C, $C160),""))</f>
        <v/>
      </c>
      <c r="I160" s="64" t="str">
        <f t="shared" si="2"/>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row>
    <row r="161" spans="2:15" x14ac:dyDescent="0.3">
      <c r="B161" s="256"/>
      <c r="H161" s="14" t="str">
        <f>IF(COUNTBLANK($A161:$E161)&gt;0, "", IFERROR(AVERAGEIFS(Log!$E:$E, Log!$A:$A, $A161, Log!$B:$B, $B161, Log!$C:$C, $C161),""))</f>
        <v/>
      </c>
      <c r="I161" s="64" t="str">
        <f t="shared" si="2"/>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row>
    <row r="162" spans="2:15" x14ac:dyDescent="0.3">
      <c r="B162" s="256"/>
      <c r="H162" s="14" t="str">
        <f>IF(COUNTBLANK($A162:$E162)&gt;0, "", IFERROR(AVERAGEIFS(Log!$E:$E, Log!$A:$A, $A162, Log!$B:$B, $B162, Log!$C:$C, $C162),""))</f>
        <v/>
      </c>
      <c r="I162" s="64" t="str">
        <f t="shared" si="2"/>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row>
    <row r="163" spans="2:15" x14ac:dyDescent="0.3">
      <c r="B163" s="256"/>
      <c r="H163" s="14" t="str">
        <f>IF(COUNTBLANK($A163:$E163)&gt;0, "", IFERROR(AVERAGEIFS(Log!$E:$E, Log!$A:$A, $A163, Log!$B:$B, $B163, Log!$C:$C, $C163),""))</f>
        <v/>
      </c>
      <c r="I163" s="64" t="str">
        <f t="shared" si="2"/>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row>
    <row r="164" spans="2:15" x14ac:dyDescent="0.3">
      <c r="B164" s="256"/>
      <c r="H164" s="14" t="str">
        <f>IF(COUNTBLANK($A164:$E164)&gt;0, "", IFERROR(AVERAGEIFS(Log!$E:$E, Log!$A:$A, $A164, Log!$B:$B, $B164, Log!$C:$C, $C164),""))</f>
        <v/>
      </c>
      <c r="I164" s="64" t="str">
        <f t="shared" si="2"/>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row>
    <row r="165" spans="2:15" x14ac:dyDescent="0.3">
      <c r="B165" s="256"/>
      <c r="H165" s="14" t="str">
        <f>IF(COUNTBLANK($A165:$E165)&gt;0, "", IFERROR(AVERAGEIFS(Log!$E:$E, Log!$A:$A, $A165, Log!$B:$B, $B165, Log!$C:$C, $C165),""))</f>
        <v/>
      </c>
      <c r="I165" s="64" t="str">
        <f t="shared" si="2"/>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row>
    <row r="166" spans="2:15" x14ac:dyDescent="0.3">
      <c r="B166" s="256"/>
      <c r="H166" s="14" t="str">
        <f>IF(COUNTBLANK($A166:$E166)&gt;0, "", IFERROR(AVERAGEIFS(Log!$E:$E, Log!$A:$A, $A166, Log!$B:$B, $B166, Log!$C:$C, $C166),""))</f>
        <v/>
      </c>
      <c r="I166" s="64" t="str">
        <f t="shared" si="2"/>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row>
    <row r="167" spans="2:15" x14ac:dyDescent="0.3">
      <c r="B167" s="256"/>
      <c r="H167" s="14" t="str">
        <f>IF(COUNTBLANK($A167:$E167)&gt;0, "", IFERROR(AVERAGEIFS(Log!$E:$E, Log!$A:$A, $A167, Log!$B:$B, $B167, Log!$C:$C, $C167),""))</f>
        <v/>
      </c>
      <c r="I167" s="64" t="str">
        <f t="shared" si="2"/>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row>
    <row r="168" spans="2:15" x14ac:dyDescent="0.3">
      <c r="B168" s="256"/>
      <c r="H168" s="14" t="str">
        <f>IF(COUNTBLANK($A168:$E168)&gt;0, "", IFERROR(AVERAGEIFS(Log!$E:$E, Log!$A:$A, $A168, Log!$B:$B, $B168, Log!$C:$C, $C168),""))</f>
        <v/>
      </c>
      <c r="I168" s="64" t="str">
        <f t="shared" si="2"/>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row>
    <row r="169" spans="2:15" x14ac:dyDescent="0.3">
      <c r="B169" s="256"/>
      <c r="H169" s="14" t="str">
        <f>IF(COUNTBLANK($A169:$E169)&gt;0, "", IFERROR(AVERAGEIFS(Log!$E:$E, Log!$A:$A, $A169, Log!$B:$B, $B169, Log!$C:$C, $C169),""))</f>
        <v/>
      </c>
      <c r="I169" s="64" t="str">
        <f t="shared" si="2"/>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row>
    <row r="170" spans="2:15" x14ac:dyDescent="0.3">
      <c r="B170" s="256"/>
      <c r="H170" s="14" t="str">
        <f>IF(COUNTBLANK($A170:$E170)&gt;0, "", IFERROR(AVERAGEIFS(Log!$E:$E, Log!$A:$A, $A170, Log!$B:$B, $B170, Log!$C:$C, $C170),""))</f>
        <v/>
      </c>
      <c r="I170" s="64" t="str">
        <f t="shared" si="2"/>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row>
    <row r="171" spans="2:15" x14ac:dyDescent="0.3">
      <c r="B171" s="256"/>
      <c r="H171" s="14" t="str">
        <f>IF(COUNTBLANK($A171:$E171)&gt;0, "", IFERROR(AVERAGEIFS(Log!$E:$E, Log!$A:$A, $A171, Log!$B:$B, $B171, Log!$C:$C, $C171),""))</f>
        <v/>
      </c>
      <c r="I171" s="64" t="str">
        <f t="shared" si="2"/>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row>
    <row r="172" spans="2:15" x14ac:dyDescent="0.3">
      <c r="B172" s="256"/>
      <c r="H172" s="14" t="str">
        <f>IF(COUNTBLANK($A172:$E172)&gt;0, "", IFERROR(AVERAGEIFS(Log!$E:$E, Log!$A:$A, $A172, Log!$B:$B, $B172, Log!$C:$C, $C172),""))</f>
        <v/>
      </c>
      <c r="I172" s="64" t="str">
        <f t="shared" si="2"/>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row>
    <row r="173" spans="2:15" x14ac:dyDescent="0.3">
      <c r="B173" s="256"/>
      <c r="H173" s="14" t="str">
        <f>IF(COUNTBLANK($A173:$E173)&gt;0, "", IFERROR(AVERAGEIFS(Log!$E:$E, Log!$A:$A, $A173, Log!$B:$B, $B173, Log!$C:$C, $C173),""))</f>
        <v/>
      </c>
      <c r="I173" s="64" t="str">
        <f t="shared" si="2"/>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row>
    <row r="174" spans="2:15" x14ac:dyDescent="0.3">
      <c r="B174" s="256"/>
      <c r="H174" s="14" t="str">
        <f>IF(COUNTBLANK($A174:$E174)&gt;0, "", IFERROR(AVERAGEIFS(Log!$E:$E, Log!$A:$A, $A174, Log!$B:$B, $B174, Log!$C:$C, $C174),""))</f>
        <v/>
      </c>
      <c r="I174" s="64" t="str">
        <f t="shared" si="2"/>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row>
    <row r="175" spans="2:15" x14ac:dyDescent="0.3">
      <c r="B175" s="256"/>
      <c r="H175" s="14" t="str">
        <f>IF(COUNTBLANK($A175:$E175)&gt;0, "", IFERROR(AVERAGEIFS(Log!$E:$E, Log!$A:$A, $A175, Log!$B:$B, $B175, Log!$C:$C, $C175),""))</f>
        <v/>
      </c>
      <c r="I175" s="64" t="str">
        <f t="shared" si="2"/>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row>
    <row r="176" spans="2:15" x14ac:dyDescent="0.3">
      <c r="B176" s="256"/>
      <c r="H176" s="14" t="str">
        <f>IF(COUNTBLANK($A176:$E176)&gt;0, "", IFERROR(AVERAGEIFS(Log!$E:$E, Log!$A:$A, $A176, Log!$B:$B, $B176, Log!$C:$C, $C176),""))</f>
        <v/>
      </c>
      <c r="I176" s="64" t="str">
        <f t="shared" si="2"/>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row>
    <row r="177" spans="2:15" x14ac:dyDescent="0.3">
      <c r="B177" s="256"/>
      <c r="H177" s="14" t="str">
        <f>IF(COUNTBLANK($A177:$E177)&gt;0, "", IFERROR(AVERAGEIFS(Log!$E:$E, Log!$A:$A, $A177, Log!$B:$B, $B177, Log!$C:$C, $C177),""))</f>
        <v/>
      </c>
      <c r="I177" s="64" t="str">
        <f t="shared" si="2"/>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row>
    <row r="178" spans="2:15" x14ac:dyDescent="0.3">
      <c r="B178" s="256"/>
      <c r="H178" s="14" t="str">
        <f>IF(COUNTBLANK($A178:$E178)&gt;0, "", IFERROR(AVERAGEIFS(Log!$E:$E, Log!$A:$A, $A178, Log!$B:$B, $B178, Log!$C:$C, $C178),""))</f>
        <v/>
      </c>
      <c r="I178" s="64" t="str">
        <f t="shared" si="2"/>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row>
    <row r="179" spans="2:15" x14ac:dyDescent="0.3">
      <c r="B179" s="256"/>
      <c r="H179" s="14" t="str">
        <f>IF(COUNTBLANK($A179:$E179)&gt;0, "", IFERROR(AVERAGEIFS(Log!$E:$E, Log!$A:$A, $A179, Log!$B:$B, $B179, Log!$C:$C, $C179),""))</f>
        <v/>
      </c>
      <c r="I179" s="64" t="str">
        <f t="shared" si="2"/>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row>
    <row r="180" spans="2:15" x14ac:dyDescent="0.3">
      <c r="B180" s="256"/>
      <c r="H180" s="14" t="str">
        <f>IF(COUNTBLANK($A180:$E180)&gt;0, "", IFERROR(AVERAGEIFS(Log!$E:$E, Log!$A:$A, $A180, Log!$B:$B, $B180, Log!$C:$C, $C180),""))</f>
        <v/>
      </c>
      <c r="I180" s="64" t="str">
        <f t="shared" si="2"/>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row>
    <row r="181" spans="2:15" x14ac:dyDescent="0.3">
      <c r="B181" s="256"/>
      <c r="H181" s="14" t="str">
        <f>IF(COUNTBLANK($A181:$E181)&gt;0, "", IFERROR(AVERAGEIFS(Log!$E:$E, Log!$A:$A, $A181, Log!$B:$B, $B181, Log!$C:$C, $C181),""))</f>
        <v/>
      </c>
      <c r="I181" s="64" t="str">
        <f t="shared" si="2"/>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row>
    <row r="182" spans="2:15" x14ac:dyDescent="0.3">
      <c r="B182" s="256"/>
      <c r="H182" s="14" t="str">
        <f>IF(COUNTBLANK($A182:$E182)&gt;0, "", IFERROR(AVERAGEIFS(Log!$E:$E, Log!$A:$A, $A182, Log!$B:$B, $B182, Log!$C:$C, $C182),""))</f>
        <v/>
      </c>
      <c r="I182" s="64" t="str">
        <f t="shared" si="2"/>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row>
    <row r="183" spans="2:15" x14ac:dyDescent="0.3">
      <c r="B183" s="256"/>
      <c r="H183" s="14" t="str">
        <f>IF(COUNTBLANK($A183:$E183)&gt;0, "", IFERROR(AVERAGEIFS(Log!$E:$E, Log!$A:$A, $A183, Log!$B:$B, $B183, Log!$C:$C, $C183),""))</f>
        <v/>
      </c>
      <c r="I183" s="64" t="str">
        <f t="shared" si="2"/>
        <v/>
      </c>
      <c r="J183" s="9" t="str">
        <f>IF(COUNTBLANK($A183:$E183)&gt;0, "", IFERROR(AVERAGEIFS(Log!$H:$H, Log!$A:$A, $A183, Log!$B:$B, $B183, Log!$C:$C, $C183),""))</f>
        <v/>
      </c>
      <c r="K183" s="9" t="str">
        <f>IF(COUNTBLANK($A183:$E183)&gt;0, "", IFERROR(_xlfn.MINIFS(Log!$F:$F, Log!$A:$A, $A183, Log!$B:$B, $B183, Log!$C:$C, $C183),""))</f>
        <v/>
      </c>
      <c r="L183" s="9" t="str">
        <f>IF(COUNTBLANK($A183:$E183)&gt;0, "", IFERROR(_xlfn.MAXIFS(Log!$F:$F, Log!$A:$A, $A183, Log!$B:$B, $B183, Log!$C:$C, $C183),""))</f>
        <v/>
      </c>
      <c r="M183" s="9" t="str">
        <f>IF(COUNTBLANK($A183:$E183)&gt;0, "", IFERROR(AVERAGEIFS(Log!$I:$I, Log!$A:$A, $A183, Log!$B:$B, $B183, Log!$C:$C, $C183),""))</f>
        <v/>
      </c>
      <c r="N183" s="9" t="str">
        <f>IF(COUNTBLANK($A183:$E183)&gt;0, "", IFERROR(_xlfn.MINIFS(Log!$G:$G, Log!$A:$A, $A183, Log!$B:$B, $B183, Log!$C:$C, $C183),""))</f>
        <v/>
      </c>
      <c r="O183" s="9" t="str">
        <f>IF(COUNTBLANK($A183:$E183)&gt;0, "", IFERROR(_xlfn.MAXIFS(Log!$G:$G, Log!$A:$A, $A183, Log!$B:$B, $B183, Log!$C:$C, $C183),""))</f>
        <v/>
      </c>
    </row>
    <row r="184" spans="2:15" x14ac:dyDescent="0.3">
      <c r="B184" s="256"/>
      <c r="H184" s="14" t="str">
        <f>IF(COUNTBLANK($A184:$E184)&gt;0, "", IFERROR(AVERAGEIFS(Log!$E:$E, Log!$A:$A, $A184, Log!$B:$B, $B184, Log!$C:$C, $C184),""))</f>
        <v/>
      </c>
      <c r="I184" s="64" t="str">
        <f t="shared" si="2"/>
        <v/>
      </c>
      <c r="J184" s="9" t="str">
        <f>IF(COUNTBLANK($A184:$E184)&gt;0, "", IFERROR(AVERAGEIFS(Log!$H:$H, Log!$A:$A, $A184, Log!$B:$B, $B184, Log!$C:$C, $C184),""))</f>
        <v/>
      </c>
      <c r="K184" s="9" t="str">
        <f>IF(COUNTBLANK($A184:$E184)&gt;0, "", IFERROR(_xlfn.MINIFS(Log!$F:$F, Log!$A:$A, $A184, Log!$B:$B, $B184, Log!$C:$C, $C184),""))</f>
        <v/>
      </c>
      <c r="L184" s="9" t="str">
        <f>IF(COUNTBLANK($A184:$E184)&gt;0, "", IFERROR(_xlfn.MAXIFS(Log!$F:$F, Log!$A:$A, $A184, Log!$B:$B, $B184, Log!$C:$C, $C184),""))</f>
        <v/>
      </c>
      <c r="M184" s="9" t="str">
        <f>IF(COUNTBLANK($A184:$E184)&gt;0, "", IFERROR(AVERAGEIFS(Log!$I:$I, Log!$A:$A, $A184, Log!$B:$B, $B184, Log!$C:$C, $C184),""))</f>
        <v/>
      </c>
      <c r="N184" s="9" t="str">
        <f>IF(COUNTBLANK($A184:$E184)&gt;0, "", IFERROR(_xlfn.MINIFS(Log!$G:$G, Log!$A:$A, $A184, Log!$B:$B, $B184, Log!$C:$C, $C184),""))</f>
        <v/>
      </c>
      <c r="O184" s="9" t="str">
        <f>IF(COUNTBLANK($A184:$E184)&gt;0, "", IFERROR(_xlfn.MAXIFS(Log!$G:$G, Log!$A:$A, $A184, Log!$B:$B, $B184, Log!$C:$C, $C184),""))</f>
        <v/>
      </c>
    </row>
    <row r="185" spans="2:15" x14ac:dyDescent="0.3">
      <c r="B185" s="256"/>
      <c r="H185" s="14" t="str">
        <f>IF(COUNTBLANK($A185:$E185)&gt;0, "", IFERROR(AVERAGEIFS(Log!$E:$E, Log!$A:$A, $A185, Log!$B:$B, $B185, Log!$C:$C, $C185),""))</f>
        <v/>
      </c>
      <c r="I185" s="64" t="str">
        <f t="shared" si="2"/>
        <v/>
      </c>
      <c r="J185" s="9" t="str">
        <f>IF(COUNTBLANK($A185:$E185)&gt;0, "", IFERROR(AVERAGEIFS(Log!$H:$H, Log!$A:$A, $A185, Log!$B:$B, $B185, Log!$C:$C, $C185),""))</f>
        <v/>
      </c>
      <c r="K185" s="9" t="str">
        <f>IF(COUNTBLANK($A185:$E185)&gt;0, "", IFERROR(_xlfn.MINIFS(Log!$F:$F, Log!$A:$A, $A185, Log!$B:$B, $B185, Log!$C:$C, $C185),""))</f>
        <v/>
      </c>
      <c r="L185" s="9" t="str">
        <f>IF(COUNTBLANK($A185:$E185)&gt;0, "", IFERROR(_xlfn.MAXIFS(Log!$F:$F, Log!$A:$A, $A185, Log!$B:$B, $B185, Log!$C:$C, $C185),""))</f>
        <v/>
      </c>
      <c r="M185" s="9" t="str">
        <f>IF(COUNTBLANK($A185:$E185)&gt;0, "", IFERROR(AVERAGEIFS(Log!$I:$I, Log!$A:$A, $A185, Log!$B:$B, $B185, Log!$C:$C, $C185),""))</f>
        <v/>
      </c>
      <c r="N185" s="9" t="str">
        <f>IF(COUNTBLANK($A185:$E185)&gt;0, "", IFERROR(_xlfn.MINIFS(Log!$G:$G, Log!$A:$A, $A185, Log!$B:$B, $B185, Log!$C:$C, $C185),""))</f>
        <v/>
      </c>
      <c r="O185" s="9" t="str">
        <f>IF(COUNTBLANK($A185:$E185)&gt;0, "", IFERROR(_xlfn.MAXIFS(Log!$G:$G, Log!$A:$A, $A185, Log!$B:$B, $B185, Log!$C:$C, $C185),""))</f>
        <v/>
      </c>
    </row>
    <row r="186" spans="2:15" x14ac:dyDescent="0.3">
      <c r="B186" s="256"/>
    </row>
    <row r="187" spans="2:15" x14ac:dyDescent="0.3">
      <c r="B187" s="256"/>
    </row>
    <row r="188" spans="2:15" x14ac:dyDescent="0.3">
      <c r="B188" s="256"/>
    </row>
    <row r="189" spans="2:15" x14ac:dyDescent="0.3">
      <c r="B189" s="256"/>
    </row>
    <row r="190" spans="2:15" x14ac:dyDescent="0.3">
      <c r="B190" s="256"/>
    </row>
    <row r="191" spans="2:15" x14ac:dyDescent="0.3">
      <c r="B191" s="256"/>
    </row>
    <row r="192" spans="2:15" x14ac:dyDescent="0.3">
      <c r="B192" s="256"/>
    </row>
    <row r="193" spans="2:2" x14ac:dyDescent="0.3">
      <c r="B193" s="256"/>
    </row>
    <row r="194" spans="2:2" x14ac:dyDescent="0.3">
      <c r="B194" s="256"/>
    </row>
    <row r="195" spans="2:2" x14ac:dyDescent="0.3">
      <c r="B195" s="256"/>
    </row>
    <row r="196" spans="2:2" x14ac:dyDescent="0.3">
      <c r="B196" s="256"/>
    </row>
    <row r="197" spans="2:2" x14ac:dyDescent="0.3">
      <c r="B197" s="256"/>
    </row>
    <row r="198" spans="2:2" x14ac:dyDescent="0.3">
      <c r="B198" s="256"/>
    </row>
    <row r="199" spans="2:2" x14ac:dyDescent="0.3">
      <c r="B199" s="256"/>
    </row>
    <row r="200" spans="2:2" x14ac:dyDescent="0.3">
      <c r="B200" s="256"/>
    </row>
    <row r="201" spans="2:2" x14ac:dyDescent="0.3">
      <c r="B201" s="256"/>
    </row>
    <row r="202" spans="2:2" x14ac:dyDescent="0.3">
      <c r="B202" s="256"/>
    </row>
    <row r="203" spans="2:2" x14ac:dyDescent="0.3">
      <c r="B203" s="256"/>
    </row>
    <row r="204" spans="2:2" x14ac:dyDescent="0.3">
      <c r="B204" s="256"/>
    </row>
    <row r="205" spans="2:2" x14ac:dyDescent="0.3">
      <c r="B205" s="256"/>
    </row>
    <row r="206" spans="2:2" x14ac:dyDescent="0.3">
      <c r="B206" s="256"/>
    </row>
    <row r="207" spans="2:2" x14ac:dyDescent="0.3">
      <c r="B207" s="256"/>
    </row>
    <row r="208" spans="2:2" x14ac:dyDescent="0.3">
      <c r="B208" s="256"/>
    </row>
    <row r="209" spans="2:2" x14ac:dyDescent="0.3">
      <c r="B209" s="256"/>
    </row>
    <row r="210" spans="2:2" x14ac:dyDescent="0.3">
      <c r="B210" s="256"/>
    </row>
    <row r="211" spans="2:2" x14ac:dyDescent="0.3">
      <c r="B211" s="256"/>
    </row>
    <row r="212" spans="2:2" x14ac:dyDescent="0.3">
      <c r="B212" s="256"/>
    </row>
    <row r="213" spans="2:2" x14ac:dyDescent="0.3">
      <c r="B213" s="256"/>
    </row>
    <row r="214" spans="2:2" x14ac:dyDescent="0.3">
      <c r="B214" s="256"/>
    </row>
    <row r="215" spans="2:2" x14ac:dyDescent="0.3">
      <c r="B215" s="256"/>
    </row>
    <row r="216" spans="2:2" x14ac:dyDescent="0.3">
      <c r="B216" s="256"/>
    </row>
    <row r="217" spans="2:2" x14ac:dyDescent="0.3">
      <c r="B217" s="256"/>
    </row>
    <row r="218" spans="2:2" x14ac:dyDescent="0.3">
      <c r="B218" s="256"/>
    </row>
    <row r="219" spans="2:2" x14ac:dyDescent="0.3">
      <c r="B219" s="256"/>
    </row>
    <row r="220" spans="2:2" x14ac:dyDescent="0.3">
      <c r="B220" s="256"/>
    </row>
    <row r="221" spans="2:2" x14ac:dyDescent="0.3">
      <c r="B221" s="256"/>
    </row>
    <row r="222" spans="2:2" x14ac:dyDescent="0.3">
      <c r="B222" s="256"/>
    </row>
    <row r="223" spans="2:2" x14ac:dyDescent="0.3">
      <c r="B223" s="256"/>
    </row>
    <row r="224" spans="2:2" x14ac:dyDescent="0.3">
      <c r="B224" s="256"/>
    </row>
    <row r="225" spans="2:2" x14ac:dyDescent="0.3">
      <c r="B225" s="256"/>
    </row>
    <row r="226" spans="2:2" x14ac:dyDescent="0.3">
      <c r="B226" s="256"/>
    </row>
    <row r="227" spans="2:2" x14ac:dyDescent="0.3">
      <c r="B227" s="256"/>
    </row>
    <row r="228" spans="2:2" x14ac:dyDescent="0.3">
      <c r="B228" s="256"/>
    </row>
    <row r="229" spans="2:2" x14ac:dyDescent="0.3">
      <c r="B229" s="256"/>
    </row>
    <row r="230" spans="2:2" x14ac:dyDescent="0.3">
      <c r="B230" s="256"/>
    </row>
    <row r="231" spans="2:2" x14ac:dyDescent="0.3">
      <c r="B231" s="256"/>
    </row>
    <row r="232" spans="2:2" x14ac:dyDescent="0.3">
      <c r="B232" s="256"/>
    </row>
    <row r="233" spans="2:2" x14ac:dyDescent="0.3">
      <c r="B233" s="256"/>
    </row>
    <row r="234" spans="2:2" x14ac:dyDescent="0.3">
      <c r="B234" s="256"/>
    </row>
    <row r="235" spans="2:2" x14ac:dyDescent="0.3">
      <c r="B235" s="256"/>
    </row>
    <row r="236" spans="2:2" x14ac:dyDescent="0.3">
      <c r="B236" s="256"/>
    </row>
    <row r="237" spans="2:2" x14ac:dyDescent="0.3">
      <c r="B237" s="256"/>
    </row>
    <row r="238" spans="2:2" x14ac:dyDescent="0.3">
      <c r="B238" s="256"/>
    </row>
    <row r="239" spans="2:2" x14ac:dyDescent="0.3">
      <c r="B239" s="256"/>
    </row>
    <row r="240" spans="2:2" x14ac:dyDescent="0.3">
      <c r="B240" s="256"/>
    </row>
    <row r="241" spans="2:2" x14ac:dyDescent="0.3">
      <c r="B241" s="256"/>
    </row>
    <row r="242" spans="2:2" x14ac:dyDescent="0.3">
      <c r="B242" s="256"/>
    </row>
    <row r="243" spans="2:2" x14ac:dyDescent="0.3">
      <c r="B243" s="256"/>
    </row>
    <row r="244" spans="2:2" x14ac:dyDescent="0.3">
      <c r="B244" s="256"/>
    </row>
    <row r="245" spans="2:2" x14ac:dyDescent="0.3">
      <c r="B245" s="256"/>
    </row>
    <row r="246" spans="2:2" x14ac:dyDescent="0.3">
      <c r="B246" s="256"/>
    </row>
    <row r="247" spans="2:2" x14ac:dyDescent="0.3">
      <c r="B247" s="256"/>
    </row>
    <row r="248" spans="2:2" x14ac:dyDescent="0.3">
      <c r="B248" s="256"/>
    </row>
    <row r="249" spans="2:2" x14ac:dyDescent="0.3">
      <c r="B249" s="256"/>
    </row>
    <row r="250" spans="2:2" x14ac:dyDescent="0.3">
      <c r="B250" s="256"/>
    </row>
    <row r="251" spans="2:2" x14ac:dyDescent="0.3">
      <c r="B251" s="256"/>
    </row>
    <row r="252" spans="2:2" x14ac:dyDescent="0.3">
      <c r="B252" s="256"/>
    </row>
    <row r="253" spans="2:2" x14ac:dyDescent="0.3">
      <c r="B253" s="256"/>
    </row>
    <row r="254" spans="2:2" x14ac:dyDescent="0.3">
      <c r="B254" s="256"/>
    </row>
    <row r="255" spans="2:2" x14ac:dyDescent="0.3">
      <c r="B255" s="256"/>
    </row>
    <row r="256" spans="2:2" x14ac:dyDescent="0.3">
      <c r="B256" s="256"/>
    </row>
    <row r="257" spans="2:2" x14ac:dyDescent="0.3">
      <c r="B257" s="256"/>
    </row>
    <row r="258" spans="2:2" x14ac:dyDescent="0.3">
      <c r="B258" s="256"/>
    </row>
    <row r="259" spans="2:2" x14ac:dyDescent="0.3">
      <c r="B259" s="256"/>
    </row>
    <row r="260" spans="2:2" x14ac:dyDescent="0.3">
      <c r="B260" s="256"/>
    </row>
    <row r="261" spans="2:2" x14ac:dyDescent="0.3">
      <c r="B261" s="256"/>
    </row>
    <row r="262" spans="2:2" x14ac:dyDescent="0.3">
      <c r="B262" s="256"/>
    </row>
    <row r="263" spans="2:2" x14ac:dyDescent="0.3">
      <c r="B263" s="256"/>
    </row>
    <row r="264" spans="2:2" x14ac:dyDescent="0.3">
      <c r="B264" s="256"/>
    </row>
    <row r="265" spans="2:2" x14ac:dyDescent="0.3">
      <c r="B265" s="256"/>
    </row>
    <row r="266" spans="2:2" x14ac:dyDescent="0.3">
      <c r="B266" s="256"/>
    </row>
    <row r="267" spans="2:2" x14ac:dyDescent="0.3">
      <c r="B267" s="256"/>
    </row>
    <row r="268" spans="2:2" x14ac:dyDescent="0.3">
      <c r="B268" s="256"/>
    </row>
    <row r="269" spans="2:2" x14ac:dyDescent="0.3">
      <c r="B269" s="256"/>
    </row>
    <row r="270" spans="2:2" x14ac:dyDescent="0.3">
      <c r="B270" s="256"/>
    </row>
    <row r="271" spans="2:2" x14ac:dyDescent="0.3">
      <c r="B271" s="256"/>
    </row>
    <row r="272" spans="2:2" x14ac:dyDescent="0.3">
      <c r="B272" s="256"/>
    </row>
    <row r="273" spans="2:2" x14ac:dyDescent="0.3">
      <c r="B273" s="256"/>
    </row>
    <row r="274" spans="2:2" x14ac:dyDescent="0.3">
      <c r="B274" s="256"/>
    </row>
    <row r="275" spans="2:2" x14ac:dyDescent="0.3">
      <c r="B275" s="256"/>
    </row>
    <row r="276" spans="2:2" x14ac:dyDescent="0.3">
      <c r="B276" s="256"/>
    </row>
    <row r="277" spans="2:2" x14ac:dyDescent="0.3">
      <c r="B277" s="256"/>
    </row>
    <row r="278" spans="2:2" x14ac:dyDescent="0.3">
      <c r="B278" s="256"/>
    </row>
    <row r="279" spans="2:2" x14ac:dyDescent="0.3">
      <c r="B279" s="256"/>
    </row>
    <row r="280" spans="2:2" x14ac:dyDescent="0.3">
      <c r="B280" s="256"/>
    </row>
    <row r="281" spans="2:2" x14ac:dyDescent="0.3">
      <c r="B281" s="256"/>
    </row>
    <row r="282" spans="2:2" x14ac:dyDescent="0.3">
      <c r="B282" s="256"/>
    </row>
    <row r="283" spans="2:2" x14ac:dyDescent="0.3">
      <c r="B283" s="256"/>
    </row>
    <row r="284" spans="2:2" x14ac:dyDescent="0.3">
      <c r="B284" s="256"/>
    </row>
    <row r="285" spans="2:2" x14ac:dyDescent="0.3">
      <c r="B285" s="256"/>
    </row>
    <row r="286" spans="2:2" x14ac:dyDescent="0.3">
      <c r="B286" s="256"/>
    </row>
    <row r="287" spans="2:2" x14ac:dyDescent="0.3">
      <c r="B287" s="256"/>
    </row>
    <row r="288" spans="2:2" x14ac:dyDescent="0.3">
      <c r="B288" s="256"/>
    </row>
    <row r="289" spans="2:2" x14ac:dyDescent="0.3">
      <c r="B289" s="256"/>
    </row>
    <row r="290" spans="2:2" x14ac:dyDescent="0.3">
      <c r="B290" s="256"/>
    </row>
    <row r="291" spans="2:2" x14ac:dyDescent="0.3">
      <c r="B291" s="256"/>
    </row>
    <row r="292" spans="2:2" x14ac:dyDescent="0.3">
      <c r="B292" s="256"/>
    </row>
    <row r="293" spans="2:2" x14ac:dyDescent="0.3">
      <c r="B293" s="256"/>
    </row>
    <row r="294" spans="2:2" x14ac:dyDescent="0.3">
      <c r="B294" s="256"/>
    </row>
    <row r="295" spans="2:2" x14ac:dyDescent="0.3">
      <c r="B295" s="256"/>
    </row>
    <row r="296" spans="2:2" x14ac:dyDescent="0.3">
      <c r="B296" s="256"/>
    </row>
    <row r="297" spans="2:2" x14ac:dyDescent="0.3">
      <c r="B297" s="256"/>
    </row>
    <row r="298" spans="2:2" x14ac:dyDescent="0.3">
      <c r="B298" s="256"/>
    </row>
    <row r="299" spans="2:2" x14ac:dyDescent="0.3">
      <c r="B299" s="256"/>
    </row>
    <row r="300" spans="2:2" x14ac:dyDescent="0.3">
      <c r="B300" s="256"/>
    </row>
    <row r="301" spans="2:2" x14ac:dyDescent="0.3">
      <c r="B301" s="256"/>
    </row>
    <row r="302" spans="2:2" x14ac:dyDescent="0.3">
      <c r="B302" s="256"/>
    </row>
    <row r="303" spans="2:2" x14ac:dyDescent="0.3">
      <c r="B303" s="256"/>
    </row>
    <row r="304" spans="2:2" x14ac:dyDescent="0.3">
      <c r="B304" s="256"/>
    </row>
    <row r="305" spans="2:2" x14ac:dyDescent="0.3">
      <c r="B305" s="256"/>
    </row>
    <row r="306" spans="2:2" x14ac:dyDescent="0.3">
      <c r="B306" s="256"/>
    </row>
    <row r="307" spans="2:2" x14ac:dyDescent="0.3">
      <c r="B307" s="256"/>
    </row>
    <row r="308" spans="2:2" x14ac:dyDescent="0.3">
      <c r="B308" s="256"/>
    </row>
    <row r="309" spans="2:2" x14ac:dyDescent="0.3">
      <c r="B309" s="256"/>
    </row>
    <row r="310" spans="2:2" x14ac:dyDescent="0.3">
      <c r="B310" s="256"/>
    </row>
    <row r="311" spans="2:2" x14ac:dyDescent="0.3">
      <c r="B311" s="256"/>
    </row>
    <row r="312" spans="2:2" x14ac:dyDescent="0.3">
      <c r="B312" s="256"/>
    </row>
    <row r="313" spans="2:2" x14ac:dyDescent="0.3">
      <c r="B313" s="256"/>
    </row>
    <row r="314" spans="2:2" x14ac:dyDescent="0.3">
      <c r="B314" s="256"/>
    </row>
    <row r="315" spans="2:2" x14ac:dyDescent="0.3">
      <c r="B315" s="256"/>
    </row>
    <row r="316" spans="2:2" x14ac:dyDescent="0.3">
      <c r="B316" s="256"/>
    </row>
    <row r="317" spans="2:2" x14ac:dyDescent="0.3">
      <c r="B317" s="256"/>
    </row>
    <row r="318" spans="2:2" x14ac:dyDescent="0.3">
      <c r="B318" s="256"/>
    </row>
    <row r="319" spans="2:2" x14ac:dyDescent="0.3">
      <c r="B319" s="256"/>
    </row>
    <row r="320" spans="2:2" x14ac:dyDescent="0.3">
      <c r="B320" s="256"/>
    </row>
    <row r="321" spans="2:2" x14ac:dyDescent="0.3">
      <c r="B321" s="256"/>
    </row>
    <row r="322" spans="2:2" x14ac:dyDescent="0.3">
      <c r="B322" s="256"/>
    </row>
    <row r="323" spans="2:2" x14ac:dyDescent="0.3">
      <c r="B323" s="256"/>
    </row>
    <row r="324" spans="2:2" x14ac:dyDescent="0.3">
      <c r="B324" s="256"/>
    </row>
    <row r="325" spans="2:2" x14ac:dyDescent="0.3">
      <c r="B325" s="256"/>
    </row>
    <row r="326" spans="2:2" x14ac:dyDescent="0.3">
      <c r="B326" s="256"/>
    </row>
    <row r="327" spans="2:2" x14ac:dyDescent="0.3">
      <c r="B327" s="256"/>
    </row>
    <row r="328" spans="2:2" x14ac:dyDescent="0.3">
      <c r="B328" s="256"/>
    </row>
    <row r="329" spans="2:2" x14ac:dyDescent="0.3">
      <c r="B329" s="256"/>
    </row>
    <row r="330" spans="2:2" x14ac:dyDescent="0.3">
      <c r="B330" s="256"/>
    </row>
    <row r="331" spans="2:2" x14ac:dyDescent="0.3">
      <c r="B331" s="256"/>
    </row>
    <row r="332" spans="2:2" x14ac:dyDescent="0.3">
      <c r="B332" s="256"/>
    </row>
    <row r="333" spans="2:2" x14ac:dyDescent="0.3">
      <c r="B333" s="256"/>
    </row>
    <row r="334" spans="2:2" x14ac:dyDescent="0.3">
      <c r="B334" s="256"/>
    </row>
    <row r="335" spans="2:2" x14ac:dyDescent="0.3">
      <c r="B335" s="256"/>
    </row>
    <row r="336" spans="2:2" x14ac:dyDescent="0.3">
      <c r="B336" s="256"/>
    </row>
    <row r="337" spans="2:2" x14ac:dyDescent="0.3">
      <c r="B337" s="256"/>
    </row>
    <row r="338" spans="2:2" x14ac:dyDescent="0.3">
      <c r="B338" s="256"/>
    </row>
    <row r="339" spans="2:2" x14ac:dyDescent="0.3">
      <c r="B339" s="256"/>
    </row>
    <row r="340" spans="2:2" x14ac:dyDescent="0.3">
      <c r="B340" s="256"/>
    </row>
    <row r="341" spans="2:2" x14ac:dyDescent="0.3">
      <c r="B341" s="256"/>
    </row>
    <row r="342" spans="2:2" x14ac:dyDescent="0.3">
      <c r="B342" s="256"/>
    </row>
    <row r="343" spans="2:2" x14ac:dyDescent="0.3">
      <c r="B343" s="256"/>
    </row>
    <row r="344" spans="2:2" x14ac:dyDescent="0.3">
      <c r="B344" s="256"/>
    </row>
    <row r="345" spans="2:2" x14ac:dyDescent="0.3">
      <c r="B345" s="256"/>
    </row>
    <row r="346" spans="2:2" x14ac:dyDescent="0.3">
      <c r="B346" s="256"/>
    </row>
    <row r="347" spans="2:2" x14ac:dyDescent="0.3">
      <c r="B347" s="256"/>
    </row>
    <row r="348" spans="2:2" x14ac:dyDescent="0.3">
      <c r="B348" s="256"/>
    </row>
    <row r="349" spans="2:2" x14ac:dyDescent="0.3">
      <c r="B349" s="256"/>
    </row>
    <row r="350" spans="2:2" x14ac:dyDescent="0.3">
      <c r="B350" s="256"/>
    </row>
    <row r="351" spans="2:2" x14ac:dyDescent="0.3">
      <c r="B351" s="256"/>
    </row>
    <row r="352" spans="2:2" x14ac:dyDescent="0.3">
      <c r="B352" s="256"/>
    </row>
    <row r="353" spans="2:2" x14ac:dyDescent="0.3">
      <c r="B353" s="256"/>
    </row>
    <row r="354" spans="2:2" x14ac:dyDescent="0.3">
      <c r="B354" s="256"/>
    </row>
    <row r="355" spans="2:2" x14ac:dyDescent="0.3">
      <c r="B355" s="256"/>
    </row>
    <row r="356" spans="2:2" x14ac:dyDescent="0.3">
      <c r="B356" s="256"/>
    </row>
    <row r="357" spans="2:2" x14ac:dyDescent="0.3">
      <c r="B357" s="256"/>
    </row>
    <row r="358" spans="2:2" x14ac:dyDescent="0.3">
      <c r="B358" s="256"/>
    </row>
    <row r="359" spans="2:2" x14ac:dyDescent="0.3">
      <c r="B359" s="256"/>
    </row>
    <row r="360" spans="2:2" x14ac:dyDescent="0.3">
      <c r="B360" s="256"/>
    </row>
    <row r="361" spans="2:2" x14ac:dyDescent="0.3">
      <c r="B361" s="256"/>
    </row>
    <row r="362" spans="2:2" x14ac:dyDescent="0.3">
      <c r="B362" s="256"/>
    </row>
    <row r="363" spans="2:2" x14ac:dyDescent="0.3">
      <c r="B363" s="256"/>
    </row>
    <row r="364" spans="2:2" x14ac:dyDescent="0.3">
      <c r="B364" s="256"/>
    </row>
    <row r="365" spans="2:2" x14ac:dyDescent="0.3">
      <c r="B365" s="256"/>
    </row>
    <row r="366" spans="2:2" x14ac:dyDescent="0.3">
      <c r="B366" s="256"/>
    </row>
    <row r="367" spans="2:2" x14ac:dyDescent="0.3">
      <c r="B367" s="256"/>
    </row>
    <row r="368" spans="2:2" x14ac:dyDescent="0.3">
      <c r="B368" s="256"/>
    </row>
    <row r="369" spans="2:2" x14ac:dyDescent="0.3">
      <c r="B369" s="256"/>
    </row>
    <row r="370" spans="2:2" x14ac:dyDescent="0.3">
      <c r="B370" s="256"/>
    </row>
    <row r="371" spans="2:2" x14ac:dyDescent="0.3">
      <c r="B371" s="256"/>
    </row>
    <row r="372" spans="2:2" x14ac:dyDescent="0.3">
      <c r="B372" s="256"/>
    </row>
    <row r="373" spans="2:2" x14ac:dyDescent="0.3">
      <c r="B373" s="256"/>
    </row>
    <row r="374" spans="2:2" x14ac:dyDescent="0.3">
      <c r="B374" s="256"/>
    </row>
    <row r="375" spans="2:2" x14ac:dyDescent="0.3">
      <c r="B375" s="256"/>
    </row>
    <row r="376" spans="2:2" x14ac:dyDescent="0.3">
      <c r="B376" s="256"/>
    </row>
    <row r="377" spans="2:2" x14ac:dyDescent="0.3">
      <c r="B377" s="256"/>
    </row>
    <row r="378" spans="2:2" x14ac:dyDescent="0.3">
      <c r="B378" s="256"/>
    </row>
    <row r="379" spans="2:2" x14ac:dyDescent="0.3">
      <c r="B379" s="256"/>
    </row>
    <row r="380" spans="2:2" x14ac:dyDescent="0.3">
      <c r="B380" s="256"/>
    </row>
    <row r="381" spans="2:2" x14ac:dyDescent="0.3">
      <c r="B381" s="256"/>
    </row>
    <row r="382" spans="2:2" x14ac:dyDescent="0.3">
      <c r="B382" s="256"/>
    </row>
    <row r="383" spans="2:2" x14ac:dyDescent="0.3">
      <c r="B383" s="256"/>
    </row>
    <row r="384" spans="2:2" x14ac:dyDescent="0.3">
      <c r="B384" s="256"/>
    </row>
    <row r="385" spans="2:2" x14ac:dyDescent="0.3">
      <c r="B385" s="256"/>
    </row>
    <row r="386" spans="2:2" x14ac:dyDescent="0.3">
      <c r="B386" s="256"/>
    </row>
    <row r="387" spans="2:2" x14ac:dyDescent="0.3">
      <c r="B387" s="256"/>
    </row>
    <row r="388" spans="2:2" x14ac:dyDescent="0.3">
      <c r="B388" s="256"/>
    </row>
    <row r="389" spans="2:2" x14ac:dyDescent="0.3">
      <c r="B389" s="256"/>
    </row>
    <row r="390" spans="2:2" x14ac:dyDescent="0.3">
      <c r="B390" s="256"/>
    </row>
    <row r="391" spans="2:2" x14ac:dyDescent="0.3">
      <c r="B391" s="256"/>
    </row>
    <row r="392" spans="2:2" x14ac:dyDescent="0.3">
      <c r="B392" s="256"/>
    </row>
    <row r="393" spans="2:2" x14ac:dyDescent="0.3">
      <c r="B393" s="256"/>
    </row>
    <row r="394" spans="2:2" x14ac:dyDescent="0.3">
      <c r="B394" s="256"/>
    </row>
    <row r="395" spans="2:2" x14ac:dyDescent="0.3">
      <c r="B395" s="256"/>
    </row>
    <row r="396" spans="2:2" x14ac:dyDescent="0.3">
      <c r="B396" s="256"/>
    </row>
    <row r="397" spans="2:2" x14ac:dyDescent="0.3">
      <c r="B397" s="256"/>
    </row>
    <row r="398" spans="2:2" x14ac:dyDescent="0.3">
      <c r="B398" s="256"/>
    </row>
    <row r="399" spans="2:2" x14ac:dyDescent="0.3">
      <c r="B399" s="256"/>
    </row>
    <row r="400" spans="2:2" x14ac:dyDescent="0.3">
      <c r="B400" s="256"/>
    </row>
    <row r="401" spans="2:2" x14ac:dyDescent="0.3">
      <c r="B401" s="256"/>
    </row>
    <row r="402" spans="2:2" x14ac:dyDescent="0.3">
      <c r="B402" s="256"/>
    </row>
    <row r="403" spans="2:2" x14ac:dyDescent="0.3">
      <c r="B403" s="256"/>
    </row>
    <row r="404" spans="2:2" x14ac:dyDescent="0.3">
      <c r="B404" s="256"/>
    </row>
    <row r="405" spans="2:2" x14ac:dyDescent="0.3">
      <c r="B405" s="256"/>
    </row>
    <row r="406" spans="2:2" x14ac:dyDescent="0.3">
      <c r="B406" s="256"/>
    </row>
    <row r="407" spans="2:2" x14ac:dyDescent="0.3">
      <c r="B407" s="256"/>
    </row>
    <row r="408" spans="2:2" x14ac:dyDescent="0.3">
      <c r="B408" s="256"/>
    </row>
    <row r="409" spans="2:2" x14ac:dyDescent="0.3">
      <c r="B409" s="256"/>
    </row>
    <row r="410" spans="2:2" x14ac:dyDescent="0.3">
      <c r="B410" s="256"/>
    </row>
    <row r="411" spans="2:2" x14ac:dyDescent="0.3">
      <c r="B411" s="256"/>
    </row>
    <row r="412" spans="2:2" x14ac:dyDescent="0.3">
      <c r="B412" s="256"/>
    </row>
    <row r="413" spans="2:2" x14ac:dyDescent="0.3">
      <c r="B413" s="256"/>
    </row>
    <row r="414" spans="2:2" x14ac:dyDescent="0.3">
      <c r="B414" s="256"/>
    </row>
    <row r="415" spans="2:2" x14ac:dyDescent="0.3">
      <c r="B415" s="256"/>
    </row>
    <row r="416" spans="2:2" x14ac:dyDescent="0.3">
      <c r="B416" s="256"/>
    </row>
    <row r="417" spans="2:2" x14ac:dyDescent="0.3">
      <c r="B417" s="256"/>
    </row>
    <row r="418" spans="2:2" x14ac:dyDescent="0.3">
      <c r="B418" s="256"/>
    </row>
    <row r="419" spans="2:2" x14ac:dyDescent="0.3">
      <c r="B419" s="256"/>
    </row>
    <row r="420" spans="2:2" x14ac:dyDescent="0.3">
      <c r="B420" s="256"/>
    </row>
    <row r="421" spans="2:2" x14ac:dyDescent="0.3">
      <c r="B421" s="256"/>
    </row>
    <row r="422" spans="2:2" x14ac:dyDescent="0.3">
      <c r="B422" s="256"/>
    </row>
    <row r="423" spans="2:2" x14ac:dyDescent="0.3">
      <c r="B423" s="256"/>
    </row>
    <row r="424" spans="2:2" x14ac:dyDescent="0.3">
      <c r="B424" s="256"/>
    </row>
    <row r="425" spans="2:2" x14ac:dyDescent="0.3">
      <c r="B425" s="256"/>
    </row>
    <row r="426" spans="2:2" x14ac:dyDescent="0.3">
      <c r="B426" s="256"/>
    </row>
    <row r="427" spans="2:2" x14ac:dyDescent="0.3">
      <c r="B427" s="256"/>
    </row>
    <row r="428" spans="2:2" x14ac:dyDescent="0.3">
      <c r="B428" s="256"/>
    </row>
    <row r="429" spans="2:2" x14ac:dyDescent="0.3">
      <c r="B429" s="256"/>
    </row>
    <row r="430" spans="2:2" x14ac:dyDescent="0.3">
      <c r="B430" s="256"/>
    </row>
    <row r="431" spans="2:2" x14ac:dyDescent="0.3">
      <c r="B431" s="256"/>
    </row>
    <row r="432" spans="2:2" x14ac:dyDescent="0.3">
      <c r="B432" s="256"/>
    </row>
    <row r="433" spans="2:2" x14ac:dyDescent="0.3">
      <c r="B433" s="256"/>
    </row>
    <row r="434" spans="2:2" x14ac:dyDescent="0.3">
      <c r="B434" s="256"/>
    </row>
    <row r="435" spans="2:2" x14ac:dyDescent="0.3">
      <c r="B435" s="256"/>
    </row>
    <row r="436" spans="2:2" x14ac:dyDescent="0.3">
      <c r="B436" s="256"/>
    </row>
    <row r="437" spans="2:2" x14ac:dyDescent="0.3">
      <c r="B437" s="256"/>
    </row>
    <row r="438" spans="2:2" x14ac:dyDescent="0.3">
      <c r="B438" s="256"/>
    </row>
    <row r="439" spans="2:2" x14ac:dyDescent="0.3">
      <c r="B439" s="256"/>
    </row>
    <row r="440" spans="2:2" x14ac:dyDescent="0.3">
      <c r="B440" s="256"/>
    </row>
    <row r="441" spans="2:2" x14ac:dyDescent="0.3">
      <c r="B441" s="256"/>
    </row>
    <row r="442" spans="2:2" x14ac:dyDescent="0.3">
      <c r="B442" s="256"/>
    </row>
    <row r="443" spans="2:2" x14ac:dyDescent="0.3">
      <c r="B443" s="256"/>
    </row>
    <row r="444" spans="2:2" x14ac:dyDescent="0.3">
      <c r="B444" s="256"/>
    </row>
    <row r="445" spans="2:2" x14ac:dyDescent="0.3">
      <c r="B445" s="256"/>
    </row>
    <row r="446" spans="2:2" x14ac:dyDescent="0.3">
      <c r="B446" s="256"/>
    </row>
    <row r="447" spans="2:2" x14ac:dyDescent="0.3">
      <c r="B447" s="256"/>
    </row>
    <row r="448" spans="2:2" x14ac:dyDescent="0.3">
      <c r="B448" s="256"/>
    </row>
    <row r="449" spans="2:2" x14ac:dyDescent="0.3">
      <c r="B449" s="256"/>
    </row>
    <row r="450" spans="2:2" x14ac:dyDescent="0.3">
      <c r="B450" s="256"/>
    </row>
    <row r="451" spans="2:2" x14ac:dyDescent="0.3">
      <c r="B451" s="256"/>
    </row>
    <row r="452" spans="2:2" x14ac:dyDescent="0.3">
      <c r="B452" s="256"/>
    </row>
    <row r="453" spans="2:2" x14ac:dyDescent="0.3">
      <c r="B453" s="256"/>
    </row>
    <row r="454" spans="2:2" x14ac:dyDescent="0.3">
      <c r="B454" s="256"/>
    </row>
    <row r="455" spans="2:2" x14ac:dyDescent="0.3">
      <c r="B455" s="256"/>
    </row>
    <row r="456" spans="2:2" x14ac:dyDescent="0.3">
      <c r="B456" s="256"/>
    </row>
    <row r="457" spans="2:2" x14ac:dyDescent="0.3">
      <c r="B457" s="256"/>
    </row>
    <row r="458" spans="2:2" x14ac:dyDescent="0.3">
      <c r="B458" s="256"/>
    </row>
    <row r="459" spans="2:2" x14ac:dyDescent="0.3">
      <c r="B459" s="256"/>
    </row>
    <row r="460" spans="2:2" x14ac:dyDescent="0.3">
      <c r="B460" s="256"/>
    </row>
    <row r="461" spans="2:2" x14ac:dyDescent="0.3">
      <c r="B461" s="256"/>
    </row>
    <row r="462" spans="2:2" x14ac:dyDescent="0.3">
      <c r="B462" s="256"/>
    </row>
    <row r="463" spans="2:2" x14ac:dyDescent="0.3">
      <c r="B463" s="256"/>
    </row>
    <row r="464" spans="2:2" x14ac:dyDescent="0.3">
      <c r="B464" s="256"/>
    </row>
    <row r="465" spans="2:2" x14ac:dyDescent="0.3">
      <c r="B465" s="256"/>
    </row>
    <row r="466" spans="2:2" x14ac:dyDescent="0.3">
      <c r="B466" s="256"/>
    </row>
    <row r="467" spans="2:2" x14ac:dyDescent="0.3">
      <c r="B467" s="256"/>
    </row>
    <row r="468" spans="2:2" x14ac:dyDescent="0.3">
      <c r="B468" s="256"/>
    </row>
    <row r="469" spans="2:2" x14ac:dyDescent="0.3">
      <c r="B469" s="256"/>
    </row>
    <row r="470" spans="2:2" x14ac:dyDescent="0.3">
      <c r="B470" s="256"/>
    </row>
    <row r="471" spans="2:2" x14ac:dyDescent="0.3">
      <c r="B471" s="256"/>
    </row>
    <row r="472" spans="2:2" x14ac:dyDescent="0.3">
      <c r="B472" s="256"/>
    </row>
    <row r="473" spans="2:2" x14ac:dyDescent="0.3">
      <c r="B473" s="256"/>
    </row>
    <row r="474" spans="2:2" x14ac:dyDescent="0.3">
      <c r="B474" s="256"/>
    </row>
    <row r="475" spans="2:2" x14ac:dyDescent="0.3">
      <c r="B475" s="256"/>
    </row>
    <row r="476" spans="2:2" x14ac:dyDescent="0.3">
      <c r="B476" s="256"/>
    </row>
    <row r="477" spans="2:2" x14ac:dyDescent="0.3">
      <c r="B477" s="256"/>
    </row>
    <row r="478" spans="2:2" x14ac:dyDescent="0.3">
      <c r="B478" s="256"/>
    </row>
    <row r="479" spans="2:2" x14ac:dyDescent="0.3">
      <c r="B479" s="256"/>
    </row>
    <row r="480" spans="2:2" x14ac:dyDescent="0.3">
      <c r="B480" s="256"/>
    </row>
    <row r="481" spans="2:2" x14ac:dyDescent="0.3">
      <c r="B481" s="256"/>
    </row>
    <row r="482" spans="2:2" x14ac:dyDescent="0.3">
      <c r="B482" s="256"/>
    </row>
    <row r="483" spans="2:2" x14ac:dyDescent="0.3">
      <c r="B483" s="256"/>
    </row>
    <row r="484" spans="2:2" x14ac:dyDescent="0.3">
      <c r="B484" s="256"/>
    </row>
    <row r="485" spans="2:2" x14ac:dyDescent="0.3">
      <c r="B485" s="256"/>
    </row>
    <row r="486" spans="2:2" x14ac:dyDescent="0.3">
      <c r="B486" s="256"/>
    </row>
    <row r="487" spans="2:2" x14ac:dyDescent="0.3">
      <c r="B487" s="256"/>
    </row>
    <row r="488" spans="2:2" x14ac:dyDescent="0.3">
      <c r="B488" s="256"/>
    </row>
    <row r="489" spans="2:2" x14ac:dyDescent="0.3">
      <c r="B489" s="256"/>
    </row>
    <row r="490" spans="2:2" x14ac:dyDescent="0.3">
      <c r="B490" s="256"/>
    </row>
    <row r="491" spans="2:2" x14ac:dyDescent="0.3">
      <c r="B491" s="256"/>
    </row>
    <row r="492" spans="2:2" x14ac:dyDescent="0.3">
      <c r="B492" s="256"/>
    </row>
    <row r="493" spans="2:2" x14ac:dyDescent="0.3">
      <c r="B493" s="256"/>
    </row>
    <row r="494" spans="2:2" x14ac:dyDescent="0.3">
      <c r="B494" s="256"/>
    </row>
    <row r="495" spans="2:2" x14ac:dyDescent="0.3">
      <c r="B495" s="256"/>
    </row>
    <row r="496" spans="2:2" x14ac:dyDescent="0.3">
      <c r="B496" s="256"/>
    </row>
    <row r="497" spans="2:2" x14ac:dyDescent="0.3">
      <c r="B497" s="256"/>
    </row>
    <row r="498" spans="2:2" x14ac:dyDescent="0.3">
      <c r="B498" s="256"/>
    </row>
    <row r="499" spans="2:2" x14ac:dyDescent="0.3">
      <c r="B499" s="256"/>
    </row>
    <row r="500" spans="2:2" x14ac:dyDescent="0.3">
      <c r="B500" s="256"/>
    </row>
    <row r="501" spans="2:2" x14ac:dyDescent="0.3">
      <c r="B501" s="256"/>
    </row>
    <row r="502" spans="2:2" x14ac:dyDescent="0.3">
      <c r="B502" s="256"/>
    </row>
    <row r="503" spans="2:2" x14ac:dyDescent="0.3">
      <c r="B503" s="256"/>
    </row>
    <row r="504" spans="2:2" x14ac:dyDescent="0.3">
      <c r="B504" s="256"/>
    </row>
    <row r="505" spans="2:2" x14ac:dyDescent="0.3">
      <c r="B505" s="256"/>
    </row>
    <row r="506" spans="2:2" x14ac:dyDescent="0.3">
      <c r="B506" s="256"/>
    </row>
    <row r="507" spans="2:2" x14ac:dyDescent="0.3">
      <c r="B507" s="256"/>
    </row>
    <row r="508" spans="2:2" x14ac:dyDescent="0.3">
      <c r="B508" s="256"/>
    </row>
    <row r="509" spans="2:2" x14ac:dyDescent="0.3">
      <c r="B509" s="256"/>
    </row>
    <row r="510" spans="2:2" x14ac:dyDescent="0.3">
      <c r="B510" s="256"/>
    </row>
    <row r="511" spans="2:2" x14ac:dyDescent="0.3">
      <c r="B511" s="256"/>
    </row>
    <row r="512" spans="2:2" x14ac:dyDescent="0.3">
      <c r="B512" s="256"/>
    </row>
    <row r="513" spans="2:2" x14ac:dyDescent="0.3">
      <c r="B513" s="256"/>
    </row>
    <row r="514" spans="2:2" x14ac:dyDescent="0.3">
      <c r="B514" s="256"/>
    </row>
    <row r="515" spans="2:2" x14ac:dyDescent="0.3">
      <c r="B515" s="256"/>
    </row>
    <row r="516" spans="2:2" x14ac:dyDescent="0.3">
      <c r="B516" s="256"/>
    </row>
    <row r="517" spans="2:2" x14ac:dyDescent="0.3">
      <c r="B517" s="256"/>
    </row>
    <row r="518" spans="2:2" x14ac:dyDescent="0.3">
      <c r="B518" s="256"/>
    </row>
    <row r="519" spans="2:2" x14ac:dyDescent="0.3">
      <c r="B519" s="256"/>
    </row>
    <row r="520" spans="2:2" x14ac:dyDescent="0.3">
      <c r="B520" s="256"/>
    </row>
    <row r="521" spans="2:2" x14ac:dyDescent="0.3">
      <c r="B521" s="256"/>
    </row>
    <row r="522" spans="2:2" x14ac:dyDescent="0.3">
      <c r="B522" s="256"/>
    </row>
    <row r="523" spans="2:2" x14ac:dyDescent="0.3">
      <c r="B523" s="256"/>
    </row>
    <row r="524" spans="2:2" x14ac:dyDescent="0.3">
      <c r="B524" s="256"/>
    </row>
    <row r="525" spans="2:2" x14ac:dyDescent="0.3">
      <c r="B525" s="256"/>
    </row>
    <row r="526" spans="2:2" x14ac:dyDescent="0.3">
      <c r="B526" s="256"/>
    </row>
    <row r="527" spans="2:2" x14ac:dyDescent="0.3">
      <c r="B527" s="256"/>
    </row>
    <row r="528" spans="2:2" x14ac:dyDescent="0.3">
      <c r="B528" s="256"/>
    </row>
    <row r="529" spans="2:2" x14ac:dyDescent="0.3">
      <c r="B529" s="256"/>
    </row>
    <row r="530" spans="2:2" x14ac:dyDescent="0.3">
      <c r="B530" s="256"/>
    </row>
    <row r="531" spans="2:2" x14ac:dyDescent="0.3">
      <c r="B531" s="256"/>
    </row>
    <row r="532" spans="2:2" x14ac:dyDescent="0.3">
      <c r="B532" s="256"/>
    </row>
    <row r="533" spans="2:2" x14ac:dyDescent="0.3">
      <c r="B533" s="256"/>
    </row>
    <row r="534" spans="2:2" x14ac:dyDescent="0.3">
      <c r="B534" s="256"/>
    </row>
    <row r="535" spans="2:2" x14ac:dyDescent="0.3">
      <c r="B535" s="256"/>
    </row>
    <row r="536" spans="2:2" x14ac:dyDescent="0.3">
      <c r="B536" s="256"/>
    </row>
    <row r="537" spans="2:2" x14ac:dyDescent="0.3">
      <c r="B537" s="256"/>
    </row>
    <row r="538" spans="2:2" x14ac:dyDescent="0.3">
      <c r="B538" s="256"/>
    </row>
    <row r="539" spans="2:2" x14ac:dyDescent="0.3">
      <c r="B539" s="256"/>
    </row>
    <row r="540" spans="2:2" x14ac:dyDescent="0.3">
      <c r="B540" s="256"/>
    </row>
    <row r="541" spans="2:2" x14ac:dyDescent="0.3">
      <c r="B541" s="256"/>
    </row>
    <row r="542" spans="2:2" x14ac:dyDescent="0.3">
      <c r="B542" s="256"/>
    </row>
    <row r="543" spans="2:2" x14ac:dyDescent="0.3">
      <c r="B543" s="256"/>
    </row>
    <row r="544" spans="2:2" x14ac:dyDescent="0.3">
      <c r="B544" s="256"/>
    </row>
    <row r="545" spans="2:2" x14ac:dyDescent="0.3">
      <c r="B545" s="256"/>
    </row>
    <row r="546" spans="2:2" x14ac:dyDescent="0.3">
      <c r="B546" s="256"/>
    </row>
    <row r="547" spans="2:2" x14ac:dyDescent="0.3">
      <c r="B547" s="256"/>
    </row>
    <row r="548" spans="2:2" x14ac:dyDescent="0.3">
      <c r="B548" s="256"/>
    </row>
    <row r="549" spans="2:2" x14ac:dyDescent="0.3">
      <c r="B549" s="256"/>
    </row>
    <row r="550" spans="2:2" x14ac:dyDescent="0.3">
      <c r="B550" s="256"/>
    </row>
    <row r="551" spans="2:2" x14ac:dyDescent="0.3">
      <c r="B551" s="256"/>
    </row>
    <row r="552" spans="2:2" x14ac:dyDescent="0.3">
      <c r="B552" s="256"/>
    </row>
    <row r="553" spans="2:2" x14ac:dyDescent="0.3">
      <c r="B553" s="256"/>
    </row>
    <row r="554" spans="2:2" x14ac:dyDescent="0.3">
      <c r="B554" s="256"/>
    </row>
    <row r="555" spans="2:2" x14ac:dyDescent="0.3">
      <c r="B555" s="256"/>
    </row>
    <row r="556" spans="2:2" x14ac:dyDescent="0.3">
      <c r="B556" s="256"/>
    </row>
    <row r="557" spans="2:2" x14ac:dyDescent="0.3">
      <c r="B557" s="256"/>
    </row>
    <row r="558" spans="2:2" x14ac:dyDescent="0.3">
      <c r="B558" s="256"/>
    </row>
    <row r="559" spans="2:2" x14ac:dyDescent="0.3">
      <c r="B559" s="256"/>
    </row>
    <row r="560" spans="2:2" x14ac:dyDescent="0.3">
      <c r="B560" s="256"/>
    </row>
    <row r="561" spans="2:2" x14ac:dyDescent="0.3">
      <c r="B561" s="256"/>
    </row>
    <row r="562" spans="2:2" x14ac:dyDescent="0.3">
      <c r="B562" s="256"/>
    </row>
    <row r="563" spans="2:2" x14ac:dyDescent="0.3">
      <c r="B563" s="256"/>
    </row>
    <row r="564" spans="2:2" x14ac:dyDescent="0.3">
      <c r="B564" s="256"/>
    </row>
    <row r="565" spans="2:2" x14ac:dyDescent="0.3">
      <c r="B565" s="256"/>
    </row>
    <row r="566" spans="2:2" x14ac:dyDescent="0.3">
      <c r="B566" s="256"/>
    </row>
    <row r="567" spans="2:2" x14ac:dyDescent="0.3">
      <c r="B567" s="256"/>
    </row>
    <row r="568" spans="2:2" x14ac:dyDescent="0.3">
      <c r="B568" s="256"/>
    </row>
    <row r="569" spans="2:2" x14ac:dyDescent="0.3">
      <c r="B569" s="256"/>
    </row>
    <row r="570" spans="2:2" x14ac:dyDescent="0.3">
      <c r="B570" s="256"/>
    </row>
    <row r="571" spans="2:2" x14ac:dyDescent="0.3">
      <c r="B571" s="256"/>
    </row>
    <row r="572" spans="2:2" x14ac:dyDescent="0.3">
      <c r="B572" s="256"/>
    </row>
    <row r="573" spans="2:2" x14ac:dyDescent="0.3">
      <c r="B573" s="256"/>
    </row>
    <row r="574" spans="2:2" x14ac:dyDescent="0.3">
      <c r="B574" s="256"/>
    </row>
    <row r="575" spans="2:2" x14ac:dyDescent="0.3">
      <c r="B575" s="256"/>
    </row>
    <row r="576" spans="2:2" x14ac:dyDescent="0.3">
      <c r="B576" s="256"/>
    </row>
    <row r="577" spans="2:2" x14ac:dyDescent="0.3">
      <c r="B577" s="256"/>
    </row>
    <row r="578" spans="2:2" x14ac:dyDescent="0.3">
      <c r="B578" s="256"/>
    </row>
    <row r="579" spans="2:2" x14ac:dyDescent="0.3">
      <c r="B579" s="256"/>
    </row>
    <row r="580" spans="2:2" x14ac:dyDescent="0.3">
      <c r="B580" s="256"/>
    </row>
    <row r="581" spans="2:2" x14ac:dyDescent="0.3">
      <c r="B581" s="256"/>
    </row>
    <row r="582" spans="2:2" x14ac:dyDescent="0.3">
      <c r="B582" s="256"/>
    </row>
    <row r="583" spans="2:2" x14ac:dyDescent="0.3">
      <c r="B583" s="256"/>
    </row>
    <row r="584" spans="2:2" x14ac:dyDescent="0.3">
      <c r="B584" s="256"/>
    </row>
    <row r="585" spans="2:2" x14ac:dyDescent="0.3">
      <c r="B585" s="256"/>
    </row>
    <row r="586" spans="2:2" x14ac:dyDescent="0.3">
      <c r="B586" s="256"/>
    </row>
    <row r="587" spans="2:2" x14ac:dyDescent="0.3">
      <c r="B587" s="256"/>
    </row>
    <row r="588" spans="2:2" x14ac:dyDescent="0.3">
      <c r="B588" s="256"/>
    </row>
    <row r="589" spans="2:2" x14ac:dyDescent="0.3">
      <c r="B589" s="256"/>
    </row>
    <row r="590" spans="2:2" x14ac:dyDescent="0.3">
      <c r="B590" s="256"/>
    </row>
    <row r="591" spans="2:2" x14ac:dyDescent="0.3">
      <c r="B591" s="256"/>
    </row>
    <row r="592" spans="2:2" x14ac:dyDescent="0.3">
      <c r="B592" s="256"/>
    </row>
    <row r="593" spans="2:2" x14ac:dyDescent="0.3">
      <c r="B593" s="256"/>
    </row>
    <row r="594" spans="2:2" x14ac:dyDescent="0.3">
      <c r="B594" s="256"/>
    </row>
    <row r="595" spans="2:2" x14ac:dyDescent="0.3">
      <c r="B595" s="256"/>
    </row>
    <row r="596" spans="2:2" x14ac:dyDescent="0.3">
      <c r="B596" s="256"/>
    </row>
    <row r="597" spans="2:2" x14ac:dyDescent="0.3">
      <c r="B597" s="256"/>
    </row>
    <row r="598" spans="2:2" x14ac:dyDescent="0.3">
      <c r="B598" s="256"/>
    </row>
    <row r="599" spans="2:2" x14ac:dyDescent="0.3">
      <c r="B599" s="256"/>
    </row>
    <row r="600" spans="2:2" x14ac:dyDescent="0.3">
      <c r="B600" s="256"/>
    </row>
    <row r="601" spans="2:2" x14ac:dyDescent="0.3">
      <c r="B601" s="256"/>
    </row>
    <row r="602" spans="2:2" x14ac:dyDescent="0.3">
      <c r="B602" s="256"/>
    </row>
    <row r="603" spans="2:2" x14ac:dyDescent="0.3">
      <c r="B603" s="256"/>
    </row>
    <row r="604" spans="2:2" x14ac:dyDescent="0.3">
      <c r="B604" s="256"/>
    </row>
    <row r="605" spans="2:2" x14ac:dyDescent="0.3">
      <c r="B605" s="256"/>
    </row>
    <row r="606" spans="2:2" x14ac:dyDescent="0.3">
      <c r="B606" s="256"/>
    </row>
    <row r="607" spans="2:2" x14ac:dyDescent="0.3">
      <c r="B607" s="256"/>
    </row>
    <row r="608" spans="2:2" x14ac:dyDescent="0.3">
      <c r="B608" s="256"/>
    </row>
    <row r="609" spans="2:2" x14ac:dyDescent="0.3">
      <c r="B609" s="256"/>
    </row>
    <row r="610" spans="2:2" x14ac:dyDescent="0.3">
      <c r="B610" s="256"/>
    </row>
    <row r="611" spans="2:2" x14ac:dyDescent="0.3">
      <c r="B611" s="256"/>
    </row>
    <row r="612" spans="2:2" x14ac:dyDescent="0.3">
      <c r="B612" s="256"/>
    </row>
    <row r="613" spans="2:2" x14ac:dyDescent="0.3">
      <c r="B613" s="256"/>
    </row>
    <row r="614" spans="2:2" x14ac:dyDescent="0.3">
      <c r="B614" s="256"/>
    </row>
    <row r="615" spans="2:2" x14ac:dyDescent="0.3">
      <c r="B615" s="256"/>
    </row>
    <row r="616" spans="2:2" x14ac:dyDescent="0.3">
      <c r="B616" s="256"/>
    </row>
    <row r="617" spans="2:2" x14ac:dyDescent="0.3">
      <c r="B617" s="256"/>
    </row>
    <row r="618" spans="2:2" x14ac:dyDescent="0.3">
      <c r="B618" s="256"/>
    </row>
    <row r="619" spans="2:2" x14ac:dyDescent="0.3">
      <c r="B619" s="256"/>
    </row>
    <row r="620" spans="2:2" x14ac:dyDescent="0.3">
      <c r="B620" s="256"/>
    </row>
    <row r="621" spans="2:2" x14ac:dyDescent="0.3">
      <c r="B621" s="256"/>
    </row>
    <row r="622" spans="2:2" x14ac:dyDescent="0.3">
      <c r="B622" s="256"/>
    </row>
    <row r="623" spans="2:2" x14ac:dyDescent="0.3">
      <c r="B623" s="256"/>
    </row>
    <row r="624" spans="2:2" x14ac:dyDescent="0.3">
      <c r="B624" s="256"/>
    </row>
    <row r="625" spans="2:2" x14ac:dyDescent="0.3">
      <c r="B625" s="256"/>
    </row>
    <row r="626" spans="2:2" x14ac:dyDescent="0.3">
      <c r="B626" s="256"/>
    </row>
    <row r="627" spans="2:2" x14ac:dyDescent="0.3">
      <c r="B627" s="256"/>
    </row>
    <row r="628" spans="2:2" x14ac:dyDescent="0.3">
      <c r="B628" s="256"/>
    </row>
    <row r="629" spans="2:2" x14ac:dyDescent="0.3">
      <c r="B629" s="256"/>
    </row>
    <row r="630" spans="2:2" x14ac:dyDescent="0.3">
      <c r="B630" s="256"/>
    </row>
    <row r="631" spans="2:2" x14ac:dyDescent="0.3">
      <c r="B631" s="256"/>
    </row>
    <row r="632" spans="2:2" x14ac:dyDescent="0.3">
      <c r="B632" s="256"/>
    </row>
    <row r="633" spans="2:2" x14ac:dyDescent="0.3">
      <c r="B633" s="256"/>
    </row>
    <row r="634" spans="2:2" x14ac:dyDescent="0.3">
      <c r="B634" s="256"/>
    </row>
    <row r="635" spans="2:2" x14ac:dyDescent="0.3">
      <c r="B635" s="256"/>
    </row>
    <row r="636" spans="2:2" x14ac:dyDescent="0.3">
      <c r="B636" s="256"/>
    </row>
    <row r="637" spans="2:2" x14ac:dyDescent="0.3">
      <c r="B637" s="256"/>
    </row>
    <row r="638" spans="2:2" x14ac:dyDescent="0.3">
      <c r="B638" s="256"/>
    </row>
    <row r="639" spans="2:2" x14ac:dyDescent="0.3">
      <c r="B639" s="256"/>
    </row>
    <row r="640" spans="2:2" x14ac:dyDescent="0.3">
      <c r="B640" s="256"/>
    </row>
    <row r="641" spans="2:2" x14ac:dyDescent="0.3">
      <c r="B641" s="256"/>
    </row>
    <row r="642" spans="2:2" x14ac:dyDescent="0.3">
      <c r="B642" s="256"/>
    </row>
    <row r="643" spans="2:2" x14ac:dyDescent="0.3">
      <c r="B643" s="256"/>
    </row>
    <row r="644" spans="2:2" x14ac:dyDescent="0.3">
      <c r="B644" s="256"/>
    </row>
    <row r="645" spans="2:2" x14ac:dyDescent="0.3">
      <c r="B645" s="256"/>
    </row>
    <row r="646" spans="2:2" x14ac:dyDescent="0.3">
      <c r="B646" s="256"/>
    </row>
    <row r="647" spans="2:2" x14ac:dyDescent="0.3">
      <c r="B647" s="256"/>
    </row>
    <row r="648" spans="2:2" x14ac:dyDescent="0.3">
      <c r="B648" s="256"/>
    </row>
    <row r="649" spans="2:2" x14ac:dyDescent="0.3">
      <c r="B649" s="256"/>
    </row>
    <row r="650" spans="2:2" x14ac:dyDescent="0.3">
      <c r="B650" s="256"/>
    </row>
    <row r="651" spans="2:2" x14ac:dyDescent="0.3">
      <c r="B651" s="256"/>
    </row>
    <row r="652" spans="2:2" x14ac:dyDescent="0.3">
      <c r="B652" s="256"/>
    </row>
    <row r="653" spans="2:2" x14ac:dyDescent="0.3">
      <c r="B653" s="256"/>
    </row>
  </sheetData>
  <mergeCells count="24">
    <mergeCell ref="D1:Q1"/>
    <mergeCell ref="D2:Q2"/>
    <mergeCell ref="A1:C2"/>
    <mergeCell ref="S8:T8"/>
    <mergeCell ref="S11:Z11"/>
    <mergeCell ref="S10:Y10"/>
    <mergeCell ref="P3:P4"/>
    <mergeCell ref="Q3:Q4"/>
    <mergeCell ref="S5:T5"/>
    <mergeCell ref="S6:T6"/>
    <mergeCell ref="U6:Y6"/>
    <mergeCell ref="S7:T7"/>
    <mergeCell ref="U7:Y7"/>
    <mergeCell ref="F3:F4"/>
    <mergeCell ref="G3:G4"/>
    <mergeCell ref="H3:H4"/>
    <mergeCell ref="I3:I4"/>
    <mergeCell ref="J3:L3"/>
    <mergeCell ref="M3:O3"/>
    <mergeCell ref="A3:A4"/>
    <mergeCell ref="B3:B4"/>
    <mergeCell ref="C3:C4"/>
    <mergeCell ref="D3:D4"/>
    <mergeCell ref="E3:E4"/>
  </mergeCells>
  <conditionalFormatting sqref="H5:H1048576">
    <cfRule type="colorScale" priority="14">
      <colorScale>
        <cfvo type="min"/>
        <cfvo type="percentile" val="50"/>
        <cfvo type="max"/>
        <color rgb="FFF8696B"/>
        <color rgb="FFFFEB84"/>
        <color rgb="FF63BE7B"/>
      </colorScale>
    </cfRule>
  </conditionalFormatting>
  <conditionalFormatting sqref="I3:I1048576">
    <cfRule type="colorScale" priority="11">
      <colorScale>
        <cfvo type="min"/>
        <cfvo type="max"/>
        <color rgb="FFFF7128"/>
        <color rgb="FFFFEF9C"/>
      </colorScale>
    </cfRule>
  </conditionalFormatting>
  <conditionalFormatting sqref="J4:J1048576">
    <cfRule type="colorScale" priority="12">
      <colorScale>
        <cfvo type="min"/>
        <cfvo type="percentile" val="50"/>
        <cfvo type="max"/>
        <color rgb="FF63BE7B"/>
        <color rgb="FFFFEB84"/>
        <color rgb="FFF8696B"/>
      </colorScale>
    </cfRule>
  </conditionalFormatting>
  <conditionalFormatting sqref="K3:K1048576">
    <cfRule type="colorScale" priority="10">
      <colorScale>
        <cfvo type="min"/>
        <cfvo type="max"/>
        <color rgb="FFFFEF9C"/>
        <color rgb="FFFF7128"/>
      </colorScale>
    </cfRule>
  </conditionalFormatting>
  <conditionalFormatting sqref="L3:L1048576">
    <cfRule type="colorScale" priority="9">
      <colorScale>
        <cfvo type="min"/>
        <cfvo type="max"/>
        <color rgb="FFFFEF9C"/>
        <color rgb="FFFF7128"/>
      </colorScale>
    </cfRule>
  </conditionalFormatting>
  <conditionalFormatting sqref="M5:M1048576">
    <cfRule type="colorScale" priority="13">
      <colorScale>
        <cfvo type="min"/>
        <cfvo type="percentile" val="50"/>
        <cfvo type="max"/>
        <color rgb="FF63BE7B"/>
        <color rgb="FFFFEB84"/>
        <color rgb="FFF8696B"/>
      </colorScale>
    </cfRule>
  </conditionalFormatting>
  <conditionalFormatting sqref="N5:N1048576 N3">
    <cfRule type="colorScale" priority="8">
      <colorScale>
        <cfvo type="min"/>
        <cfvo type="max"/>
        <color rgb="FFFFEF9C"/>
        <color rgb="FFFF7128"/>
      </colorScale>
    </cfRule>
  </conditionalFormatting>
  <conditionalFormatting sqref="O5:O1048576 O3">
    <cfRule type="colorScale" priority="7">
      <colorScale>
        <cfvo type="min"/>
        <cfvo type="max"/>
        <color rgb="FFFFEF9C"/>
        <color rgb="FFFF7128"/>
      </colorScale>
    </cfRule>
  </conditionalFormatting>
  <conditionalFormatting sqref="M4">
    <cfRule type="colorScale" priority="6">
      <colorScale>
        <cfvo type="min"/>
        <cfvo type="percentile" val="50"/>
        <cfvo type="max"/>
        <color rgb="FF63BE7B"/>
        <color rgb="FFFFEB84"/>
        <color rgb="FFF8696B"/>
      </colorScale>
    </cfRule>
  </conditionalFormatting>
  <conditionalFormatting sqref="N4">
    <cfRule type="colorScale" priority="5">
      <colorScale>
        <cfvo type="min"/>
        <cfvo type="max"/>
        <color rgb="FFFFEF9C"/>
        <color rgb="FFFF7128"/>
      </colorScale>
    </cfRule>
  </conditionalFormatting>
  <conditionalFormatting sqref="O4">
    <cfRule type="colorScale" priority="4">
      <colorScale>
        <cfvo type="min"/>
        <cfvo type="max"/>
        <color rgb="FFFFEF9C"/>
        <color rgb="FFFF7128"/>
      </colorScale>
    </cfRule>
  </conditionalFormatting>
  <conditionalFormatting sqref="A5:C9999">
    <cfRule type="expression" dxfId="17" priority="1">
      <formula>EXACT($A5, "Daily")</formula>
    </cfRule>
    <cfRule type="expression" dxfId="16" priority="2">
      <formula>EXACT($A5, "Error")</formula>
    </cfRule>
    <cfRule type="expression" dxfId="15" priority="3">
      <formula>EXACT($A5, "Trial")</formula>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807619EF-9AE1-493D-9E97-8904F261B843}">
          <x14:formula1>
            <xm:f>'Data-Lists'!$C$3:$C$5</xm:f>
          </x14:formula1>
          <xm:sqref>A5:A8</xm:sqref>
        </x14:dataValidation>
        <x14:dataValidation type="list" allowBlank="1" showInputMessage="1" showErrorMessage="1" xr:uid="{5B864A4B-5F87-4AAF-88D1-21D1FB23751D}">
          <x14:formula1>
            <xm:f>'Data-Lists'!$B$3:$B$245</xm:f>
          </x14:formula1>
          <xm:sqref>C5:C8</xm:sqref>
        </x14:dataValidation>
        <x14:dataValidation type="list" allowBlank="1" showInputMessage="1" showErrorMessage="1" xr:uid="{EE206A71-0C35-4D6E-8D03-2D9260746B93}">
          <x14:formula1>
            <xm:f>'Data-Lists'!$D$3:$D$9999</xm:f>
          </x14:formula1>
          <xm:sqref>B5:B9</xm:sqref>
        </x14:dataValidation>
        <x14:dataValidation type="list" allowBlank="1" showInputMessage="1" showErrorMessage="1" xr:uid="{34B0D72B-B560-40FE-8752-53B819D34661}">
          <x14:formula1>
            <xm:f>Daily!$R$11:$R$16</xm:f>
          </x14:formula1>
          <xm:sqref>F5:F8</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45B93-7D15-4AF8-8394-4FC0D8F01FC3}">
  <sheetPr>
    <tabColor rgb="FFC5D9F1"/>
  </sheetPr>
  <dimension ref="A1:AA655"/>
  <sheetViews>
    <sheetView showZeros="0" tabSelected="1" zoomScale="75" zoomScaleNormal="75" workbookViewId="0">
      <pane ySplit="4" topLeftCell="A5" activePane="bottomLeft" state="frozen"/>
      <selection pane="bottomLeft" activeCell="M20" sqref="M20"/>
    </sheetView>
  </sheetViews>
  <sheetFormatPr defaultColWidth="8.6640625" defaultRowHeight="14.4" x14ac:dyDescent="0.3"/>
  <cols>
    <col min="1" max="1" width="10.77734375" style="66" customWidth="1"/>
    <col min="2" max="2" width="20.77734375" style="257" customWidth="1"/>
    <col min="3" max="3" width="15.77734375" style="66" customWidth="1"/>
    <col min="4" max="4" width="15.77734375" style="67" customWidth="1"/>
    <col min="5" max="5" width="12.77734375" style="77" customWidth="1"/>
    <col min="6" max="6" width="12.77734375" style="66" customWidth="1"/>
    <col min="7" max="7" width="15.77734375" style="78" customWidth="1"/>
    <col min="8" max="8" width="15" style="66" customWidth="1"/>
    <col min="9" max="9" width="18.77734375" style="79" customWidth="1"/>
    <col min="10" max="15" width="15" style="66" customWidth="1"/>
    <col min="16" max="17" width="50.77734375" style="36" customWidth="1"/>
    <col min="18" max="18" width="50.77734375" style="75" customWidth="1"/>
    <col min="19" max="20" width="8.6640625" style="66"/>
    <col min="21" max="21" width="8.6640625" style="76" customWidth="1"/>
    <col min="22" max="16384" width="8.6640625" style="66"/>
  </cols>
  <sheetData>
    <row r="1" spans="1:27" s="222" customFormat="1" ht="13.8" x14ac:dyDescent="0.3">
      <c r="A1" s="252" t="s">
        <v>184</v>
      </c>
      <c r="B1" s="252"/>
      <c r="C1" s="253"/>
      <c r="D1" s="224" t="s">
        <v>194</v>
      </c>
      <c r="E1" s="224"/>
      <c r="F1" s="224"/>
      <c r="G1" s="224"/>
      <c r="H1" s="224"/>
      <c r="I1" s="224"/>
      <c r="J1" s="224"/>
      <c r="K1" s="224"/>
      <c r="L1" s="224"/>
      <c r="M1" s="224"/>
      <c r="N1" s="224"/>
      <c r="O1" s="224"/>
      <c r="P1" s="224"/>
      <c r="Q1" s="224"/>
      <c r="R1" s="224"/>
      <c r="U1" s="223"/>
    </row>
    <row r="2" spans="1:27" s="222" customFormat="1" ht="13.8" x14ac:dyDescent="0.3">
      <c r="A2" s="254"/>
      <c r="B2" s="254"/>
      <c r="C2" s="255"/>
      <c r="D2" s="220" t="s">
        <v>195</v>
      </c>
      <c r="E2" s="221"/>
      <c r="F2" s="221"/>
      <c r="G2" s="221"/>
      <c r="H2" s="221"/>
      <c r="I2" s="221"/>
      <c r="J2" s="221"/>
      <c r="K2" s="221"/>
      <c r="L2" s="221"/>
      <c r="M2" s="221"/>
      <c r="N2" s="221"/>
      <c r="O2" s="221"/>
      <c r="P2" s="221"/>
      <c r="Q2" s="221"/>
      <c r="R2" s="221"/>
      <c r="U2" s="223"/>
    </row>
    <row r="3" spans="1:27" ht="15.6" x14ac:dyDescent="0.3">
      <c r="A3" s="283" t="s">
        <v>112</v>
      </c>
      <c r="B3" s="284" t="s">
        <v>114</v>
      </c>
      <c r="C3" s="285" t="s">
        <v>31</v>
      </c>
      <c r="D3" s="116" t="s">
        <v>58</v>
      </c>
      <c r="E3" s="116" t="s">
        <v>59</v>
      </c>
      <c r="F3" s="231" t="s">
        <v>99</v>
      </c>
      <c r="G3" s="118" t="s">
        <v>75</v>
      </c>
      <c r="H3" s="233" t="s">
        <v>35</v>
      </c>
      <c r="I3" s="234" t="s">
        <v>148</v>
      </c>
      <c r="J3" s="237" t="s">
        <v>33</v>
      </c>
      <c r="K3" s="237"/>
      <c r="L3" s="237"/>
      <c r="M3" s="237" t="s">
        <v>34</v>
      </c>
      <c r="N3" s="237"/>
      <c r="O3" s="237"/>
      <c r="P3" s="138" t="s">
        <v>161</v>
      </c>
      <c r="Q3" s="303" t="s">
        <v>188</v>
      </c>
      <c r="R3" s="144" t="s">
        <v>153</v>
      </c>
    </row>
    <row r="4" spans="1:27" ht="13.8" x14ac:dyDescent="0.3">
      <c r="A4" s="308"/>
      <c r="B4" s="309"/>
      <c r="C4" s="310"/>
      <c r="D4" s="311"/>
      <c r="E4" s="311"/>
      <c r="F4" s="312"/>
      <c r="G4" s="313"/>
      <c r="H4" s="265"/>
      <c r="I4" s="314"/>
      <c r="J4" s="302" t="s">
        <v>149</v>
      </c>
      <c r="K4" s="302" t="s">
        <v>150</v>
      </c>
      <c r="L4" s="302" t="s">
        <v>151</v>
      </c>
      <c r="M4" s="302" t="s">
        <v>149</v>
      </c>
      <c r="N4" s="302" t="s">
        <v>150</v>
      </c>
      <c r="O4" s="302" t="s">
        <v>151</v>
      </c>
      <c r="P4" s="240"/>
      <c r="Q4" s="315"/>
      <c r="R4" s="316"/>
    </row>
    <row r="5" spans="1:27" ht="14.4" customHeight="1" x14ac:dyDescent="0.3">
      <c r="A5" s="258"/>
      <c r="B5" s="256"/>
      <c r="C5" s="8"/>
      <c r="D5" s="51"/>
      <c r="E5" s="52"/>
      <c r="G5" s="63"/>
      <c r="H5" s="14" t="str">
        <f>IF(COUNTBLANK($A5:$E5)&gt;0, "", IFERROR(AVERAGEIFS(Log!$E:$E, Log!$A:$A, $A5, Log!$B:$B, $B5, Log!$C:$C, $C5),""))</f>
        <v/>
      </c>
      <c r="I5" s="64" t="str">
        <f t="shared" ref="I5:I61" si="0">IF(AND($H5&lt;&gt;"", $G5&lt;&gt;""), $H5/$G5, "")</f>
        <v/>
      </c>
      <c r="J5" s="9" t="str">
        <f>IF(COUNTBLANK($A5:$E5)&gt;0, "", IFERROR(AVERAGEIFS(Log!$H:$H, Log!$A:$A, $A5, Log!$B:$B, $B5, Log!$C:$C, $C5),""))</f>
        <v/>
      </c>
      <c r="K5" s="9" t="str">
        <f>IF(COUNTBLANK($A5:$E5)&gt;0, "", IFERROR(_xlfn.MINIFS(Log!$F:$F, Log!$A:$A, $A5, Log!$B:$B, $B5, Log!$C:$C, $C5),""))</f>
        <v/>
      </c>
      <c r="L5" s="9" t="str">
        <f>IF(COUNTBLANK($A5:$E5)&gt;0, "", IFERROR(_xlfn.MAXIFS(Log!$F:$F, Log!$A:$A, $A5, Log!$B:$B, $B5, Log!$C:$C, $C5),""))</f>
        <v/>
      </c>
      <c r="M5" s="9" t="str">
        <f>IF(COUNTBLANK($A5:$E5)&gt;0, "", IFERROR(AVERAGEIFS(Log!$I:$I, Log!$A:$A, $A5, Log!$B:$B, $B5, Log!$C:$C, $C5),""))</f>
        <v/>
      </c>
      <c r="N5" s="9" t="str">
        <f>IF(COUNTBLANK($A5:$E5)&gt;0, "", IFERROR(_xlfn.MINIFS(Log!$G:$G, Log!$A:$A, $A5, Log!$B:$B, $B5, Log!$C:$C, $C5),""))</f>
        <v/>
      </c>
      <c r="O5" s="9" t="str">
        <f>IF(COUNTBLANK($A5:$E5)&gt;0, "", IFERROR(_xlfn.MAXIFS(Log!$G:$G, Log!$A:$A, $A5, Log!$B:$B, $B5, Log!$C:$C, $C5),""))</f>
        <v/>
      </c>
      <c r="T5" s="244" t="s">
        <v>160</v>
      </c>
      <c r="U5" s="245"/>
      <c r="V5" s="245"/>
      <c r="W5" s="245"/>
      <c r="X5" s="245"/>
      <c r="Y5" s="245"/>
      <c r="Z5" s="245"/>
      <c r="AA5" s="246"/>
    </row>
    <row r="6" spans="1:27" x14ac:dyDescent="0.3">
      <c r="A6" s="239" t="s">
        <v>115</v>
      </c>
      <c r="B6" s="256" t="s">
        <v>172</v>
      </c>
      <c r="C6" s="8">
        <v>46240</v>
      </c>
      <c r="D6" s="51">
        <v>25</v>
      </c>
      <c r="E6" s="52">
        <v>0.64722222222222225</v>
      </c>
      <c r="F6" s="140" t="s">
        <v>97</v>
      </c>
      <c r="G6" s="63">
        <v>1000</v>
      </c>
      <c r="H6" s="14">
        <f>IF(COUNTBLANK($A6:$E6)&gt;0, "", IFERROR(AVERAGEIFS(Log!$E:$E, Log!$A:$A, $A6, Log!$B:$B, $B6, Log!$C:$C, $C6),""))</f>
        <v>1994.5555555555557</v>
      </c>
      <c r="I6" s="64">
        <f>IF(AND($H6&lt;&gt;"", $G6&lt;&gt;""), $H6/$G6, "")</f>
        <v>1.9945555555555556</v>
      </c>
      <c r="J6" s="9">
        <f>IF(COUNTBLANK($A6:$E6)&gt;0, "", IFERROR(AVERAGEIFS(Log!$H:$H, Log!$A:$A, $A6, Log!$B:$B, $B6, Log!$C:$C, $C6),""))</f>
        <v>0.42452883333333341</v>
      </c>
      <c r="K6" s="9">
        <f>IF(COUNTBLANK($A6:$E6)&gt;0, "", IFERROR(_xlfn.MINIFS(Log!$F:$F, Log!$A:$A, $A6, Log!$B:$B, $B6, Log!$C:$C, $C6),""))</f>
        <v>0.19153899999999999</v>
      </c>
      <c r="L6" s="9">
        <f>IF(COUNTBLANK($A6:$E6)&gt;0, "", IFERROR(_xlfn.MAXIFS(Log!$F:$F, Log!$A:$A, $A6, Log!$B:$B, $B6, Log!$C:$C, $C6),""))</f>
        <v>0.75186900000000001</v>
      </c>
      <c r="M6" s="9">
        <f>IF(COUNTBLANK($A6:$E6)&gt;0, "", IFERROR(AVERAGEIFS(Log!$I:$I, Log!$A:$A, $A6, Log!$B:$B, $B6, Log!$C:$C, $C6),""))</f>
        <v>0.10059798888888884</v>
      </c>
      <c r="N6" s="9">
        <f>IF(COUNTBLANK($A6:$E6)&gt;0, "", IFERROR(_xlfn.MINIFS(Log!$G:$G, Log!$A:$A, $A6, Log!$B:$B, $B6, Log!$C:$C, $C6),""))</f>
        <v>4.7962699999999997E-2</v>
      </c>
      <c r="O6" s="9">
        <f>IF(COUNTBLANK($A6:$E6)&gt;0, "", IFERROR(_xlfn.MAXIFS(Log!$G:$G, Log!$A:$A, $A6, Log!$B:$B, $B6, Log!$C:$C, $C6),""))</f>
        <v>0.151252</v>
      </c>
      <c r="P6" s="317" t="s">
        <v>182</v>
      </c>
      <c r="Q6" s="317" t="s">
        <v>189</v>
      </c>
      <c r="R6" s="317" t="s">
        <v>183</v>
      </c>
      <c r="T6" s="289" t="s">
        <v>130</v>
      </c>
      <c r="U6" s="289"/>
      <c r="V6"/>
      <c r="W6"/>
      <c r="X6"/>
      <c r="Y6"/>
    </row>
    <row r="7" spans="1:27" x14ac:dyDescent="0.3">
      <c r="A7" s="239" t="s">
        <v>115</v>
      </c>
      <c r="B7" s="256" t="s">
        <v>173</v>
      </c>
      <c r="C7" s="8">
        <v>46240</v>
      </c>
      <c r="D7" s="51">
        <v>25</v>
      </c>
      <c r="E7" s="52">
        <v>0.66041666666666665</v>
      </c>
      <c r="F7" s="140" t="s">
        <v>97</v>
      </c>
      <c r="G7" s="63">
        <v>1000</v>
      </c>
      <c r="H7" s="14">
        <f>IF(COUNTBLANK($A7:$E7)&gt;0, "", IFERROR(AVERAGEIFS(Log!$E:$E, Log!$A:$A, $A7, Log!$B:$B, $B7, Log!$C:$C, $C7),""))</f>
        <v>2307.7222222222222</v>
      </c>
      <c r="I7" s="64">
        <f t="shared" si="0"/>
        <v>2.307722222222222</v>
      </c>
      <c r="J7" s="9">
        <f>IF(COUNTBLANK($A7:$E7)&gt;0, "", IFERROR(AVERAGEIFS(Log!$H:$H, Log!$A:$A, $A7, Log!$B:$B, $B7, Log!$C:$C, $C7),""))</f>
        <v>0.45376905555555536</v>
      </c>
      <c r="K7" s="9">
        <f>IF(COUNTBLANK($A7:$E7)&gt;0, "", IFERROR(_xlfn.MINIFS(Log!$F:$F, Log!$A:$A, $A7, Log!$B:$B, $B7, Log!$C:$C, $C7),""))</f>
        <v>0.19483200000000001</v>
      </c>
      <c r="L7" s="9">
        <f>IF(COUNTBLANK($A7:$E7)&gt;0, "", IFERROR(_xlfn.MAXIFS(Log!$F:$F, Log!$A:$A, $A7, Log!$B:$B, $B7, Log!$C:$C, $C7),""))</f>
        <v>0.94636500000000001</v>
      </c>
      <c r="M7" s="9">
        <f>IF(COUNTBLANK($A7:$E7)&gt;0, "", IFERROR(AVERAGEIFS(Log!$I:$I, Log!$A:$A, $A7, Log!$B:$B, $B7, Log!$C:$C, $C7),""))</f>
        <v>0.10801037222222226</v>
      </c>
      <c r="N7" s="9">
        <f>IF(COUNTBLANK($A7:$E7)&gt;0, "", IFERROR(_xlfn.MINIFS(Log!$G:$G, Log!$A:$A, $A7, Log!$B:$B, $B7, Log!$C:$C, $C7),""))</f>
        <v>4.92673E-2</v>
      </c>
      <c r="O7" s="9">
        <f>IF(COUNTBLANK($A7:$E7)&gt;0, "", IFERROR(_xlfn.MAXIFS(Log!$G:$G, Log!$A:$A, $A7, Log!$B:$B, $B7, Log!$C:$C, $C7),""))</f>
        <v>0.197852</v>
      </c>
      <c r="P7" s="301"/>
      <c r="Q7" s="301"/>
      <c r="R7" s="301"/>
      <c r="T7" s="304"/>
      <c r="U7" s="304"/>
      <c r="V7" s="305" t="s">
        <v>180</v>
      </c>
      <c r="W7" s="305"/>
      <c r="X7" s="305"/>
      <c r="Y7" s="305"/>
      <c r="Z7" s="305"/>
    </row>
    <row r="8" spans="1:27" ht="14.4" customHeight="1" x14ac:dyDescent="0.3">
      <c r="A8" s="258"/>
      <c r="B8" s="256"/>
      <c r="C8" s="8"/>
      <c r="D8" s="51"/>
      <c r="E8" s="52"/>
      <c r="G8" s="63"/>
      <c r="H8" s="14" t="str">
        <f>IF(COUNTBLANK($A8:$E8)&gt;0, "", IFERROR(AVERAGEIFS(Log!$E:$E, Log!$A:$A, $A8, Log!$B:$B, $B8, Log!$C:$C, $C8),""))</f>
        <v/>
      </c>
      <c r="I8" s="64" t="str">
        <f t="shared" si="0"/>
        <v/>
      </c>
      <c r="J8" s="9" t="str">
        <f>IF(COUNTBLANK($A8:$E8)&gt;0, "", IFERROR(AVERAGEIFS(Log!$H:$H, Log!$A:$A, $A8, Log!$B:$B, $B8, Log!$C:$C, $C8),""))</f>
        <v/>
      </c>
      <c r="K8" s="9" t="str">
        <f>IF(COUNTBLANK($A8:$E8)&gt;0, "", IFERROR(_xlfn.MINIFS(Log!$F:$F, Log!$A:$A, $A8, Log!$B:$B, $B8, Log!$C:$C, $C8),""))</f>
        <v/>
      </c>
      <c r="L8" s="9" t="str">
        <f>IF(COUNTBLANK($A8:$E8)&gt;0, "", IFERROR(_xlfn.MAXIFS(Log!$F:$F, Log!$A:$A, $A8, Log!$B:$B, $B8, Log!$C:$C, $C8),""))</f>
        <v/>
      </c>
      <c r="M8" s="9" t="str">
        <f>IF(COUNTBLANK($A8:$E8)&gt;0, "", IFERROR(AVERAGEIFS(Log!$I:$I, Log!$A:$A, $A8, Log!$B:$B, $B8, Log!$C:$C, $C8),""))</f>
        <v/>
      </c>
      <c r="N8" s="9" t="str">
        <f>IF(COUNTBLANK($A8:$E8)&gt;0, "", IFERROR(_xlfn.MINIFS(Log!$G:$G, Log!$A:$A, $A8, Log!$B:$B, $B8, Log!$C:$C, $C8),""))</f>
        <v/>
      </c>
      <c r="O8" s="9" t="str">
        <f>IF(COUNTBLANK($A8:$E8)&gt;0, "", IFERROR(_xlfn.MAXIFS(Log!$G:$G, Log!$A:$A, $A8, Log!$B:$B, $B8, Log!$C:$C, $C8),""))</f>
        <v/>
      </c>
      <c r="T8" s="244" t="s">
        <v>160</v>
      </c>
      <c r="U8" s="245"/>
      <c r="V8" s="245"/>
      <c r="W8" s="245"/>
      <c r="X8" s="245"/>
      <c r="Y8" s="245"/>
      <c r="Z8" s="245"/>
      <c r="AA8" s="246"/>
    </row>
    <row r="9" spans="1:27" ht="72" customHeight="1" x14ac:dyDescent="0.3">
      <c r="A9" s="239" t="s">
        <v>115</v>
      </c>
      <c r="B9" s="256" t="s">
        <v>192</v>
      </c>
      <c r="C9" s="8">
        <v>46242</v>
      </c>
      <c r="D9" s="51">
        <v>24.5</v>
      </c>
      <c r="E9" s="52">
        <v>0.62361111111111112</v>
      </c>
      <c r="F9" s="140" t="s">
        <v>97</v>
      </c>
      <c r="G9" s="63">
        <v>1000</v>
      </c>
      <c r="H9" s="14">
        <f>IF(COUNTBLANK($A9:$E9)&gt;0, "", IFERROR(AVERAGEIFS(Log!$E:$E, Log!$A:$A, $A9, Log!$B:$B, $B9, Log!$C:$C, $C9),""))</f>
        <v>1881.4444444444443</v>
      </c>
      <c r="I9" s="64">
        <f t="shared" si="0"/>
        <v>1.8814444444444443</v>
      </c>
      <c r="J9" s="9">
        <f>IF(COUNTBLANK($A9:$E9)&gt;0, "", IFERROR(AVERAGEIFS(Log!$H:$H, Log!$A:$A, $A9, Log!$B:$B, $B9, Log!$C:$C, $C9),""))</f>
        <v>0.38615661111111099</v>
      </c>
      <c r="K9" s="9">
        <f>IF(COUNTBLANK($A9:$E9)&gt;0, "", IFERROR(_xlfn.MINIFS(Log!$F:$F, Log!$A:$A, $A9, Log!$B:$B, $B9, Log!$C:$C, $C9),""))</f>
        <v>0.17077700000000001</v>
      </c>
      <c r="L9" s="9">
        <f>IF(COUNTBLANK($A9:$E9)&gt;0, "", IFERROR(_xlfn.MAXIFS(Log!$F:$F, Log!$A:$A, $A9, Log!$B:$B, $B9, Log!$C:$C, $C9),""))</f>
        <v>0.54024799999999995</v>
      </c>
      <c r="M9" s="9">
        <f>IF(COUNTBLANK($A9:$E9)&gt;0, "", IFERROR(AVERAGEIFS(Log!$I:$I, Log!$A:$A, $A9, Log!$B:$B, $B9, Log!$C:$C, $C9),""))</f>
        <v>9.2878877777777799E-2</v>
      </c>
      <c r="N9" s="9">
        <f>IF(COUNTBLANK($A9:$E9)&gt;0, "", IFERROR(_xlfn.MINIFS(Log!$G:$G, Log!$A:$A, $A9, Log!$B:$B, $B9, Log!$C:$C, $C9),""))</f>
        <v>4.3160200000000003E-2</v>
      </c>
      <c r="O9" s="9">
        <f>IF(COUNTBLANK($A9:$E9)&gt;0, "", IFERROR(_xlfn.MAXIFS(Log!$G:$G, Log!$A:$A, $A9, Log!$B:$B, $B9, Log!$C:$C, $C9),""))</f>
        <v>0.13869799999999999</v>
      </c>
      <c r="P9" s="301" t="s">
        <v>190</v>
      </c>
      <c r="Q9" s="301" t="s">
        <v>196</v>
      </c>
      <c r="R9" s="301" t="s">
        <v>198</v>
      </c>
      <c r="T9" s="306"/>
      <c r="U9" s="306"/>
      <c r="V9" s="307" t="s">
        <v>179</v>
      </c>
      <c r="W9" s="307"/>
      <c r="X9" s="307"/>
      <c r="Y9" s="307"/>
      <c r="Z9" s="307"/>
    </row>
    <row r="10" spans="1:27" x14ac:dyDescent="0.3">
      <c r="A10" s="239" t="s">
        <v>115</v>
      </c>
      <c r="B10" s="256" t="s">
        <v>191</v>
      </c>
      <c r="C10" s="8">
        <v>46242</v>
      </c>
      <c r="D10" s="51">
        <v>24.5</v>
      </c>
      <c r="E10" s="52">
        <v>0.63680555555555551</v>
      </c>
      <c r="F10" s="140" t="s">
        <v>97</v>
      </c>
      <c r="G10" s="63">
        <v>2000</v>
      </c>
      <c r="H10" s="14">
        <f>IF(COUNTBLANK($A10:$E10)&gt;0, "", IFERROR(AVERAGEIFS(Log!$E:$E, Log!$A:$A, $A10, Log!$B:$B, $B10, Log!$C:$C, $C10),""))</f>
        <v>3373.3888888888887</v>
      </c>
      <c r="I10" s="64">
        <f t="shared" si="0"/>
        <v>1.6866944444444443</v>
      </c>
      <c r="J10" s="9">
        <f>IF(COUNTBLANK($A10:$E10)&gt;0, "", IFERROR(AVERAGEIFS(Log!$H:$H, Log!$A:$A, $A10, Log!$B:$B, $B10, Log!$C:$C, $C10),""))</f>
        <v>0.36258505555555565</v>
      </c>
      <c r="K10" s="9">
        <f>IF(COUNTBLANK($A10:$E10)&gt;0, "", IFERROR(_xlfn.MINIFS(Log!$F:$F, Log!$A:$A, $A10, Log!$B:$B, $B10, Log!$C:$C, $C10),""))</f>
        <v>0.13646</v>
      </c>
      <c r="L10" s="9">
        <f>IF(COUNTBLANK($A10:$E10)&gt;0, "", IFERROR(_xlfn.MAXIFS(Log!$F:$F, Log!$A:$A, $A10, Log!$B:$B, $B10, Log!$C:$C, $C10),""))</f>
        <v>0.499662</v>
      </c>
      <c r="M10" s="9">
        <f>IF(COUNTBLANK($A10:$E10)&gt;0, "", IFERROR(AVERAGEIFS(Log!$I:$I, Log!$A:$A, $A10, Log!$B:$B, $B10, Log!$C:$C, $C10),""))</f>
        <v>8.7321022222222239E-2</v>
      </c>
      <c r="N10" s="9">
        <f>IF(COUNTBLANK($A10:$E10)&gt;0, "", IFERROR(_xlfn.MINIFS(Log!$G:$G, Log!$A:$A, $A10, Log!$B:$B, $B10, Log!$C:$C, $C10),""))</f>
        <v>3.44975E-2</v>
      </c>
      <c r="O10" s="9">
        <f>IF(COUNTBLANK($A10:$E10)&gt;0, "", IFERROR(_xlfn.MAXIFS(Log!$G:$G, Log!$A:$A, $A10, Log!$B:$B, $B10, Log!$C:$C, $C10),""))</f>
        <v>0.13658699999999999</v>
      </c>
      <c r="P10" s="301"/>
      <c r="Q10" s="301"/>
      <c r="R10" s="301"/>
      <c r="T10" s="294"/>
      <c r="U10" s="295"/>
      <c r="V10" s="228" t="s">
        <v>129</v>
      </c>
      <c r="W10" s="228"/>
      <c r="X10" s="228"/>
      <c r="Y10" s="228"/>
      <c r="Z10" s="228"/>
    </row>
    <row r="11" spans="1:27" ht="13.8" customHeight="1" x14ac:dyDescent="0.3">
      <c r="A11" s="239" t="s">
        <v>115</v>
      </c>
      <c r="B11" s="256" t="s">
        <v>193</v>
      </c>
      <c r="C11" s="8">
        <v>46242</v>
      </c>
      <c r="D11" s="51">
        <v>24.5</v>
      </c>
      <c r="E11" s="52">
        <v>0.65625</v>
      </c>
      <c r="F11" s="140" t="s">
        <v>97</v>
      </c>
      <c r="G11" s="63">
        <v>2000</v>
      </c>
      <c r="H11" s="14">
        <f>IF(COUNTBLANK($A11:$E11)&gt;0, "", IFERROR(AVERAGEIFS(Log!$E:$E, Log!$A:$A, $A11, Log!$B:$B, $B11, Log!$C:$C, $C11),""))</f>
        <v>3374.4444444444443</v>
      </c>
      <c r="I11" s="64">
        <f t="shared" si="0"/>
        <v>1.6872222222222222</v>
      </c>
      <c r="J11" s="9">
        <f>IF(COUNTBLANK($A11:$E11)&gt;0, "", IFERROR(AVERAGEIFS(Log!$H:$H, Log!$A:$A, $A11, Log!$B:$B, $B11, Log!$C:$C, $C11),""))</f>
        <v>0.38776061111111115</v>
      </c>
      <c r="K11" s="9">
        <f>IF(COUNTBLANK($A11:$E11)&gt;0, "", IFERROR(_xlfn.MINIFS(Log!$F:$F, Log!$A:$A, $A11, Log!$B:$B, $B11, Log!$C:$C, $C11),""))</f>
        <v>0.17380200000000001</v>
      </c>
      <c r="L11" s="9">
        <f>IF(COUNTBLANK($A11:$E11)&gt;0, "", IFERROR(_xlfn.MAXIFS(Log!$F:$F, Log!$A:$A, $A11, Log!$B:$B, $B11, Log!$C:$C, $C11),""))</f>
        <v>0.52926799999999996</v>
      </c>
      <c r="M11" s="9">
        <f>IF(COUNTBLANK($A11:$E11)&gt;0, "", IFERROR(AVERAGEIFS(Log!$I:$I, Log!$A:$A, $A11, Log!$B:$B, $B11, Log!$C:$C, $C11),""))</f>
        <v>9.35569611111111E-2</v>
      </c>
      <c r="N11" s="9">
        <f>IF(COUNTBLANK($A11:$E11)&gt;0, "", IFERROR(_xlfn.MINIFS(Log!$G:$G, Log!$A:$A, $A11, Log!$B:$B, $B11, Log!$C:$C, $C11),""))</f>
        <v>4.1760899999999997E-2</v>
      </c>
      <c r="O11" s="9">
        <f>IF(COUNTBLANK($A11:$E11)&gt;0, "", IFERROR(_xlfn.MAXIFS(Log!$G:$G, Log!$A:$A, $A11, Log!$B:$B, $B11, Log!$C:$C, $C11),""))</f>
        <v>0.15055499999999999</v>
      </c>
      <c r="P11" s="301"/>
      <c r="Q11" s="301"/>
      <c r="R11" s="301"/>
      <c r="U11" s="66"/>
    </row>
    <row r="12" spans="1:27" ht="14.4" customHeight="1" x14ac:dyDescent="0.3">
      <c r="A12" s="239" t="s">
        <v>115</v>
      </c>
      <c r="B12" s="256" t="s">
        <v>197</v>
      </c>
      <c r="C12" s="8">
        <v>46242</v>
      </c>
      <c r="D12" s="51">
        <v>24.5</v>
      </c>
      <c r="E12" s="52">
        <v>0.65902777777777777</v>
      </c>
      <c r="F12" s="140" t="s">
        <v>97</v>
      </c>
      <c r="G12" s="63">
        <v>1500</v>
      </c>
      <c r="H12" s="14">
        <f>IF(COUNTBLANK($A12:$E12)&gt;0, "", IFERROR(AVERAGEIFS(Log!$E:$E, Log!$A:$A, $A12, Log!$B:$B, $B12, Log!$C:$C, $C12),""))</f>
        <v>2657.3888888888887</v>
      </c>
      <c r="I12" s="64">
        <f t="shared" si="0"/>
        <v>1.7715925925925924</v>
      </c>
      <c r="J12" s="9">
        <f>IF(COUNTBLANK($A12:$E12)&gt;0, "", IFERROR(AVERAGEIFS(Log!$H:$H, Log!$A:$A, $A12, Log!$B:$B, $B12, Log!$C:$C, $C12),""))</f>
        <v>0.38401872222222244</v>
      </c>
      <c r="K12" s="9">
        <f>IF(COUNTBLANK($A12:$E12)&gt;0, "", IFERROR(_xlfn.MINIFS(Log!$F:$F, Log!$A:$A, $A12, Log!$B:$B, $B12, Log!$C:$C, $C12),""))</f>
        <v>0.17731</v>
      </c>
      <c r="L12" s="9">
        <f>IF(COUNTBLANK($A12:$E12)&gt;0, "", IFERROR(_xlfn.MAXIFS(Log!$F:$F, Log!$A:$A, $A12, Log!$B:$B, $B12, Log!$C:$C, $C12),""))</f>
        <v>0.57739700000000005</v>
      </c>
      <c r="M12" s="9">
        <f>IF(COUNTBLANK($A12:$E12)&gt;0, "", IFERROR(AVERAGEIFS(Log!$I:$I, Log!$A:$A, $A12, Log!$B:$B, $B12, Log!$C:$C, $C12),""))</f>
        <v>9.2438494444444491E-2</v>
      </c>
      <c r="N12" s="9">
        <f>IF(COUNTBLANK($A12:$E12)&gt;0, "", IFERROR(_xlfn.MINIFS(Log!$G:$G, Log!$A:$A, $A12, Log!$B:$B, $B12, Log!$C:$C, $C12),""))</f>
        <v>4.2629300000000002E-2</v>
      </c>
      <c r="O12" s="9">
        <f>IF(COUNTBLANK($A12:$E12)&gt;0, "", IFERROR(_xlfn.MAXIFS(Log!$G:$G, Log!$A:$A, $A12, Log!$B:$B, $B12, Log!$C:$C, $C12),""))</f>
        <v>0.16231799999999999</v>
      </c>
      <c r="P12" s="301"/>
      <c r="Q12" s="301"/>
      <c r="R12" s="301"/>
      <c r="T12" s="296" t="s">
        <v>96</v>
      </c>
      <c r="U12" s="297"/>
      <c r="V12" s="297"/>
      <c r="W12" s="297"/>
      <c r="X12" s="297"/>
      <c r="Y12" s="297"/>
      <c r="Z12" s="298"/>
      <c r="AA12" s="299"/>
    </row>
    <row r="13" spans="1:27" ht="14.4" customHeight="1" x14ac:dyDescent="0.3">
      <c r="A13" s="239" t="s">
        <v>115</v>
      </c>
      <c r="B13" s="256" t="s">
        <v>199</v>
      </c>
      <c r="C13" s="8">
        <v>46242</v>
      </c>
      <c r="D13" s="51">
        <v>24.5</v>
      </c>
      <c r="E13" s="52">
        <v>0.65902777777777777</v>
      </c>
      <c r="F13" s="140" t="s">
        <v>97</v>
      </c>
      <c r="G13" s="63">
        <v>1500</v>
      </c>
      <c r="H13" s="14">
        <f>IF(COUNTBLANK($A13:$E13)&gt;0, "", IFERROR(AVERAGEIFS(Log!$E:$E, Log!$A:$A, $A13, Log!$B:$B, $B13, Log!$C:$C, $C13),""))</f>
        <v>2656.2222222222222</v>
      </c>
      <c r="I13" s="64">
        <f t="shared" si="0"/>
        <v>1.7708148148148148</v>
      </c>
      <c r="J13" s="9">
        <f>IF(COUNTBLANK($A13:$E13)&gt;0, "", IFERROR(AVERAGEIFS(Log!$H:$H, Log!$A:$A, $A13, Log!$B:$B, $B13, Log!$C:$C, $C13),""))</f>
        <v>0.4066206111111112</v>
      </c>
      <c r="K13" s="9">
        <f>IF(COUNTBLANK($A13:$E13)&gt;0, "", IFERROR(_xlfn.MINIFS(Log!$F:$F, Log!$A:$A, $A13, Log!$B:$B, $B13, Log!$C:$C, $C13),""))</f>
        <v>0.19323199999999999</v>
      </c>
      <c r="L13" s="9">
        <f>IF(COUNTBLANK($A13:$E13)&gt;0, "", IFERROR(_xlfn.MAXIFS(Log!$F:$F, Log!$A:$A, $A13, Log!$B:$B, $B13, Log!$C:$C, $C13),""))</f>
        <v>0.561473</v>
      </c>
      <c r="M13" s="9">
        <f>IF(COUNTBLANK($A13:$E13)&gt;0, "", IFERROR(AVERAGEIFS(Log!$I:$I, Log!$A:$A, $A13, Log!$B:$B, $B13, Log!$C:$C, $C13),""))</f>
        <v>9.7669605555555539E-2</v>
      </c>
      <c r="N13" s="9">
        <f>IF(COUNTBLANK($A13:$E13)&gt;0, "", IFERROR(_xlfn.MINIFS(Log!$G:$G, Log!$A:$A, $A13, Log!$B:$B, $B13, Log!$C:$C, $C13),""))</f>
        <v>6.1878799999999998E-2</v>
      </c>
      <c r="O13" s="9">
        <f>IF(COUNTBLANK($A13:$E13)&gt;0, "", IFERROR(_xlfn.MAXIFS(Log!$G:$G, Log!$A:$A, $A13, Log!$B:$B, $B13, Log!$C:$C, $C13),""))</f>
        <v>0.14718300000000001</v>
      </c>
      <c r="P13" s="301"/>
      <c r="Q13" s="301"/>
      <c r="R13" s="301"/>
      <c r="T13" s="244" t="s">
        <v>160</v>
      </c>
      <c r="U13" s="245"/>
      <c r="V13" s="245"/>
      <c r="W13" s="245"/>
      <c r="X13" s="245"/>
      <c r="Y13" s="245"/>
      <c r="Z13" s="245"/>
      <c r="AA13" s="246"/>
    </row>
    <row r="14" spans="1:27" ht="14.4" customHeight="1" x14ac:dyDescent="0.3">
      <c r="A14" s="239" t="s">
        <v>115</v>
      </c>
      <c r="B14" s="256" t="s">
        <v>200</v>
      </c>
      <c r="C14" s="8">
        <v>46242</v>
      </c>
      <c r="D14" s="51">
        <v>24.5</v>
      </c>
      <c r="E14" s="52">
        <v>0.65902777777777777</v>
      </c>
      <c r="F14" s="140" t="s">
        <v>97</v>
      </c>
      <c r="G14" s="63">
        <v>1000</v>
      </c>
      <c r="H14" s="14" t="str">
        <f>IF(COUNTBLANK($A14:$E14)&gt;0, "", IFERROR(AVERAGEIFS(Log!$E:$E, Log!$A:$A, $A14, Log!$B:$B, $B14, Log!$C:$C, $C14),""))</f>
        <v/>
      </c>
      <c r="I14" s="64" t="str">
        <f t="shared" si="0"/>
        <v/>
      </c>
      <c r="J14" s="9" t="str">
        <f>IF(COUNTBLANK($A14:$E14)&gt;0, "", IFERROR(AVERAGEIFS(Log!$H:$H, Log!$A:$A, $A14, Log!$B:$B, $B14, Log!$C:$C, $C14),""))</f>
        <v/>
      </c>
      <c r="K14" s="9">
        <f>IF(COUNTBLANK($A14:$E14)&gt;0, "", IFERROR(_xlfn.MINIFS(Log!$F:$F, Log!$A:$A, $A14, Log!$B:$B, $B14, Log!$C:$C, $C14),""))</f>
        <v>0</v>
      </c>
      <c r="L14" s="9">
        <f>IF(COUNTBLANK($A14:$E14)&gt;0, "", IFERROR(_xlfn.MAXIFS(Log!$F:$F, Log!$A:$A, $A14, Log!$B:$B, $B14, Log!$C:$C, $C14),""))</f>
        <v>0</v>
      </c>
      <c r="M14" s="9" t="str">
        <f>IF(COUNTBLANK($A14:$E14)&gt;0, "", IFERROR(AVERAGEIFS(Log!$I:$I, Log!$A:$A, $A14, Log!$B:$B, $B14, Log!$C:$C, $C14),""))</f>
        <v/>
      </c>
      <c r="N14" s="9">
        <f>IF(COUNTBLANK($A14:$E14)&gt;0, "", IFERROR(_xlfn.MINIFS(Log!$G:$G, Log!$A:$A, $A14, Log!$B:$B, $B14, Log!$C:$C, $C14),""))</f>
        <v>0</v>
      </c>
      <c r="O14" s="9">
        <f>IF(COUNTBLANK($A14:$E14)&gt;0, "", IFERROR(_xlfn.MAXIFS(Log!$G:$G, Log!$A:$A, $A14, Log!$B:$B, $B14, Log!$C:$C, $C14),""))</f>
        <v>0</v>
      </c>
      <c r="P14" s="301"/>
      <c r="Q14" s="301"/>
      <c r="R14" s="301"/>
      <c r="U14" s="66"/>
    </row>
    <row r="15" spans="1:27" x14ac:dyDescent="0.3">
      <c r="A15" s="258"/>
      <c r="B15" s="256"/>
      <c r="C15" s="8"/>
      <c r="D15" s="51"/>
      <c r="E15" s="52"/>
      <c r="G15" s="63"/>
      <c r="H15" s="14" t="str">
        <f>IF(COUNTBLANK($A15:$E15)&gt;0, "", IFERROR(AVERAGEIFS(Log!$E:$E, Log!$A:$A, $A15, Log!$B:$B, $B15, Log!$C:$C, $C15),""))</f>
        <v/>
      </c>
      <c r="I15" s="64" t="str">
        <f t="shared" si="0"/>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c r="U15" s="66"/>
    </row>
    <row r="16" spans="1:27" x14ac:dyDescent="0.3">
      <c r="A16" s="258"/>
      <c r="B16" s="256"/>
      <c r="C16" s="8"/>
      <c r="D16" s="51"/>
      <c r="E16" s="52"/>
      <c r="G16" s="63"/>
      <c r="H16" s="14" t="str">
        <f>IF(COUNTBLANK($A16:$E16)&gt;0, "", IFERROR(AVERAGEIFS(Log!$E:$E, Log!$A:$A, $A16, Log!$B:$B, $B16, Log!$C:$C, $C16),""))</f>
        <v/>
      </c>
      <c r="I16" s="64" t="str">
        <f t="shared" si="0"/>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row>
    <row r="17" spans="1:21" ht="14.4" customHeight="1" x14ac:dyDescent="0.3">
      <c r="A17" s="258"/>
      <c r="B17" s="256"/>
      <c r="C17" s="8"/>
      <c r="D17" s="51"/>
      <c r="E17" s="52"/>
      <c r="G17" s="63"/>
      <c r="H17" s="14" t="str">
        <f>IF(COUNTBLANK($A17:$E17)&gt;0, "", IFERROR(AVERAGEIFS(Log!$E:$E, Log!$A:$A, $A17, Log!$B:$B, $B17, Log!$C:$C, $C17),""))</f>
        <v/>
      </c>
      <c r="I17" s="64" t="str">
        <f t="shared" si="0"/>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row>
    <row r="18" spans="1:21" ht="14.4" customHeight="1" x14ac:dyDescent="0.3">
      <c r="A18" s="258"/>
      <c r="B18" s="256"/>
      <c r="C18" s="8"/>
      <c r="D18" s="51"/>
      <c r="E18" s="52"/>
      <c r="G18" s="63"/>
      <c r="H18" s="14" t="str">
        <f>IF(COUNTBLANK($A18:$E18)&gt;0, "", IFERROR(AVERAGEIFS(Log!$E:$E, Log!$A:$A, $A18, Log!$B:$B, $B18, Log!$C:$C, $C18),""))</f>
        <v/>
      </c>
      <c r="I18" s="64" t="str">
        <f t="shared" si="0"/>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U18" s="66"/>
    </row>
    <row r="19" spans="1:21" x14ac:dyDescent="0.3">
      <c r="A19" s="258"/>
      <c r="B19" s="256"/>
      <c r="C19" s="8"/>
      <c r="D19" s="51"/>
      <c r="E19" s="52"/>
      <c r="G19" s="63"/>
      <c r="H19" s="14" t="str">
        <f>IF(COUNTBLANK($A19:$E19)&gt;0, "", IFERROR(AVERAGEIFS(Log!$E:$E, Log!$A:$A, $A19, Log!$B:$B, $B19, Log!$C:$C, $C19),""))</f>
        <v/>
      </c>
      <c r="I19" s="64" t="str">
        <f t="shared" si="0"/>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c r="U19" s="66"/>
    </row>
    <row r="20" spans="1:21" x14ac:dyDescent="0.3">
      <c r="A20" s="258"/>
      <c r="B20" s="256"/>
      <c r="C20" s="8"/>
      <c r="D20" s="51"/>
      <c r="E20" s="52"/>
      <c r="G20" s="63"/>
      <c r="H20" s="14" t="str">
        <f>IF(COUNTBLANK($A20:$E20)&gt;0, "", IFERROR(AVERAGEIFS(Log!$E:$E, Log!$A:$A, $A20, Log!$B:$B, $B20, Log!$C:$C, $C20),""))</f>
        <v/>
      </c>
      <c r="I20" s="64" t="str">
        <f t="shared" si="0"/>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c r="U20" s="66"/>
    </row>
    <row r="21" spans="1:21" x14ac:dyDescent="0.3">
      <c r="A21" s="258"/>
      <c r="B21" s="256"/>
      <c r="C21" s="8"/>
      <c r="D21" s="51"/>
      <c r="E21" s="52"/>
      <c r="G21" s="63"/>
      <c r="H21" s="14" t="str">
        <f>IF(COUNTBLANK($A21:$E21)&gt;0, "", IFERROR(AVERAGEIFS(Log!$E:$E, Log!$A:$A, $A21, Log!$B:$B, $B21, Log!$C:$C, $C21),""))</f>
        <v/>
      </c>
      <c r="I21" s="64" t="str">
        <f t="shared" si="0"/>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c r="U21" s="66"/>
    </row>
    <row r="22" spans="1:21" x14ac:dyDescent="0.3">
      <c r="A22" s="258"/>
      <c r="B22" s="256"/>
      <c r="C22" s="8"/>
      <c r="D22" s="51"/>
      <c r="E22" s="52"/>
      <c r="G22" s="63"/>
      <c r="H22" s="14" t="str">
        <f>IF(COUNTBLANK($A22:$E22)&gt;0, "", IFERROR(AVERAGEIFS(Log!$E:$E, Log!$A:$A, $A22, Log!$B:$B, $B22, Log!$C:$C, $C22),""))</f>
        <v/>
      </c>
      <c r="I22" s="64" t="str">
        <f t="shared" si="0"/>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row>
    <row r="23" spans="1:21" x14ac:dyDescent="0.3">
      <c r="A23" s="258"/>
      <c r="B23" s="256"/>
      <c r="C23" s="8"/>
      <c r="D23" s="51"/>
      <c r="E23" s="52"/>
      <c r="G23" s="63"/>
      <c r="H23" s="14" t="str">
        <f>IF(COUNTBLANK($A23:$E23)&gt;0, "", IFERROR(AVERAGEIFS(Log!$E:$E, Log!$A:$A, $A23, Log!$B:$B, $B23, Log!$C:$C, $C23),""))</f>
        <v/>
      </c>
      <c r="I23" s="64" t="str">
        <f t="shared" si="0"/>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c r="U23" s="66"/>
    </row>
    <row r="24" spans="1:21" x14ac:dyDescent="0.3">
      <c r="A24" s="258"/>
      <c r="B24" s="256"/>
      <c r="C24" s="8"/>
      <c r="D24" s="51"/>
      <c r="E24" s="52"/>
      <c r="G24" s="63"/>
      <c r="H24" s="14" t="str">
        <f>IF(COUNTBLANK($A24:$E24)&gt;0, "", IFERROR(AVERAGEIFS(Log!$E:$E, Log!$A:$A, $A24, Log!$B:$B, $B24, Log!$C:$C, $C24),""))</f>
        <v/>
      </c>
      <c r="I24" s="64" t="str">
        <f t="shared" si="0"/>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c r="U24" s="66"/>
    </row>
    <row r="25" spans="1:21" x14ac:dyDescent="0.3">
      <c r="A25" s="258"/>
      <c r="B25" s="256"/>
      <c r="C25" s="8"/>
      <c r="D25" s="51"/>
      <c r="E25" s="52"/>
      <c r="G25" s="63"/>
      <c r="H25" s="14" t="str">
        <f>IF(COUNTBLANK($A25:$E25)&gt;0, "", IFERROR(AVERAGEIFS(Log!$E:$E, Log!$A:$A, $A25, Log!$B:$B, $B25, Log!$C:$C, $C25),""))</f>
        <v/>
      </c>
      <c r="I25" s="64" t="str">
        <f t="shared" si="0"/>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row>
    <row r="26" spans="1:21" x14ac:dyDescent="0.3">
      <c r="A26" s="258"/>
      <c r="B26" s="256"/>
      <c r="C26" s="8"/>
      <c r="D26" s="51"/>
      <c r="E26" s="52"/>
      <c r="G26" s="63"/>
      <c r="H26" s="14" t="str">
        <f>IF(COUNTBLANK($A26:$E26)&gt;0, "", IFERROR(AVERAGEIFS(Log!$E:$E, Log!$A:$A, $A26, Log!$B:$B, $B26, Log!$C:$C, $C26),""))</f>
        <v/>
      </c>
      <c r="I26" s="64" t="str">
        <f t="shared" si="0"/>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c r="U26" s="66"/>
    </row>
    <row r="27" spans="1:21" x14ac:dyDescent="0.3">
      <c r="A27" s="258"/>
      <c r="B27" s="256"/>
      <c r="C27" s="8"/>
      <c r="D27" s="51"/>
      <c r="E27" s="52"/>
      <c r="G27" s="63"/>
      <c r="H27" s="14" t="str">
        <f>IF(COUNTBLANK($A27:$E27)&gt;0, "", IFERROR(AVERAGEIFS(Log!$E:$E, Log!$A:$A, $A27, Log!$B:$B, $B27, Log!$C:$C, $C27),""))</f>
        <v/>
      </c>
      <c r="I27" s="64" t="str">
        <f t="shared" si="0"/>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c r="U27" s="66"/>
    </row>
    <row r="28" spans="1:21" x14ac:dyDescent="0.3">
      <c r="A28" s="258"/>
      <c r="B28" s="256"/>
      <c r="C28" s="8"/>
      <c r="D28" s="51"/>
      <c r="E28" s="52"/>
      <c r="G28" s="63"/>
      <c r="H28" s="14" t="str">
        <f>IF(COUNTBLANK($A28:$E28)&gt;0, "", IFERROR(AVERAGEIFS(Log!$E:$E, Log!$A:$A, $A28, Log!$B:$B, $B28, Log!$C:$C, $C28),""))</f>
        <v/>
      </c>
      <c r="I28" s="64" t="str">
        <f t="shared" si="0"/>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c r="U28" s="66"/>
    </row>
    <row r="29" spans="1:21" x14ac:dyDescent="0.3">
      <c r="A29" s="258"/>
      <c r="B29" s="256"/>
      <c r="C29" s="8"/>
      <c r="D29" s="51"/>
      <c r="E29" s="52"/>
      <c r="G29" s="63"/>
      <c r="H29" s="14" t="str">
        <f>IF(COUNTBLANK($A29:$E29)&gt;0, "", IFERROR(AVERAGEIFS(Log!$E:$E, Log!$A:$A, $A29, Log!$B:$B, $B29, Log!$C:$C, $C29),""))</f>
        <v/>
      </c>
      <c r="I29" s="64" t="str">
        <f t="shared" si="0"/>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21" x14ac:dyDescent="0.3">
      <c r="A30" s="258"/>
      <c r="B30" s="256"/>
      <c r="C30" s="8"/>
      <c r="D30" s="51"/>
      <c r="E30" s="52"/>
      <c r="G30" s="63"/>
      <c r="H30" s="14" t="str">
        <f>IF(COUNTBLANK($A30:$E30)&gt;0, "", IFERROR(AVERAGEIFS(Log!$E:$E, Log!$A:$A, $A30, Log!$B:$B, $B30, Log!$C:$C, $C30),""))</f>
        <v/>
      </c>
      <c r="I30" s="64" t="str">
        <f t="shared" si="0"/>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21" x14ac:dyDescent="0.3">
      <c r="A31" s="258"/>
      <c r="B31" s="256"/>
      <c r="C31" s="8"/>
      <c r="D31" s="51"/>
      <c r="E31" s="52"/>
      <c r="G31" s="63"/>
      <c r="H31" s="14" t="str">
        <f>IF(COUNTBLANK($A31:$E31)&gt;0, "", IFERROR(AVERAGEIFS(Log!$E:$E, Log!$A:$A, $A31, Log!$B:$B, $B31, Log!$C:$C, $C31),""))</f>
        <v/>
      </c>
      <c r="I31" s="64" t="str">
        <f t="shared" si="0"/>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21" x14ac:dyDescent="0.3">
      <c r="A32" s="258"/>
      <c r="B32" s="256"/>
      <c r="C32" s="8"/>
      <c r="D32" s="51"/>
      <c r="E32" s="52"/>
      <c r="G32" s="63"/>
      <c r="H32" s="14" t="str">
        <f>IF(COUNTBLANK($A32:$E32)&gt;0, "", IFERROR(AVERAGEIFS(Log!$E:$E, Log!$A:$A, $A32, Log!$B:$B, $B32, Log!$C:$C, $C32),""))</f>
        <v/>
      </c>
      <c r="I32" s="64" t="str">
        <f t="shared" si="0"/>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x14ac:dyDescent="0.3">
      <c r="A33" s="258"/>
      <c r="B33" s="256"/>
      <c r="C33" s="8"/>
      <c r="D33" s="51"/>
      <c r="E33" s="52"/>
      <c r="G33" s="63"/>
      <c r="H33" s="14" t="str">
        <f>IF(COUNTBLANK($A33:$E33)&gt;0, "", IFERROR(AVERAGEIFS(Log!$E:$E, Log!$A:$A, $A33, Log!$B:$B, $B33, Log!$C:$C, $C33),""))</f>
        <v/>
      </c>
      <c r="I33" s="64" t="str">
        <f t="shared" si="0"/>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x14ac:dyDescent="0.3">
      <c r="A34" s="258"/>
      <c r="B34" s="256"/>
      <c r="C34" s="8"/>
      <c r="D34" s="51"/>
      <c r="E34" s="52"/>
      <c r="G34" s="63"/>
      <c r="H34" s="14" t="str">
        <f>IF(COUNTBLANK($A34:$E34)&gt;0, "", IFERROR(AVERAGEIFS(Log!$E:$E, Log!$A:$A, $A34, Log!$B:$B, $B34, Log!$C:$C, $C34),""))</f>
        <v/>
      </c>
      <c r="I34" s="64" t="str">
        <f t="shared" si="0"/>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x14ac:dyDescent="0.3">
      <c r="A35" s="258"/>
      <c r="B35" s="256"/>
      <c r="C35" s="8"/>
      <c r="D35" s="51"/>
      <c r="E35" s="52"/>
      <c r="G35" s="63"/>
      <c r="H35" s="14" t="str">
        <f>IF(COUNTBLANK($A35:$E35)&gt;0, "", IFERROR(AVERAGEIFS(Log!$E:$E, Log!$A:$A, $A35, Log!$B:$B, $B35, Log!$C:$C, $C35),""))</f>
        <v/>
      </c>
      <c r="I35" s="64" t="str">
        <f t="shared" si="0"/>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x14ac:dyDescent="0.3">
      <c r="A36" s="258"/>
      <c r="B36" s="256"/>
      <c r="C36" s="8"/>
      <c r="D36" s="51"/>
      <c r="E36" s="52"/>
      <c r="G36" s="63"/>
      <c r="H36" s="14" t="str">
        <f>IF(COUNTBLANK($A36:$E36)&gt;0, "", IFERROR(AVERAGEIFS(Log!$E:$E, Log!$A:$A, $A36, Log!$B:$B, $B36, Log!$C:$C, $C36),""))</f>
        <v/>
      </c>
      <c r="I36" s="64" t="str">
        <f t="shared" si="0"/>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x14ac:dyDescent="0.3">
      <c r="A37" s="258"/>
      <c r="B37" s="256"/>
      <c r="C37" s="8"/>
      <c r="D37" s="51"/>
      <c r="E37" s="52"/>
      <c r="G37" s="63"/>
      <c r="H37" s="14" t="str">
        <f>IF(COUNTBLANK($A37:$E37)&gt;0, "", IFERROR(AVERAGEIFS(Log!$E:$E, Log!$A:$A, $A37, Log!$B:$B, $B37, Log!$C:$C, $C37),""))</f>
        <v/>
      </c>
      <c r="I37" s="64" t="str">
        <f t="shared" si="0"/>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x14ac:dyDescent="0.3">
      <c r="A38" s="258"/>
      <c r="B38" s="256"/>
      <c r="C38" s="8"/>
      <c r="D38" s="51"/>
      <c r="E38" s="52"/>
      <c r="G38" s="63"/>
      <c r="H38" s="14" t="str">
        <f>IF(COUNTBLANK($A38:$E38)&gt;0, "", IFERROR(AVERAGEIFS(Log!$E:$E, Log!$A:$A, $A38, Log!$B:$B, $B38, Log!$C:$C, $C38),""))</f>
        <v/>
      </c>
      <c r="I38" s="64" t="str">
        <f t="shared" si="0"/>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x14ac:dyDescent="0.3">
      <c r="A39" s="258"/>
      <c r="B39" s="256"/>
      <c r="C39" s="8"/>
      <c r="D39" s="51"/>
      <c r="E39" s="52"/>
      <c r="G39" s="63"/>
      <c r="H39" s="14" t="str">
        <f>IF(COUNTBLANK($A39:$E39)&gt;0, "", IFERROR(AVERAGEIFS(Log!$E:$E, Log!$A:$A, $A39, Log!$B:$B, $B39, Log!$C:$C, $C39),""))</f>
        <v/>
      </c>
      <c r="I39" s="64" t="str">
        <f t="shared" si="0"/>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x14ac:dyDescent="0.3">
      <c r="A40" s="258"/>
      <c r="B40" s="256"/>
      <c r="C40" s="8"/>
      <c r="D40" s="51"/>
      <c r="E40" s="52"/>
      <c r="G40" s="63"/>
      <c r="H40" s="14" t="str">
        <f>IF(COUNTBLANK($A40:$E40)&gt;0, "", IFERROR(AVERAGEIFS(Log!$E:$E, Log!$A:$A, $A40, Log!$B:$B, $B40, Log!$C:$C, $C40),""))</f>
        <v/>
      </c>
      <c r="I40" s="64" t="str">
        <f t="shared" si="0"/>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x14ac:dyDescent="0.3">
      <c r="A41" s="258"/>
      <c r="B41" s="256"/>
      <c r="C41" s="8"/>
      <c r="D41" s="51"/>
      <c r="E41" s="52"/>
      <c r="G41" s="63"/>
      <c r="H41" s="14" t="str">
        <f>IF(COUNTBLANK($A41:$E41)&gt;0, "", IFERROR(AVERAGEIFS(Log!$E:$E, Log!$A:$A, $A41, Log!$B:$B, $B41, Log!$C:$C, $C41),""))</f>
        <v/>
      </c>
      <c r="I41" s="64" t="str">
        <f t="shared" si="0"/>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x14ac:dyDescent="0.3">
      <c r="A42" s="258"/>
      <c r="B42" s="256"/>
      <c r="C42" s="8"/>
      <c r="D42" s="51"/>
      <c r="E42" s="52"/>
      <c r="G42" s="63"/>
      <c r="H42" s="14" t="str">
        <f>IF(COUNTBLANK($A42:$E42)&gt;0, "", IFERROR(AVERAGEIFS(Log!$E:$E, Log!$A:$A, $A42, Log!$B:$B, $B42, Log!$C:$C, $C42),""))</f>
        <v/>
      </c>
      <c r="I42" s="64" t="str">
        <f t="shared" si="0"/>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x14ac:dyDescent="0.3">
      <c r="A43" s="258"/>
      <c r="B43" s="256"/>
      <c r="C43" s="8"/>
      <c r="D43" s="51"/>
      <c r="E43" s="52"/>
      <c r="G43" s="63"/>
      <c r="H43" s="14" t="str">
        <f>IF(COUNTBLANK($A43:$E43)&gt;0, "", IFERROR(AVERAGEIFS(Log!$E:$E, Log!$A:$A, $A43, Log!$B:$B, $B43, Log!$C:$C, $C43),""))</f>
        <v/>
      </c>
      <c r="I43" s="64" t="str">
        <f t="shared" si="0"/>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x14ac:dyDescent="0.3">
      <c r="A44" s="258"/>
      <c r="B44" s="256"/>
      <c r="C44" s="8"/>
      <c r="D44" s="51"/>
      <c r="E44" s="52"/>
      <c r="G44" s="63"/>
      <c r="H44" s="14" t="str">
        <f>IF(COUNTBLANK($A44:$E44)&gt;0, "", IFERROR(AVERAGEIFS(Log!$E:$E, Log!$A:$A, $A44, Log!$B:$B, $B44, Log!$C:$C, $C44),""))</f>
        <v/>
      </c>
      <c r="I44" s="64" t="str">
        <f t="shared" si="0"/>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x14ac:dyDescent="0.3">
      <c r="A45" s="258"/>
      <c r="B45" s="256"/>
      <c r="C45" s="8"/>
      <c r="D45" s="51"/>
      <c r="E45" s="52"/>
      <c r="G45" s="63"/>
      <c r="H45" s="14" t="str">
        <f>IF(COUNTBLANK($A45:$E45)&gt;0, "", IFERROR(AVERAGEIFS(Log!$E:$E, Log!$A:$A, $A45, Log!$B:$B, $B45, Log!$C:$C, $C45),""))</f>
        <v/>
      </c>
      <c r="I45" s="64" t="str">
        <f t="shared" si="0"/>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x14ac:dyDescent="0.3">
      <c r="A46" s="258"/>
      <c r="B46" s="256"/>
      <c r="C46" s="8"/>
      <c r="D46" s="51"/>
      <c r="E46" s="52"/>
      <c r="G46" s="63"/>
      <c r="H46" s="14" t="str">
        <f>IF(COUNTBLANK($A46:$E46)&gt;0, "", IFERROR(AVERAGEIFS(Log!$E:$E, Log!$A:$A, $A46, Log!$B:$B, $B46, Log!$C:$C, $C46),""))</f>
        <v/>
      </c>
      <c r="I46" s="64" t="str">
        <f t="shared" si="0"/>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x14ac:dyDescent="0.3">
      <c r="A47" s="258"/>
      <c r="B47" s="256"/>
      <c r="C47" s="8"/>
      <c r="D47" s="51"/>
      <c r="E47" s="52"/>
      <c r="G47" s="63"/>
      <c r="H47" s="14" t="str">
        <f>IF(COUNTBLANK($A47:$E47)&gt;0, "", IFERROR(AVERAGEIFS(Log!$E:$E, Log!$A:$A, $A47, Log!$B:$B, $B47, Log!$C:$C, $C47),""))</f>
        <v/>
      </c>
      <c r="I47" s="64" t="str">
        <f t="shared" si="0"/>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x14ac:dyDescent="0.3">
      <c r="A48" s="258"/>
      <c r="B48" s="256"/>
      <c r="C48" s="8"/>
      <c r="D48" s="51"/>
      <c r="E48" s="52"/>
      <c r="G48" s="63"/>
      <c r="H48" s="14" t="str">
        <f>IF(COUNTBLANK($A48:$E48)&gt;0, "", IFERROR(AVERAGEIFS(Log!$E:$E, Log!$A:$A, $A48, Log!$B:$B, $B48, Log!$C:$C, $C48),""))</f>
        <v/>
      </c>
      <c r="I48" s="64" t="str">
        <f t="shared" si="0"/>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x14ac:dyDescent="0.3">
      <c r="A49" s="258"/>
      <c r="B49" s="256"/>
      <c r="C49" s="8"/>
      <c r="D49" s="51"/>
      <c r="E49" s="52"/>
      <c r="G49" s="63"/>
      <c r="H49" s="14" t="str">
        <f>IF(COUNTBLANK($A49:$E49)&gt;0, "", IFERROR(AVERAGEIFS(Log!$E:$E, Log!$A:$A, $A49, Log!$B:$B, $B49, Log!$C:$C, $C49),""))</f>
        <v/>
      </c>
      <c r="I49" s="64" t="str">
        <f t="shared" si="0"/>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x14ac:dyDescent="0.3">
      <c r="A50" s="258"/>
      <c r="B50" s="256"/>
      <c r="C50" s="8"/>
      <c r="D50" s="51"/>
      <c r="E50" s="52"/>
      <c r="G50" s="63"/>
      <c r="H50" s="14" t="str">
        <f>IF(COUNTBLANK($A50:$E50)&gt;0, "", IFERROR(AVERAGEIFS(Log!$E:$E, Log!$A:$A, $A50, Log!$B:$B, $B50, Log!$C:$C, $C50),""))</f>
        <v/>
      </c>
      <c r="I50" s="64" t="str">
        <f t="shared" si="0"/>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x14ac:dyDescent="0.3">
      <c r="A51" s="258"/>
      <c r="B51" s="256"/>
      <c r="C51" s="8"/>
      <c r="D51" s="51"/>
      <c r="E51" s="52"/>
      <c r="G51" s="63"/>
      <c r="H51" s="14" t="str">
        <f>IF(COUNTBLANK($A51:$E51)&gt;0, "", IFERROR(AVERAGEIFS(Log!$E:$E, Log!$A:$A, $A51, Log!$B:$B, $B51, Log!$C:$C, $C51),""))</f>
        <v/>
      </c>
      <c r="I51" s="64" t="str">
        <f t="shared" si="0"/>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x14ac:dyDescent="0.3">
      <c r="A52" s="258"/>
      <c r="B52" s="256"/>
      <c r="C52" s="8"/>
      <c r="D52" s="51"/>
      <c r="E52" s="52"/>
      <c r="G52" s="63"/>
      <c r="H52" s="14" t="str">
        <f>IF(COUNTBLANK($A52:$E52)&gt;0, "", IFERROR(AVERAGEIFS(Log!$E:$E, Log!$A:$A, $A52, Log!$B:$B, $B52, Log!$C:$C, $C52),""))</f>
        <v/>
      </c>
      <c r="I52" s="64" t="str">
        <f t="shared" si="0"/>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x14ac:dyDescent="0.3">
      <c r="A53" s="258"/>
      <c r="B53" s="256"/>
      <c r="C53" s="8"/>
      <c r="D53" s="51"/>
      <c r="E53" s="52"/>
      <c r="G53" s="63"/>
      <c r="H53" s="14" t="str">
        <f>IF(COUNTBLANK($A53:$E53)&gt;0, "", IFERROR(AVERAGEIFS(Log!$E:$E, Log!$A:$A, $A53, Log!$B:$B, $B53, Log!$C:$C, $C53),""))</f>
        <v/>
      </c>
      <c r="I53" s="64" t="str">
        <f t="shared" si="0"/>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x14ac:dyDescent="0.3">
      <c r="A54" s="258"/>
      <c r="B54" s="256"/>
      <c r="C54" s="8"/>
      <c r="D54" s="51"/>
      <c r="E54" s="52"/>
      <c r="G54" s="63"/>
      <c r="H54" s="14" t="str">
        <f>IF(COUNTBLANK($A54:$E54)&gt;0, "", IFERROR(AVERAGEIFS(Log!$E:$E, Log!$A:$A, $A54, Log!$B:$B, $B54, Log!$C:$C, $C54),""))</f>
        <v/>
      </c>
      <c r="I54" s="64" t="str">
        <f t="shared" si="0"/>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x14ac:dyDescent="0.3">
      <c r="A55" s="258"/>
      <c r="B55" s="256"/>
      <c r="C55" s="8"/>
      <c r="D55" s="51"/>
      <c r="E55" s="52"/>
      <c r="G55" s="63"/>
      <c r="H55" s="14" t="str">
        <f>IF(COUNTBLANK($A55:$E55)&gt;0, "", IFERROR(AVERAGEIFS(Log!$E:$E, Log!$A:$A, $A55, Log!$B:$B, $B55, Log!$C:$C, $C55),""))</f>
        <v/>
      </c>
      <c r="I55" s="64" t="str">
        <f t="shared" si="0"/>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x14ac:dyDescent="0.3">
      <c r="A56" s="258"/>
      <c r="B56" s="256"/>
      <c r="C56" s="8"/>
      <c r="D56" s="51"/>
      <c r="E56" s="52"/>
      <c r="G56" s="63"/>
      <c r="H56" s="14" t="str">
        <f>IF(COUNTBLANK($A56:$E56)&gt;0, "", IFERROR(AVERAGEIFS(Log!$E:$E, Log!$A:$A, $A56, Log!$B:$B, $B56, Log!$C:$C, $C56),""))</f>
        <v/>
      </c>
      <c r="I56" s="64" t="str">
        <f t="shared" si="0"/>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x14ac:dyDescent="0.3">
      <c r="A57" s="258"/>
      <c r="B57" s="256"/>
      <c r="C57" s="8"/>
      <c r="D57" s="51"/>
      <c r="E57" s="52"/>
      <c r="G57" s="63"/>
      <c r="H57" s="14" t="str">
        <f>IF(COUNTBLANK($A57:$E57)&gt;0, "", IFERROR(AVERAGEIFS(Log!$E:$E, Log!$A:$A, $A57, Log!$B:$B, $B57, Log!$C:$C, $C57),""))</f>
        <v/>
      </c>
      <c r="I57" s="64" t="str">
        <f t="shared" si="0"/>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x14ac:dyDescent="0.3">
      <c r="A58" s="258"/>
      <c r="B58" s="256"/>
      <c r="C58" s="8"/>
      <c r="D58" s="51"/>
      <c r="E58" s="52"/>
      <c r="G58" s="63"/>
      <c r="H58" s="14" t="str">
        <f>IF(COUNTBLANK($A58:$E58)&gt;0, "", IFERROR(AVERAGEIFS(Log!$E:$E, Log!$A:$A, $A58, Log!$B:$B, $B58, Log!$C:$C, $C58),""))</f>
        <v/>
      </c>
      <c r="I58" s="64" t="str">
        <f t="shared" si="0"/>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x14ac:dyDescent="0.3">
      <c r="A59" s="258"/>
      <c r="B59" s="256"/>
      <c r="C59" s="8"/>
      <c r="D59" s="51"/>
      <c r="E59" s="52"/>
      <c r="G59" s="63"/>
      <c r="H59" s="14" t="str">
        <f>IF(COUNTBLANK($A59:$E59)&gt;0, "", IFERROR(AVERAGEIFS(Log!$E:$E, Log!$A:$A, $A59, Log!$B:$B, $B59, Log!$C:$C, $C59),""))</f>
        <v/>
      </c>
      <c r="I59" s="64" t="str">
        <f t="shared" si="0"/>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x14ac:dyDescent="0.3">
      <c r="A60" s="258"/>
      <c r="B60" s="256"/>
      <c r="C60" s="8"/>
      <c r="D60" s="51"/>
      <c r="E60" s="52"/>
      <c r="G60" s="63"/>
      <c r="H60" s="14" t="str">
        <f>IF(COUNTBLANK($A60:$E60)&gt;0, "", IFERROR(AVERAGEIFS(Log!$E:$E, Log!$A:$A, $A60, Log!$B:$B, $B60, Log!$C:$C, $C60),""))</f>
        <v/>
      </c>
      <c r="I60" s="64" t="str">
        <f t="shared" si="0"/>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x14ac:dyDescent="0.3">
      <c r="A61" s="258"/>
      <c r="B61" s="256"/>
      <c r="H61" s="14" t="str">
        <f>IF(COUNTBLANK($A61:$E61)&gt;0, "", IFERROR(AVERAGEIFS(Log!$E:$E, Log!$A:$A, $A61, Log!$B:$B, $B61, Log!$C:$C, $C61),""))</f>
        <v/>
      </c>
      <c r="I61" s="64" t="str">
        <f t="shared" si="0"/>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x14ac:dyDescent="0.3">
      <c r="A62" s="258"/>
      <c r="B62" s="256"/>
      <c r="H62" s="14"/>
      <c r="I62" s="64"/>
      <c r="J62" s="9"/>
      <c r="K62" s="9"/>
      <c r="L62" s="9"/>
      <c r="M62" s="9"/>
      <c r="N62" s="9"/>
      <c r="O62" s="9"/>
    </row>
    <row r="63" spans="1:15" x14ac:dyDescent="0.3">
      <c r="A63" s="258"/>
      <c r="B63" s="256"/>
      <c r="H63" s="14"/>
      <c r="I63" s="64"/>
      <c r="J63" s="9"/>
      <c r="K63" s="9"/>
      <c r="L63" s="9"/>
      <c r="M63" s="9"/>
      <c r="N63" s="9"/>
      <c r="O63" s="9"/>
    </row>
    <row r="64" spans="1:15" x14ac:dyDescent="0.3">
      <c r="A64" s="258"/>
      <c r="B64" s="256"/>
      <c r="H64" s="14"/>
      <c r="I64" s="64"/>
      <c r="J64" s="9"/>
      <c r="K64" s="9"/>
      <c r="L64" s="9"/>
      <c r="M64" s="9"/>
      <c r="N64" s="9"/>
      <c r="O64" s="9"/>
    </row>
    <row r="65" spans="1:15" x14ac:dyDescent="0.3">
      <c r="A65" s="258"/>
      <c r="B65" s="256"/>
      <c r="H65" s="14"/>
      <c r="I65" s="64"/>
      <c r="J65" s="9"/>
      <c r="K65" s="9"/>
      <c r="L65" s="9"/>
      <c r="M65" s="9"/>
      <c r="N65" s="9"/>
      <c r="O65" s="9"/>
    </row>
    <row r="66" spans="1:15" x14ac:dyDescent="0.3">
      <c r="A66" s="258"/>
      <c r="B66" s="256"/>
      <c r="H66" s="14"/>
      <c r="I66" s="64"/>
      <c r="J66" s="9"/>
      <c r="K66" s="9"/>
      <c r="L66" s="9"/>
      <c r="M66" s="9"/>
      <c r="N66" s="9"/>
      <c r="O66" s="9"/>
    </row>
    <row r="67" spans="1:15" x14ac:dyDescent="0.3">
      <c r="A67" s="258"/>
      <c r="B67" s="256"/>
      <c r="H67" s="14"/>
      <c r="I67" s="64"/>
      <c r="J67" s="9"/>
      <c r="K67" s="9"/>
      <c r="L67" s="9"/>
      <c r="M67" s="9"/>
      <c r="N67" s="9"/>
      <c r="O67" s="9"/>
    </row>
    <row r="68" spans="1:15" x14ac:dyDescent="0.3">
      <c r="A68" s="258"/>
      <c r="B68" s="256"/>
      <c r="H68" s="14"/>
      <c r="I68" s="64"/>
      <c r="J68" s="9"/>
      <c r="K68" s="9"/>
      <c r="L68" s="9"/>
      <c r="M68" s="9"/>
      <c r="N68" s="9"/>
      <c r="O68" s="9"/>
    </row>
    <row r="69" spans="1:15" x14ac:dyDescent="0.3">
      <c r="A69" s="258"/>
      <c r="B69" s="256"/>
      <c r="H69" s="14"/>
      <c r="I69" s="64"/>
      <c r="J69" s="9"/>
      <c r="K69" s="9"/>
      <c r="L69" s="9"/>
      <c r="M69" s="9"/>
      <c r="N69" s="9"/>
      <c r="O69" s="9"/>
    </row>
    <row r="70" spans="1:15" x14ac:dyDescent="0.3">
      <c r="A70" s="258"/>
      <c r="B70" s="256"/>
      <c r="H70" s="14"/>
      <c r="I70" s="64"/>
      <c r="J70" s="9"/>
      <c r="K70" s="9"/>
      <c r="L70" s="9"/>
      <c r="M70" s="9"/>
      <c r="N70" s="9"/>
      <c r="O70" s="9"/>
    </row>
    <row r="71" spans="1:15" x14ac:dyDescent="0.3">
      <c r="A71" s="258"/>
      <c r="B71" s="256"/>
      <c r="H71" s="14"/>
      <c r="I71" s="64"/>
      <c r="J71" s="9"/>
      <c r="K71" s="9"/>
      <c r="L71" s="9"/>
      <c r="M71" s="9"/>
      <c r="N71" s="9"/>
      <c r="O71" s="9"/>
    </row>
    <row r="72" spans="1:15" x14ac:dyDescent="0.3">
      <c r="A72" s="258"/>
      <c r="B72" s="256"/>
      <c r="H72" s="14"/>
      <c r="I72" s="64"/>
      <c r="J72" s="9"/>
      <c r="K72" s="9"/>
      <c r="L72" s="9"/>
      <c r="M72" s="9"/>
      <c r="N72" s="9"/>
      <c r="O72" s="9"/>
    </row>
    <row r="73" spans="1:15" x14ac:dyDescent="0.3">
      <c r="A73" s="258"/>
      <c r="B73" s="256"/>
      <c r="H73" s="14"/>
      <c r="I73" s="64"/>
      <c r="J73" s="9"/>
      <c r="K73" s="9"/>
      <c r="L73" s="9"/>
      <c r="M73" s="9"/>
      <c r="N73" s="9"/>
      <c r="O73" s="9"/>
    </row>
    <row r="74" spans="1:15" x14ac:dyDescent="0.3">
      <c r="A74" s="258"/>
      <c r="B74" s="256"/>
      <c r="H74" s="14"/>
      <c r="I74" s="64"/>
      <c r="J74" s="9"/>
      <c r="K74" s="9"/>
      <c r="L74" s="9"/>
      <c r="M74" s="9"/>
      <c r="N74" s="9"/>
      <c r="O74" s="9"/>
    </row>
    <row r="75" spans="1:15" x14ac:dyDescent="0.3">
      <c r="A75" s="258"/>
      <c r="B75" s="256"/>
      <c r="H75" s="14"/>
      <c r="I75" s="64"/>
      <c r="J75" s="9"/>
      <c r="K75" s="9"/>
      <c r="L75" s="9"/>
      <c r="M75" s="9"/>
      <c r="N75" s="9"/>
      <c r="O75" s="9"/>
    </row>
    <row r="76" spans="1:15" x14ac:dyDescent="0.3">
      <c r="A76" s="258"/>
      <c r="B76" s="256"/>
      <c r="H76" s="14"/>
      <c r="I76" s="64"/>
      <c r="J76" s="9"/>
      <c r="K76" s="9"/>
      <c r="L76" s="9"/>
      <c r="M76" s="9"/>
      <c r="N76" s="9"/>
      <c r="O76" s="9"/>
    </row>
    <row r="77" spans="1:15" x14ac:dyDescent="0.3">
      <c r="A77" s="258"/>
      <c r="B77" s="256"/>
      <c r="H77" s="14"/>
      <c r="I77" s="64"/>
      <c r="J77" s="9"/>
      <c r="K77" s="9"/>
      <c r="L77" s="9"/>
      <c r="M77" s="9"/>
      <c r="N77" s="9"/>
      <c r="O77" s="9"/>
    </row>
    <row r="78" spans="1:15" x14ac:dyDescent="0.3">
      <c r="A78" s="258"/>
      <c r="B78" s="256"/>
      <c r="H78" s="14"/>
      <c r="I78" s="64"/>
      <c r="J78" s="9"/>
      <c r="K78" s="9"/>
      <c r="L78" s="9"/>
      <c r="M78" s="9"/>
      <c r="N78" s="9"/>
      <c r="O78" s="9"/>
    </row>
    <row r="79" spans="1:15" x14ac:dyDescent="0.3">
      <c r="A79" s="258"/>
      <c r="B79" s="256"/>
      <c r="H79" s="14"/>
      <c r="I79" s="64"/>
      <c r="J79" s="9"/>
      <c r="K79" s="9"/>
      <c r="L79" s="9"/>
      <c r="M79" s="9"/>
      <c r="N79" s="9"/>
      <c r="O79" s="9"/>
    </row>
    <row r="80" spans="1:15" x14ac:dyDescent="0.3">
      <c r="A80" s="258"/>
      <c r="B80" s="256"/>
      <c r="H80" s="14"/>
      <c r="I80" s="64"/>
      <c r="J80" s="9"/>
      <c r="K80" s="9"/>
      <c r="L80" s="9"/>
      <c r="M80" s="9"/>
      <c r="N80" s="9"/>
      <c r="O80" s="9"/>
    </row>
    <row r="81" spans="1:15" x14ac:dyDescent="0.3">
      <c r="A81" s="258"/>
      <c r="B81" s="256"/>
      <c r="H81" s="14"/>
      <c r="I81" s="64"/>
      <c r="J81" s="9"/>
      <c r="K81" s="9"/>
      <c r="L81" s="9"/>
      <c r="M81" s="9"/>
      <c r="N81" s="9"/>
      <c r="O81" s="9"/>
    </row>
    <row r="82" spans="1:15" x14ac:dyDescent="0.3">
      <c r="A82" s="258"/>
      <c r="B82" s="256"/>
      <c r="H82" s="14"/>
      <c r="I82" s="64"/>
      <c r="J82" s="9"/>
      <c r="K82" s="9"/>
      <c r="L82" s="9"/>
      <c r="M82" s="9"/>
      <c r="N82" s="9"/>
      <c r="O82" s="9"/>
    </row>
    <row r="83" spans="1:15" x14ac:dyDescent="0.3">
      <c r="A83" s="258"/>
      <c r="B83" s="256"/>
      <c r="H83" s="14"/>
      <c r="I83" s="64"/>
      <c r="J83" s="9"/>
      <c r="K83" s="9"/>
      <c r="L83" s="9"/>
      <c r="M83" s="9"/>
      <c r="N83" s="9"/>
      <c r="O83" s="9"/>
    </row>
    <row r="84" spans="1:15" x14ac:dyDescent="0.3">
      <c r="A84" s="258"/>
      <c r="B84" s="256"/>
      <c r="H84" s="14"/>
      <c r="I84" s="64"/>
      <c r="J84" s="9"/>
      <c r="K84" s="9"/>
      <c r="L84" s="9"/>
      <c r="M84" s="9"/>
      <c r="N84" s="9"/>
      <c r="O84" s="9"/>
    </row>
    <row r="85" spans="1:15" x14ac:dyDescent="0.3">
      <c r="A85" s="258"/>
      <c r="B85" s="256"/>
      <c r="H85" s="14"/>
      <c r="I85" s="64"/>
      <c r="J85" s="9"/>
      <c r="K85" s="9"/>
      <c r="L85" s="9"/>
      <c r="M85" s="9"/>
      <c r="N85" s="9"/>
      <c r="O85" s="9"/>
    </row>
    <row r="86" spans="1:15" x14ac:dyDescent="0.3">
      <c r="A86" s="258"/>
      <c r="B86" s="256"/>
      <c r="H86" s="14"/>
      <c r="I86" s="64"/>
      <c r="J86" s="9"/>
      <c r="K86" s="9"/>
      <c r="L86" s="9"/>
      <c r="M86" s="9"/>
      <c r="N86" s="9"/>
      <c r="O86" s="9"/>
    </row>
    <row r="87" spans="1:15" x14ac:dyDescent="0.3">
      <c r="A87" s="258"/>
      <c r="B87" s="256"/>
      <c r="H87" s="14"/>
      <c r="I87" s="64"/>
      <c r="J87" s="9"/>
      <c r="K87" s="9"/>
      <c r="L87" s="9"/>
      <c r="M87" s="9"/>
      <c r="N87" s="9"/>
      <c r="O87" s="9"/>
    </row>
    <row r="88" spans="1:15" x14ac:dyDescent="0.3">
      <c r="A88" s="258"/>
      <c r="B88" s="256"/>
      <c r="H88" s="14"/>
      <c r="I88" s="64"/>
      <c r="J88" s="9"/>
      <c r="K88" s="9"/>
      <c r="L88" s="9"/>
      <c r="M88" s="9"/>
      <c r="N88" s="9"/>
      <c r="O88" s="9"/>
    </row>
    <row r="89" spans="1:15" x14ac:dyDescent="0.3">
      <c r="A89" s="258"/>
      <c r="B89" s="256"/>
      <c r="H89" s="14"/>
      <c r="I89" s="64"/>
      <c r="J89" s="9"/>
      <c r="K89" s="9"/>
      <c r="L89" s="9"/>
      <c r="M89" s="9"/>
      <c r="N89" s="9"/>
      <c r="O89" s="9"/>
    </row>
    <row r="90" spans="1:15" x14ac:dyDescent="0.3">
      <c r="A90" s="258"/>
      <c r="B90" s="256"/>
      <c r="H90" s="14"/>
      <c r="I90" s="64"/>
      <c r="J90" s="9"/>
      <c r="K90" s="9"/>
      <c r="L90" s="9"/>
      <c r="M90" s="9"/>
      <c r="N90" s="9"/>
      <c r="O90" s="9"/>
    </row>
    <row r="91" spans="1:15" x14ac:dyDescent="0.3">
      <c r="A91" s="258"/>
      <c r="B91" s="256"/>
      <c r="H91" s="14"/>
      <c r="I91" s="64"/>
      <c r="J91" s="9"/>
      <c r="K91" s="9"/>
      <c r="L91" s="9"/>
      <c r="M91" s="9"/>
      <c r="N91" s="9"/>
      <c r="O91" s="9"/>
    </row>
    <row r="92" spans="1:15" x14ac:dyDescent="0.3">
      <c r="A92" s="258"/>
      <c r="B92" s="256"/>
      <c r="H92" s="14"/>
      <c r="I92" s="64"/>
      <c r="J92" s="9"/>
      <c r="K92" s="9"/>
      <c r="L92" s="9"/>
      <c r="M92" s="9"/>
      <c r="N92" s="9"/>
      <c r="O92" s="9"/>
    </row>
    <row r="93" spans="1:15" x14ac:dyDescent="0.3">
      <c r="A93" s="258"/>
      <c r="B93" s="256"/>
      <c r="H93" s="14"/>
      <c r="I93" s="64"/>
      <c r="J93" s="9"/>
      <c r="K93" s="9"/>
      <c r="L93" s="9"/>
      <c r="M93" s="9"/>
      <c r="N93" s="9"/>
      <c r="O93" s="9"/>
    </row>
    <row r="94" spans="1:15" x14ac:dyDescent="0.3">
      <c r="A94" s="258"/>
      <c r="B94" s="256"/>
      <c r="H94" s="14"/>
      <c r="I94" s="64"/>
      <c r="J94" s="9"/>
      <c r="K94" s="9"/>
      <c r="L94" s="9"/>
      <c r="M94" s="9"/>
      <c r="N94" s="9"/>
      <c r="O94" s="9"/>
    </row>
    <row r="95" spans="1:15" x14ac:dyDescent="0.3">
      <c r="A95" s="258"/>
      <c r="B95" s="256"/>
      <c r="H95" s="14"/>
      <c r="I95" s="64"/>
      <c r="J95" s="9"/>
      <c r="K95" s="9"/>
      <c r="L95" s="9"/>
      <c r="M95" s="9"/>
      <c r="N95" s="9"/>
      <c r="O95" s="9"/>
    </row>
    <row r="96" spans="1:15" x14ac:dyDescent="0.3">
      <c r="A96" s="258"/>
      <c r="B96" s="256"/>
      <c r="H96" s="14"/>
      <c r="I96" s="64"/>
      <c r="J96" s="9"/>
      <c r="K96" s="9"/>
      <c r="L96" s="9"/>
      <c r="M96" s="9"/>
      <c r="N96" s="9"/>
      <c r="O96" s="9"/>
    </row>
    <row r="97" spans="1:15" x14ac:dyDescent="0.3">
      <c r="A97" s="258"/>
      <c r="B97" s="256"/>
      <c r="H97" s="14"/>
      <c r="I97" s="64"/>
      <c r="J97" s="9"/>
      <c r="K97" s="9"/>
      <c r="L97" s="9"/>
      <c r="M97" s="9"/>
      <c r="N97" s="9"/>
      <c r="O97" s="9"/>
    </row>
    <row r="98" spans="1:15" x14ac:dyDescent="0.3">
      <c r="A98" s="258"/>
      <c r="B98" s="256"/>
      <c r="H98" s="14"/>
      <c r="I98" s="64"/>
      <c r="J98" s="9"/>
      <c r="K98" s="9"/>
      <c r="L98" s="9"/>
      <c r="M98" s="9"/>
      <c r="N98" s="9"/>
      <c r="O98" s="9"/>
    </row>
    <row r="99" spans="1:15" x14ac:dyDescent="0.3">
      <c r="A99" s="258"/>
      <c r="B99" s="256"/>
      <c r="H99" s="14"/>
      <c r="I99" s="64"/>
      <c r="J99" s="9"/>
      <c r="K99" s="9"/>
      <c r="L99" s="9"/>
      <c r="M99" s="9"/>
      <c r="N99" s="9"/>
      <c r="O99" s="9"/>
    </row>
    <row r="100" spans="1:15" x14ac:dyDescent="0.3">
      <c r="A100" s="258"/>
      <c r="B100" s="256"/>
      <c r="H100" s="14"/>
      <c r="I100" s="64"/>
      <c r="J100" s="9"/>
      <c r="K100" s="9"/>
      <c r="L100" s="9"/>
      <c r="M100" s="9"/>
      <c r="N100" s="9"/>
      <c r="O100" s="9"/>
    </row>
    <row r="101" spans="1:15" x14ac:dyDescent="0.3">
      <c r="A101" s="258"/>
      <c r="B101" s="256"/>
      <c r="H101" s="14"/>
      <c r="I101" s="64"/>
      <c r="J101" s="9"/>
      <c r="K101" s="9"/>
      <c r="L101" s="9"/>
      <c r="M101" s="9"/>
      <c r="N101" s="9"/>
      <c r="O101" s="9"/>
    </row>
    <row r="102" spans="1:15" x14ac:dyDescent="0.3">
      <c r="A102" s="258"/>
      <c r="B102" s="256"/>
      <c r="H102" s="14"/>
      <c r="I102" s="64"/>
      <c r="J102" s="9"/>
      <c r="K102" s="9"/>
      <c r="L102" s="9"/>
      <c r="M102" s="9"/>
      <c r="N102" s="9"/>
      <c r="O102" s="9"/>
    </row>
    <row r="103" spans="1:15" x14ac:dyDescent="0.3">
      <c r="A103" s="258"/>
      <c r="B103" s="256"/>
      <c r="H103" s="14"/>
      <c r="I103" s="64"/>
      <c r="J103" s="9"/>
      <c r="K103" s="9"/>
      <c r="L103" s="9"/>
      <c r="M103" s="9"/>
      <c r="N103" s="9"/>
      <c r="O103" s="9"/>
    </row>
    <row r="104" spans="1:15" x14ac:dyDescent="0.3">
      <c r="A104" s="258"/>
      <c r="B104" s="256"/>
      <c r="H104" s="14"/>
      <c r="I104" s="64"/>
      <c r="J104" s="9"/>
      <c r="K104" s="9"/>
      <c r="L104" s="9"/>
      <c r="M104" s="9"/>
      <c r="N104" s="9"/>
      <c r="O104" s="9"/>
    </row>
    <row r="105" spans="1:15" x14ac:dyDescent="0.3">
      <c r="A105" s="258"/>
      <c r="B105" s="256"/>
      <c r="H105" s="14"/>
      <c r="I105" s="64"/>
      <c r="J105" s="9"/>
      <c r="K105" s="9"/>
      <c r="L105" s="9"/>
      <c r="M105" s="9"/>
      <c r="N105" s="9"/>
      <c r="O105" s="9"/>
    </row>
    <row r="106" spans="1:15" x14ac:dyDescent="0.3">
      <c r="A106" s="258"/>
      <c r="B106" s="256"/>
      <c r="H106" s="14"/>
      <c r="I106" s="64"/>
      <c r="J106" s="9"/>
      <c r="K106" s="9"/>
      <c r="L106" s="9"/>
      <c r="M106" s="9"/>
      <c r="N106" s="9"/>
      <c r="O106" s="9"/>
    </row>
    <row r="107" spans="1:15" x14ac:dyDescent="0.3">
      <c r="A107" s="258"/>
      <c r="B107" s="256"/>
      <c r="H107" s="14"/>
      <c r="I107" s="64"/>
      <c r="J107" s="9"/>
      <c r="K107" s="9"/>
      <c r="L107" s="9"/>
      <c r="M107" s="9"/>
      <c r="N107" s="9"/>
      <c r="O107" s="9"/>
    </row>
    <row r="108" spans="1:15" x14ac:dyDescent="0.3">
      <c r="A108" s="258"/>
      <c r="B108" s="256"/>
      <c r="H108" s="14"/>
      <c r="I108" s="64"/>
      <c r="J108" s="9"/>
      <c r="K108" s="9"/>
      <c r="L108" s="9"/>
      <c r="M108" s="9"/>
      <c r="N108" s="9"/>
      <c r="O108" s="9"/>
    </row>
    <row r="109" spans="1:15" x14ac:dyDescent="0.3">
      <c r="A109" s="258"/>
      <c r="B109" s="256"/>
      <c r="H109" s="14"/>
      <c r="I109" s="64"/>
      <c r="J109" s="9"/>
      <c r="K109" s="9"/>
      <c r="L109" s="9"/>
      <c r="M109" s="9"/>
      <c r="N109" s="9"/>
      <c r="O109" s="9"/>
    </row>
    <row r="110" spans="1:15" x14ac:dyDescent="0.3">
      <c r="A110" s="258"/>
      <c r="B110" s="256"/>
      <c r="H110" s="14"/>
      <c r="I110" s="64"/>
      <c r="J110" s="9"/>
      <c r="K110" s="9"/>
      <c r="L110" s="9"/>
      <c r="M110" s="9"/>
      <c r="N110" s="9"/>
      <c r="O110" s="9"/>
    </row>
    <row r="111" spans="1:15" x14ac:dyDescent="0.3">
      <c r="A111" s="258"/>
      <c r="B111" s="256"/>
      <c r="H111" s="14"/>
      <c r="I111" s="64"/>
      <c r="J111" s="9"/>
      <c r="K111" s="9"/>
      <c r="L111" s="9"/>
      <c r="M111" s="9"/>
      <c r="N111" s="9"/>
      <c r="O111" s="9"/>
    </row>
    <row r="112" spans="1:15" x14ac:dyDescent="0.3">
      <c r="A112" s="258"/>
      <c r="B112" s="256"/>
      <c r="H112" s="14"/>
      <c r="I112" s="64"/>
      <c r="J112" s="9"/>
      <c r="K112" s="9"/>
      <c r="L112" s="9"/>
      <c r="M112" s="9"/>
      <c r="N112" s="9"/>
      <c r="O112" s="9"/>
    </row>
    <row r="113" spans="1:15" x14ac:dyDescent="0.3">
      <c r="A113" s="258"/>
      <c r="B113" s="256"/>
      <c r="H113" s="14"/>
      <c r="I113" s="64"/>
      <c r="J113" s="9"/>
      <c r="K113" s="9"/>
      <c r="L113" s="9"/>
      <c r="M113" s="9"/>
      <c r="N113" s="9"/>
      <c r="O113" s="9"/>
    </row>
    <row r="114" spans="1:15" x14ac:dyDescent="0.3">
      <c r="A114" s="258"/>
      <c r="B114" s="256"/>
      <c r="H114" s="14"/>
      <c r="I114" s="64"/>
      <c r="J114" s="9"/>
      <c r="K114" s="9"/>
      <c r="L114" s="9"/>
      <c r="M114" s="9"/>
      <c r="N114" s="9"/>
      <c r="O114" s="9"/>
    </row>
    <row r="115" spans="1:15" x14ac:dyDescent="0.3">
      <c r="A115" s="258"/>
      <c r="B115" s="256"/>
      <c r="H115" s="14"/>
      <c r="I115" s="64"/>
      <c r="J115" s="9"/>
      <c r="K115" s="9"/>
      <c r="L115" s="9"/>
      <c r="M115" s="9"/>
      <c r="N115" s="9"/>
      <c r="O115" s="9"/>
    </row>
    <row r="116" spans="1:15" x14ac:dyDescent="0.3">
      <c r="A116" s="258"/>
      <c r="B116" s="256"/>
      <c r="H116" s="14"/>
      <c r="I116" s="64"/>
      <c r="J116" s="9"/>
      <c r="K116" s="9"/>
      <c r="L116" s="9"/>
      <c r="M116" s="9"/>
      <c r="N116" s="9"/>
      <c r="O116" s="9"/>
    </row>
    <row r="117" spans="1:15" x14ac:dyDescent="0.3">
      <c r="A117" s="258"/>
      <c r="B117" s="256"/>
      <c r="H117" s="14"/>
      <c r="I117" s="64"/>
      <c r="J117" s="9"/>
      <c r="K117" s="9"/>
      <c r="L117" s="9"/>
      <c r="M117" s="9"/>
      <c r="N117" s="9"/>
      <c r="O117" s="9"/>
    </row>
    <row r="118" spans="1:15" x14ac:dyDescent="0.3">
      <c r="A118" s="258"/>
      <c r="B118" s="256"/>
      <c r="H118" s="14"/>
      <c r="I118" s="64"/>
      <c r="J118" s="9"/>
      <c r="K118" s="9"/>
      <c r="L118" s="9"/>
      <c r="M118" s="9"/>
      <c r="N118" s="9"/>
      <c r="O118" s="9"/>
    </row>
    <row r="119" spans="1:15" x14ac:dyDescent="0.3">
      <c r="A119" s="258"/>
      <c r="B119" s="256"/>
      <c r="H119" s="14"/>
      <c r="I119" s="64"/>
      <c r="J119" s="9"/>
      <c r="K119" s="9"/>
      <c r="L119" s="9"/>
      <c r="M119" s="9"/>
      <c r="N119" s="9"/>
      <c r="O119" s="9"/>
    </row>
    <row r="120" spans="1:15" x14ac:dyDescent="0.3">
      <c r="A120" s="258"/>
      <c r="B120" s="256"/>
      <c r="H120" s="14"/>
      <c r="I120" s="64"/>
      <c r="J120" s="9"/>
      <c r="K120" s="9"/>
      <c r="L120" s="9"/>
      <c r="M120" s="9"/>
      <c r="N120" s="9"/>
      <c r="O120" s="9"/>
    </row>
    <row r="121" spans="1:15" x14ac:dyDescent="0.3">
      <c r="A121" s="258"/>
      <c r="B121" s="256"/>
      <c r="H121" s="14"/>
      <c r="I121" s="64"/>
      <c r="J121" s="9"/>
      <c r="K121" s="9"/>
      <c r="L121" s="9"/>
      <c r="M121" s="9"/>
      <c r="N121" s="9"/>
      <c r="O121" s="9"/>
    </row>
    <row r="122" spans="1:15" x14ac:dyDescent="0.3">
      <c r="A122" s="258"/>
      <c r="B122" s="256"/>
      <c r="H122" s="14"/>
      <c r="I122" s="64"/>
      <c r="J122" s="9"/>
      <c r="K122" s="9"/>
      <c r="L122" s="9"/>
      <c r="M122" s="9"/>
      <c r="N122" s="9"/>
      <c r="O122" s="9"/>
    </row>
    <row r="123" spans="1:15" x14ac:dyDescent="0.3">
      <c r="A123" s="258"/>
      <c r="B123" s="256"/>
      <c r="H123" s="14"/>
      <c r="I123" s="64"/>
      <c r="J123" s="9"/>
      <c r="K123" s="9"/>
      <c r="L123" s="9"/>
      <c r="M123" s="9"/>
      <c r="N123" s="9"/>
      <c r="O123" s="9"/>
    </row>
    <row r="124" spans="1:15" x14ac:dyDescent="0.3">
      <c r="A124" s="258"/>
      <c r="B124" s="256"/>
      <c r="H124" s="14"/>
      <c r="I124" s="64"/>
      <c r="J124" s="9"/>
      <c r="K124" s="9"/>
      <c r="L124" s="9"/>
      <c r="M124" s="9"/>
      <c r="N124" s="9"/>
      <c r="O124" s="9"/>
    </row>
    <row r="125" spans="1:15" x14ac:dyDescent="0.3">
      <c r="A125" s="258"/>
      <c r="B125" s="256"/>
      <c r="H125" s="14"/>
      <c r="I125" s="64"/>
      <c r="J125" s="9"/>
      <c r="K125" s="9"/>
      <c r="L125" s="9"/>
      <c r="M125" s="9"/>
      <c r="N125" s="9"/>
      <c r="O125" s="9"/>
    </row>
    <row r="126" spans="1:15" x14ac:dyDescent="0.3">
      <c r="A126" s="258"/>
      <c r="B126" s="256"/>
      <c r="H126" s="14"/>
      <c r="I126" s="64"/>
      <c r="J126" s="9"/>
      <c r="K126" s="9"/>
      <c r="L126" s="9"/>
      <c r="M126" s="9"/>
      <c r="N126" s="9"/>
      <c r="O126" s="9"/>
    </row>
    <row r="127" spans="1:15" x14ac:dyDescent="0.3">
      <c r="A127" s="258"/>
      <c r="B127" s="256"/>
      <c r="H127" s="14"/>
      <c r="I127" s="64"/>
      <c r="J127" s="9"/>
      <c r="K127" s="9"/>
      <c r="L127" s="9"/>
      <c r="M127" s="9"/>
      <c r="N127" s="9"/>
      <c r="O127" s="9"/>
    </row>
    <row r="128" spans="1:15" x14ac:dyDescent="0.3">
      <c r="A128" s="258"/>
      <c r="B128" s="256"/>
      <c r="H128" s="14"/>
      <c r="I128" s="64"/>
      <c r="J128" s="9"/>
      <c r="K128" s="9"/>
      <c r="L128" s="9"/>
      <c r="M128" s="9"/>
      <c r="N128" s="9"/>
      <c r="O128" s="9"/>
    </row>
    <row r="129" spans="1:15" x14ac:dyDescent="0.3">
      <c r="A129" s="258"/>
      <c r="B129" s="256"/>
      <c r="H129" s="14"/>
      <c r="I129" s="64"/>
      <c r="J129" s="9"/>
      <c r="K129" s="9"/>
      <c r="L129" s="9"/>
      <c r="M129" s="9"/>
      <c r="N129" s="9"/>
      <c r="O129" s="9"/>
    </row>
    <row r="130" spans="1:15" x14ac:dyDescent="0.3">
      <c r="A130" s="258"/>
      <c r="B130" s="256"/>
      <c r="H130" s="14"/>
      <c r="I130" s="64"/>
      <c r="J130" s="9"/>
      <c r="K130" s="9"/>
      <c r="L130" s="9"/>
      <c r="M130" s="9"/>
      <c r="N130" s="9"/>
      <c r="O130" s="9"/>
    </row>
    <row r="131" spans="1:15" x14ac:dyDescent="0.3">
      <c r="A131" s="258"/>
      <c r="B131" s="256"/>
      <c r="H131" s="14"/>
      <c r="I131" s="64"/>
      <c r="J131" s="9"/>
      <c r="K131" s="9"/>
      <c r="L131" s="9"/>
      <c r="M131" s="9"/>
      <c r="N131" s="9"/>
      <c r="O131" s="9"/>
    </row>
    <row r="132" spans="1:15" x14ac:dyDescent="0.3">
      <c r="A132" s="258"/>
      <c r="B132" s="256"/>
      <c r="H132" s="14"/>
      <c r="I132" s="64"/>
      <c r="J132" s="9"/>
      <c r="K132" s="9"/>
      <c r="L132" s="9"/>
      <c r="M132" s="9"/>
      <c r="N132" s="9"/>
      <c r="O132" s="9"/>
    </row>
    <row r="133" spans="1:15" x14ac:dyDescent="0.3">
      <c r="A133" s="258"/>
      <c r="B133" s="256"/>
      <c r="H133" s="14"/>
      <c r="I133" s="64"/>
      <c r="J133" s="9"/>
      <c r="K133" s="9"/>
      <c r="L133" s="9"/>
      <c r="M133" s="9"/>
      <c r="N133" s="9"/>
      <c r="O133" s="9"/>
    </row>
    <row r="134" spans="1:15" x14ac:dyDescent="0.3">
      <c r="A134" s="258"/>
      <c r="B134" s="256"/>
      <c r="H134" s="14"/>
      <c r="I134" s="64"/>
      <c r="J134" s="9"/>
      <c r="K134" s="9"/>
      <c r="L134" s="9"/>
      <c r="M134" s="9"/>
      <c r="N134" s="9"/>
      <c r="O134" s="9"/>
    </row>
    <row r="135" spans="1:15" x14ac:dyDescent="0.3">
      <c r="A135" s="258"/>
      <c r="B135" s="256"/>
      <c r="H135" s="14"/>
      <c r="I135" s="64"/>
      <c r="J135" s="9"/>
      <c r="K135" s="9"/>
      <c r="L135" s="9"/>
      <c r="M135" s="9"/>
      <c r="N135" s="9"/>
      <c r="O135" s="9"/>
    </row>
    <row r="136" spans="1:15" x14ac:dyDescent="0.3">
      <c r="A136" s="258"/>
      <c r="B136" s="256"/>
      <c r="H136" s="14"/>
      <c r="I136" s="64"/>
      <c r="J136" s="9"/>
      <c r="K136" s="9"/>
      <c r="L136" s="9"/>
      <c r="M136" s="9"/>
      <c r="N136" s="9"/>
      <c r="O136" s="9"/>
    </row>
    <row r="137" spans="1:15" x14ac:dyDescent="0.3">
      <c r="A137" s="258"/>
      <c r="B137" s="256"/>
      <c r="H137" s="14"/>
      <c r="I137" s="64"/>
      <c r="J137" s="9"/>
      <c r="K137" s="9"/>
      <c r="L137" s="9"/>
      <c r="M137" s="9"/>
      <c r="N137" s="9"/>
      <c r="O137" s="9"/>
    </row>
    <row r="138" spans="1:15" x14ac:dyDescent="0.3">
      <c r="A138" s="258"/>
      <c r="B138" s="256"/>
      <c r="H138" s="14"/>
      <c r="I138" s="64"/>
      <c r="J138" s="9"/>
      <c r="K138" s="9"/>
      <c r="L138" s="9"/>
      <c r="M138" s="9"/>
      <c r="N138" s="9"/>
      <c r="O138" s="9"/>
    </row>
    <row r="139" spans="1:15" x14ac:dyDescent="0.3">
      <c r="A139" s="258"/>
      <c r="B139" s="256"/>
      <c r="H139" s="14"/>
      <c r="I139" s="64"/>
      <c r="J139" s="9"/>
      <c r="K139" s="9"/>
      <c r="L139" s="9"/>
      <c r="M139" s="9"/>
      <c r="N139" s="9"/>
      <c r="O139" s="9"/>
    </row>
    <row r="140" spans="1:15" x14ac:dyDescent="0.3">
      <c r="A140" s="258"/>
      <c r="B140" s="256"/>
      <c r="H140" s="14"/>
      <c r="I140" s="64"/>
      <c r="J140" s="9"/>
      <c r="K140" s="9"/>
      <c r="L140" s="9"/>
      <c r="M140" s="9"/>
      <c r="N140" s="9"/>
      <c r="O140" s="9"/>
    </row>
    <row r="141" spans="1:15" x14ac:dyDescent="0.3">
      <c r="A141" s="258"/>
      <c r="B141" s="256"/>
      <c r="H141" s="14"/>
      <c r="I141" s="64"/>
      <c r="J141" s="9"/>
      <c r="K141" s="9"/>
      <c r="L141" s="9"/>
      <c r="M141" s="9"/>
      <c r="N141" s="9"/>
      <c r="O141" s="9"/>
    </row>
    <row r="142" spans="1:15" x14ac:dyDescent="0.3">
      <c r="A142" s="258"/>
      <c r="B142" s="256"/>
      <c r="H142" s="14"/>
      <c r="I142" s="64"/>
      <c r="J142" s="9"/>
      <c r="K142" s="9"/>
      <c r="L142" s="9"/>
      <c r="M142" s="9"/>
      <c r="N142" s="9"/>
      <c r="O142" s="9"/>
    </row>
    <row r="143" spans="1:15" x14ac:dyDescent="0.3">
      <c r="A143" s="258"/>
      <c r="B143" s="256"/>
      <c r="H143" s="14"/>
      <c r="I143" s="64"/>
      <c r="J143" s="9"/>
      <c r="K143" s="9"/>
      <c r="L143" s="9"/>
      <c r="M143" s="9"/>
      <c r="N143" s="9"/>
      <c r="O143" s="9"/>
    </row>
    <row r="144" spans="1:15" x14ac:dyDescent="0.3">
      <c r="A144" s="258"/>
      <c r="B144" s="256"/>
      <c r="H144" s="14"/>
      <c r="I144" s="64"/>
      <c r="J144" s="9"/>
      <c r="K144" s="9"/>
      <c r="L144" s="9"/>
      <c r="M144" s="9"/>
      <c r="N144" s="9"/>
      <c r="O144" s="9"/>
    </row>
    <row r="145" spans="1:15" x14ac:dyDescent="0.3">
      <c r="A145" s="258"/>
      <c r="B145" s="256"/>
      <c r="H145" s="14"/>
      <c r="I145" s="64"/>
      <c r="J145" s="9"/>
      <c r="K145" s="9"/>
      <c r="L145" s="9"/>
      <c r="M145" s="9"/>
      <c r="N145" s="9"/>
      <c r="O145" s="9"/>
    </row>
    <row r="146" spans="1:15" x14ac:dyDescent="0.3">
      <c r="A146" s="258"/>
      <c r="B146" s="256"/>
      <c r="H146" s="14"/>
      <c r="I146" s="64"/>
      <c r="J146" s="9"/>
      <c r="K146" s="9"/>
      <c r="L146" s="9"/>
      <c r="M146" s="9"/>
      <c r="N146" s="9"/>
      <c r="O146" s="9"/>
    </row>
    <row r="147" spans="1:15" x14ac:dyDescent="0.3">
      <c r="A147" s="258"/>
      <c r="B147" s="256"/>
      <c r="H147" s="14"/>
      <c r="I147" s="64"/>
      <c r="J147" s="9"/>
      <c r="K147" s="9"/>
      <c r="L147" s="9"/>
      <c r="M147" s="9"/>
      <c r="N147" s="9"/>
      <c r="O147" s="9"/>
    </row>
    <row r="148" spans="1:15" x14ac:dyDescent="0.3">
      <c r="A148" s="258"/>
      <c r="B148" s="256"/>
      <c r="H148" s="14"/>
      <c r="I148" s="64"/>
      <c r="J148" s="9"/>
      <c r="K148" s="9"/>
      <c r="L148" s="9"/>
      <c r="M148" s="9"/>
      <c r="N148" s="9"/>
      <c r="O148" s="9"/>
    </row>
    <row r="149" spans="1:15" x14ac:dyDescent="0.3">
      <c r="A149" s="258"/>
      <c r="B149" s="256"/>
      <c r="H149" s="14"/>
      <c r="I149" s="64"/>
      <c r="J149" s="9"/>
      <c r="K149" s="9"/>
      <c r="L149" s="9"/>
      <c r="M149" s="9"/>
      <c r="N149" s="9"/>
      <c r="O149" s="9"/>
    </row>
    <row r="150" spans="1:15" x14ac:dyDescent="0.3">
      <c r="A150" s="258"/>
      <c r="B150" s="256"/>
      <c r="H150" s="14"/>
      <c r="I150" s="64"/>
      <c r="J150" s="9"/>
      <c r="K150" s="9"/>
      <c r="L150" s="9"/>
      <c r="M150" s="9"/>
      <c r="N150" s="9"/>
      <c r="O150" s="9"/>
    </row>
    <row r="151" spans="1:15" x14ac:dyDescent="0.3">
      <c r="A151" s="258"/>
      <c r="B151" s="256"/>
      <c r="H151" s="14"/>
      <c r="I151" s="64"/>
      <c r="J151" s="9"/>
      <c r="K151" s="9"/>
      <c r="L151" s="9"/>
      <c r="M151" s="9"/>
      <c r="N151" s="9"/>
      <c r="O151" s="9"/>
    </row>
    <row r="152" spans="1:15" x14ac:dyDescent="0.3">
      <c r="A152" s="258"/>
      <c r="B152" s="256"/>
      <c r="H152" s="14"/>
      <c r="I152" s="64"/>
      <c r="J152" s="9"/>
      <c r="K152" s="9"/>
      <c r="L152" s="9"/>
      <c r="M152" s="9"/>
      <c r="N152" s="9"/>
      <c r="O152" s="9"/>
    </row>
    <row r="153" spans="1:15" x14ac:dyDescent="0.3">
      <c r="A153" s="258"/>
      <c r="B153" s="256"/>
      <c r="H153" s="14"/>
      <c r="I153" s="64"/>
      <c r="J153" s="9"/>
      <c r="K153" s="9"/>
      <c r="L153" s="9"/>
      <c r="M153" s="9"/>
      <c r="N153" s="9"/>
      <c r="O153" s="9"/>
    </row>
    <row r="154" spans="1:15" x14ac:dyDescent="0.3">
      <c r="A154" s="258"/>
      <c r="B154" s="256"/>
      <c r="H154" s="14"/>
      <c r="I154" s="64"/>
      <c r="J154" s="9"/>
      <c r="K154" s="9"/>
      <c r="L154" s="9"/>
      <c r="M154" s="9"/>
      <c r="N154" s="9"/>
      <c r="O154" s="9"/>
    </row>
    <row r="155" spans="1:15" x14ac:dyDescent="0.3">
      <c r="A155" s="258"/>
      <c r="B155" s="256"/>
      <c r="H155" s="14"/>
      <c r="I155" s="64"/>
      <c r="J155" s="9"/>
      <c r="K155" s="9"/>
      <c r="L155" s="9"/>
      <c r="M155" s="9"/>
      <c r="N155" s="9"/>
      <c r="O155" s="9"/>
    </row>
    <row r="156" spans="1:15" x14ac:dyDescent="0.3">
      <c r="A156" s="258"/>
      <c r="B156" s="256"/>
      <c r="H156" s="14"/>
      <c r="I156" s="64"/>
      <c r="J156" s="9"/>
      <c r="K156" s="9"/>
      <c r="L156" s="9"/>
      <c r="M156" s="9"/>
      <c r="N156" s="9"/>
      <c r="O156" s="9"/>
    </row>
    <row r="157" spans="1:15" x14ac:dyDescent="0.3">
      <c r="A157" s="258"/>
      <c r="B157" s="256"/>
      <c r="H157" s="14"/>
      <c r="I157" s="64"/>
      <c r="J157" s="9"/>
      <c r="K157" s="9"/>
      <c r="L157" s="9"/>
      <c r="M157" s="9"/>
      <c r="N157" s="9"/>
      <c r="O157" s="9"/>
    </row>
    <row r="158" spans="1:15" x14ac:dyDescent="0.3">
      <c r="A158" s="258"/>
      <c r="B158" s="256"/>
      <c r="H158" s="14"/>
      <c r="I158" s="64"/>
      <c r="J158" s="9"/>
      <c r="K158" s="9"/>
      <c r="L158" s="9"/>
      <c r="M158" s="9"/>
      <c r="N158" s="9"/>
      <c r="O158" s="9"/>
    </row>
    <row r="159" spans="1:15" x14ac:dyDescent="0.3">
      <c r="A159" s="258"/>
      <c r="B159" s="256"/>
      <c r="H159" s="14"/>
      <c r="I159" s="64"/>
      <c r="J159" s="9"/>
      <c r="K159" s="9"/>
      <c r="L159" s="9"/>
      <c r="M159" s="9"/>
      <c r="N159" s="9"/>
      <c r="O159" s="9"/>
    </row>
    <row r="160" spans="1:15" x14ac:dyDescent="0.3">
      <c r="A160" s="258"/>
      <c r="B160" s="256"/>
      <c r="H160" s="14"/>
      <c r="I160" s="64"/>
      <c r="J160" s="9"/>
      <c r="K160" s="9"/>
      <c r="L160" s="9"/>
      <c r="M160" s="9"/>
      <c r="N160" s="9"/>
      <c r="O160" s="9"/>
    </row>
    <row r="161" spans="1:15" x14ac:dyDescent="0.3">
      <c r="A161" s="258"/>
      <c r="B161" s="256"/>
      <c r="H161" s="14"/>
      <c r="I161" s="64"/>
      <c r="J161" s="9"/>
      <c r="K161" s="9"/>
      <c r="L161" s="9"/>
      <c r="M161" s="9"/>
      <c r="N161" s="9"/>
      <c r="O161" s="9"/>
    </row>
    <row r="162" spans="1:15" x14ac:dyDescent="0.3">
      <c r="A162" s="258"/>
      <c r="B162" s="256"/>
      <c r="H162" s="14"/>
      <c r="I162" s="64"/>
      <c r="J162" s="9"/>
      <c r="K162" s="9"/>
      <c r="L162" s="9"/>
      <c r="M162" s="9"/>
      <c r="N162" s="9"/>
      <c r="O162" s="9"/>
    </row>
    <row r="163" spans="1:15" x14ac:dyDescent="0.3">
      <c r="A163" s="258"/>
      <c r="B163" s="256"/>
      <c r="H163" s="14"/>
      <c r="I163" s="64"/>
      <c r="J163" s="9"/>
      <c r="K163" s="9"/>
      <c r="L163" s="9"/>
      <c r="M163" s="9"/>
      <c r="N163" s="9"/>
      <c r="O163" s="9"/>
    </row>
    <row r="164" spans="1:15" x14ac:dyDescent="0.3">
      <c r="A164" s="258"/>
      <c r="B164" s="256"/>
      <c r="H164" s="14"/>
      <c r="I164" s="64"/>
      <c r="J164" s="9"/>
      <c r="K164" s="9"/>
      <c r="L164" s="9"/>
      <c r="M164" s="9"/>
      <c r="N164" s="9"/>
      <c r="O164" s="9"/>
    </row>
    <row r="165" spans="1:15" x14ac:dyDescent="0.3">
      <c r="A165" s="258"/>
      <c r="B165" s="256"/>
      <c r="H165" s="14"/>
      <c r="I165" s="64"/>
      <c r="J165" s="9"/>
      <c r="K165" s="9"/>
      <c r="L165" s="9"/>
      <c r="M165" s="9"/>
      <c r="N165" s="9"/>
      <c r="O165" s="9"/>
    </row>
    <row r="166" spans="1:15" x14ac:dyDescent="0.3">
      <c r="A166" s="258"/>
      <c r="B166" s="256"/>
      <c r="H166" s="14"/>
      <c r="I166" s="64"/>
      <c r="J166" s="9"/>
      <c r="K166" s="9"/>
      <c r="L166" s="9"/>
      <c r="M166" s="9"/>
      <c r="N166" s="9"/>
      <c r="O166" s="9"/>
    </row>
    <row r="167" spans="1:15" x14ac:dyDescent="0.3">
      <c r="A167" s="258"/>
      <c r="B167" s="256"/>
      <c r="H167" s="14"/>
      <c r="I167" s="64"/>
      <c r="J167" s="9"/>
      <c r="K167" s="9"/>
      <c r="L167" s="9"/>
      <c r="M167" s="9"/>
      <c r="N167" s="9"/>
      <c r="O167" s="9"/>
    </row>
    <row r="168" spans="1:15" x14ac:dyDescent="0.3">
      <c r="A168" s="258"/>
      <c r="B168" s="256"/>
      <c r="H168" s="14"/>
      <c r="I168" s="64"/>
      <c r="J168" s="9"/>
      <c r="K168" s="9"/>
      <c r="L168" s="9"/>
      <c r="M168" s="9"/>
      <c r="N168" s="9"/>
      <c r="O168" s="9"/>
    </row>
    <row r="169" spans="1:15" x14ac:dyDescent="0.3">
      <c r="A169" s="258"/>
      <c r="B169" s="256"/>
      <c r="H169" s="14"/>
      <c r="I169" s="64"/>
      <c r="J169" s="9"/>
      <c r="K169" s="9"/>
      <c r="L169" s="9"/>
      <c r="M169" s="9"/>
      <c r="N169" s="9"/>
      <c r="O169" s="9"/>
    </row>
    <row r="170" spans="1:15" x14ac:dyDescent="0.3">
      <c r="A170" s="258"/>
      <c r="B170" s="256"/>
      <c r="H170" s="14"/>
      <c r="I170" s="64"/>
      <c r="J170" s="9"/>
      <c r="K170" s="9"/>
      <c r="L170" s="9"/>
      <c r="M170" s="9"/>
      <c r="N170" s="9"/>
      <c r="O170" s="9"/>
    </row>
    <row r="171" spans="1:15" x14ac:dyDescent="0.3">
      <c r="A171" s="258"/>
      <c r="B171" s="256"/>
      <c r="H171" s="14"/>
      <c r="I171" s="64"/>
      <c r="J171" s="9"/>
      <c r="K171" s="9"/>
      <c r="L171" s="9"/>
      <c r="M171" s="9"/>
      <c r="N171" s="9"/>
      <c r="O171" s="9"/>
    </row>
    <row r="172" spans="1:15" x14ac:dyDescent="0.3">
      <c r="A172" s="258"/>
      <c r="B172" s="256"/>
      <c r="H172" s="14"/>
      <c r="I172" s="64"/>
      <c r="J172" s="9"/>
      <c r="K172" s="9"/>
      <c r="L172" s="9"/>
      <c r="M172" s="9"/>
      <c r="N172" s="9"/>
      <c r="O172" s="9"/>
    </row>
    <row r="173" spans="1:15" x14ac:dyDescent="0.3">
      <c r="A173" s="258"/>
      <c r="B173" s="256"/>
      <c r="H173" s="14"/>
      <c r="I173" s="64"/>
      <c r="J173" s="9"/>
      <c r="K173" s="9"/>
      <c r="L173" s="9"/>
      <c r="M173" s="9"/>
      <c r="N173" s="9"/>
      <c r="O173" s="9"/>
    </row>
    <row r="174" spans="1:15" x14ac:dyDescent="0.3">
      <c r="A174" s="258"/>
      <c r="B174" s="256"/>
      <c r="H174" s="14"/>
      <c r="I174" s="64"/>
      <c r="J174" s="9"/>
      <c r="K174" s="9"/>
      <c r="L174" s="9"/>
      <c r="M174" s="9"/>
      <c r="N174" s="9"/>
      <c r="O174" s="9"/>
    </row>
    <row r="175" spans="1:15" x14ac:dyDescent="0.3">
      <c r="A175" s="258"/>
      <c r="B175" s="256"/>
      <c r="H175" s="14"/>
      <c r="I175" s="64"/>
      <c r="J175" s="9"/>
      <c r="K175" s="9"/>
      <c r="L175" s="9"/>
      <c r="M175" s="9"/>
      <c r="N175" s="9"/>
      <c r="O175" s="9"/>
    </row>
    <row r="176" spans="1:15" x14ac:dyDescent="0.3">
      <c r="A176" s="258"/>
      <c r="B176" s="256"/>
      <c r="H176" s="14"/>
      <c r="I176" s="64"/>
      <c r="J176" s="9"/>
      <c r="K176" s="9"/>
      <c r="L176" s="9"/>
      <c r="M176" s="9"/>
      <c r="N176" s="9"/>
      <c r="O176" s="9"/>
    </row>
    <row r="177" spans="1:15" x14ac:dyDescent="0.3">
      <c r="A177" s="258"/>
      <c r="B177" s="256"/>
      <c r="H177" s="14"/>
      <c r="I177" s="64"/>
      <c r="J177" s="9"/>
      <c r="K177" s="9"/>
      <c r="L177" s="9"/>
      <c r="M177" s="9"/>
      <c r="N177" s="9"/>
      <c r="O177" s="9"/>
    </row>
    <row r="178" spans="1:15" x14ac:dyDescent="0.3">
      <c r="A178" s="258"/>
      <c r="B178" s="256"/>
      <c r="H178" s="14"/>
      <c r="I178" s="64"/>
      <c r="J178" s="9"/>
      <c r="K178" s="9"/>
      <c r="L178" s="9"/>
      <c r="M178" s="9"/>
      <c r="N178" s="9"/>
      <c r="O178" s="9"/>
    </row>
    <row r="179" spans="1:15" x14ac:dyDescent="0.3">
      <c r="A179" s="258"/>
      <c r="B179" s="256"/>
      <c r="H179" s="14"/>
      <c r="I179" s="64"/>
      <c r="J179" s="9"/>
      <c r="K179" s="9"/>
      <c r="L179" s="9"/>
      <c r="M179" s="9"/>
      <c r="N179" s="9"/>
      <c r="O179" s="9"/>
    </row>
    <row r="180" spans="1:15" x14ac:dyDescent="0.3">
      <c r="A180" s="258"/>
      <c r="B180" s="256"/>
      <c r="H180" s="14"/>
      <c r="I180" s="64"/>
      <c r="J180" s="9"/>
      <c r="K180" s="9"/>
      <c r="L180" s="9"/>
      <c r="M180" s="9"/>
      <c r="N180" s="9"/>
      <c r="O180" s="9"/>
    </row>
    <row r="181" spans="1:15" x14ac:dyDescent="0.3">
      <c r="A181" s="258"/>
      <c r="B181" s="256"/>
      <c r="H181" s="14"/>
      <c r="I181" s="64"/>
      <c r="J181" s="9"/>
      <c r="K181" s="9"/>
      <c r="L181" s="9"/>
      <c r="M181" s="9"/>
      <c r="N181" s="9"/>
      <c r="O181" s="9"/>
    </row>
    <row r="182" spans="1:15" x14ac:dyDescent="0.3">
      <c r="A182" s="258"/>
      <c r="B182" s="256"/>
      <c r="H182" s="14"/>
      <c r="I182" s="64"/>
      <c r="J182" s="9"/>
      <c r="K182" s="9"/>
      <c r="L182" s="9"/>
      <c r="M182" s="9"/>
      <c r="N182" s="9"/>
      <c r="O182" s="9"/>
    </row>
    <row r="183" spans="1:15" x14ac:dyDescent="0.3">
      <c r="A183" s="258"/>
      <c r="B183" s="256"/>
      <c r="H183" s="14"/>
      <c r="I183" s="64"/>
      <c r="J183" s="9"/>
      <c r="K183" s="9"/>
      <c r="L183" s="9"/>
      <c r="M183" s="9"/>
      <c r="N183" s="9"/>
      <c r="O183" s="9"/>
    </row>
    <row r="184" spans="1:15" x14ac:dyDescent="0.3">
      <c r="A184" s="258"/>
      <c r="B184" s="256"/>
      <c r="H184" s="14"/>
      <c r="I184" s="64"/>
      <c r="J184" s="9"/>
      <c r="K184" s="9"/>
      <c r="L184" s="9"/>
      <c r="M184" s="9"/>
      <c r="N184" s="9"/>
      <c r="O184" s="9"/>
    </row>
    <row r="185" spans="1:15" x14ac:dyDescent="0.3">
      <c r="A185" s="258"/>
      <c r="B185" s="256"/>
      <c r="H185" s="14"/>
      <c r="I185" s="64"/>
      <c r="J185" s="9"/>
      <c r="K185" s="9"/>
      <c r="L185" s="9"/>
      <c r="M185" s="9"/>
      <c r="N185" s="9"/>
      <c r="O185" s="9"/>
    </row>
    <row r="186" spans="1:15" x14ac:dyDescent="0.3">
      <c r="A186" s="258"/>
      <c r="B186" s="256"/>
      <c r="H186" s="14" t="str">
        <f>IF(COUNTBLANK(A186:E186)&gt;0, "", IFERROR(AVERAGEIFS(Log!$E:$E, Log!$A:$A, $A186, Log!$B:$B, $B186, Log!$C:$C, $C186),""))</f>
        <v/>
      </c>
      <c r="I186" s="64" t="str">
        <f t="shared" ref="I186:I187" si="1">IF(AND(H186&lt;&gt;"", G186&lt;&gt;""), H186/G186, "")</f>
        <v/>
      </c>
      <c r="J186" s="9" t="str">
        <f>IF(COUNTBLANK(A186:E186)&gt;0, "", IFERROR(AVERAGEIFS(Log!$H:$H, Log!$A:$A, $A186, Log!$B:$B, $B186, Log!$C:$C, $C186),""))</f>
        <v/>
      </c>
      <c r="K186" s="9" t="str">
        <f>IF(COUNTBLANK(A186:E186)&gt;0, "", IFERROR(_xlfn.MINIFS(Log!$H:$H, Log!$A:$A, $A186, Log!$B:$B, $B186, Log!$C:$C, $C186),""))</f>
        <v/>
      </c>
      <c r="L186" s="9" t="str">
        <f>IF(COUNTBLANK(A186:E186)&gt;0, "", IFERROR(_xlfn.MAXIFS(Log!$H:$H, Log!$A:$A, $A186, Log!$B:$B, $B186, Log!$C:$C, $C186),""))</f>
        <v/>
      </c>
      <c r="M186" s="9" t="str">
        <f>IF(COUNTBLANK(A186:E186)&gt;0, "", IFERROR(AVERAGEIFS(Log!$I:$I, Log!$A:$A, $A186, Log!$B:$B, $B186, Log!$C:$C, $C186),""))</f>
        <v/>
      </c>
      <c r="N186" s="9" t="str">
        <f>IF(COUNTBLANK(A186:E186)&gt;0, "", IFERROR(_xlfn.MINIFS(Log!$I:$I, Log!$A:$A, $A186, Log!$B:$B, $B186, Log!$C:$C, $C186),""))</f>
        <v/>
      </c>
      <c r="O186" s="9" t="str">
        <f>IF(COUNTBLANK(A186:E186)&gt;0, "", IFERROR(_xlfn.MAXIFS(Log!$I:$I, Log!$A:$A, $A186, Log!$B:$B, $B186, Log!$C:$C, $C186),""))</f>
        <v/>
      </c>
    </row>
    <row r="187" spans="1:15" x14ac:dyDescent="0.3">
      <c r="A187" s="258"/>
      <c r="B187" s="256"/>
      <c r="H187" s="14" t="str">
        <f>IF(COUNTBLANK(A187:E187)&gt;0, "", IFERROR(AVERAGEIFS(Log!$E:$E, Log!$A:$A, $A187, Log!$B:$B, $B187, Log!$C:$C, $C187),""))</f>
        <v/>
      </c>
      <c r="I187" s="64" t="str">
        <f t="shared" si="1"/>
        <v/>
      </c>
      <c r="J187" s="9" t="str">
        <f>IF(COUNTBLANK(A187:E187)&gt;0, "", IFERROR(AVERAGEIFS(Log!$H:$H, Log!$A:$A, $A187, Log!$B:$B, $B187, Log!$C:$C, $C187),""))</f>
        <v/>
      </c>
      <c r="K187" s="9" t="str">
        <f>IF(COUNTBLANK(A187:E187)&gt;0, "", IFERROR(_xlfn.MINIFS(Log!$H:$H, Log!$A:$A, $A187, Log!$B:$B, $B187, Log!$C:$C, $C187),""))</f>
        <v/>
      </c>
      <c r="L187" s="9" t="str">
        <f>IF(COUNTBLANK(A187:E187)&gt;0, "", IFERROR(_xlfn.MAXIFS(Log!$H:$H, Log!$A:$A, $A187, Log!$B:$B, $B187, Log!$C:$C, $C187),""))</f>
        <v/>
      </c>
      <c r="M187" s="9" t="str">
        <f>IF(COUNTBLANK(A187:E187)&gt;0, "", IFERROR(AVERAGEIFS(Log!$I:$I, Log!$A:$A, $A187, Log!$B:$B, $B187, Log!$C:$C, $C187),""))</f>
        <v/>
      </c>
      <c r="N187" s="9" t="str">
        <f>IF(COUNTBLANK(A187:E187)&gt;0, "", IFERROR(_xlfn.MINIFS(Log!$I:$I, Log!$A:$A, $A187, Log!$B:$B, $B187, Log!$C:$C, $C187),""))</f>
        <v/>
      </c>
      <c r="O187" s="9" t="str">
        <f>IF(COUNTBLANK(A187:E187)&gt;0, "", IFERROR(_xlfn.MAXIFS(Log!$I:$I, Log!$A:$A, $A187, Log!$B:$B, $B187, Log!$C:$C, $C187),""))</f>
        <v/>
      </c>
    </row>
    <row r="188" spans="1:15" x14ac:dyDescent="0.3">
      <c r="A188" s="258"/>
      <c r="B188" s="256"/>
    </row>
    <row r="189" spans="1:15" x14ac:dyDescent="0.3">
      <c r="A189" s="258"/>
      <c r="B189" s="256"/>
    </row>
    <row r="190" spans="1:15" x14ac:dyDescent="0.3">
      <c r="A190" s="258"/>
      <c r="B190" s="256"/>
    </row>
    <row r="191" spans="1:15" x14ac:dyDescent="0.3">
      <c r="A191" s="258"/>
      <c r="B191" s="256"/>
    </row>
    <row r="192" spans="1:15" x14ac:dyDescent="0.3">
      <c r="A192" s="258"/>
      <c r="B192" s="256"/>
    </row>
    <row r="193" spans="2:2" x14ac:dyDescent="0.3">
      <c r="B193" s="256"/>
    </row>
    <row r="194" spans="2:2" x14ac:dyDescent="0.3">
      <c r="B194" s="256"/>
    </row>
    <row r="195" spans="2:2" x14ac:dyDescent="0.3">
      <c r="B195" s="256"/>
    </row>
    <row r="196" spans="2:2" x14ac:dyDescent="0.3">
      <c r="B196" s="256"/>
    </row>
    <row r="197" spans="2:2" x14ac:dyDescent="0.3">
      <c r="B197" s="256"/>
    </row>
    <row r="198" spans="2:2" x14ac:dyDescent="0.3">
      <c r="B198" s="256"/>
    </row>
    <row r="199" spans="2:2" x14ac:dyDescent="0.3">
      <c r="B199" s="256"/>
    </row>
    <row r="200" spans="2:2" x14ac:dyDescent="0.3">
      <c r="B200" s="256"/>
    </row>
    <row r="201" spans="2:2" x14ac:dyDescent="0.3">
      <c r="B201" s="256"/>
    </row>
    <row r="202" spans="2:2" x14ac:dyDescent="0.3">
      <c r="B202" s="256"/>
    </row>
    <row r="203" spans="2:2" x14ac:dyDescent="0.3">
      <c r="B203" s="256"/>
    </row>
    <row r="204" spans="2:2" x14ac:dyDescent="0.3">
      <c r="B204" s="256"/>
    </row>
    <row r="205" spans="2:2" x14ac:dyDescent="0.3">
      <c r="B205" s="256"/>
    </row>
    <row r="206" spans="2:2" x14ac:dyDescent="0.3">
      <c r="B206" s="256"/>
    </row>
    <row r="207" spans="2:2" x14ac:dyDescent="0.3">
      <c r="B207" s="256"/>
    </row>
    <row r="208" spans="2:2" x14ac:dyDescent="0.3">
      <c r="B208" s="256"/>
    </row>
    <row r="209" spans="2:2" x14ac:dyDescent="0.3">
      <c r="B209" s="256"/>
    </row>
    <row r="210" spans="2:2" x14ac:dyDescent="0.3">
      <c r="B210" s="256"/>
    </row>
    <row r="211" spans="2:2" x14ac:dyDescent="0.3">
      <c r="B211" s="256"/>
    </row>
    <row r="212" spans="2:2" x14ac:dyDescent="0.3">
      <c r="B212" s="256"/>
    </row>
    <row r="213" spans="2:2" x14ac:dyDescent="0.3">
      <c r="B213" s="256"/>
    </row>
    <row r="214" spans="2:2" x14ac:dyDescent="0.3">
      <c r="B214" s="256"/>
    </row>
    <row r="215" spans="2:2" x14ac:dyDescent="0.3">
      <c r="B215" s="256"/>
    </row>
    <row r="216" spans="2:2" x14ac:dyDescent="0.3">
      <c r="B216" s="256"/>
    </row>
    <row r="217" spans="2:2" x14ac:dyDescent="0.3">
      <c r="B217" s="256"/>
    </row>
    <row r="218" spans="2:2" x14ac:dyDescent="0.3">
      <c r="B218" s="256"/>
    </row>
    <row r="219" spans="2:2" x14ac:dyDescent="0.3">
      <c r="B219" s="256"/>
    </row>
    <row r="220" spans="2:2" x14ac:dyDescent="0.3">
      <c r="B220" s="256"/>
    </row>
    <row r="221" spans="2:2" x14ac:dyDescent="0.3">
      <c r="B221" s="256"/>
    </row>
    <row r="222" spans="2:2" x14ac:dyDescent="0.3">
      <c r="B222" s="256"/>
    </row>
    <row r="223" spans="2:2" x14ac:dyDescent="0.3">
      <c r="B223" s="256"/>
    </row>
    <row r="224" spans="2:2" x14ac:dyDescent="0.3">
      <c r="B224" s="256"/>
    </row>
    <row r="225" spans="2:2" x14ac:dyDescent="0.3">
      <c r="B225" s="256"/>
    </row>
    <row r="226" spans="2:2" x14ac:dyDescent="0.3">
      <c r="B226" s="256"/>
    </row>
    <row r="227" spans="2:2" x14ac:dyDescent="0.3">
      <c r="B227" s="256"/>
    </row>
    <row r="228" spans="2:2" x14ac:dyDescent="0.3">
      <c r="B228" s="256"/>
    </row>
    <row r="229" spans="2:2" x14ac:dyDescent="0.3">
      <c r="B229" s="256"/>
    </row>
    <row r="230" spans="2:2" x14ac:dyDescent="0.3">
      <c r="B230" s="256"/>
    </row>
    <row r="231" spans="2:2" x14ac:dyDescent="0.3">
      <c r="B231" s="256"/>
    </row>
    <row r="232" spans="2:2" x14ac:dyDescent="0.3">
      <c r="B232" s="256"/>
    </row>
    <row r="233" spans="2:2" x14ac:dyDescent="0.3">
      <c r="B233" s="256"/>
    </row>
    <row r="234" spans="2:2" x14ac:dyDescent="0.3">
      <c r="B234" s="256"/>
    </row>
    <row r="235" spans="2:2" x14ac:dyDescent="0.3">
      <c r="B235" s="256"/>
    </row>
    <row r="236" spans="2:2" x14ac:dyDescent="0.3">
      <c r="B236" s="256"/>
    </row>
    <row r="237" spans="2:2" x14ac:dyDescent="0.3">
      <c r="B237" s="256"/>
    </row>
    <row r="238" spans="2:2" x14ac:dyDescent="0.3">
      <c r="B238" s="256"/>
    </row>
    <row r="239" spans="2:2" x14ac:dyDescent="0.3">
      <c r="B239" s="256"/>
    </row>
    <row r="240" spans="2:2" x14ac:dyDescent="0.3">
      <c r="B240" s="256"/>
    </row>
    <row r="241" spans="2:2" x14ac:dyDescent="0.3">
      <c r="B241" s="256"/>
    </row>
    <row r="242" spans="2:2" x14ac:dyDescent="0.3">
      <c r="B242" s="256"/>
    </row>
    <row r="243" spans="2:2" x14ac:dyDescent="0.3">
      <c r="B243" s="256"/>
    </row>
    <row r="244" spans="2:2" x14ac:dyDescent="0.3">
      <c r="B244" s="256"/>
    </row>
    <row r="245" spans="2:2" x14ac:dyDescent="0.3">
      <c r="B245" s="256"/>
    </row>
    <row r="246" spans="2:2" x14ac:dyDescent="0.3">
      <c r="B246" s="256"/>
    </row>
    <row r="247" spans="2:2" x14ac:dyDescent="0.3">
      <c r="B247" s="256"/>
    </row>
    <row r="248" spans="2:2" x14ac:dyDescent="0.3">
      <c r="B248" s="256"/>
    </row>
    <row r="249" spans="2:2" x14ac:dyDescent="0.3">
      <c r="B249" s="256"/>
    </row>
    <row r="250" spans="2:2" x14ac:dyDescent="0.3">
      <c r="B250" s="256"/>
    </row>
    <row r="251" spans="2:2" x14ac:dyDescent="0.3">
      <c r="B251" s="256"/>
    </row>
    <row r="252" spans="2:2" x14ac:dyDescent="0.3">
      <c r="B252" s="256"/>
    </row>
    <row r="253" spans="2:2" x14ac:dyDescent="0.3">
      <c r="B253" s="256"/>
    </row>
    <row r="254" spans="2:2" x14ac:dyDescent="0.3">
      <c r="B254" s="256"/>
    </row>
    <row r="255" spans="2:2" x14ac:dyDescent="0.3">
      <c r="B255" s="256"/>
    </row>
    <row r="256" spans="2:2" x14ac:dyDescent="0.3">
      <c r="B256" s="256"/>
    </row>
    <row r="257" spans="2:2" x14ac:dyDescent="0.3">
      <c r="B257" s="256"/>
    </row>
    <row r="258" spans="2:2" x14ac:dyDescent="0.3">
      <c r="B258" s="256"/>
    </row>
    <row r="259" spans="2:2" x14ac:dyDescent="0.3">
      <c r="B259" s="256"/>
    </row>
    <row r="260" spans="2:2" x14ac:dyDescent="0.3">
      <c r="B260" s="256"/>
    </row>
    <row r="261" spans="2:2" x14ac:dyDescent="0.3">
      <c r="B261" s="256"/>
    </row>
    <row r="262" spans="2:2" x14ac:dyDescent="0.3">
      <c r="B262" s="256"/>
    </row>
    <row r="263" spans="2:2" x14ac:dyDescent="0.3">
      <c r="B263" s="256"/>
    </row>
    <row r="264" spans="2:2" x14ac:dyDescent="0.3">
      <c r="B264" s="256"/>
    </row>
    <row r="265" spans="2:2" x14ac:dyDescent="0.3">
      <c r="B265" s="256"/>
    </row>
    <row r="266" spans="2:2" x14ac:dyDescent="0.3">
      <c r="B266" s="256"/>
    </row>
    <row r="267" spans="2:2" x14ac:dyDescent="0.3">
      <c r="B267" s="256"/>
    </row>
    <row r="268" spans="2:2" x14ac:dyDescent="0.3">
      <c r="B268" s="256"/>
    </row>
    <row r="269" spans="2:2" x14ac:dyDescent="0.3">
      <c r="B269" s="256"/>
    </row>
    <row r="270" spans="2:2" x14ac:dyDescent="0.3">
      <c r="B270" s="256"/>
    </row>
    <row r="271" spans="2:2" x14ac:dyDescent="0.3">
      <c r="B271" s="256"/>
    </row>
    <row r="272" spans="2:2" x14ac:dyDescent="0.3">
      <c r="B272" s="256"/>
    </row>
    <row r="273" spans="2:2" x14ac:dyDescent="0.3">
      <c r="B273" s="256"/>
    </row>
    <row r="274" spans="2:2" x14ac:dyDescent="0.3">
      <c r="B274" s="256"/>
    </row>
    <row r="275" spans="2:2" x14ac:dyDescent="0.3">
      <c r="B275" s="256"/>
    </row>
    <row r="276" spans="2:2" x14ac:dyDescent="0.3">
      <c r="B276" s="256"/>
    </row>
    <row r="277" spans="2:2" x14ac:dyDescent="0.3">
      <c r="B277" s="256"/>
    </row>
    <row r="278" spans="2:2" x14ac:dyDescent="0.3">
      <c r="B278" s="256"/>
    </row>
    <row r="279" spans="2:2" x14ac:dyDescent="0.3">
      <c r="B279" s="256"/>
    </row>
    <row r="280" spans="2:2" x14ac:dyDescent="0.3">
      <c r="B280" s="256"/>
    </row>
    <row r="281" spans="2:2" x14ac:dyDescent="0.3">
      <c r="B281" s="256"/>
    </row>
    <row r="282" spans="2:2" x14ac:dyDescent="0.3">
      <c r="B282" s="256"/>
    </row>
    <row r="283" spans="2:2" x14ac:dyDescent="0.3">
      <c r="B283" s="256"/>
    </row>
    <row r="284" spans="2:2" x14ac:dyDescent="0.3">
      <c r="B284" s="256"/>
    </row>
    <row r="285" spans="2:2" x14ac:dyDescent="0.3">
      <c r="B285" s="256"/>
    </row>
    <row r="286" spans="2:2" x14ac:dyDescent="0.3">
      <c r="B286" s="256"/>
    </row>
    <row r="287" spans="2:2" x14ac:dyDescent="0.3">
      <c r="B287" s="256"/>
    </row>
    <row r="288" spans="2:2" x14ac:dyDescent="0.3">
      <c r="B288" s="256"/>
    </row>
    <row r="289" spans="2:2" x14ac:dyDescent="0.3">
      <c r="B289" s="256"/>
    </row>
    <row r="290" spans="2:2" x14ac:dyDescent="0.3">
      <c r="B290" s="256"/>
    </row>
    <row r="291" spans="2:2" x14ac:dyDescent="0.3">
      <c r="B291" s="256"/>
    </row>
    <row r="292" spans="2:2" x14ac:dyDescent="0.3">
      <c r="B292" s="256"/>
    </row>
    <row r="293" spans="2:2" x14ac:dyDescent="0.3">
      <c r="B293" s="256"/>
    </row>
    <row r="294" spans="2:2" x14ac:dyDescent="0.3">
      <c r="B294" s="256"/>
    </row>
    <row r="295" spans="2:2" x14ac:dyDescent="0.3">
      <c r="B295" s="256"/>
    </row>
    <row r="296" spans="2:2" x14ac:dyDescent="0.3">
      <c r="B296" s="256"/>
    </row>
    <row r="297" spans="2:2" x14ac:dyDescent="0.3">
      <c r="B297" s="256"/>
    </row>
    <row r="298" spans="2:2" x14ac:dyDescent="0.3">
      <c r="B298" s="256"/>
    </row>
    <row r="299" spans="2:2" x14ac:dyDescent="0.3">
      <c r="B299" s="256"/>
    </row>
    <row r="300" spans="2:2" x14ac:dyDescent="0.3">
      <c r="B300" s="256"/>
    </row>
    <row r="301" spans="2:2" x14ac:dyDescent="0.3">
      <c r="B301" s="256"/>
    </row>
    <row r="302" spans="2:2" x14ac:dyDescent="0.3">
      <c r="B302" s="256"/>
    </row>
    <row r="303" spans="2:2" x14ac:dyDescent="0.3">
      <c r="B303" s="256"/>
    </row>
    <row r="304" spans="2:2" x14ac:dyDescent="0.3">
      <c r="B304" s="256"/>
    </row>
    <row r="305" spans="2:2" x14ac:dyDescent="0.3">
      <c r="B305" s="256"/>
    </row>
    <row r="306" spans="2:2" x14ac:dyDescent="0.3">
      <c r="B306" s="256"/>
    </row>
    <row r="307" spans="2:2" x14ac:dyDescent="0.3">
      <c r="B307" s="256"/>
    </row>
    <row r="308" spans="2:2" x14ac:dyDescent="0.3">
      <c r="B308" s="256"/>
    </row>
    <row r="309" spans="2:2" x14ac:dyDescent="0.3">
      <c r="B309" s="256"/>
    </row>
    <row r="310" spans="2:2" x14ac:dyDescent="0.3">
      <c r="B310" s="256"/>
    </row>
    <row r="311" spans="2:2" x14ac:dyDescent="0.3">
      <c r="B311" s="256"/>
    </row>
    <row r="312" spans="2:2" x14ac:dyDescent="0.3">
      <c r="B312" s="256"/>
    </row>
    <row r="313" spans="2:2" x14ac:dyDescent="0.3">
      <c r="B313" s="256"/>
    </row>
    <row r="314" spans="2:2" x14ac:dyDescent="0.3">
      <c r="B314" s="256"/>
    </row>
    <row r="315" spans="2:2" x14ac:dyDescent="0.3">
      <c r="B315" s="256"/>
    </row>
    <row r="316" spans="2:2" x14ac:dyDescent="0.3">
      <c r="B316" s="256"/>
    </row>
    <row r="317" spans="2:2" x14ac:dyDescent="0.3">
      <c r="B317" s="256"/>
    </row>
    <row r="318" spans="2:2" x14ac:dyDescent="0.3">
      <c r="B318" s="256"/>
    </row>
    <row r="319" spans="2:2" x14ac:dyDescent="0.3">
      <c r="B319" s="256"/>
    </row>
    <row r="320" spans="2:2" x14ac:dyDescent="0.3">
      <c r="B320" s="256"/>
    </row>
    <row r="321" spans="2:2" x14ac:dyDescent="0.3">
      <c r="B321" s="256"/>
    </row>
    <row r="322" spans="2:2" x14ac:dyDescent="0.3">
      <c r="B322" s="256"/>
    </row>
    <row r="323" spans="2:2" x14ac:dyDescent="0.3">
      <c r="B323" s="256"/>
    </row>
    <row r="324" spans="2:2" x14ac:dyDescent="0.3">
      <c r="B324" s="256"/>
    </row>
    <row r="325" spans="2:2" x14ac:dyDescent="0.3">
      <c r="B325" s="256"/>
    </row>
    <row r="326" spans="2:2" x14ac:dyDescent="0.3">
      <c r="B326" s="256"/>
    </row>
    <row r="327" spans="2:2" x14ac:dyDescent="0.3">
      <c r="B327" s="256"/>
    </row>
    <row r="328" spans="2:2" x14ac:dyDescent="0.3">
      <c r="B328" s="256"/>
    </row>
    <row r="329" spans="2:2" x14ac:dyDescent="0.3">
      <c r="B329" s="256"/>
    </row>
    <row r="330" spans="2:2" x14ac:dyDescent="0.3">
      <c r="B330" s="256"/>
    </row>
    <row r="331" spans="2:2" x14ac:dyDescent="0.3">
      <c r="B331" s="256"/>
    </row>
    <row r="332" spans="2:2" x14ac:dyDescent="0.3">
      <c r="B332" s="256"/>
    </row>
    <row r="333" spans="2:2" x14ac:dyDescent="0.3">
      <c r="B333" s="256"/>
    </row>
    <row r="334" spans="2:2" x14ac:dyDescent="0.3">
      <c r="B334" s="256"/>
    </row>
    <row r="335" spans="2:2" x14ac:dyDescent="0.3">
      <c r="B335" s="256"/>
    </row>
    <row r="336" spans="2:2" x14ac:dyDescent="0.3">
      <c r="B336" s="256"/>
    </row>
    <row r="337" spans="2:2" x14ac:dyDescent="0.3">
      <c r="B337" s="256"/>
    </row>
    <row r="338" spans="2:2" x14ac:dyDescent="0.3">
      <c r="B338" s="256"/>
    </row>
    <row r="339" spans="2:2" x14ac:dyDescent="0.3">
      <c r="B339" s="256"/>
    </row>
    <row r="340" spans="2:2" x14ac:dyDescent="0.3">
      <c r="B340" s="256"/>
    </row>
    <row r="341" spans="2:2" x14ac:dyDescent="0.3">
      <c r="B341" s="256"/>
    </row>
    <row r="342" spans="2:2" x14ac:dyDescent="0.3">
      <c r="B342" s="256"/>
    </row>
    <row r="343" spans="2:2" x14ac:dyDescent="0.3">
      <c r="B343" s="256"/>
    </row>
    <row r="344" spans="2:2" x14ac:dyDescent="0.3">
      <c r="B344" s="256"/>
    </row>
    <row r="345" spans="2:2" x14ac:dyDescent="0.3">
      <c r="B345" s="256"/>
    </row>
    <row r="346" spans="2:2" x14ac:dyDescent="0.3">
      <c r="B346" s="256"/>
    </row>
    <row r="347" spans="2:2" x14ac:dyDescent="0.3">
      <c r="B347" s="256"/>
    </row>
    <row r="348" spans="2:2" x14ac:dyDescent="0.3">
      <c r="B348" s="256"/>
    </row>
    <row r="349" spans="2:2" x14ac:dyDescent="0.3">
      <c r="B349" s="256"/>
    </row>
    <row r="350" spans="2:2" x14ac:dyDescent="0.3">
      <c r="B350" s="256"/>
    </row>
    <row r="351" spans="2:2" x14ac:dyDescent="0.3">
      <c r="B351" s="256"/>
    </row>
    <row r="352" spans="2:2" x14ac:dyDescent="0.3">
      <c r="B352" s="256"/>
    </row>
    <row r="353" spans="2:2" x14ac:dyDescent="0.3">
      <c r="B353" s="256"/>
    </row>
    <row r="354" spans="2:2" x14ac:dyDescent="0.3">
      <c r="B354" s="256"/>
    </row>
    <row r="355" spans="2:2" x14ac:dyDescent="0.3">
      <c r="B355" s="256"/>
    </row>
    <row r="356" spans="2:2" x14ac:dyDescent="0.3">
      <c r="B356" s="256"/>
    </row>
    <row r="357" spans="2:2" x14ac:dyDescent="0.3">
      <c r="B357" s="256"/>
    </row>
    <row r="358" spans="2:2" x14ac:dyDescent="0.3">
      <c r="B358" s="256"/>
    </row>
    <row r="359" spans="2:2" x14ac:dyDescent="0.3">
      <c r="B359" s="256"/>
    </row>
    <row r="360" spans="2:2" x14ac:dyDescent="0.3">
      <c r="B360" s="256"/>
    </row>
    <row r="361" spans="2:2" x14ac:dyDescent="0.3">
      <c r="B361" s="256"/>
    </row>
    <row r="362" spans="2:2" x14ac:dyDescent="0.3">
      <c r="B362" s="256"/>
    </row>
    <row r="363" spans="2:2" x14ac:dyDescent="0.3">
      <c r="B363" s="256"/>
    </row>
    <row r="364" spans="2:2" x14ac:dyDescent="0.3">
      <c r="B364" s="256"/>
    </row>
    <row r="365" spans="2:2" x14ac:dyDescent="0.3">
      <c r="B365" s="256"/>
    </row>
    <row r="366" spans="2:2" x14ac:dyDescent="0.3">
      <c r="B366" s="256"/>
    </row>
    <row r="367" spans="2:2" x14ac:dyDescent="0.3">
      <c r="B367" s="256"/>
    </row>
    <row r="368" spans="2:2" x14ac:dyDescent="0.3">
      <c r="B368" s="256"/>
    </row>
    <row r="369" spans="2:2" x14ac:dyDescent="0.3">
      <c r="B369" s="256"/>
    </row>
    <row r="370" spans="2:2" x14ac:dyDescent="0.3">
      <c r="B370" s="256"/>
    </row>
    <row r="371" spans="2:2" x14ac:dyDescent="0.3">
      <c r="B371" s="256"/>
    </row>
    <row r="372" spans="2:2" x14ac:dyDescent="0.3">
      <c r="B372" s="256"/>
    </row>
    <row r="373" spans="2:2" x14ac:dyDescent="0.3">
      <c r="B373" s="256"/>
    </row>
    <row r="374" spans="2:2" x14ac:dyDescent="0.3">
      <c r="B374" s="256"/>
    </row>
    <row r="375" spans="2:2" x14ac:dyDescent="0.3">
      <c r="B375" s="256"/>
    </row>
    <row r="376" spans="2:2" x14ac:dyDescent="0.3">
      <c r="B376" s="256"/>
    </row>
    <row r="377" spans="2:2" x14ac:dyDescent="0.3">
      <c r="B377" s="256"/>
    </row>
    <row r="378" spans="2:2" x14ac:dyDescent="0.3">
      <c r="B378" s="256"/>
    </row>
    <row r="379" spans="2:2" x14ac:dyDescent="0.3">
      <c r="B379" s="256"/>
    </row>
    <row r="380" spans="2:2" x14ac:dyDescent="0.3">
      <c r="B380" s="256"/>
    </row>
    <row r="381" spans="2:2" x14ac:dyDescent="0.3">
      <c r="B381" s="256"/>
    </row>
    <row r="382" spans="2:2" x14ac:dyDescent="0.3">
      <c r="B382" s="256"/>
    </row>
    <row r="383" spans="2:2" x14ac:dyDescent="0.3">
      <c r="B383" s="256"/>
    </row>
    <row r="384" spans="2:2" x14ac:dyDescent="0.3">
      <c r="B384" s="256"/>
    </row>
    <row r="385" spans="2:2" x14ac:dyDescent="0.3">
      <c r="B385" s="256"/>
    </row>
    <row r="386" spans="2:2" x14ac:dyDescent="0.3">
      <c r="B386" s="256"/>
    </row>
    <row r="387" spans="2:2" x14ac:dyDescent="0.3">
      <c r="B387" s="256"/>
    </row>
    <row r="388" spans="2:2" x14ac:dyDescent="0.3">
      <c r="B388" s="256"/>
    </row>
    <row r="389" spans="2:2" x14ac:dyDescent="0.3">
      <c r="B389" s="256"/>
    </row>
    <row r="390" spans="2:2" x14ac:dyDescent="0.3">
      <c r="B390" s="256"/>
    </row>
    <row r="391" spans="2:2" x14ac:dyDescent="0.3">
      <c r="B391" s="256"/>
    </row>
    <row r="392" spans="2:2" x14ac:dyDescent="0.3">
      <c r="B392" s="256"/>
    </row>
    <row r="393" spans="2:2" x14ac:dyDescent="0.3">
      <c r="B393" s="256"/>
    </row>
    <row r="394" spans="2:2" x14ac:dyDescent="0.3">
      <c r="B394" s="256"/>
    </row>
    <row r="395" spans="2:2" x14ac:dyDescent="0.3">
      <c r="B395" s="256"/>
    </row>
    <row r="396" spans="2:2" x14ac:dyDescent="0.3">
      <c r="B396" s="256"/>
    </row>
    <row r="397" spans="2:2" x14ac:dyDescent="0.3">
      <c r="B397" s="256"/>
    </row>
    <row r="398" spans="2:2" x14ac:dyDescent="0.3">
      <c r="B398" s="256"/>
    </row>
    <row r="399" spans="2:2" x14ac:dyDescent="0.3">
      <c r="B399" s="256"/>
    </row>
    <row r="400" spans="2:2" x14ac:dyDescent="0.3">
      <c r="B400" s="256"/>
    </row>
    <row r="401" spans="2:2" x14ac:dyDescent="0.3">
      <c r="B401" s="256"/>
    </row>
    <row r="402" spans="2:2" x14ac:dyDescent="0.3">
      <c r="B402" s="256"/>
    </row>
    <row r="403" spans="2:2" x14ac:dyDescent="0.3">
      <c r="B403" s="256"/>
    </row>
    <row r="404" spans="2:2" x14ac:dyDescent="0.3">
      <c r="B404" s="256"/>
    </row>
    <row r="405" spans="2:2" x14ac:dyDescent="0.3">
      <c r="B405" s="256"/>
    </row>
    <row r="406" spans="2:2" x14ac:dyDescent="0.3">
      <c r="B406" s="256"/>
    </row>
    <row r="407" spans="2:2" x14ac:dyDescent="0.3">
      <c r="B407" s="256"/>
    </row>
    <row r="408" spans="2:2" x14ac:dyDescent="0.3">
      <c r="B408" s="256"/>
    </row>
    <row r="409" spans="2:2" x14ac:dyDescent="0.3">
      <c r="B409" s="256"/>
    </row>
    <row r="410" spans="2:2" x14ac:dyDescent="0.3">
      <c r="B410" s="256"/>
    </row>
    <row r="411" spans="2:2" x14ac:dyDescent="0.3">
      <c r="B411" s="256"/>
    </row>
    <row r="412" spans="2:2" x14ac:dyDescent="0.3">
      <c r="B412" s="256"/>
    </row>
    <row r="413" spans="2:2" x14ac:dyDescent="0.3">
      <c r="B413" s="256"/>
    </row>
    <row r="414" spans="2:2" x14ac:dyDescent="0.3">
      <c r="B414" s="256"/>
    </row>
    <row r="415" spans="2:2" x14ac:dyDescent="0.3">
      <c r="B415" s="256"/>
    </row>
    <row r="416" spans="2:2" x14ac:dyDescent="0.3">
      <c r="B416" s="256"/>
    </row>
    <row r="417" spans="2:2" x14ac:dyDescent="0.3">
      <c r="B417" s="256"/>
    </row>
    <row r="418" spans="2:2" x14ac:dyDescent="0.3">
      <c r="B418" s="256"/>
    </row>
    <row r="419" spans="2:2" x14ac:dyDescent="0.3">
      <c r="B419" s="256"/>
    </row>
    <row r="420" spans="2:2" x14ac:dyDescent="0.3">
      <c r="B420" s="256"/>
    </row>
    <row r="421" spans="2:2" x14ac:dyDescent="0.3">
      <c r="B421" s="256"/>
    </row>
    <row r="422" spans="2:2" x14ac:dyDescent="0.3">
      <c r="B422" s="256"/>
    </row>
    <row r="423" spans="2:2" x14ac:dyDescent="0.3">
      <c r="B423" s="256"/>
    </row>
    <row r="424" spans="2:2" x14ac:dyDescent="0.3">
      <c r="B424" s="256"/>
    </row>
    <row r="425" spans="2:2" x14ac:dyDescent="0.3">
      <c r="B425" s="256"/>
    </row>
    <row r="426" spans="2:2" x14ac:dyDescent="0.3">
      <c r="B426" s="256"/>
    </row>
    <row r="427" spans="2:2" x14ac:dyDescent="0.3">
      <c r="B427" s="256"/>
    </row>
    <row r="428" spans="2:2" x14ac:dyDescent="0.3">
      <c r="B428" s="256"/>
    </row>
    <row r="429" spans="2:2" x14ac:dyDescent="0.3">
      <c r="B429" s="256"/>
    </row>
    <row r="430" spans="2:2" x14ac:dyDescent="0.3">
      <c r="B430" s="256"/>
    </row>
    <row r="431" spans="2:2" x14ac:dyDescent="0.3">
      <c r="B431" s="256"/>
    </row>
    <row r="432" spans="2:2" x14ac:dyDescent="0.3">
      <c r="B432" s="256"/>
    </row>
    <row r="433" spans="2:2" x14ac:dyDescent="0.3">
      <c r="B433" s="256"/>
    </row>
    <row r="434" spans="2:2" x14ac:dyDescent="0.3">
      <c r="B434" s="256"/>
    </row>
    <row r="435" spans="2:2" x14ac:dyDescent="0.3">
      <c r="B435" s="256"/>
    </row>
    <row r="436" spans="2:2" x14ac:dyDescent="0.3">
      <c r="B436" s="256"/>
    </row>
    <row r="437" spans="2:2" x14ac:dyDescent="0.3">
      <c r="B437" s="256"/>
    </row>
    <row r="438" spans="2:2" x14ac:dyDescent="0.3">
      <c r="B438" s="256"/>
    </row>
    <row r="439" spans="2:2" x14ac:dyDescent="0.3">
      <c r="B439" s="256"/>
    </row>
    <row r="440" spans="2:2" x14ac:dyDescent="0.3">
      <c r="B440" s="256"/>
    </row>
    <row r="441" spans="2:2" x14ac:dyDescent="0.3">
      <c r="B441" s="256"/>
    </row>
    <row r="442" spans="2:2" x14ac:dyDescent="0.3">
      <c r="B442" s="256"/>
    </row>
    <row r="443" spans="2:2" x14ac:dyDescent="0.3">
      <c r="B443" s="256"/>
    </row>
    <row r="444" spans="2:2" x14ac:dyDescent="0.3">
      <c r="B444" s="256"/>
    </row>
    <row r="445" spans="2:2" x14ac:dyDescent="0.3">
      <c r="B445" s="256"/>
    </row>
    <row r="446" spans="2:2" x14ac:dyDescent="0.3">
      <c r="B446" s="256"/>
    </row>
    <row r="447" spans="2:2" x14ac:dyDescent="0.3">
      <c r="B447" s="256"/>
    </row>
    <row r="448" spans="2:2" x14ac:dyDescent="0.3">
      <c r="B448" s="256"/>
    </row>
    <row r="449" spans="2:2" x14ac:dyDescent="0.3">
      <c r="B449" s="256"/>
    </row>
    <row r="450" spans="2:2" x14ac:dyDescent="0.3">
      <c r="B450" s="256"/>
    </row>
    <row r="451" spans="2:2" x14ac:dyDescent="0.3">
      <c r="B451" s="256"/>
    </row>
    <row r="452" spans="2:2" x14ac:dyDescent="0.3">
      <c r="B452" s="256"/>
    </row>
    <row r="453" spans="2:2" x14ac:dyDescent="0.3">
      <c r="B453" s="256"/>
    </row>
    <row r="454" spans="2:2" x14ac:dyDescent="0.3">
      <c r="B454" s="256"/>
    </row>
    <row r="455" spans="2:2" x14ac:dyDescent="0.3">
      <c r="B455" s="256"/>
    </row>
    <row r="456" spans="2:2" x14ac:dyDescent="0.3">
      <c r="B456" s="256"/>
    </row>
    <row r="457" spans="2:2" x14ac:dyDescent="0.3">
      <c r="B457" s="256"/>
    </row>
    <row r="458" spans="2:2" x14ac:dyDescent="0.3">
      <c r="B458" s="256"/>
    </row>
    <row r="459" spans="2:2" x14ac:dyDescent="0.3">
      <c r="B459" s="256"/>
    </row>
    <row r="460" spans="2:2" x14ac:dyDescent="0.3">
      <c r="B460" s="256"/>
    </row>
    <row r="461" spans="2:2" x14ac:dyDescent="0.3">
      <c r="B461" s="256"/>
    </row>
    <row r="462" spans="2:2" x14ac:dyDescent="0.3">
      <c r="B462" s="256"/>
    </row>
    <row r="463" spans="2:2" x14ac:dyDescent="0.3">
      <c r="B463" s="256"/>
    </row>
    <row r="464" spans="2:2" x14ac:dyDescent="0.3">
      <c r="B464" s="256"/>
    </row>
    <row r="465" spans="2:2" x14ac:dyDescent="0.3">
      <c r="B465" s="256"/>
    </row>
    <row r="466" spans="2:2" x14ac:dyDescent="0.3">
      <c r="B466" s="256"/>
    </row>
    <row r="467" spans="2:2" x14ac:dyDescent="0.3">
      <c r="B467" s="256"/>
    </row>
    <row r="468" spans="2:2" x14ac:dyDescent="0.3">
      <c r="B468" s="256"/>
    </row>
    <row r="469" spans="2:2" x14ac:dyDescent="0.3">
      <c r="B469" s="256"/>
    </row>
    <row r="470" spans="2:2" x14ac:dyDescent="0.3">
      <c r="B470" s="256"/>
    </row>
    <row r="471" spans="2:2" x14ac:dyDescent="0.3">
      <c r="B471" s="256"/>
    </row>
    <row r="472" spans="2:2" x14ac:dyDescent="0.3">
      <c r="B472" s="256"/>
    </row>
    <row r="473" spans="2:2" x14ac:dyDescent="0.3">
      <c r="B473" s="256"/>
    </row>
    <row r="474" spans="2:2" x14ac:dyDescent="0.3">
      <c r="B474" s="256"/>
    </row>
    <row r="475" spans="2:2" x14ac:dyDescent="0.3">
      <c r="B475" s="256"/>
    </row>
    <row r="476" spans="2:2" x14ac:dyDescent="0.3">
      <c r="B476" s="256"/>
    </row>
    <row r="477" spans="2:2" x14ac:dyDescent="0.3">
      <c r="B477" s="256"/>
    </row>
    <row r="478" spans="2:2" x14ac:dyDescent="0.3">
      <c r="B478" s="256"/>
    </row>
    <row r="479" spans="2:2" x14ac:dyDescent="0.3">
      <c r="B479" s="256"/>
    </row>
    <row r="480" spans="2:2" x14ac:dyDescent="0.3">
      <c r="B480" s="256"/>
    </row>
    <row r="481" spans="2:2" x14ac:dyDescent="0.3">
      <c r="B481" s="256"/>
    </row>
    <row r="482" spans="2:2" x14ac:dyDescent="0.3">
      <c r="B482" s="256"/>
    </row>
    <row r="483" spans="2:2" x14ac:dyDescent="0.3">
      <c r="B483" s="256"/>
    </row>
    <row r="484" spans="2:2" x14ac:dyDescent="0.3">
      <c r="B484" s="256"/>
    </row>
    <row r="485" spans="2:2" x14ac:dyDescent="0.3">
      <c r="B485" s="256"/>
    </row>
    <row r="486" spans="2:2" x14ac:dyDescent="0.3">
      <c r="B486" s="256"/>
    </row>
    <row r="487" spans="2:2" x14ac:dyDescent="0.3">
      <c r="B487" s="256"/>
    </row>
    <row r="488" spans="2:2" x14ac:dyDescent="0.3">
      <c r="B488" s="256"/>
    </row>
    <row r="489" spans="2:2" x14ac:dyDescent="0.3">
      <c r="B489" s="256"/>
    </row>
    <row r="490" spans="2:2" x14ac:dyDescent="0.3">
      <c r="B490" s="256"/>
    </row>
    <row r="491" spans="2:2" x14ac:dyDescent="0.3">
      <c r="B491" s="256"/>
    </row>
    <row r="492" spans="2:2" x14ac:dyDescent="0.3">
      <c r="B492" s="256"/>
    </row>
    <row r="493" spans="2:2" x14ac:dyDescent="0.3">
      <c r="B493" s="256"/>
    </row>
    <row r="494" spans="2:2" x14ac:dyDescent="0.3">
      <c r="B494" s="256"/>
    </row>
    <row r="495" spans="2:2" x14ac:dyDescent="0.3">
      <c r="B495" s="256"/>
    </row>
    <row r="496" spans="2:2" x14ac:dyDescent="0.3">
      <c r="B496" s="256"/>
    </row>
    <row r="497" spans="2:2" x14ac:dyDescent="0.3">
      <c r="B497" s="256"/>
    </row>
    <row r="498" spans="2:2" x14ac:dyDescent="0.3">
      <c r="B498" s="256"/>
    </row>
    <row r="499" spans="2:2" x14ac:dyDescent="0.3">
      <c r="B499" s="256"/>
    </row>
    <row r="500" spans="2:2" x14ac:dyDescent="0.3">
      <c r="B500" s="256"/>
    </row>
    <row r="501" spans="2:2" x14ac:dyDescent="0.3">
      <c r="B501" s="256"/>
    </row>
    <row r="502" spans="2:2" x14ac:dyDescent="0.3">
      <c r="B502" s="256"/>
    </row>
    <row r="503" spans="2:2" x14ac:dyDescent="0.3">
      <c r="B503" s="256"/>
    </row>
    <row r="504" spans="2:2" x14ac:dyDescent="0.3">
      <c r="B504" s="256"/>
    </row>
    <row r="505" spans="2:2" x14ac:dyDescent="0.3">
      <c r="B505" s="256"/>
    </row>
    <row r="506" spans="2:2" x14ac:dyDescent="0.3">
      <c r="B506" s="256"/>
    </row>
    <row r="507" spans="2:2" x14ac:dyDescent="0.3">
      <c r="B507" s="256"/>
    </row>
    <row r="508" spans="2:2" x14ac:dyDescent="0.3">
      <c r="B508" s="256"/>
    </row>
    <row r="509" spans="2:2" x14ac:dyDescent="0.3">
      <c r="B509" s="256"/>
    </row>
    <row r="510" spans="2:2" x14ac:dyDescent="0.3">
      <c r="B510" s="256"/>
    </row>
    <row r="511" spans="2:2" x14ac:dyDescent="0.3">
      <c r="B511" s="256"/>
    </row>
    <row r="512" spans="2:2" x14ac:dyDescent="0.3">
      <c r="B512" s="256"/>
    </row>
    <row r="513" spans="2:2" x14ac:dyDescent="0.3">
      <c r="B513" s="256"/>
    </row>
    <row r="514" spans="2:2" x14ac:dyDescent="0.3">
      <c r="B514" s="256"/>
    </row>
    <row r="515" spans="2:2" x14ac:dyDescent="0.3">
      <c r="B515" s="256"/>
    </row>
    <row r="516" spans="2:2" x14ac:dyDescent="0.3">
      <c r="B516" s="256"/>
    </row>
    <row r="517" spans="2:2" x14ac:dyDescent="0.3">
      <c r="B517" s="256"/>
    </row>
    <row r="518" spans="2:2" x14ac:dyDescent="0.3">
      <c r="B518" s="256"/>
    </row>
    <row r="519" spans="2:2" x14ac:dyDescent="0.3">
      <c r="B519" s="256"/>
    </row>
    <row r="520" spans="2:2" x14ac:dyDescent="0.3">
      <c r="B520" s="256"/>
    </row>
    <row r="521" spans="2:2" x14ac:dyDescent="0.3">
      <c r="B521" s="256"/>
    </row>
    <row r="522" spans="2:2" x14ac:dyDescent="0.3">
      <c r="B522" s="256"/>
    </row>
    <row r="523" spans="2:2" x14ac:dyDescent="0.3">
      <c r="B523" s="256"/>
    </row>
    <row r="524" spans="2:2" x14ac:dyDescent="0.3">
      <c r="B524" s="256"/>
    </row>
    <row r="525" spans="2:2" x14ac:dyDescent="0.3">
      <c r="B525" s="256"/>
    </row>
    <row r="526" spans="2:2" x14ac:dyDescent="0.3">
      <c r="B526" s="256"/>
    </row>
    <row r="527" spans="2:2" x14ac:dyDescent="0.3">
      <c r="B527" s="256"/>
    </row>
    <row r="528" spans="2:2" x14ac:dyDescent="0.3">
      <c r="B528" s="256"/>
    </row>
    <row r="529" spans="2:2" x14ac:dyDescent="0.3">
      <c r="B529" s="256"/>
    </row>
    <row r="530" spans="2:2" x14ac:dyDescent="0.3">
      <c r="B530" s="256"/>
    </row>
    <row r="531" spans="2:2" x14ac:dyDescent="0.3">
      <c r="B531" s="256"/>
    </row>
    <row r="532" spans="2:2" x14ac:dyDescent="0.3">
      <c r="B532" s="256"/>
    </row>
    <row r="533" spans="2:2" x14ac:dyDescent="0.3">
      <c r="B533" s="256"/>
    </row>
    <row r="534" spans="2:2" x14ac:dyDescent="0.3">
      <c r="B534" s="256"/>
    </row>
    <row r="535" spans="2:2" x14ac:dyDescent="0.3">
      <c r="B535" s="256"/>
    </row>
    <row r="536" spans="2:2" x14ac:dyDescent="0.3">
      <c r="B536" s="256"/>
    </row>
    <row r="537" spans="2:2" x14ac:dyDescent="0.3">
      <c r="B537" s="256"/>
    </row>
    <row r="538" spans="2:2" x14ac:dyDescent="0.3">
      <c r="B538" s="256"/>
    </row>
    <row r="539" spans="2:2" x14ac:dyDescent="0.3">
      <c r="B539" s="256"/>
    </row>
    <row r="540" spans="2:2" x14ac:dyDescent="0.3">
      <c r="B540" s="256"/>
    </row>
    <row r="541" spans="2:2" x14ac:dyDescent="0.3">
      <c r="B541" s="256"/>
    </row>
    <row r="542" spans="2:2" x14ac:dyDescent="0.3">
      <c r="B542" s="256"/>
    </row>
    <row r="543" spans="2:2" x14ac:dyDescent="0.3">
      <c r="B543" s="256"/>
    </row>
    <row r="544" spans="2:2" x14ac:dyDescent="0.3">
      <c r="B544" s="256"/>
    </row>
    <row r="545" spans="2:2" x14ac:dyDescent="0.3">
      <c r="B545" s="256"/>
    </row>
    <row r="546" spans="2:2" x14ac:dyDescent="0.3">
      <c r="B546" s="256"/>
    </row>
    <row r="547" spans="2:2" x14ac:dyDescent="0.3">
      <c r="B547" s="256"/>
    </row>
    <row r="548" spans="2:2" x14ac:dyDescent="0.3">
      <c r="B548" s="256"/>
    </row>
    <row r="549" spans="2:2" x14ac:dyDescent="0.3">
      <c r="B549" s="256"/>
    </row>
    <row r="550" spans="2:2" x14ac:dyDescent="0.3">
      <c r="B550" s="256"/>
    </row>
    <row r="551" spans="2:2" x14ac:dyDescent="0.3">
      <c r="B551" s="256"/>
    </row>
    <row r="552" spans="2:2" x14ac:dyDescent="0.3">
      <c r="B552" s="256"/>
    </row>
    <row r="553" spans="2:2" x14ac:dyDescent="0.3">
      <c r="B553" s="256"/>
    </row>
    <row r="554" spans="2:2" x14ac:dyDescent="0.3">
      <c r="B554" s="256"/>
    </row>
    <row r="555" spans="2:2" x14ac:dyDescent="0.3">
      <c r="B555" s="256"/>
    </row>
    <row r="556" spans="2:2" x14ac:dyDescent="0.3">
      <c r="B556" s="256"/>
    </row>
    <row r="557" spans="2:2" x14ac:dyDescent="0.3">
      <c r="B557" s="256"/>
    </row>
    <row r="558" spans="2:2" x14ac:dyDescent="0.3">
      <c r="B558" s="256"/>
    </row>
    <row r="559" spans="2:2" x14ac:dyDescent="0.3">
      <c r="B559" s="256"/>
    </row>
    <row r="560" spans="2:2" x14ac:dyDescent="0.3">
      <c r="B560" s="256"/>
    </row>
    <row r="561" spans="2:2" x14ac:dyDescent="0.3">
      <c r="B561" s="256"/>
    </row>
    <row r="562" spans="2:2" x14ac:dyDescent="0.3">
      <c r="B562" s="256"/>
    </row>
    <row r="563" spans="2:2" x14ac:dyDescent="0.3">
      <c r="B563" s="256"/>
    </row>
    <row r="564" spans="2:2" x14ac:dyDescent="0.3">
      <c r="B564" s="256"/>
    </row>
    <row r="565" spans="2:2" x14ac:dyDescent="0.3">
      <c r="B565" s="256"/>
    </row>
    <row r="566" spans="2:2" x14ac:dyDescent="0.3">
      <c r="B566" s="256"/>
    </row>
    <row r="567" spans="2:2" x14ac:dyDescent="0.3">
      <c r="B567" s="256"/>
    </row>
    <row r="568" spans="2:2" x14ac:dyDescent="0.3">
      <c r="B568" s="256"/>
    </row>
    <row r="569" spans="2:2" x14ac:dyDescent="0.3">
      <c r="B569" s="256"/>
    </row>
    <row r="570" spans="2:2" x14ac:dyDescent="0.3">
      <c r="B570" s="256"/>
    </row>
    <row r="571" spans="2:2" x14ac:dyDescent="0.3">
      <c r="B571" s="256"/>
    </row>
    <row r="572" spans="2:2" x14ac:dyDescent="0.3">
      <c r="B572" s="256"/>
    </row>
    <row r="573" spans="2:2" x14ac:dyDescent="0.3">
      <c r="B573" s="256"/>
    </row>
    <row r="574" spans="2:2" x14ac:dyDescent="0.3">
      <c r="B574" s="256"/>
    </row>
    <row r="575" spans="2:2" x14ac:dyDescent="0.3">
      <c r="B575" s="256"/>
    </row>
    <row r="576" spans="2:2" x14ac:dyDescent="0.3">
      <c r="B576" s="256"/>
    </row>
    <row r="577" spans="2:2" x14ac:dyDescent="0.3">
      <c r="B577" s="256"/>
    </row>
    <row r="578" spans="2:2" x14ac:dyDescent="0.3">
      <c r="B578" s="256"/>
    </row>
    <row r="579" spans="2:2" x14ac:dyDescent="0.3">
      <c r="B579" s="256"/>
    </row>
    <row r="580" spans="2:2" x14ac:dyDescent="0.3">
      <c r="B580" s="256"/>
    </row>
    <row r="581" spans="2:2" x14ac:dyDescent="0.3">
      <c r="B581" s="256"/>
    </row>
    <row r="582" spans="2:2" x14ac:dyDescent="0.3">
      <c r="B582" s="256"/>
    </row>
    <row r="583" spans="2:2" x14ac:dyDescent="0.3">
      <c r="B583" s="256"/>
    </row>
    <row r="584" spans="2:2" x14ac:dyDescent="0.3">
      <c r="B584" s="256"/>
    </row>
    <row r="585" spans="2:2" x14ac:dyDescent="0.3">
      <c r="B585" s="256"/>
    </row>
    <row r="586" spans="2:2" x14ac:dyDescent="0.3">
      <c r="B586" s="256"/>
    </row>
    <row r="587" spans="2:2" x14ac:dyDescent="0.3">
      <c r="B587" s="256"/>
    </row>
    <row r="588" spans="2:2" x14ac:dyDescent="0.3">
      <c r="B588" s="256"/>
    </row>
    <row r="589" spans="2:2" x14ac:dyDescent="0.3">
      <c r="B589" s="256"/>
    </row>
    <row r="590" spans="2:2" x14ac:dyDescent="0.3">
      <c r="B590" s="256"/>
    </row>
    <row r="591" spans="2:2" x14ac:dyDescent="0.3">
      <c r="B591" s="256"/>
    </row>
    <row r="592" spans="2:2" x14ac:dyDescent="0.3">
      <c r="B592" s="256"/>
    </row>
    <row r="593" spans="2:2" x14ac:dyDescent="0.3">
      <c r="B593" s="256"/>
    </row>
    <row r="594" spans="2:2" x14ac:dyDescent="0.3">
      <c r="B594" s="256"/>
    </row>
    <row r="595" spans="2:2" x14ac:dyDescent="0.3">
      <c r="B595" s="256"/>
    </row>
    <row r="596" spans="2:2" x14ac:dyDescent="0.3">
      <c r="B596" s="256"/>
    </row>
    <row r="597" spans="2:2" x14ac:dyDescent="0.3">
      <c r="B597" s="256"/>
    </row>
    <row r="598" spans="2:2" x14ac:dyDescent="0.3">
      <c r="B598" s="256"/>
    </row>
    <row r="599" spans="2:2" x14ac:dyDescent="0.3">
      <c r="B599" s="256"/>
    </row>
    <row r="600" spans="2:2" x14ac:dyDescent="0.3">
      <c r="B600" s="256"/>
    </row>
    <row r="601" spans="2:2" x14ac:dyDescent="0.3">
      <c r="B601" s="256"/>
    </row>
    <row r="602" spans="2:2" x14ac:dyDescent="0.3">
      <c r="B602" s="256"/>
    </row>
    <row r="603" spans="2:2" x14ac:dyDescent="0.3">
      <c r="B603" s="256"/>
    </row>
    <row r="604" spans="2:2" x14ac:dyDescent="0.3">
      <c r="B604" s="256"/>
    </row>
    <row r="605" spans="2:2" x14ac:dyDescent="0.3">
      <c r="B605" s="256"/>
    </row>
    <row r="606" spans="2:2" x14ac:dyDescent="0.3">
      <c r="B606" s="256"/>
    </row>
    <row r="607" spans="2:2" x14ac:dyDescent="0.3">
      <c r="B607" s="256"/>
    </row>
    <row r="608" spans="2:2" x14ac:dyDescent="0.3">
      <c r="B608" s="256"/>
    </row>
    <row r="609" spans="2:2" x14ac:dyDescent="0.3">
      <c r="B609" s="256"/>
    </row>
    <row r="610" spans="2:2" x14ac:dyDescent="0.3">
      <c r="B610" s="256"/>
    </row>
    <row r="611" spans="2:2" x14ac:dyDescent="0.3">
      <c r="B611" s="256"/>
    </row>
    <row r="612" spans="2:2" x14ac:dyDescent="0.3">
      <c r="B612" s="256"/>
    </row>
    <row r="613" spans="2:2" x14ac:dyDescent="0.3">
      <c r="B613" s="256"/>
    </row>
    <row r="614" spans="2:2" x14ac:dyDescent="0.3">
      <c r="B614" s="256"/>
    </row>
    <row r="615" spans="2:2" x14ac:dyDescent="0.3">
      <c r="B615" s="256"/>
    </row>
    <row r="616" spans="2:2" x14ac:dyDescent="0.3">
      <c r="B616" s="256"/>
    </row>
    <row r="617" spans="2:2" x14ac:dyDescent="0.3">
      <c r="B617" s="256"/>
    </row>
    <row r="618" spans="2:2" x14ac:dyDescent="0.3">
      <c r="B618" s="256"/>
    </row>
    <row r="619" spans="2:2" x14ac:dyDescent="0.3">
      <c r="B619" s="256"/>
    </row>
    <row r="620" spans="2:2" x14ac:dyDescent="0.3">
      <c r="B620" s="256"/>
    </row>
    <row r="621" spans="2:2" x14ac:dyDescent="0.3">
      <c r="B621" s="256"/>
    </row>
    <row r="622" spans="2:2" x14ac:dyDescent="0.3">
      <c r="B622" s="256"/>
    </row>
    <row r="623" spans="2:2" x14ac:dyDescent="0.3">
      <c r="B623" s="256"/>
    </row>
    <row r="624" spans="2:2" x14ac:dyDescent="0.3">
      <c r="B624" s="256"/>
    </row>
    <row r="625" spans="2:2" x14ac:dyDescent="0.3">
      <c r="B625" s="256"/>
    </row>
    <row r="626" spans="2:2" x14ac:dyDescent="0.3">
      <c r="B626" s="256"/>
    </row>
    <row r="627" spans="2:2" x14ac:dyDescent="0.3">
      <c r="B627" s="256"/>
    </row>
    <row r="628" spans="2:2" x14ac:dyDescent="0.3">
      <c r="B628" s="256"/>
    </row>
    <row r="629" spans="2:2" x14ac:dyDescent="0.3">
      <c r="B629" s="256"/>
    </row>
    <row r="630" spans="2:2" x14ac:dyDescent="0.3">
      <c r="B630" s="256"/>
    </row>
    <row r="631" spans="2:2" x14ac:dyDescent="0.3">
      <c r="B631" s="256"/>
    </row>
    <row r="632" spans="2:2" x14ac:dyDescent="0.3">
      <c r="B632" s="256"/>
    </row>
    <row r="633" spans="2:2" x14ac:dyDescent="0.3">
      <c r="B633" s="256"/>
    </row>
    <row r="634" spans="2:2" x14ac:dyDescent="0.3">
      <c r="B634" s="256"/>
    </row>
    <row r="635" spans="2:2" x14ac:dyDescent="0.3">
      <c r="B635" s="256"/>
    </row>
    <row r="636" spans="2:2" x14ac:dyDescent="0.3">
      <c r="B636" s="256"/>
    </row>
    <row r="637" spans="2:2" x14ac:dyDescent="0.3">
      <c r="B637" s="256"/>
    </row>
    <row r="638" spans="2:2" x14ac:dyDescent="0.3">
      <c r="B638" s="256"/>
    </row>
    <row r="639" spans="2:2" x14ac:dyDescent="0.3">
      <c r="B639" s="256"/>
    </row>
    <row r="640" spans="2:2" x14ac:dyDescent="0.3">
      <c r="B640" s="256"/>
    </row>
    <row r="641" spans="2:2" x14ac:dyDescent="0.3">
      <c r="B641" s="256"/>
    </row>
    <row r="642" spans="2:2" x14ac:dyDescent="0.3">
      <c r="B642" s="256"/>
    </row>
    <row r="643" spans="2:2" x14ac:dyDescent="0.3">
      <c r="B643" s="256"/>
    </row>
    <row r="644" spans="2:2" x14ac:dyDescent="0.3">
      <c r="B644" s="256"/>
    </row>
    <row r="645" spans="2:2" x14ac:dyDescent="0.3">
      <c r="B645" s="256"/>
    </row>
    <row r="646" spans="2:2" x14ac:dyDescent="0.3">
      <c r="B646" s="256"/>
    </row>
    <row r="647" spans="2:2" x14ac:dyDescent="0.3">
      <c r="B647" s="256"/>
    </row>
    <row r="648" spans="2:2" x14ac:dyDescent="0.3">
      <c r="B648" s="256"/>
    </row>
    <row r="649" spans="2:2" x14ac:dyDescent="0.3">
      <c r="B649" s="256"/>
    </row>
    <row r="650" spans="2:2" x14ac:dyDescent="0.3">
      <c r="B650" s="256"/>
    </row>
    <row r="651" spans="2:2" x14ac:dyDescent="0.3">
      <c r="B651" s="256"/>
    </row>
    <row r="652" spans="2:2" x14ac:dyDescent="0.3">
      <c r="B652" s="256"/>
    </row>
    <row r="653" spans="2:2" x14ac:dyDescent="0.3">
      <c r="B653" s="256"/>
    </row>
    <row r="654" spans="2:2" x14ac:dyDescent="0.3">
      <c r="B654" s="256"/>
    </row>
    <row r="655" spans="2:2" x14ac:dyDescent="0.3">
      <c r="B655" s="256"/>
    </row>
  </sheetData>
  <mergeCells count="33">
    <mergeCell ref="T13:AA13"/>
    <mergeCell ref="P6:P7"/>
    <mergeCell ref="R6:R7"/>
    <mergeCell ref="Q3:Q4"/>
    <mergeCell ref="Q6:Q7"/>
    <mergeCell ref="T5:AA5"/>
    <mergeCell ref="T8:AA8"/>
    <mergeCell ref="P9:P14"/>
    <mergeCell ref="A1:C2"/>
    <mergeCell ref="D1:R1"/>
    <mergeCell ref="D2:R2"/>
    <mergeCell ref="T10:U10"/>
    <mergeCell ref="T12:Z12"/>
    <mergeCell ref="Q9:Q14"/>
    <mergeCell ref="R9:R14"/>
    <mergeCell ref="T6:U6"/>
    <mergeCell ref="T7:U7"/>
    <mergeCell ref="V7:Z7"/>
    <mergeCell ref="T9:U9"/>
    <mergeCell ref="V9:Z9"/>
    <mergeCell ref="H3:H4"/>
    <mergeCell ref="I3:I4"/>
    <mergeCell ref="J3:L3"/>
    <mergeCell ref="M3:O3"/>
    <mergeCell ref="P3:P4"/>
    <mergeCell ref="R3:R4"/>
    <mergeCell ref="A3:A4"/>
    <mergeCell ref="B3:B4"/>
    <mergeCell ref="C3:C4"/>
    <mergeCell ref="D3:D4"/>
    <mergeCell ref="E3:E4"/>
    <mergeCell ref="F3:F4"/>
    <mergeCell ref="G3:G4"/>
  </mergeCells>
  <conditionalFormatting sqref="H6:H7">
    <cfRule type="colorScale" priority="8">
      <colorScale>
        <cfvo type="min"/>
        <cfvo type="percentile" val="50"/>
        <cfvo type="max"/>
        <color rgb="FFF8696B"/>
        <color rgb="FFFFEB84"/>
        <color rgb="FF63BE7B"/>
      </colorScale>
    </cfRule>
    <cfRule type="colorScale" priority="22">
      <colorScale>
        <cfvo type="min"/>
        <cfvo type="percentile" val="50"/>
        <cfvo type="max"/>
        <color rgb="FFF8696B"/>
        <color rgb="FFFFEB84"/>
        <color rgb="FF63BE7B"/>
      </colorScale>
    </cfRule>
  </conditionalFormatting>
  <conditionalFormatting sqref="I6:I7">
    <cfRule type="colorScale" priority="5">
      <colorScale>
        <cfvo type="min"/>
        <cfvo type="max"/>
        <color rgb="FFFF7128"/>
        <color rgb="FFFFEF9C"/>
      </colorScale>
    </cfRule>
    <cfRule type="colorScale" priority="19">
      <colorScale>
        <cfvo type="min"/>
        <cfvo type="max"/>
        <color rgb="FFFF7128"/>
        <color rgb="FFFFEF9C"/>
      </colorScale>
    </cfRule>
  </conditionalFormatting>
  <conditionalFormatting sqref="J6:J7">
    <cfRule type="colorScale" priority="6">
      <colorScale>
        <cfvo type="min"/>
        <cfvo type="percentile" val="50"/>
        <cfvo type="max"/>
        <color rgb="FF63BE7B"/>
        <color rgb="FFFFEB84"/>
        <color rgb="FFF8696B"/>
      </colorScale>
    </cfRule>
    <cfRule type="colorScale" priority="20">
      <colorScale>
        <cfvo type="min"/>
        <cfvo type="percentile" val="50"/>
        <cfvo type="max"/>
        <color rgb="FF63BE7B"/>
        <color rgb="FFFFEB84"/>
        <color rgb="FFF8696B"/>
      </colorScale>
    </cfRule>
  </conditionalFormatting>
  <conditionalFormatting sqref="K6:K7">
    <cfRule type="colorScale" priority="4">
      <colorScale>
        <cfvo type="min"/>
        <cfvo type="max"/>
        <color rgb="FFFFEF9C"/>
        <color rgb="FFFF7128"/>
      </colorScale>
    </cfRule>
    <cfRule type="colorScale" priority="18">
      <colorScale>
        <cfvo type="min"/>
        <cfvo type="max"/>
        <color rgb="FFFFEF9C"/>
        <color rgb="FFFF7128"/>
      </colorScale>
    </cfRule>
  </conditionalFormatting>
  <conditionalFormatting sqref="L6:L7">
    <cfRule type="colorScale" priority="3">
      <colorScale>
        <cfvo type="min"/>
        <cfvo type="max"/>
        <color rgb="FFFFEF9C"/>
        <color rgb="FFFF7128"/>
      </colorScale>
    </cfRule>
    <cfRule type="colorScale" priority="17">
      <colorScale>
        <cfvo type="min"/>
        <cfvo type="max"/>
        <color rgb="FFFFEF9C"/>
        <color rgb="FFFF7128"/>
      </colorScale>
    </cfRule>
  </conditionalFormatting>
  <conditionalFormatting sqref="M6:M7">
    <cfRule type="colorScale" priority="7">
      <colorScale>
        <cfvo type="min"/>
        <cfvo type="percentile" val="50"/>
        <cfvo type="max"/>
        <color rgb="FF63BE7B"/>
        <color rgb="FFFFEB84"/>
        <color rgb="FFF8696B"/>
      </colorScale>
    </cfRule>
    <cfRule type="colorScale" priority="21">
      <colorScale>
        <cfvo type="min"/>
        <cfvo type="percentile" val="50"/>
        <cfvo type="max"/>
        <color rgb="FF63BE7B"/>
        <color rgb="FFFFEB84"/>
        <color rgb="FFF8696B"/>
      </colorScale>
    </cfRule>
  </conditionalFormatting>
  <conditionalFormatting sqref="N6:N7">
    <cfRule type="colorScale" priority="2">
      <colorScale>
        <cfvo type="min"/>
        <cfvo type="max"/>
        <color rgb="FFFFEF9C"/>
        <color rgb="FFFF7128"/>
      </colorScale>
    </cfRule>
    <cfRule type="colorScale" priority="16">
      <colorScale>
        <cfvo type="min"/>
        <cfvo type="max"/>
        <color rgb="FFFFEF9C"/>
        <color rgb="FFFF7128"/>
      </colorScale>
    </cfRule>
  </conditionalFormatting>
  <conditionalFormatting sqref="O6:O7">
    <cfRule type="colorScale" priority="1">
      <colorScale>
        <cfvo type="min"/>
        <cfvo type="max"/>
        <color rgb="FFFFEF9C"/>
        <color rgb="FFFF7128"/>
      </colorScale>
    </cfRule>
    <cfRule type="colorScale" priority="15">
      <colorScale>
        <cfvo type="min"/>
        <cfvo type="max"/>
        <color rgb="FFFFEF9C"/>
        <color rgb="FFFF7128"/>
      </colorScale>
    </cfRule>
  </conditionalFormatting>
  <conditionalFormatting sqref="A5:C10001">
    <cfRule type="expression" dxfId="2" priority="9">
      <formula>EXACT($A5, "Daily")</formula>
    </cfRule>
    <cfRule type="expression" dxfId="1" priority="10">
      <formula>EXACT($A5, "Error")</formula>
    </cfRule>
    <cfRule type="expression" dxfId="0" priority="11">
      <formula>EXACT($A5, "Trial")</formula>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AF9AEF08-7727-46DA-8A99-58D4B7283455}">
          <x14:formula1>
            <xm:f>'Data-Lists'!$B$3:$B$245</xm:f>
          </x14:formula1>
          <xm:sqref>C9:C14 C6:C7</xm:sqref>
        </x14:dataValidation>
        <x14:dataValidation type="list" allowBlank="1" showInputMessage="1" showErrorMessage="1" xr:uid="{BA8EB9CE-CCC1-431B-A1CF-A1F600B9B30B}">
          <x14:formula1>
            <xm:f>'Data-Lists'!$E$3:$E$9999</xm:f>
          </x14:formula1>
          <xm:sqref>B5:B179</xm:sqref>
        </x14:dataValidation>
        <x14:dataValidation type="list" allowBlank="1" showInputMessage="1" showErrorMessage="1" xr:uid="{E4536E17-E0A1-426E-A003-9058288DAB27}">
          <x14:formula1>
            <xm:f>'Data-Lists'!$C$3:$C$5</xm:f>
          </x14:formula1>
          <xm:sqref>A5:A192</xm:sqref>
        </x14:dataValidation>
        <x14:dataValidation type="list" allowBlank="1" showInputMessage="1" showErrorMessage="1" xr:uid="{01C3B6F3-50E5-4B8C-A7D3-33BEFDCEB645}">
          <x14:formula1>
            <xm:f>Daily!$R$11:$R$16</xm:f>
          </x14:formula1>
          <xm:sqref>F6:F7 F9:F14</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39997558519241921"/>
  </sheetPr>
  <dimension ref="A1:V1002"/>
  <sheetViews>
    <sheetView showZeros="0" zoomScale="75" zoomScaleNormal="75" workbookViewId="0">
      <pane ySplit="4" topLeftCell="A5" activePane="bottomLeft" state="frozen"/>
      <selection activeCell="B1" sqref="B1:C1"/>
      <selection pane="bottomLeft" activeCell="E6" sqref="E6"/>
    </sheetView>
  </sheetViews>
  <sheetFormatPr defaultColWidth="8.6640625" defaultRowHeight="14.4" x14ac:dyDescent="0.3"/>
  <cols>
    <col min="1" max="1" width="16.5546875" style="7" customWidth="1"/>
    <col min="2" max="2" width="8.6640625" style="7" hidden="1" customWidth="1"/>
    <col min="3" max="4" width="15.6640625" style="7" customWidth="1"/>
    <col min="5" max="5" width="25.77734375" style="7" customWidth="1"/>
    <col min="6" max="7" width="15.77734375" style="262" customWidth="1"/>
    <col min="9" max="14" width="15.77734375" style="7" customWidth="1"/>
    <col min="17" max="17" width="8.6640625" customWidth="1"/>
  </cols>
  <sheetData>
    <row r="1" spans="1:22" ht="15.6" x14ac:dyDescent="0.3">
      <c r="A1" s="259" t="s">
        <v>163</v>
      </c>
      <c r="B1" s="259"/>
      <c r="C1" s="259"/>
      <c r="D1" s="259"/>
      <c r="E1" s="259"/>
      <c r="F1" s="259"/>
      <c r="G1" s="259"/>
      <c r="H1" s="259"/>
      <c r="I1" s="259"/>
      <c r="J1" s="259"/>
      <c r="K1" s="259"/>
      <c r="L1" s="259"/>
      <c r="M1" s="259"/>
      <c r="N1" s="259"/>
    </row>
    <row r="2" spans="1:22" x14ac:dyDescent="0.3">
      <c r="A2" s="260" t="s">
        <v>36</v>
      </c>
      <c r="B2" s="260"/>
      <c r="C2" s="274" t="s">
        <v>17</v>
      </c>
      <c r="D2" s="275"/>
      <c r="E2" s="275"/>
      <c r="F2" s="275"/>
      <c r="G2" s="275"/>
      <c r="I2" s="120" t="s">
        <v>82</v>
      </c>
      <c r="J2" s="120"/>
      <c r="K2" s="120" t="s">
        <v>81</v>
      </c>
      <c r="L2" s="120"/>
      <c r="M2" s="120" t="s">
        <v>83</v>
      </c>
      <c r="N2" s="120"/>
      <c r="P2" s="206" t="s">
        <v>130</v>
      </c>
      <c r="Q2" s="206"/>
      <c r="V2" s="66"/>
    </row>
    <row r="3" spans="1:22" ht="19.95" customHeight="1" x14ac:dyDescent="0.3">
      <c r="A3" s="263" t="s">
        <v>31</v>
      </c>
      <c r="B3" s="121" t="s">
        <v>70</v>
      </c>
      <c r="C3" s="179" t="str">
        <f>_xlfn.CONCAT("Camera ", C2, " Error")</f>
        <v>Camera #4 (Vero v2.2) Error</v>
      </c>
      <c r="D3" s="179"/>
      <c r="E3" s="234" t="s">
        <v>170</v>
      </c>
      <c r="F3" s="264" t="s">
        <v>162</v>
      </c>
      <c r="G3" s="264"/>
      <c r="H3" s="266"/>
      <c r="I3" s="38" t="s">
        <v>33</v>
      </c>
      <c r="J3" s="38" t="s">
        <v>34</v>
      </c>
      <c r="K3" s="38" t="s">
        <v>33</v>
      </c>
      <c r="L3" s="38" t="s">
        <v>34</v>
      </c>
      <c r="M3" s="38" t="s">
        <v>33</v>
      </c>
      <c r="N3" s="38" t="s">
        <v>34</v>
      </c>
      <c r="P3" s="226"/>
      <c r="Q3" s="226"/>
      <c r="R3" s="227" t="s">
        <v>128</v>
      </c>
      <c r="S3" s="227"/>
      <c r="T3" s="227"/>
      <c r="U3" s="227"/>
      <c r="V3" s="227"/>
    </row>
    <row r="4" spans="1:22" ht="19.95" customHeight="1" thickBot="1" x14ac:dyDescent="0.35">
      <c r="A4" s="267"/>
      <c r="B4" s="268"/>
      <c r="C4" s="278" t="s">
        <v>33</v>
      </c>
      <c r="D4" s="278" t="s">
        <v>34</v>
      </c>
      <c r="E4" s="236"/>
      <c r="F4" s="279" t="s">
        <v>33</v>
      </c>
      <c r="G4" s="279" t="s">
        <v>34</v>
      </c>
      <c r="H4" s="266"/>
      <c r="I4" s="269">
        <f>IFERROR(AVERAGEIFS(Log!$F:$F, Log!$D:$D,$C$2, Log!$A:$A, "Daily"), "")</f>
        <v>0.54085008333333329</v>
      </c>
      <c r="J4" s="269">
        <f>IFERROR(AVERAGEIFS(Log!$G:$G, Log!$D:$D, $C$2, Log!$A:$A, "Daily"), "")</f>
        <v>0.10744670000000001</v>
      </c>
      <c r="K4" s="270">
        <f>AVERAGEIFS(Log!$H:$H, Log!$A:$A, "Daily")</f>
        <v>0.38948918139534816</v>
      </c>
      <c r="L4" s="270">
        <f>AVERAGEIFS(Log!$I:$I, Log!$A:$A, "Daily")</f>
        <v>9.3117781860465279E-2</v>
      </c>
      <c r="M4" s="271">
        <f>K4/I4</f>
        <v>0.72014259292496152</v>
      </c>
      <c r="N4" s="271">
        <f>L4/J4</f>
        <v>0.86664161728992395</v>
      </c>
      <c r="P4" s="272"/>
      <c r="Q4" s="272"/>
      <c r="R4" s="273" t="s">
        <v>129</v>
      </c>
      <c r="S4" s="273"/>
      <c r="T4" s="273"/>
      <c r="U4" s="273"/>
      <c r="V4" s="273"/>
    </row>
    <row r="5" spans="1:22" x14ac:dyDescent="0.3">
      <c r="A5" s="8" cm="1">
        <f t="array" ref="A5:A1002">'Data-Lists'!B3:B1000</f>
        <v>46228</v>
      </c>
      <c r="B5" s="7">
        <f>_xlfn.XLOOKUP($A5, Daily!C:C, Daily!D:D)</f>
        <v>23.5</v>
      </c>
      <c r="C5" s="9">
        <f>IFERROR(AVERAGEIFS(Log!$F:$F, Log!$C:$C, $A5, Log!$B:$B, "n/a", Log!$A:$A, "Daily", Log!$D:$D, $C$2), "")</f>
        <v>0.62003600000000003</v>
      </c>
      <c r="D5" s="9">
        <f>IFERROR(AVERAGEIFS(Log!$G:$G, Log!$C:$C, $A5, Log!$B:$B, "n/a", Log!$A:$A, "Daily", Log!$D:$D, $C$2), "")</f>
        <v>0.12157900000000001</v>
      </c>
      <c r="E5" s="277">
        <f>IFERROR(_xlfn.LET(_xlpm.camera_wand_count_by_day, AVERAGEIFS(Log!$E:$E, Log!$C:$C, $A5, Log!$B:$B, "n/a", Log!$A:$A, "Daily", Log!$D:$D, $C$2), _xlpm.auto_stop_that_day, _xlfn.XLOOKUP(A5, Daily!$C5:$C9999, Daily!$G5:$G9999), _xlpm.camera_wand_count_by_day/_xlpm.auto_stop_that_day), "")</f>
        <v>2.2770000000000001</v>
      </c>
      <c r="F5" s="262">
        <f>_xlfn.XLOOKUP($A5, Daily!$C:$C, Daily!$J:$J)</f>
        <v>0.3911837647058824</v>
      </c>
      <c r="G5" s="262">
        <f>_xlfn.XLOOKUP($A5, Daily!$C:$C, Daily!$M:$M)</f>
        <v>9.2278499999999986E-2</v>
      </c>
      <c r="H5" s="266"/>
    </row>
    <row r="6" spans="1:22" ht="14.4" customHeight="1" x14ac:dyDescent="0.3">
      <c r="A6" s="8">
        <v>46230</v>
      </c>
      <c r="B6" s="7">
        <f>_xlfn.XLOOKUP($A6, Daily!C:C, Daily!D:D)</f>
        <v>23.5</v>
      </c>
      <c r="C6" s="9">
        <f>IFERROR(AVERAGEIFS(Log!$F:$F, Log!$C:$C, $A6, Log!$B:$B, "n/a", Log!$A:$A, "Daily", Log!$D:$D, $C$2), "")</f>
        <v>0.610344</v>
      </c>
      <c r="D6" s="9">
        <f>IFERROR(AVERAGEIFS(Log!$G:$G, Log!$C:$C, $A6, Log!$B:$B, "n/a", Log!$A:$A, "Daily", Log!$D:$D, $C$2), "")</f>
        <v>0.120907</v>
      </c>
      <c r="E6" s="277">
        <f>IFERROR(_xlfn.LET(_xlpm.camera_wand_count_by_day, AVERAGEIFS(Log!$E:$E, Log!$C:$C, $A6, Log!$B:$B, "n/a", Log!$A:$A, "Daily", Log!$D:$D, $C$2), _xlpm.auto_stop_that_day, _xlfn.XLOOKUP(A6, Daily!$C6:$C10000, Daily!$G6:$G10000), _xlpm.camera_wand_count_by_day/_xlpm.auto_stop_that_day), "")</f>
        <v>1.819</v>
      </c>
      <c r="F6" s="262">
        <f>_xlfn.XLOOKUP($A6, Daily!$C:$C, Daily!$J:$J)</f>
        <v>0.38041772222222209</v>
      </c>
      <c r="G6" s="262">
        <f>_xlfn.XLOOKUP($A6, Daily!$C:$C, Daily!$M:$M)</f>
        <v>9.1966633333333339E-2</v>
      </c>
    </row>
    <row r="7" spans="1:22" x14ac:dyDescent="0.3">
      <c r="A7" s="8">
        <v>46231</v>
      </c>
      <c r="B7" s="7">
        <f>_xlfn.XLOOKUP($A7, Daily!C:C, Daily!D:D)</f>
        <v>24.5</v>
      </c>
      <c r="C7" s="9">
        <f>IFERROR(AVERAGEIFS(Log!$F:$F, Log!$C:$C, $A7, Log!$B:$B, "n/a", Log!$A:$A, "Daily", Log!$D:$D, $C$2), "")</f>
        <v>0.55386500000000005</v>
      </c>
      <c r="D7" s="9">
        <f>IFERROR(AVERAGEIFS(Log!$G:$G, Log!$C:$C, $A7, Log!$B:$B, "n/a", Log!$A:$A, "Daily", Log!$D:$D, $C$2), "")</f>
        <v>0.109685</v>
      </c>
      <c r="E7" s="277">
        <f>IFERROR(_xlfn.LET(_xlpm.camera_wand_count_by_day, AVERAGEIFS(Log!$E:$E, Log!$C:$C, $A7, Log!$B:$B, "n/a", Log!$A:$A, "Daily", Log!$D:$D, $C$2), _xlpm.auto_stop_that_day, _xlfn.XLOOKUP(A7, Daily!$C7:$C10001, Daily!$G7:$G10001), _xlpm.camera_wand_count_by_day/_xlpm.auto_stop_that_day), "")</f>
        <v>2.081</v>
      </c>
      <c r="F7" s="262">
        <f>_xlfn.XLOOKUP($A7, Daily!$C:$C, Daily!$J:$J)</f>
        <v>0.35087827777777769</v>
      </c>
      <c r="G7" s="262">
        <f>_xlfn.XLOOKUP($A7, Daily!$C:$C, Daily!$M:$M)</f>
        <v>8.4730411111111126E-2</v>
      </c>
    </row>
    <row r="8" spans="1:22" x14ac:dyDescent="0.3">
      <c r="A8" s="8">
        <v>46232</v>
      </c>
      <c r="B8" s="7">
        <f>_xlfn.XLOOKUP($A8, Daily!C:C, Daily!D:D)</f>
        <v>25.5</v>
      </c>
      <c r="C8" s="9">
        <f>IFERROR(AVERAGEIFS(Log!$F:$F, Log!$C:$C, $A8, Log!$B:$B, "n/a", Log!$A:$A, "Daily", Log!$D:$D, $C$2), "")</f>
        <v>0.56917399999999996</v>
      </c>
      <c r="D8" s="9">
        <f>IFERROR(AVERAGEIFS(Log!$G:$G, Log!$C:$C, $A8, Log!$B:$B, "n/a", Log!$A:$A, "Daily", Log!$D:$D, $C$2), "")</f>
        <v>0.112651</v>
      </c>
      <c r="E8" s="277">
        <f>IFERROR(_xlfn.LET(_xlpm.camera_wand_count_by_day, AVERAGEIFS(Log!$E:$E, Log!$C:$C, $A8, Log!$B:$B, "n/a", Log!$A:$A, "Daily", Log!$D:$D, $C$2), _xlpm.auto_stop_that_day, _xlfn.XLOOKUP(A8, Daily!$C8:$C10002, Daily!$G8:$G10002), _xlpm.camera_wand_count_by_day/_xlpm.auto_stop_that_day), "")</f>
        <v>2.3809999999999998</v>
      </c>
      <c r="F8" s="262">
        <f>_xlfn.XLOOKUP($A8, Daily!$C:$C, Daily!$J:$J)</f>
        <v>0.36980916666666652</v>
      </c>
      <c r="G8" s="262">
        <f>_xlfn.XLOOKUP($A8, Daily!$C:$C, Daily!$M:$M)</f>
        <v>8.8881683333333295E-2</v>
      </c>
    </row>
    <row r="9" spans="1:22" x14ac:dyDescent="0.3">
      <c r="A9" s="8">
        <v>46233</v>
      </c>
      <c r="B9" s="7">
        <f>_xlfn.XLOOKUP($A9, Daily!C:C, Daily!D:D)</f>
        <v>24.5</v>
      </c>
      <c r="C9" s="9">
        <f>IFERROR(AVERAGEIFS(Log!$F:$F, Log!$C:$C, $A9, Log!$B:$B, "n/a", Log!$A:$A, "Daily", Log!$D:$D, $C$2), "")</f>
        <v>0.45406200000000002</v>
      </c>
      <c r="D9" s="9">
        <f>IFERROR(AVERAGEIFS(Log!$G:$G, Log!$C:$C, $A9, Log!$B:$B, "n/a", Log!$A:$A, "Daily", Log!$D:$D, $C$2), "")</f>
        <v>8.9885099999999996E-2</v>
      </c>
      <c r="E9" s="277">
        <f>IFERROR(_xlfn.LET(_xlpm.camera_wand_count_by_day, AVERAGEIFS(Log!$E:$E, Log!$C:$C, $A9, Log!$B:$B, "n/a", Log!$A:$A, "Daily", Log!$D:$D, $C$2), _xlpm.auto_stop_that_day, _xlfn.XLOOKUP(A9, Daily!$C9:$C10003, Daily!$G9:$G10003), _xlpm.camera_wand_count_by_day/_xlpm.auto_stop_that_day), "")</f>
        <v>2.0990000000000002</v>
      </c>
      <c r="F9" s="262">
        <f>_xlfn.XLOOKUP($A9, Daily!$C:$C, Daily!$J:$J)</f>
        <v>0.3276797777777779</v>
      </c>
      <c r="G9" s="262">
        <f>_xlfn.XLOOKUP($A9, Daily!$C:$C, Daily!$M:$M)</f>
        <v>7.9198327777777744E-2</v>
      </c>
    </row>
    <row r="10" spans="1:22" x14ac:dyDescent="0.3">
      <c r="A10" s="8">
        <v>46234</v>
      </c>
      <c r="B10" s="7">
        <f>_xlfn.XLOOKUP($A10, Daily!C:C, Daily!D:D)</f>
        <v>24.5</v>
      </c>
      <c r="C10" s="9">
        <f>IFERROR(AVERAGEIFS(Log!$F:$F, Log!$C:$C, $A10, Log!$B:$B, "n/a", Log!$A:$A, "Daily", Log!$D:$D, $C$2), "")</f>
        <v>0.53664000000000001</v>
      </c>
      <c r="D10" s="9">
        <f>IFERROR(AVERAGEIFS(Log!$G:$G, Log!$C:$C, $A10, Log!$B:$B, "n/a", Log!$A:$A, "Daily", Log!$D:$D, $C$2), "")</f>
        <v>0.106142</v>
      </c>
      <c r="E10" s="277">
        <f>IFERROR(_xlfn.LET(_xlpm.camera_wand_count_by_day, AVERAGEIFS(Log!$E:$E, Log!$C:$C, $A10, Log!$B:$B, "n/a", Log!$A:$A, "Daily", Log!$D:$D, $C$2), _xlpm.auto_stop_that_day, _xlfn.XLOOKUP(A10, Daily!$C10:$C10004, Daily!$G10:$G10004), _xlpm.camera_wand_count_by_day/_xlpm.auto_stop_that_day), "")</f>
        <v>1.5846666666666667</v>
      </c>
      <c r="F10" s="262">
        <f>_xlfn.XLOOKUP($A10, Daily!$C:$C, Daily!$J:$J)</f>
        <v>0.39170800000000017</v>
      </c>
      <c r="G10" s="262">
        <f>_xlfn.XLOOKUP($A10, Daily!$C:$C, Daily!$M:$M)</f>
        <v>9.6186150000000026E-2</v>
      </c>
    </row>
    <row r="11" spans="1:22" x14ac:dyDescent="0.3">
      <c r="A11" s="8">
        <v>46235</v>
      </c>
      <c r="B11" s="7">
        <f>_xlfn.XLOOKUP($A11, Daily!C:C, Daily!D:D)</f>
        <v>24</v>
      </c>
      <c r="C11" s="9">
        <f>IFERROR(AVERAGEIFS(Log!$F:$F, Log!$C:$C, $A11, Log!$B:$B, "n/a", Log!$A:$A, "Daily", Log!$D:$D, $C$2), "")</f>
        <v>0.47246100000000002</v>
      </c>
      <c r="D11" s="9">
        <f>IFERROR(AVERAGEIFS(Log!$G:$G, Log!$C:$C, $A11, Log!$B:$B, "n/a", Log!$A:$A, "Daily", Log!$D:$D, $C$2), "")</f>
        <v>9.3412599999999998E-2</v>
      </c>
      <c r="E11" s="277">
        <f>IFERROR(_xlfn.LET(_xlpm.camera_wand_count_by_day, AVERAGEIFS(Log!$E:$E, Log!$C:$C, $A11, Log!$B:$B, "n/a", Log!$A:$A, "Daily", Log!$D:$D, $C$2), _xlpm.auto_stop_that_day, _xlfn.XLOOKUP(A11, Daily!$C11:$C10005, Daily!$G11:$G10005), _xlpm.camera_wand_count_by_day/_xlpm.auto_stop_that_day), "")</f>
        <v>1.5680000000000001</v>
      </c>
      <c r="F11" s="262">
        <f>_xlfn.XLOOKUP($A11, Daily!$C:$C, Daily!$J:$J)</f>
        <v>0.55296411111111099</v>
      </c>
      <c r="G11" s="262">
        <f>_xlfn.XLOOKUP($A11, Daily!$C:$C, Daily!$M:$M)</f>
        <v>0.12669717222222227</v>
      </c>
    </row>
    <row r="12" spans="1:22" x14ac:dyDescent="0.3">
      <c r="A12" s="8">
        <v>46237</v>
      </c>
      <c r="B12" s="7">
        <f>_xlfn.XLOOKUP($A12, Daily!C:C, Daily!D:D)</f>
        <v>24</v>
      </c>
      <c r="C12" s="9">
        <f>IFERROR(AVERAGEIFS(Log!$F:$F, Log!$C:$C, $A12, Log!$B:$B, "n/a", Log!$A:$A, "Daily", Log!$D:$D, $C$2), "")</f>
        <v>0.44384499999999999</v>
      </c>
      <c r="D12" s="9">
        <f>IFERROR(AVERAGEIFS(Log!$G:$G, Log!$C:$C, $A12, Log!$B:$B, "n/a", Log!$A:$A, "Daily", Log!$D:$D, $C$2), "")</f>
        <v>9.0625700000000003E-2</v>
      </c>
      <c r="E12" s="277">
        <f>IFERROR(_xlfn.LET(_xlpm.camera_wand_count_by_day, AVERAGEIFS(Log!$E:$E, Log!$C:$C, $A12, Log!$B:$B, "n/a", Log!$A:$A, "Daily", Log!$D:$D, $C$2), _xlpm.auto_stop_that_day, _xlfn.XLOOKUP(A12, Daily!$C12:$C10006, Daily!$G12:$G10006), _xlpm.camera_wand_count_by_day/_xlpm.auto_stop_that_day), "")</f>
        <v>2.3420000000000001</v>
      </c>
      <c r="F12" s="262">
        <f>_xlfn.XLOOKUP($A12, Daily!$C:$C, Daily!$J:$J)</f>
        <v>0.3760028333333334</v>
      </c>
      <c r="G12" s="262">
        <f>_xlfn.XLOOKUP($A12, Daily!$C:$C, Daily!$M:$M)</f>
        <v>9.0346500000000052E-2</v>
      </c>
    </row>
    <row r="13" spans="1:22" x14ac:dyDescent="0.3">
      <c r="A13" s="8">
        <v>46238</v>
      </c>
      <c r="B13" s="7">
        <f>_xlfn.XLOOKUP($A13, Daily!C:C, Daily!D:D)</f>
        <v>24.5</v>
      </c>
      <c r="C13" s="9">
        <f>IFERROR(AVERAGEIFS(Log!$F:$F, Log!$C:$C, $A13, Log!$B:$B, "n/a", Log!$A:$A, "Daily", Log!$D:$D, $C$2), "")</f>
        <v>0.57407399999999997</v>
      </c>
      <c r="D13" s="9">
        <f>IFERROR(AVERAGEIFS(Log!$G:$G, Log!$C:$C, $A13, Log!$B:$B, "n/a", Log!$A:$A, "Daily", Log!$D:$D, $C$2), "")</f>
        <v>0.113594</v>
      </c>
      <c r="E13" s="277">
        <f>IFERROR(_xlfn.LET(_xlpm.camera_wand_count_by_day, AVERAGEIFS(Log!$E:$E, Log!$C:$C, $A13, Log!$B:$B, "n/a", Log!$A:$A, "Daily", Log!$D:$D, $C$2), _xlpm.auto_stop_that_day, _xlfn.XLOOKUP(A13, Daily!$C13:$C10007, Daily!$G13:$G10007), _xlpm.camera_wand_count_by_day/_xlpm.auto_stop_that_day), "")</f>
        <v>2.407</v>
      </c>
      <c r="F13" s="262">
        <f>_xlfn.XLOOKUP($A13, Daily!$C:$C, Daily!$J:$J)</f>
        <v>0.40401527777777785</v>
      </c>
      <c r="G13" s="262">
        <f>_xlfn.XLOOKUP($A13, Daily!$C:$C, Daily!$M:$M)</f>
        <v>9.6629455555555563E-2</v>
      </c>
    </row>
    <row r="14" spans="1:22" x14ac:dyDescent="0.3">
      <c r="A14" s="8">
        <v>46239</v>
      </c>
      <c r="B14" s="7">
        <f>_xlfn.XLOOKUP($A14, Daily!C:C, Daily!D:D)</f>
        <v>25</v>
      </c>
      <c r="C14" s="9">
        <f>IFERROR(AVERAGEIFS(Log!$F:$F, Log!$C:$C, $A14, Log!$B:$B, "n/a", Log!$A:$A, "Daily", Log!$D:$D, $C$2), "")</f>
        <v>0.58760599999999996</v>
      </c>
      <c r="D14" s="9">
        <f>IFERROR(AVERAGEIFS(Log!$G:$G, Log!$C:$C, $A14, Log!$B:$B, "n/a", Log!$A:$A, "Daily", Log!$D:$D, $C$2), "")</f>
        <v>0.11620800000000001</v>
      </c>
      <c r="E14" s="277">
        <f>IFERROR(_xlfn.LET(_xlpm.camera_wand_count_by_day, AVERAGEIFS(Log!$E:$E, Log!$C:$C, $A14, Log!$B:$B, "n/a", Log!$A:$A, "Daily", Log!$D:$D, $C$2), _xlpm.auto_stop_that_day, _xlfn.XLOOKUP(A14, Daily!$C14:$C10008, Daily!$G14:$G10008), _xlpm.camera_wand_count_by_day/_xlpm.auto_stop_that_day), "")</f>
        <v>2.0230000000000001</v>
      </c>
      <c r="F14" s="262">
        <f>_xlfn.XLOOKUP($A14, Daily!$C:$C, Daily!$J:$J)</f>
        <v>0.37193638888888891</v>
      </c>
      <c r="G14" s="262">
        <f>_xlfn.XLOOKUP($A14, Daily!$C:$C, Daily!$M:$M)</f>
        <v>8.8825327777777754E-2</v>
      </c>
    </row>
    <row r="15" spans="1:22" x14ac:dyDescent="0.3">
      <c r="A15" s="8">
        <v>46240</v>
      </c>
      <c r="B15" s="7">
        <f>_xlfn.XLOOKUP($A15, Daily!C:C, Daily!D:D)</f>
        <v>25</v>
      </c>
      <c r="C15" s="9">
        <f>IFERROR(AVERAGEIFS(Log!$F:$F, Log!$C:$C, $A15, Log!$B:$B, "n/a", Log!$A:$A, "Daily", Log!$D:$D, $C$2), "")</f>
        <v>0.52784600000000004</v>
      </c>
      <c r="D15" s="9">
        <f>IFERROR(AVERAGEIFS(Log!$G:$G, Log!$C:$C, $A15, Log!$B:$B, "n/a", Log!$A:$A, "Daily", Log!$D:$D, $C$2), "")</f>
        <v>0.10437299999999999</v>
      </c>
      <c r="E15" s="277">
        <f>IFERROR(_xlfn.LET(_xlpm.camera_wand_count_by_day, AVERAGEIFS(Log!$E:$E, Log!$C:$C, $A15, Log!$B:$B, "n/a", Log!$A:$A, "Daily", Log!$D:$D, $C$2), _xlpm.auto_stop_that_day, _xlfn.XLOOKUP(A15, Daily!$C15:$C10009, Daily!$G15:$G10009), _xlpm.camera_wand_count_by_day/_xlpm.auto_stop_that_day), "")</f>
        <v>2.105</v>
      </c>
      <c r="F15" s="262">
        <f>_xlfn.XLOOKUP($A15, Daily!$C:$C, Daily!$J:$J)</f>
        <v>0.37121238888888891</v>
      </c>
      <c r="G15" s="262">
        <f>_xlfn.XLOOKUP($A15, Daily!$C:$C, Daily!$M:$M)</f>
        <v>8.8747716666666643E-2</v>
      </c>
    </row>
    <row r="16" spans="1:22" x14ac:dyDescent="0.3">
      <c r="A16" s="8">
        <v>46242</v>
      </c>
      <c r="B16" s="7">
        <f>_xlfn.XLOOKUP($A16, Daily!C:C, Daily!D:D)</f>
        <v>24.5</v>
      </c>
      <c r="C16" s="9">
        <f>IFERROR(AVERAGEIFS(Log!$F:$F, Log!$C:$C, $A16, Log!$B:$B, "n/a", Log!$A:$A, "Daily", Log!$D:$D, $C$2), "")</f>
        <v>0.54024799999999995</v>
      </c>
      <c r="D16" s="9">
        <f>IFERROR(AVERAGEIFS(Log!$G:$G, Log!$C:$C, $A16, Log!$B:$B, "n/a", Log!$A:$A, "Daily", Log!$D:$D, $C$2), "")</f>
        <v>0.11029799999999999</v>
      </c>
      <c r="E16" s="277">
        <f>IFERROR(_xlfn.LET(_xlpm.camera_wand_count_by_day, AVERAGEIFS(Log!$E:$E, Log!$C:$C, $A16, Log!$B:$B, "n/a", Log!$A:$A, "Daily", Log!$D:$D, $C$2), _xlpm.auto_stop_that_day, _xlfn.XLOOKUP(A16, Daily!$C16:$C10010, Daily!$G16:$G10010), _xlpm.camera_wand_count_by_day/_xlpm.auto_stop_that_day), "")</f>
        <v>1.7190000000000001</v>
      </c>
      <c r="F16" s="262">
        <f>_xlfn.XLOOKUP($A16, Daily!$C:$C, Daily!$J:$J)</f>
        <v>0.38615661111111099</v>
      </c>
      <c r="G16" s="262">
        <f>_xlfn.XLOOKUP($A16, Daily!$C:$C, Daily!$M:$M)</f>
        <v>9.2878877777777799E-2</v>
      </c>
    </row>
    <row r="17" spans="1:7" x14ac:dyDescent="0.3">
      <c r="A17" s="8">
        <v>0</v>
      </c>
      <c r="B17" s="7">
        <f>_xlfn.XLOOKUP($A17, Daily!C:C, Daily!D:D)</f>
        <v>0</v>
      </c>
      <c r="C17" s="9" t="str">
        <f>IFERROR(AVERAGEIFS(Log!$F:$F, Log!$C:$C, $A17, Log!$B:$B, "n/a", Log!$A:$A, "Daily", Log!$D:$D, $C$2), "")</f>
        <v/>
      </c>
      <c r="D17" s="9" t="str">
        <f>IFERROR(AVERAGEIFS(Log!$G:$G, Log!$C:$C, $A17, Log!$B:$B, "n/a", Log!$A:$A, "Daily", Log!$D:$D, $C$2), "")</f>
        <v/>
      </c>
      <c r="E17" s="277" t="str">
        <f>IFERROR(_xlfn.LET(_xlpm.camera_wand_count_by_day, AVERAGEIFS(Log!$E:$E, Log!$C:$C, $A17, Log!$B:$B, "n/a", Log!$A:$A, "Daily", Log!$D:$D, $C$2), _xlpm.auto_stop_that_day, _xlfn.XLOOKUP(A17, Daily!$C17:$C10011, Daily!$G17:$G10011), _xlpm.camera_wand_count_by_day/_xlpm.auto_stop_that_day), "")</f>
        <v/>
      </c>
      <c r="F17" s="262" t="str">
        <f>_xlfn.XLOOKUP($A17, Daily!$C:$C, Daily!$J:$J)</f>
        <v/>
      </c>
      <c r="G17" s="262" t="str">
        <f>_xlfn.XLOOKUP($A17, Daily!$C:$C, Daily!$M:$M)</f>
        <v/>
      </c>
    </row>
    <row r="18" spans="1:7" x14ac:dyDescent="0.3">
      <c r="A18" s="8">
        <v>0</v>
      </c>
      <c r="B18" s="7">
        <f>_xlfn.XLOOKUP($A18, Daily!C:C, Daily!D:D)</f>
        <v>0</v>
      </c>
      <c r="C18" s="9" t="str">
        <f>IFERROR(AVERAGEIFS(Log!$F:$F, Log!$C:$C, $A18, Log!$B:$B, "n/a", Log!$A:$A, "Daily", Log!$D:$D, $C$2), "")</f>
        <v/>
      </c>
      <c r="D18" s="9" t="str">
        <f>IFERROR(AVERAGEIFS(Log!$G:$G, Log!$C:$C, $A18, Log!$B:$B, "n/a", Log!$A:$A, "Daily", Log!$D:$D, $C$2), "")</f>
        <v/>
      </c>
      <c r="E18" s="277" t="str">
        <f>IFERROR(_xlfn.LET(_xlpm.camera_wand_count_by_day, AVERAGEIFS(Log!$E:$E, Log!$C:$C, $A18, Log!$B:$B, "n/a", Log!$A:$A, "Daily", Log!$D:$D, $C$2), _xlpm.auto_stop_that_day, _xlfn.XLOOKUP(A18, Daily!$C18:$C10012, Daily!$G18:$G10012), _xlpm.camera_wand_count_by_day/_xlpm.auto_stop_that_day), "")</f>
        <v/>
      </c>
      <c r="F18" s="262" t="str">
        <f>_xlfn.XLOOKUP($A18, Daily!$C:$C, Daily!$J:$J)</f>
        <v/>
      </c>
      <c r="G18" s="262" t="str">
        <f>_xlfn.XLOOKUP($A18, Daily!$C:$C, Daily!$M:$M)</f>
        <v/>
      </c>
    </row>
    <row r="19" spans="1:7" x14ac:dyDescent="0.3">
      <c r="A19" s="8">
        <v>0</v>
      </c>
      <c r="B19" s="7">
        <f>_xlfn.XLOOKUP($A19, Daily!C:C, Daily!D:D)</f>
        <v>0</v>
      </c>
      <c r="C19" s="9" t="str">
        <f>IFERROR(AVERAGEIFS(Log!$F:$F, Log!$C:$C, $A19, Log!$B:$B, "n/a", Log!$A:$A, "Daily", Log!$D:$D, $C$2), "")</f>
        <v/>
      </c>
      <c r="D19" s="9" t="str">
        <f>IFERROR(AVERAGEIFS(Log!$G:$G, Log!$C:$C, $A19, Log!$B:$B, "n/a", Log!$A:$A, "Daily", Log!$D:$D, $C$2), "")</f>
        <v/>
      </c>
      <c r="E19" s="277" t="str">
        <f>IFERROR(_xlfn.LET(_xlpm.camera_wand_count_by_day, AVERAGEIFS(Log!$E:$E, Log!$C:$C, $A19, Log!$B:$B, "n/a", Log!$A:$A, "Daily", Log!$D:$D, $C$2), _xlpm.auto_stop_that_day, _xlfn.XLOOKUP(A19, Daily!$C19:$C10013, Daily!$G19:$G10013), _xlpm.camera_wand_count_by_day/_xlpm.auto_stop_that_day), "")</f>
        <v/>
      </c>
      <c r="F19" s="262" t="str">
        <f>_xlfn.XLOOKUP($A19, Daily!$C:$C, Daily!$J:$J)</f>
        <v/>
      </c>
      <c r="G19" s="262" t="str">
        <f>_xlfn.XLOOKUP($A19, Daily!$C:$C, Daily!$M:$M)</f>
        <v/>
      </c>
    </row>
    <row r="20" spans="1:7" x14ac:dyDescent="0.3">
      <c r="A20" s="8">
        <v>0</v>
      </c>
      <c r="B20" s="7">
        <f>_xlfn.XLOOKUP($A20, Daily!C:C, Daily!D:D)</f>
        <v>0</v>
      </c>
      <c r="C20" s="9" t="str">
        <f>IFERROR(AVERAGEIFS(Log!$F:$F, Log!$C:$C, $A20, Log!$B:$B, "n/a", Log!$A:$A, "Daily", Log!$D:$D, $C$2), "")</f>
        <v/>
      </c>
      <c r="D20" s="9" t="str">
        <f>IFERROR(AVERAGEIFS(Log!$G:$G, Log!$C:$C, $A20, Log!$B:$B, "n/a", Log!$A:$A, "Daily", Log!$D:$D, $C$2), "")</f>
        <v/>
      </c>
      <c r="E20" s="277" t="str">
        <f>IFERROR(_xlfn.LET(_xlpm.camera_wand_count_by_day, AVERAGEIFS(Log!$E:$E, Log!$C:$C, $A20, Log!$B:$B, "n/a", Log!$A:$A, "Daily", Log!$D:$D, $C$2), _xlpm.auto_stop_that_day, _xlfn.XLOOKUP(A20, Daily!$C20:$C10014, Daily!$G20:$G10014), _xlpm.camera_wand_count_by_day/_xlpm.auto_stop_that_day), "")</f>
        <v/>
      </c>
      <c r="F20" s="262" t="str">
        <f>_xlfn.XLOOKUP($A20, Daily!$C:$C, Daily!$J:$J)</f>
        <v/>
      </c>
      <c r="G20" s="262" t="str">
        <f>_xlfn.XLOOKUP($A20, Daily!$C:$C, Daily!$M:$M)</f>
        <v/>
      </c>
    </row>
    <row r="21" spans="1:7" x14ac:dyDescent="0.3">
      <c r="A21" s="8">
        <v>0</v>
      </c>
      <c r="B21" s="7">
        <f>_xlfn.XLOOKUP($A21, Daily!C:C, Daily!D:D)</f>
        <v>0</v>
      </c>
      <c r="C21" s="9" t="str">
        <f>IFERROR(AVERAGEIFS(Log!$F:$F, Log!$C:$C, $A21, Log!$B:$B, "n/a", Log!$A:$A, "Daily", Log!$D:$D, $C$2), "")</f>
        <v/>
      </c>
      <c r="D21" s="9" t="str">
        <f>IFERROR(AVERAGEIFS(Log!$G:$G, Log!$C:$C, $A21, Log!$B:$B, "n/a", Log!$A:$A, "Daily", Log!$D:$D, $C$2), "")</f>
        <v/>
      </c>
      <c r="E21" s="277" t="str">
        <f>IFERROR(_xlfn.LET(_xlpm.camera_wand_count_by_day, AVERAGEIFS(Log!$E:$E, Log!$C:$C, $A21, Log!$B:$B, "n/a", Log!$A:$A, "Daily", Log!$D:$D, $C$2), _xlpm.auto_stop_that_day, _xlfn.XLOOKUP(A21, Daily!$C21:$C10015, Daily!$G21:$G10015), _xlpm.camera_wand_count_by_day/_xlpm.auto_stop_that_day), "")</f>
        <v/>
      </c>
      <c r="F21" s="262" t="str">
        <f>_xlfn.XLOOKUP($A21, Daily!$C:$C, Daily!$J:$J)</f>
        <v/>
      </c>
      <c r="G21" s="262" t="str">
        <f>_xlfn.XLOOKUP($A21, Daily!$C:$C, Daily!$M:$M)</f>
        <v/>
      </c>
    </row>
    <row r="22" spans="1:7" x14ac:dyDescent="0.3">
      <c r="A22" s="8">
        <v>0</v>
      </c>
      <c r="B22" s="7">
        <f>_xlfn.XLOOKUP($A22, Daily!C:C, Daily!D:D)</f>
        <v>0</v>
      </c>
      <c r="C22" s="9" t="str">
        <f>IFERROR(AVERAGEIFS(Log!$F:$F, Log!$C:$C, $A22, Log!$B:$B, "n/a", Log!$A:$A, "Daily", Log!$D:$D, $C$2), "")</f>
        <v/>
      </c>
      <c r="D22" s="9" t="str">
        <f>IFERROR(AVERAGEIFS(Log!$G:$G, Log!$C:$C, $A22, Log!$B:$B, "n/a", Log!$A:$A, "Daily", Log!$D:$D, $C$2), "")</f>
        <v/>
      </c>
      <c r="E22" s="277" t="str">
        <f>IFERROR(_xlfn.LET(_xlpm.camera_wand_count_by_day, AVERAGEIFS(Log!$E:$E, Log!$C:$C, $A22, Log!$B:$B, "n/a", Log!$A:$A, "Daily", Log!$D:$D, $C$2), _xlpm.auto_stop_that_day, _xlfn.XLOOKUP(A22, Daily!$C22:$C10016, Daily!$G22:$G10016), _xlpm.camera_wand_count_by_day/_xlpm.auto_stop_that_day), "")</f>
        <v/>
      </c>
      <c r="F22" s="262" t="str">
        <f>_xlfn.XLOOKUP($A22, Daily!$C:$C, Daily!$J:$J)</f>
        <v/>
      </c>
      <c r="G22" s="262" t="str">
        <f>_xlfn.XLOOKUP($A22, Daily!$C:$C, Daily!$M:$M)</f>
        <v/>
      </c>
    </row>
    <row r="23" spans="1:7" x14ac:dyDescent="0.3">
      <c r="A23" s="8">
        <v>0</v>
      </c>
      <c r="B23" s="7">
        <f>_xlfn.XLOOKUP($A23, Daily!C:C, Daily!D:D)</f>
        <v>0</v>
      </c>
      <c r="C23" s="9" t="str">
        <f>IFERROR(AVERAGEIFS(Log!$F:$F, Log!$C:$C, $A23, Log!$B:$B, "n/a", Log!$A:$A, "Daily", Log!$D:$D, $C$2), "")</f>
        <v/>
      </c>
      <c r="D23" s="9" t="str">
        <f>IFERROR(AVERAGEIFS(Log!$G:$G, Log!$C:$C, $A23, Log!$B:$B, "n/a", Log!$A:$A, "Daily", Log!$D:$D, $C$2), "")</f>
        <v/>
      </c>
      <c r="E23" s="277" t="str">
        <f>IFERROR(_xlfn.LET(_xlpm.camera_wand_count_by_day, AVERAGEIFS(Log!$E:$E, Log!$C:$C, $A23, Log!$B:$B, "n/a", Log!$A:$A, "Daily", Log!$D:$D, $C$2), _xlpm.auto_stop_that_day, _xlfn.XLOOKUP(A23, Daily!$C23:$C10017, Daily!$G23:$G10017), _xlpm.camera_wand_count_by_day/_xlpm.auto_stop_that_day), "")</f>
        <v/>
      </c>
      <c r="F23" s="262" t="str">
        <f>_xlfn.XLOOKUP($A23, Daily!$C:$C, Daily!$J:$J)</f>
        <v/>
      </c>
      <c r="G23" s="262" t="str">
        <f>_xlfn.XLOOKUP($A23, Daily!$C:$C, Daily!$M:$M)</f>
        <v/>
      </c>
    </row>
    <row r="24" spans="1:7" x14ac:dyDescent="0.3">
      <c r="A24" s="8">
        <v>0</v>
      </c>
      <c r="B24" s="7">
        <f>_xlfn.XLOOKUP($A24, Daily!C:C, Daily!D:D)</f>
        <v>0</v>
      </c>
      <c r="C24" s="9" t="str">
        <f>IFERROR(AVERAGEIFS(Log!$F:$F, Log!$C:$C, $A24, Log!$B:$B, "n/a", Log!$A:$A, "Daily", Log!$D:$D, $C$2), "")</f>
        <v/>
      </c>
      <c r="D24" s="9" t="str">
        <f>IFERROR(AVERAGEIFS(Log!$G:$G, Log!$C:$C, $A24, Log!$B:$B, "n/a", Log!$A:$A, "Daily", Log!$D:$D, $C$2), "")</f>
        <v/>
      </c>
      <c r="E24" s="277" t="str">
        <f>IFERROR(_xlfn.LET(_xlpm.camera_wand_count_by_day, AVERAGEIFS(Log!$E:$E, Log!$C:$C, $A24, Log!$B:$B, "n/a", Log!$A:$A, "Daily", Log!$D:$D, $C$2), _xlpm.auto_stop_that_day, _xlfn.XLOOKUP(A24, Daily!$C24:$C10018, Daily!$G24:$G10018), _xlpm.camera_wand_count_by_day/_xlpm.auto_stop_that_day), "")</f>
        <v/>
      </c>
      <c r="F24" s="262" t="str">
        <f>_xlfn.XLOOKUP($A24, Daily!$C:$C, Daily!$J:$J)</f>
        <v/>
      </c>
      <c r="G24" s="262" t="str">
        <f>_xlfn.XLOOKUP($A24, Daily!$C:$C, Daily!$M:$M)</f>
        <v/>
      </c>
    </row>
    <row r="25" spans="1:7" x14ac:dyDescent="0.3">
      <c r="A25" s="8">
        <v>0</v>
      </c>
      <c r="B25" s="7">
        <f>_xlfn.XLOOKUP($A25, Daily!C:C, Daily!D:D)</f>
        <v>0</v>
      </c>
      <c r="C25" s="9" t="str">
        <f>IFERROR(AVERAGEIFS(Log!$F:$F, Log!$C:$C, $A25, Log!$B:$B, "n/a", Log!$A:$A, "Daily", Log!$D:$D, $C$2), "")</f>
        <v/>
      </c>
      <c r="D25" s="9" t="str">
        <f>IFERROR(AVERAGEIFS(Log!$G:$G, Log!$C:$C, $A25, Log!$B:$B, "n/a", Log!$A:$A, "Daily", Log!$D:$D, $C$2), "")</f>
        <v/>
      </c>
      <c r="E25" s="277" t="str">
        <f>IFERROR(_xlfn.LET(_xlpm.camera_wand_count_by_day, AVERAGEIFS(Log!$E:$E, Log!$C:$C, $A25, Log!$B:$B, "n/a", Log!$A:$A, "Daily", Log!$D:$D, $C$2), _xlpm.auto_stop_that_day, _xlfn.XLOOKUP(A25, Daily!$C25:$C10019, Daily!$G25:$G10019), _xlpm.camera_wand_count_by_day/_xlpm.auto_stop_that_day), "")</f>
        <v/>
      </c>
      <c r="F25" s="262" t="str">
        <f>_xlfn.XLOOKUP($A25, Daily!$C:$C, Daily!$J:$J)</f>
        <v/>
      </c>
      <c r="G25" s="262" t="str">
        <f>_xlfn.XLOOKUP($A25, Daily!$C:$C, Daily!$M:$M)</f>
        <v/>
      </c>
    </row>
    <row r="26" spans="1:7" x14ac:dyDescent="0.3">
      <c r="A26" s="8">
        <v>0</v>
      </c>
      <c r="B26" s="7">
        <f>_xlfn.XLOOKUP($A26, Daily!C:C, Daily!D:D)</f>
        <v>0</v>
      </c>
      <c r="C26" s="9" t="str">
        <f>IFERROR(AVERAGEIFS(Log!$F:$F, Log!$C:$C, $A26, Log!$B:$B, "n/a", Log!$A:$A, "Daily", Log!$D:$D, $C$2), "")</f>
        <v/>
      </c>
      <c r="D26" s="9" t="str">
        <f>IFERROR(AVERAGEIFS(Log!$G:$G, Log!$C:$C, $A26, Log!$B:$B, "n/a", Log!$A:$A, "Daily", Log!$D:$D, $C$2), "")</f>
        <v/>
      </c>
      <c r="E26" s="277" t="str">
        <f>IFERROR(_xlfn.LET(_xlpm.camera_wand_count_by_day, AVERAGEIFS(Log!$E:$E, Log!$C:$C, $A26, Log!$B:$B, "n/a", Log!$A:$A, "Daily", Log!$D:$D, $C$2), _xlpm.auto_stop_that_day, _xlfn.XLOOKUP(A26, Daily!$C26:$C10020, Daily!$G26:$G10020), _xlpm.camera_wand_count_by_day/_xlpm.auto_stop_that_day), "")</f>
        <v/>
      </c>
      <c r="F26" s="262" t="str">
        <f>_xlfn.XLOOKUP($A26, Daily!$C:$C, Daily!$J:$J)</f>
        <v/>
      </c>
      <c r="G26" s="262" t="str">
        <f>_xlfn.XLOOKUP($A26, Daily!$C:$C, Daily!$M:$M)</f>
        <v/>
      </c>
    </row>
    <row r="27" spans="1:7" x14ac:dyDescent="0.3">
      <c r="A27" s="8">
        <v>0</v>
      </c>
      <c r="B27" s="7">
        <f>_xlfn.XLOOKUP($A27, Daily!C:C, Daily!D:D)</f>
        <v>0</v>
      </c>
      <c r="C27" s="9" t="str">
        <f>IFERROR(AVERAGEIFS(Log!$F:$F, Log!$C:$C, $A27, Log!$B:$B, "n/a", Log!$A:$A, "Daily", Log!$D:$D, $C$2), "")</f>
        <v/>
      </c>
      <c r="D27" s="9" t="str">
        <f>IFERROR(AVERAGEIFS(Log!$G:$G, Log!$C:$C, $A27, Log!$B:$B, "n/a", Log!$A:$A, "Daily", Log!$D:$D, $C$2), "")</f>
        <v/>
      </c>
      <c r="E27" s="277" t="str">
        <f>IFERROR(_xlfn.LET(_xlpm.camera_wand_count_by_day, AVERAGEIFS(Log!$E:$E, Log!$C:$C, $A27, Log!$B:$B, "n/a", Log!$A:$A, "Daily", Log!$D:$D, $C$2), _xlpm.auto_stop_that_day, _xlfn.XLOOKUP(A27, Daily!$C27:$C10021, Daily!$G27:$G10021), _xlpm.camera_wand_count_by_day/_xlpm.auto_stop_that_day), "")</f>
        <v/>
      </c>
      <c r="F27" s="262" t="str">
        <f>_xlfn.XLOOKUP($A27, Daily!$C:$C, Daily!$J:$J)</f>
        <v/>
      </c>
      <c r="G27" s="262" t="str">
        <f>_xlfn.XLOOKUP($A27, Daily!$C:$C, Daily!$M:$M)</f>
        <v/>
      </c>
    </row>
    <row r="28" spans="1:7" x14ac:dyDescent="0.3">
      <c r="A28" s="8">
        <v>0</v>
      </c>
      <c r="B28" s="7">
        <f>_xlfn.XLOOKUP($A28, Daily!C:C, Daily!D:D)</f>
        <v>0</v>
      </c>
      <c r="C28" s="9" t="str">
        <f>IFERROR(AVERAGEIFS(Log!$F:$F, Log!$C:$C, $A28, Log!$B:$B, "n/a", Log!$A:$A, "Daily", Log!$D:$D, $C$2), "")</f>
        <v/>
      </c>
      <c r="D28" s="9" t="str">
        <f>IFERROR(AVERAGEIFS(Log!$G:$G, Log!$C:$C, $A28, Log!$B:$B, "n/a", Log!$A:$A, "Daily", Log!$D:$D, $C$2), "")</f>
        <v/>
      </c>
      <c r="E28" s="277" t="str">
        <f>IFERROR(_xlfn.LET(_xlpm.camera_wand_count_by_day, AVERAGEIFS(Log!$E:$E, Log!$C:$C, $A28, Log!$B:$B, "n/a", Log!$A:$A, "Daily", Log!$D:$D, $C$2), _xlpm.auto_stop_that_day, _xlfn.XLOOKUP(A28, Daily!$C28:$C10022, Daily!$G28:$G10022), _xlpm.camera_wand_count_by_day/_xlpm.auto_stop_that_day), "")</f>
        <v/>
      </c>
      <c r="F28" s="262" t="str">
        <f>_xlfn.XLOOKUP($A28, Daily!$C:$C, Daily!$J:$J)</f>
        <v/>
      </c>
      <c r="G28" s="262" t="str">
        <f>_xlfn.XLOOKUP($A28, Daily!$C:$C, Daily!$M:$M)</f>
        <v/>
      </c>
    </row>
    <row r="29" spans="1:7" x14ac:dyDescent="0.3">
      <c r="A29" s="8">
        <v>0</v>
      </c>
      <c r="B29" s="7">
        <f>_xlfn.XLOOKUP($A29, Daily!C:C, Daily!D:D)</f>
        <v>0</v>
      </c>
      <c r="C29" s="9" t="str">
        <f>IFERROR(AVERAGEIFS(Log!$F:$F, Log!$C:$C, $A29, Log!$B:$B, "n/a", Log!$A:$A, "Daily", Log!$D:$D, $C$2), "")</f>
        <v/>
      </c>
      <c r="D29" s="9" t="str">
        <f>IFERROR(AVERAGEIFS(Log!$G:$G, Log!$C:$C, $A29, Log!$B:$B, "n/a", Log!$A:$A, "Daily", Log!$D:$D, $C$2), "")</f>
        <v/>
      </c>
      <c r="E29" s="277" t="str">
        <f>IFERROR(_xlfn.LET(_xlpm.camera_wand_count_by_day, AVERAGEIFS(Log!$E:$E, Log!$C:$C, $A29, Log!$B:$B, "n/a", Log!$A:$A, "Daily", Log!$D:$D, $C$2), _xlpm.auto_stop_that_day, _xlfn.XLOOKUP(A29, Daily!$C29:$C10023, Daily!$G29:$G10023), _xlpm.camera_wand_count_by_day/_xlpm.auto_stop_that_day), "")</f>
        <v/>
      </c>
      <c r="F29" s="262" t="str">
        <f>_xlfn.XLOOKUP($A29, Daily!$C:$C, Daily!$J:$J)</f>
        <v/>
      </c>
      <c r="G29" s="262" t="str">
        <f>_xlfn.XLOOKUP($A29, Daily!$C:$C, Daily!$M:$M)</f>
        <v/>
      </c>
    </row>
    <row r="30" spans="1:7" x14ac:dyDescent="0.3">
      <c r="A30" s="8">
        <v>0</v>
      </c>
      <c r="B30" s="7">
        <f>_xlfn.XLOOKUP($A30, Daily!C:C, Daily!D:D)</f>
        <v>0</v>
      </c>
      <c r="C30" s="9" t="str">
        <f>IFERROR(AVERAGEIFS(Log!$F:$F, Log!$C:$C, $A30, Log!$B:$B, "n/a", Log!$A:$A, "Daily", Log!$D:$D, $C$2), "")</f>
        <v/>
      </c>
      <c r="D30" s="9" t="str">
        <f>IFERROR(AVERAGEIFS(Log!$G:$G, Log!$C:$C, $A30, Log!$B:$B, "n/a", Log!$A:$A, "Daily", Log!$D:$D, $C$2), "")</f>
        <v/>
      </c>
      <c r="E30" s="277" t="str">
        <f>IFERROR(_xlfn.LET(_xlpm.camera_wand_count_by_day, AVERAGEIFS(Log!$E:$E, Log!$C:$C, $A30, Log!$B:$B, "n/a", Log!$A:$A, "Daily", Log!$D:$D, $C$2), _xlpm.auto_stop_that_day, _xlfn.XLOOKUP(A30, Daily!$C30:$C10024, Daily!$G30:$G10024), _xlpm.camera_wand_count_by_day/_xlpm.auto_stop_that_day), "")</f>
        <v/>
      </c>
      <c r="F30" s="262" t="str">
        <f>_xlfn.XLOOKUP($A30, Daily!$C:$C, Daily!$J:$J)</f>
        <v/>
      </c>
      <c r="G30" s="262" t="str">
        <f>_xlfn.XLOOKUP($A30, Daily!$C:$C, Daily!$M:$M)</f>
        <v/>
      </c>
    </row>
    <row r="31" spans="1:7" x14ac:dyDescent="0.3">
      <c r="A31" s="8">
        <v>0</v>
      </c>
      <c r="B31" s="7">
        <f>_xlfn.XLOOKUP($A31, Daily!C:C, Daily!D:D)</f>
        <v>0</v>
      </c>
      <c r="C31" s="9" t="str">
        <f>IFERROR(AVERAGEIFS(Log!$F:$F, Log!$C:$C, $A31, Log!$B:$B, "n/a", Log!$A:$A, "Daily", Log!$D:$D, $C$2), "")</f>
        <v/>
      </c>
      <c r="D31" s="9" t="str">
        <f>IFERROR(AVERAGEIFS(Log!$G:$G, Log!$C:$C, $A31, Log!$B:$B, "n/a", Log!$A:$A, "Daily", Log!$D:$D, $C$2), "")</f>
        <v/>
      </c>
      <c r="E31" s="277" t="str">
        <f>IFERROR(_xlfn.LET(_xlpm.camera_wand_count_by_day, AVERAGEIFS(Log!$E:$E, Log!$C:$C, $A31, Log!$B:$B, "n/a", Log!$A:$A, "Daily", Log!$D:$D, $C$2), _xlpm.auto_stop_that_day, _xlfn.XLOOKUP(A31, Daily!$C31:$C10025, Daily!$G31:$G10025), _xlpm.camera_wand_count_by_day/_xlpm.auto_stop_that_day), "")</f>
        <v/>
      </c>
      <c r="F31" s="262" t="str">
        <f>_xlfn.XLOOKUP($A31, Daily!$C:$C, Daily!$J:$J)</f>
        <v/>
      </c>
      <c r="G31" s="262" t="str">
        <f>_xlfn.XLOOKUP($A31, Daily!$C:$C, Daily!$M:$M)</f>
        <v/>
      </c>
    </row>
    <row r="32" spans="1:7" x14ac:dyDescent="0.3">
      <c r="A32" s="8">
        <v>0</v>
      </c>
      <c r="B32" s="7">
        <f>_xlfn.XLOOKUP($A32, Daily!C:C, Daily!D:D)</f>
        <v>0</v>
      </c>
      <c r="C32" s="9" t="str">
        <f>IFERROR(AVERAGEIFS(Log!$F:$F, Log!$C:$C, $A32, Log!$B:$B, "n/a", Log!$A:$A, "Daily", Log!$D:$D, $C$2), "")</f>
        <v/>
      </c>
      <c r="D32" s="9" t="str">
        <f>IFERROR(AVERAGEIFS(Log!$G:$G, Log!$C:$C, $A32, Log!$B:$B, "n/a", Log!$A:$A, "Daily", Log!$D:$D, $C$2), "")</f>
        <v/>
      </c>
      <c r="E32" s="277" t="str">
        <f>IFERROR(_xlfn.LET(_xlpm.camera_wand_count_by_day, AVERAGEIFS(Log!$E:$E, Log!$C:$C, $A32, Log!$B:$B, "n/a", Log!$A:$A, "Daily", Log!$D:$D, $C$2), _xlpm.auto_stop_that_day, _xlfn.XLOOKUP(A32, Daily!$C32:$C10026, Daily!$G32:$G10026), _xlpm.camera_wand_count_by_day/_xlpm.auto_stop_that_day), "")</f>
        <v/>
      </c>
      <c r="F32" s="262" t="str">
        <f>_xlfn.XLOOKUP($A32, Daily!$C:$C, Daily!$J:$J)</f>
        <v/>
      </c>
      <c r="G32" s="262" t="str">
        <f>_xlfn.XLOOKUP($A32, Daily!$C:$C, Daily!$M:$M)</f>
        <v/>
      </c>
    </row>
    <row r="33" spans="1:7" x14ac:dyDescent="0.3">
      <c r="A33" s="8">
        <v>0</v>
      </c>
      <c r="B33" s="7">
        <f>_xlfn.XLOOKUP($A33, Daily!C:C, Daily!D:D)</f>
        <v>0</v>
      </c>
      <c r="C33" s="9" t="str">
        <f>IFERROR(AVERAGEIFS(Log!$F:$F, Log!$C:$C, $A33, Log!$B:$B, "n/a", Log!$A:$A, "Daily", Log!$D:$D, $C$2), "")</f>
        <v/>
      </c>
      <c r="D33" s="9" t="str">
        <f>IFERROR(AVERAGEIFS(Log!$G:$G, Log!$C:$C, $A33, Log!$B:$B, "n/a", Log!$A:$A, "Daily", Log!$D:$D, $C$2), "")</f>
        <v/>
      </c>
      <c r="E33" s="277" t="str">
        <f>IFERROR(_xlfn.LET(_xlpm.camera_wand_count_by_day, AVERAGEIFS(Log!$E:$E, Log!$C:$C, $A33, Log!$B:$B, "n/a", Log!$A:$A, "Daily", Log!$D:$D, $C$2), _xlpm.auto_stop_that_day, _xlfn.XLOOKUP(A33, Daily!$C33:$C10027, Daily!$G33:$G10027), _xlpm.camera_wand_count_by_day/_xlpm.auto_stop_that_day), "")</f>
        <v/>
      </c>
      <c r="F33" s="262" t="str">
        <f>_xlfn.XLOOKUP($A33, Daily!$C:$C, Daily!$J:$J)</f>
        <v/>
      </c>
      <c r="G33" s="262" t="str">
        <f>_xlfn.XLOOKUP($A33, Daily!$C:$C, Daily!$M:$M)</f>
        <v/>
      </c>
    </row>
    <row r="34" spans="1:7" x14ac:dyDescent="0.3">
      <c r="A34" s="8">
        <v>0</v>
      </c>
      <c r="B34" s="7">
        <f>_xlfn.XLOOKUP($A34, Daily!C:C, Daily!D:D)</f>
        <v>0</v>
      </c>
      <c r="C34" s="9" t="str">
        <f>IFERROR(AVERAGEIFS(Log!$F:$F, Log!$C:$C, $A34, Log!$B:$B, "n/a", Log!$A:$A, "Daily", Log!$D:$D, $C$2), "")</f>
        <v/>
      </c>
      <c r="D34" s="9" t="str">
        <f>IFERROR(AVERAGEIFS(Log!$G:$G, Log!$C:$C, $A34, Log!$B:$B, "n/a", Log!$A:$A, "Daily", Log!$D:$D, $C$2), "")</f>
        <v/>
      </c>
      <c r="E34" s="277" t="str">
        <f>IFERROR(_xlfn.LET(_xlpm.camera_wand_count_by_day, AVERAGEIFS(Log!$E:$E, Log!$C:$C, $A34, Log!$B:$B, "n/a", Log!$A:$A, "Daily", Log!$D:$D, $C$2), _xlpm.auto_stop_that_day, _xlfn.XLOOKUP(A34, Daily!$C34:$C10028, Daily!$G34:$G10028), _xlpm.camera_wand_count_by_day/_xlpm.auto_stop_that_day), "")</f>
        <v/>
      </c>
      <c r="F34" s="262" t="str">
        <f>_xlfn.XLOOKUP($A34, Daily!$C:$C, Daily!$J:$J)</f>
        <v/>
      </c>
      <c r="G34" s="262" t="str">
        <f>_xlfn.XLOOKUP($A34, Daily!$C:$C, Daily!$M:$M)</f>
        <v/>
      </c>
    </row>
    <row r="35" spans="1:7" x14ac:dyDescent="0.3">
      <c r="A35" s="8">
        <v>0</v>
      </c>
      <c r="B35" s="7">
        <f>_xlfn.XLOOKUP($A35, Daily!C:C, Daily!D:D)</f>
        <v>0</v>
      </c>
      <c r="C35" s="9" t="str">
        <f>IFERROR(AVERAGEIFS(Log!$F:$F, Log!$C:$C, $A35, Log!$B:$B, "n/a", Log!$A:$A, "Daily", Log!$D:$D, $C$2), "")</f>
        <v/>
      </c>
      <c r="D35" s="9" t="str">
        <f>IFERROR(AVERAGEIFS(Log!$G:$G, Log!$C:$C, $A35, Log!$B:$B, "n/a", Log!$A:$A, "Daily", Log!$D:$D, $C$2), "")</f>
        <v/>
      </c>
      <c r="E35" s="277" t="str">
        <f>IFERROR(_xlfn.LET(_xlpm.camera_wand_count_by_day, AVERAGEIFS(Log!$E:$E, Log!$C:$C, $A35, Log!$B:$B, "n/a", Log!$A:$A, "Daily", Log!$D:$D, $C$2), _xlpm.auto_stop_that_day, _xlfn.XLOOKUP(A35, Daily!$C35:$C10029, Daily!$G35:$G10029), _xlpm.camera_wand_count_by_day/_xlpm.auto_stop_that_day), "")</f>
        <v/>
      </c>
      <c r="F35" s="262" t="str">
        <f>_xlfn.XLOOKUP($A35, Daily!$C:$C, Daily!$J:$J)</f>
        <v/>
      </c>
      <c r="G35" s="262" t="str">
        <f>_xlfn.XLOOKUP($A35, Daily!$C:$C, Daily!$M:$M)</f>
        <v/>
      </c>
    </row>
    <row r="36" spans="1:7" x14ac:dyDescent="0.3">
      <c r="A36" s="8">
        <v>0</v>
      </c>
      <c r="B36" s="7">
        <f>_xlfn.XLOOKUP($A36, Daily!C:C, Daily!D:D)</f>
        <v>0</v>
      </c>
      <c r="C36" s="9" t="str">
        <f>IFERROR(AVERAGEIFS(Log!$F:$F, Log!$C:$C, $A36, Log!$B:$B, "n/a", Log!$A:$A, "Daily", Log!$D:$D, $C$2), "")</f>
        <v/>
      </c>
      <c r="D36" s="9" t="str">
        <f>IFERROR(AVERAGEIFS(Log!$G:$G, Log!$C:$C, $A36, Log!$B:$B, "n/a", Log!$A:$A, "Daily", Log!$D:$D, $C$2), "")</f>
        <v/>
      </c>
      <c r="E36" s="277" t="str">
        <f>IFERROR(_xlfn.LET(_xlpm.camera_wand_count_by_day, AVERAGEIFS(Log!$E:$E, Log!$C:$C, $A36, Log!$B:$B, "n/a", Log!$A:$A, "Daily", Log!$D:$D, $C$2), _xlpm.auto_stop_that_day, _xlfn.XLOOKUP(A36, Daily!$C36:$C10030, Daily!$G36:$G10030), _xlpm.camera_wand_count_by_day/_xlpm.auto_stop_that_day), "")</f>
        <v/>
      </c>
      <c r="F36" s="262" t="str">
        <f>_xlfn.XLOOKUP($A36, Daily!$C:$C, Daily!$J:$J)</f>
        <v/>
      </c>
      <c r="G36" s="262" t="str">
        <f>_xlfn.XLOOKUP($A36, Daily!$C:$C, Daily!$M:$M)</f>
        <v/>
      </c>
    </row>
    <row r="37" spans="1:7" x14ac:dyDescent="0.3">
      <c r="A37" s="8">
        <v>0</v>
      </c>
      <c r="B37" s="7">
        <f>_xlfn.XLOOKUP($A37, Daily!C:C, Daily!D:D)</f>
        <v>0</v>
      </c>
      <c r="C37" s="9" t="str">
        <f>IFERROR(AVERAGEIFS(Log!$F:$F, Log!$C:$C, $A37, Log!$B:$B, "n/a", Log!$A:$A, "Daily", Log!$D:$D, $C$2), "")</f>
        <v/>
      </c>
      <c r="D37" s="9" t="str">
        <f>IFERROR(AVERAGEIFS(Log!$G:$G, Log!$C:$C, $A37, Log!$B:$B, "n/a", Log!$A:$A, "Daily", Log!$D:$D, $C$2), "")</f>
        <v/>
      </c>
      <c r="E37" s="277" t="str">
        <f>IFERROR(_xlfn.LET(_xlpm.camera_wand_count_by_day, AVERAGEIFS(Log!$E:$E, Log!$C:$C, $A37, Log!$B:$B, "n/a", Log!$A:$A, "Daily", Log!$D:$D, $C$2), _xlpm.auto_stop_that_day, _xlfn.XLOOKUP(A37, Daily!$C37:$C10031, Daily!$G37:$G10031), _xlpm.camera_wand_count_by_day/_xlpm.auto_stop_that_day), "")</f>
        <v/>
      </c>
      <c r="F37" s="262" t="str">
        <f>_xlfn.XLOOKUP($A37, Daily!$C:$C, Daily!$J:$J)</f>
        <v/>
      </c>
      <c r="G37" s="262" t="str">
        <f>_xlfn.XLOOKUP($A37, Daily!$C:$C, Daily!$M:$M)</f>
        <v/>
      </c>
    </row>
    <row r="38" spans="1:7" x14ac:dyDescent="0.3">
      <c r="A38" s="8">
        <v>0</v>
      </c>
      <c r="B38" s="7">
        <f>_xlfn.XLOOKUP($A38, Daily!C:C, Daily!D:D)</f>
        <v>0</v>
      </c>
      <c r="C38" s="9" t="str">
        <f>IFERROR(AVERAGEIFS(Log!$F:$F, Log!$C:$C, $A38, Log!$B:$B, "n/a", Log!$A:$A, "Daily", Log!$D:$D, $C$2), "")</f>
        <v/>
      </c>
      <c r="D38" s="9" t="str">
        <f>IFERROR(AVERAGEIFS(Log!$G:$G, Log!$C:$C, $A38, Log!$B:$B, "n/a", Log!$A:$A, "Daily", Log!$D:$D, $C$2), "")</f>
        <v/>
      </c>
      <c r="E38" s="277" t="str">
        <f>IFERROR(_xlfn.LET(_xlpm.camera_wand_count_by_day, AVERAGEIFS(Log!$E:$E, Log!$C:$C, $A38, Log!$B:$B, "n/a", Log!$A:$A, "Daily", Log!$D:$D, $C$2), _xlpm.auto_stop_that_day, _xlfn.XLOOKUP(A38, Daily!$C38:$C10032, Daily!$G38:$G10032), _xlpm.camera_wand_count_by_day/_xlpm.auto_stop_that_day), "")</f>
        <v/>
      </c>
      <c r="F38" s="262" t="str">
        <f>_xlfn.XLOOKUP($A38, Daily!$C:$C, Daily!$J:$J)</f>
        <v/>
      </c>
      <c r="G38" s="262" t="str">
        <f>_xlfn.XLOOKUP($A38, Daily!$C:$C, Daily!$M:$M)</f>
        <v/>
      </c>
    </row>
    <row r="39" spans="1:7" x14ac:dyDescent="0.3">
      <c r="A39" s="8">
        <v>0</v>
      </c>
      <c r="B39" s="7">
        <f>_xlfn.XLOOKUP($A39, Daily!C:C, Daily!D:D)</f>
        <v>0</v>
      </c>
      <c r="C39" s="9" t="str">
        <f>IFERROR(AVERAGEIFS(Log!$F:$F, Log!$C:$C, $A39, Log!$B:$B, "n/a", Log!$A:$A, "Daily", Log!$D:$D, $C$2), "")</f>
        <v/>
      </c>
      <c r="D39" s="9" t="str">
        <f>IFERROR(AVERAGEIFS(Log!$G:$G, Log!$C:$C, $A39, Log!$B:$B, "n/a", Log!$A:$A, "Daily", Log!$D:$D, $C$2), "")</f>
        <v/>
      </c>
      <c r="E39" s="277" t="str">
        <f>IFERROR(_xlfn.LET(_xlpm.camera_wand_count_by_day, AVERAGEIFS(Log!$E:$E, Log!$C:$C, $A39, Log!$B:$B, "n/a", Log!$A:$A, "Daily", Log!$D:$D, $C$2), _xlpm.auto_stop_that_day, _xlfn.XLOOKUP(A39, Daily!$C39:$C10033, Daily!$G39:$G10033), _xlpm.camera_wand_count_by_day/_xlpm.auto_stop_that_day), "")</f>
        <v/>
      </c>
      <c r="F39" s="262" t="str">
        <f>_xlfn.XLOOKUP($A39, Daily!$C:$C, Daily!$J:$J)</f>
        <v/>
      </c>
      <c r="G39" s="262" t="str">
        <f>_xlfn.XLOOKUP($A39, Daily!$C:$C, Daily!$M:$M)</f>
        <v/>
      </c>
    </row>
    <row r="40" spans="1:7" x14ac:dyDescent="0.3">
      <c r="A40" s="8">
        <v>0</v>
      </c>
      <c r="B40" s="7">
        <f>_xlfn.XLOOKUP($A40, Daily!C:C, Daily!D:D)</f>
        <v>0</v>
      </c>
      <c r="C40" s="9" t="str">
        <f>IFERROR(AVERAGEIFS(Log!$F:$F, Log!$C:$C, $A40, Log!$B:$B, "n/a", Log!$A:$A, "Daily", Log!$D:$D, $C$2), "")</f>
        <v/>
      </c>
      <c r="D40" s="9" t="str">
        <f>IFERROR(AVERAGEIFS(Log!$G:$G, Log!$C:$C, $A40, Log!$B:$B, "n/a", Log!$A:$A, "Daily", Log!$D:$D, $C$2), "")</f>
        <v/>
      </c>
      <c r="E40" s="277" t="str">
        <f>IFERROR(_xlfn.LET(_xlpm.camera_wand_count_by_day, AVERAGEIFS(Log!$E:$E, Log!$C:$C, $A40, Log!$B:$B, "n/a", Log!$A:$A, "Daily", Log!$D:$D, $C$2), _xlpm.auto_stop_that_day, _xlfn.XLOOKUP(A40, Daily!$C40:$C10034, Daily!$G40:$G10034), _xlpm.camera_wand_count_by_day/_xlpm.auto_stop_that_day), "")</f>
        <v/>
      </c>
      <c r="F40" s="262" t="str">
        <f>_xlfn.XLOOKUP($A40, Daily!$C:$C, Daily!$J:$J)</f>
        <v/>
      </c>
      <c r="G40" s="262" t="str">
        <f>_xlfn.XLOOKUP($A40, Daily!$C:$C, Daily!$M:$M)</f>
        <v/>
      </c>
    </row>
    <row r="41" spans="1:7" x14ac:dyDescent="0.3">
      <c r="A41" s="8">
        <v>0</v>
      </c>
      <c r="B41" s="7">
        <f>_xlfn.XLOOKUP($A41, Daily!C:C, Daily!D:D)</f>
        <v>0</v>
      </c>
      <c r="C41" s="9" t="str">
        <f>IFERROR(AVERAGEIFS(Log!$F:$F, Log!$C:$C, $A41, Log!$B:$B, "n/a", Log!$A:$A, "Daily", Log!$D:$D, $C$2), "")</f>
        <v/>
      </c>
      <c r="D41" s="9" t="str">
        <f>IFERROR(AVERAGEIFS(Log!$G:$G, Log!$C:$C, $A41, Log!$B:$B, "n/a", Log!$A:$A, "Daily", Log!$D:$D, $C$2), "")</f>
        <v/>
      </c>
      <c r="E41" s="277" t="str">
        <f>IFERROR(_xlfn.LET(_xlpm.camera_wand_count_by_day, AVERAGEIFS(Log!$E:$E, Log!$C:$C, $A41, Log!$B:$B, "n/a", Log!$A:$A, "Daily", Log!$D:$D, $C$2), _xlpm.auto_stop_that_day, _xlfn.XLOOKUP(A41, Daily!$C41:$C10035, Daily!$G41:$G10035), _xlpm.camera_wand_count_by_day/_xlpm.auto_stop_that_day), "")</f>
        <v/>
      </c>
      <c r="F41" s="262" t="str">
        <f>_xlfn.XLOOKUP($A41, Daily!$C:$C, Daily!$J:$J)</f>
        <v/>
      </c>
      <c r="G41" s="262" t="str">
        <f>_xlfn.XLOOKUP($A41, Daily!$C:$C, Daily!$M:$M)</f>
        <v/>
      </c>
    </row>
    <row r="42" spans="1:7" x14ac:dyDescent="0.3">
      <c r="A42" s="8">
        <v>0</v>
      </c>
      <c r="B42" s="7">
        <f>_xlfn.XLOOKUP($A42, Daily!C:C, Daily!D:D)</f>
        <v>0</v>
      </c>
      <c r="C42" s="9" t="str">
        <f>IFERROR(AVERAGEIFS(Log!$F:$F, Log!$C:$C, $A42, Log!$B:$B, "n/a", Log!$A:$A, "Daily", Log!$D:$D, $C$2), "")</f>
        <v/>
      </c>
      <c r="D42" s="9" t="str">
        <f>IFERROR(AVERAGEIFS(Log!$G:$G, Log!$C:$C, $A42, Log!$B:$B, "n/a", Log!$A:$A, "Daily", Log!$D:$D, $C$2), "")</f>
        <v/>
      </c>
      <c r="E42" s="277" t="str">
        <f>IFERROR(_xlfn.LET(_xlpm.camera_wand_count_by_day, AVERAGEIFS(Log!$E:$E, Log!$C:$C, $A42, Log!$B:$B, "n/a", Log!$A:$A, "Daily", Log!$D:$D, $C$2), _xlpm.auto_stop_that_day, _xlfn.XLOOKUP(A42, Daily!$C42:$C10036, Daily!$G42:$G10036), _xlpm.camera_wand_count_by_day/_xlpm.auto_stop_that_day), "")</f>
        <v/>
      </c>
      <c r="F42" s="262" t="str">
        <f>_xlfn.XLOOKUP($A42, Daily!$C:$C, Daily!$J:$J)</f>
        <v/>
      </c>
      <c r="G42" s="262" t="str">
        <f>_xlfn.XLOOKUP($A42, Daily!$C:$C, Daily!$M:$M)</f>
        <v/>
      </c>
    </row>
    <row r="43" spans="1:7" x14ac:dyDescent="0.3">
      <c r="A43" s="8">
        <v>0</v>
      </c>
      <c r="B43" s="7">
        <f>_xlfn.XLOOKUP($A43, Daily!C:C, Daily!D:D)</f>
        <v>0</v>
      </c>
      <c r="C43" s="9" t="str">
        <f>IFERROR(AVERAGEIFS(Log!$F:$F, Log!$C:$C, $A43, Log!$B:$B, "n/a", Log!$A:$A, "Daily", Log!$D:$D, $C$2), "")</f>
        <v/>
      </c>
      <c r="D43" s="9" t="str">
        <f>IFERROR(AVERAGEIFS(Log!$G:$G, Log!$C:$C, $A43, Log!$B:$B, "n/a", Log!$A:$A, "Daily", Log!$D:$D, $C$2), "")</f>
        <v/>
      </c>
      <c r="E43" s="277" t="str">
        <f>IFERROR(_xlfn.LET(_xlpm.camera_wand_count_by_day, AVERAGEIFS(Log!$E:$E, Log!$C:$C, $A43, Log!$B:$B, "n/a", Log!$A:$A, "Daily", Log!$D:$D, $C$2), _xlpm.auto_stop_that_day, _xlfn.XLOOKUP(A43, Daily!$C43:$C10037, Daily!$G43:$G10037), _xlpm.camera_wand_count_by_day/_xlpm.auto_stop_that_day), "")</f>
        <v/>
      </c>
      <c r="F43" s="262" t="str">
        <f>_xlfn.XLOOKUP($A43, Daily!$C:$C, Daily!$J:$J)</f>
        <v/>
      </c>
      <c r="G43" s="262" t="str">
        <f>_xlfn.XLOOKUP($A43, Daily!$C:$C, Daily!$M:$M)</f>
        <v/>
      </c>
    </row>
    <row r="44" spans="1:7" x14ac:dyDescent="0.3">
      <c r="A44" s="8">
        <v>0</v>
      </c>
      <c r="B44" s="7">
        <f>_xlfn.XLOOKUP($A44, Daily!C:C, Daily!D:D)</f>
        <v>0</v>
      </c>
      <c r="C44" s="9" t="str">
        <f>IFERROR(AVERAGEIFS(Log!$F:$F, Log!$C:$C, $A44, Log!$B:$B, "n/a", Log!$A:$A, "Daily", Log!$D:$D, $C$2), "")</f>
        <v/>
      </c>
      <c r="D44" s="9" t="str">
        <f>IFERROR(AVERAGEIFS(Log!$G:$G, Log!$C:$C, $A44, Log!$B:$B, "n/a", Log!$A:$A, "Daily", Log!$D:$D, $C$2), "")</f>
        <v/>
      </c>
      <c r="E44" s="277" t="str">
        <f>IFERROR(_xlfn.LET(_xlpm.camera_wand_count_by_day, AVERAGEIFS(Log!$E:$E, Log!$C:$C, $A44, Log!$B:$B, "n/a", Log!$A:$A, "Daily", Log!$D:$D, $C$2), _xlpm.auto_stop_that_day, _xlfn.XLOOKUP(A44, Daily!$C44:$C10038, Daily!$G44:$G10038), _xlpm.camera_wand_count_by_day/_xlpm.auto_stop_that_day), "")</f>
        <v/>
      </c>
      <c r="F44" s="262" t="str">
        <f>_xlfn.XLOOKUP($A44, Daily!$C:$C, Daily!$J:$J)</f>
        <v/>
      </c>
      <c r="G44" s="262" t="str">
        <f>_xlfn.XLOOKUP($A44, Daily!$C:$C, Daily!$M:$M)</f>
        <v/>
      </c>
    </row>
    <row r="45" spans="1:7" x14ac:dyDescent="0.3">
      <c r="A45" s="8">
        <v>0</v>
      </c>
      <c r="B45" s="7">
        <f>_xlfn.XLOOKUP($A45, Daily!C:C, Daily!D:D)</f>
        <v>0</v>
      </c>
      <c r="C45" s="9" t="str">
        <f>IFERROR(AVERAGEIFS(Log!$F:$F, Log!$C:$C, $A45, Log!$B:$B, "n/a", Log!$A:$A, "Daily", Log!$D:$D, $C$2), "")</f>
        <v/>
      </c>
      <c r="D45" s="9" t="str">
        <f>IFERROR(AVERAGEIFS(Log!$G:$G, Log!$C:$C, $A45, Log!$B:$B, "n/a", Log!$A:$A, "Daily", Log!$D:$D, $C$2), "")</f>
        <v/>
      </c>
      <c r="E45" s="277" t="str">
        <f>IFERROR(_xlfn.LET(_xlpm.camera_wand_count_by_day, AVERAGEIFS(Log!$E:$E, Log!$C:$C, $A45, Log!$B:$B, "n/a", Log!$A:$A, "Daily", Log!$D:$D, $C$2), _xlpm.auto_stop_that_day, _xlfn.XLOOKUP(A45, Daily!$C45:$C10039, Daily!$G45:$G10039), _xlpm.camera_wand_count_by_day/_xlpm.auto_stop_that_day), "")</f>
        <v/>
      </c>
      <c r="F45" s="262" t="str">
        <f>_xlfn.XLOOKUP($A45, Daily!$C:$C, Daily!$J:$J)</f>
        <v/>
      </c>
      <c r="G45" s="262" t="str">
        <f>_xlfn.XLOOKUP($A45, Daily!$C:$C, Daily!$M:$M)</f>
        <v/>
      </c>
    </row>
    <row r="46" spans="1:7" x14ac:dyDescent="0.3">
      <c r="A46" s="8">
        <v>0</v>
      </c>
      <c r="B46" s="7">
        <f>_xlfn.XLOOKUP($A46, Daily!C:C, Daily!D:D)</f>
        <v>0</v>
      </c>
      <c r="C46" s="9" t="str">
        <f>IFERROR(AVERAGEIFS(Log!$F:$F, Log!$C:$C, $A46, Log!$B:$B, "n/a", Log!$A:$A, "Daily", Log!$D:$D, $C$2), "")</f>
        <v/>
      </c>
      <c r="D46" s="9" t="str">
        <f>IFERROR(AVERAGEIFS(Log!$G:$G, Log!$C:$C, $A46, Log!$B:$B, "n/a", Log!$A:$A, "Daily", Log!$D:$D, $C$2), "")</f>
        <v/>
      </c>
      <c r="E46" s="277" t="str">
        <f>IFERROR(_xlfn.LET(_xlpm.camera_wand_count_by_day, AVERAGEIFS(Log!$E:$E, Log!$C:$C, $A46, Log!$B:$B, "n/a", Log!$A:$A, "Daily", Log!$D:$D, $C$2), _xlpm.auto_stop_that_day, _xlfn.XLOOKUP(A46, Daily!$C46:$C10040, Daily!$G46:$G10040), _xlpm.camera_wand_count_by_day/_xlpm.auto_stop_that_day), "")</f>
        <v/>
      </c>
      <c r="F46" s="262" t="str">
        <f>_xlfn.XLOOKUP($A46, Daily!$C:$C, Daily!$J:$J)</f>
        <v/>
      </c>
      <c r="G46" s="262" t="str">
        <f>_xlfn.XLOOKUP($A46, Daily!$C:$C, Daily!$M:$M)</f>
        <v/>
      </c>
    </row>
    <row r="47" spans="1:7" x14ac:dyDescent="0.3">
      <c r="A47" s="8">
        <v>0</v>
      </c>
      <c r="B47" s="7">
        <f>_xlfn.XLOOKUP($A47, Daily!C:C, Daily!D:D)</f>
        <v>0</v>
      </c>
      <c r="C47" s="9" t="str">
        <f>IFERROR(AVERAGEIFS(Log!$F:$F, Log!$C:$C, $A47, Log!$B:$B, "n/a", Log!$A:$A, "Daily", Log!$D:$D, $C$2), "")</f>
        <v/>
      </c>
      <c r="D47" s="9" t="str">
        <f>IFERROR(AVERAGEIFS(Log!$G:$G, Log!$C:$C, $A47, Log!$B:$B, "n/a", Log!$A:$A, "Daily", Log!$D:$D, $C$2), "")</f>
        <v/>
      </c>
      <c r="E47" s="277" t="str">
        <f>IFERROR(_xlfn.LET(_xlpm.camera_wand_count_by_day, AVERAGEIFS(Log!$E:$E, Log!$C:$C, $A47, Log!$B:$B, "n/a", Log!$A:$A, "Daily", Log!$D:$D, $C$2), _xlpm.auto_stop_that_day, _xlfn.XLOOKUP(A47, Daily!$C47:$C10041, Daily!$G47:$G10041), _xlpm.camera_wand_count_by_day/_xlpm.auto_stop_that_day), "")</f>
        <v/>
      </c>
      <c r="F47" s="262" t="str">
        <f>_xlfn.XLOOKUP($A47, Daily!$C:$C, Daily!$J:$J)</f>
        <v/>
      </c>
      <c r="G47" s="262" t="str">
        <f>_xlfn.XLOOKUP($A47, Daily!$C:$C, Daily!$M:$M)</f>
        <v/>
      </c>
    </row>
    <row r="48" spans="1:7" x14ac:dyDescent="0.3">
      <c r="A48" s="8">
        <v>0</v>
      </c>
      <c r="B48" s="7">
        <f>_xlfn.XLOOKUP($A48, Daily!C:C, Daily!D:D)</f>
        <v>0</v>
      </c>
      <c r="C48" s="9" t="str">
        <f>IFERROR(AVERAGEIFS(Log!$F:$F, Log!$C:$C, $A48, Log!$B:$B, "n/a", Log!$A:$A, "Daily", Log!$D:$D, $C$2), "")</f>
        <v/>
      </c>
      <c r="D48" s="9" t="str">
        <f>IFERROR(AVERAGEIFS(Log!$G:$G, Log!$C:$C, $A48, Log!$B:$B, "n/a", Log!$A:$A, "Daily", Log!$D:$D, $C$2), "")</f>
        <v/>
      </c>
      <c r="E48" s="277" t="str">
        <f>IFERROR(_xlfn.LET(_xlpm.camera_wand_count_by_day, AVERAGEIFS(Log!$E:$E, Log!$C:$C, $A48, Log!$B:$B, "n/a", Log!$A:$A, "Daily", Log!$D:$D, $C$2), _xlpm.auto_stop_that_day, _xlfn.XLOOKUP(A48, Daily!$C48:$C10042, Daily!$G48:$G10042), _xlpm.camera_wand_count_by_day/_xlpm.auto_stop_that_day), "")</f>
        <v/>
      </c>
      <c r="F48" s="262" t="str">
        <f>_xlfn.XLOOKUP($A48, Daily!$C:$C, Daily!$J:$J)</f>
        <v/>
      </c>
      <c r="G48" s="262" t="str">
        <f>_xlfn.XLOOKUP($A48, Daily!$C:$C, Daily!$M:$M)</f>
        <v/>
      </c>
    </row>
    <row r="49" spans="1:7" x14ac:dyDescent="0.3">
      <c r="A49" s="8">
        <v>0</v>
      </c>
      <c r="B49" s="7">
        <f>_xlfn.XLOOKUP($A49, Daily!C:C, Daily!D:D)</f>
        <v>0</v>
      </c>
      <c r="C49" s="9" t="str">
        <f>IFERROR(AVERAGEIFS(Log!$F:$F, Log!$C:$C, $A49, Log!$B:$B, "n/a", Log!$A:$A, "Daily", Log!$D:$D, $C$2), "")</f>
        <v/>
      </c>
      <c r="D49" s="9" t="str">
        <f>IFERROR(AVERAGEIFS(Log!$G:$G, Log!$C:$C, $A49, Log!$B:$B, "n/a", Log!$A:$A, "Daily", Log!$D:$D, $C$2), "")</f>
        <v/>
      </c>
      <c r="E49" s="277" t="str">
        <f>IFERROR(_xlfn.LET(_xlpm.camera_wand_count_by_day, AVERAGEIFS(Log!$E:$E, Log!$C:$C, $A49, Log!$B:$B, "n/a", Log!$A:$A, "Daily", Log!$D:$D, $C$2), _xlpm.auto_stop_that_day, _xlfn.XLOOKUP(A49, Daily!$C49:$C10043, Daily!$G49:$G10043), _xlpm.camera_wand_count_by_day/_xlpm.auto_stop_that_day), "")</f>
        <v/>
      </c>
      <c r="F49" s="262" t="str">
        <f>_xlfn.XLOOKUP($A49, Daily!$C:$C, Daily!$J:$J)</f>
        <v/>
      </c>
      <c r="G49" s="262" t="str">
        <f>_xlfn.XLOOKUP($A49, Daily!$C:$C, Daily!$M:$M)</f>
        <v/>
      </c>
    </row>
    <row r="50" spans="1:7" x14ac:dyDescent="0.3">
      <c r="A50" s="8">
        <v>0</v>
      </c>
      <c r="B50" s="7">
        <f>_xlfn.XLOOKUP($A50, Daily!C:C, Daily!D:D)</f>
        <v>0</v>
      </c>
      <c r="C50" s="9" t="str">
        <f>IFERROR(AVERAGEIFS(Log!$F:$F, Log!$C:$C, $A50, Log!$B:$B, "n/a", Log!$A:$A, "Daily", Log!$D:$D, $C$2), "")</f>
        <v/>
      </c>
      <c r="D50" s="9" t="str">
        <f>IFERROR(AVERAGEIFS(Log!$G:$G, Log!$C:$C, $A50, Log!$B:$B, "n/a", Log!$A:$A, "Daily", Log!$D:$D, $C$2), "")</f>
        <v/>
      </c>
      <c r="E50" s="277" t="str">
        <f>IFERROR(_xlfn.LET(_xlpm.camera_wand_count_by_day, AVERAGEIFS(Log!$E:$E, Log!$C:$C, $A50, Log!$B:$B, "n/a", Log!$A:$A, "Daily", Log!$D:$D, $C$2), _xlpm.auto_stop_that_day, _xlfn.XLOOKUP(A50, Daily!$C50:$C10044, Daily!$G50:$G10044), _xlpm.camera_wand_count_by_day/_xlpm.auto_stop_that_day), "")</f>
        <v/>
      </c>
      <c r="F50" s="262" t="str">
        <f>_xlfn.XLOOKUP($A50, Daily!$C:$C, Daily!$J:$J)</f>
        <v/>
      </c>
      <c r="G50" s="262" t="str">
        <f>_xlfn.XLOOKUP($A50, Daily!$C:$C, Daily!$M:$M)</f>
        <v/>
      </c>
    </row>
    <row r="51" spans="1:7" x14ac:dyDescent="0.3">
      <c r="A51" s="8">
        <v>0</v>
      </c>
      <c r="B51" s="7">
        <f>_xlfn.XLOOKUP($A51, Daily!C:C, Daily!D:D)</f>
        <v>0</v>
      </c>
      <c r="C51" s="9" t="str">
        <f>IFERROR(AVERAGEIFS(Log!$F:$F, Log!$C:$C, $A51, Log!$B:$B, "n/a", Log!$A:$A, "Daily", Log!$D:$D, $C$2), "")</f>
        <v/>
      </c>
      <c r="D51" s="9" t="str">
        <f>IFERROR(AVERAGEIFS(Log!$G:$G, Log!$C:$C, $A51, Log!$B:$B, "n/a", Log!$A:$A, "Daily", Log!$D:$D, $C$2), "")</f>
        <v/>
      </c>
      <c r="E51" s="277" t="str">
        <f>IFERROR(_xlfn.LET(_xlpm.camera_wand_count_by_day, AVERAGEIFS(Log!$E:$E, Log!$C:$C, $A51, Log!$B:$B, "n/a", Log!$A:$A, "Daily", Log!$D:$D, $C$2), _xlpm.auto_stop_that_day, _xlfn.XLOOKUP(A51, Daily!$C51:$C10045, Daily!$G51:$G10045), _xlpm.camera_wand_count_by_day/_xlpm.auto_stop_that_day), "")</f>
        <v/>
      </c>
      <c r="F51" s="262" t="str">
        <f>_xlfn.XLOOKUP($A51, Daily!$C:$C, Daily!$J:$J)</f>
        <v/>
      </c>
      <c r="G51" s="262" t="str">
        <f>_xlfn.XLOOKUP($A51, Daily!$C:$C, Daily!$M:$M)</f>
        <v/>
      </c>
    </row>
    <row r="52" spans="1:7" x14ac:dyDescent="0.3">
      <c r="A52" s="8">
        <v>0</v>
      </c>
      <c r="B52" s="7">
        <f>_xlfn.XLOOKUP($A52, Daily!C:C, Daily!D:D)</f>
        <v>0</v>
      </c>
      <c r="C52" s="9" t="str">
        <f>IFERROR(AVERAGEIFS(Log!$F:$F, Log!$C:$C, $A52, Log!$B:$B, "n/a", Log!$A:$A, "Daily", Log!$D:$D, $C$2), "")</f>
        <v/>
      </c>
      <c r="D52" s="9" t="str">
        <f>IFERROR(AVERAGEIFS(Log!$G:$G, Log!$C:$C, $A52, Log!$B:$B, "n/a", Log!$A:$A, "Daily", Log!$D:$D, $C$2), "")</f>
        <v/>
      </c>
      <c r="E52" s="277" t="str">
        <f>IFERROR(_xlfn.LET(_xlpm.camera_wand_count_by_day, AVERAGEIFS(Log!$E:$E, Log!$C:$C, $A52, Log!$B:$B, "n/a", Log!$A:$A, "Daily", Log!$D:$D, $C$2), _xlpm.auto_stop_that_day, _xlfn.XLOOKUP(A52, Daily!$C52:$C10046, Daily!$G52:$G10046), _xlpm.camera_wand_count_by_day/_xlpm.auto_stop_that_day), "")</f>
        <v/>
      </c>
      <c r="F52" s="262" t="str">
        <f>_xlfn.XLOOKUP($A52, Daily!$C:$C, Daily!$J:$J)</f>
        <v/>
      </c>
      <c r="G52" s="262" t="str">
        <f>_xlfn.XLOOKUP($A52, Daily!$C:$C, Daily!$M:$M)</f>
        <v/>
      </c>
    </row>
    <row r="53" spans="1:7" x14ac:dyDescent="0.3">
      <c r="A53" s="8">
        <v>0</v>
      </c>
      <c r="B53" s="7">
        <f>_xlfn.XLOOKUP($A53, Daily!C:C, Daily!D:D)</f>
        <v>0</v>
      </c>
      <c r="C53" s="9" t="str">
        <f>IFERROR(AVERAGEIFS(Log!$F:$F, Log!$C:$C, $A53, Log!$B:$B, "n/a", Log!$A:$A, "Daily", Log!$D:$D, $C$2), "")</f>
        <v/>
      </c>
      <c r="D53" s="9" t="str">
        <f>IFERROR(AVERAGEIFS(Log!$G:$G, Log!$C:$C, $A53, Log!$B:$B, "n/a", Log!$A:$A, "Daily", Log!$D:$D, $C$2), "")</f>
        <v/>
      </c>
      <c r="E53" s="277" t="str">
        <f>IFERROR(_xlfn.LET(_xlpm.camera_wand_count_by_day, AVERAGEIFS(Log!$E:$E, Log!$C:$C, $A53, Log!$B:$B, "n/a", Log!$A:$A, "Daily", Log!$D:$D, $C$2), _xlpm.auto_stop_that_day, _xlfn.XLOOKUP(A53, Daily!$C53:$C10047, Daily!$G53:$G10047), _xlpm.camera_wand_count_by_day/_xlpm.auto_stop_that_day), "")</f>
        <v/>
      </c>
      <c r="F53" s="262" t="str">
        <f>_xlfn.XLOOKUP($A53, Daily!$C:$C, Daily!$J:$J)</f>
        <v/>
      </c>
      <c r="G53" s="262" t="str">
        <f>_xlfn.XLOOKUP($A53, Daily!$C:$C, Daily!$M:$M)</f>
        <v/>
      </c>
    </row>
    <row r="54" spans="1:7" x14ac:dyDescent="0.3">
      <c r="A54" s="8">
        <v>0</v>
      </c>
      <c r="B54" s="7">
        <f>_xlfn.XLOOKUP($A54, Daily!C:C, Daily!D:D)</f>
        <v>0</v>
      </c>
      <c r="C54" s="9" t="str">
        <f>IFERROR(AVERAGEIFS(Log!$F:$F, Log!$C:$C, $A54, Log!$B:$B, "n/a", Log!$A:$A, "Daily", Log!$D:$D, $C$2), "")</f>
        <v/>
      </c>
      <c r="D54" s="9" t="str">
        <f>IFERROR(AVERAGEIFS(Log!$G:$G, Log!$C:$C, $A54, Log!$B:$B, "n/a", Log!$A:$A, "Daily", Log!$D:$D, $C$2), "")</f>
        <v/>
      </c>
      <c r="E54" s="277" t="str">
        <f>IFERROR(_xlfn.LET(_xlpm.camera_wand_count_by_day, AVERAGEIFS(Log!$E:$E, Log!$C:$C, $A54, Log!$B:$B, "n/a", Log!$A:$A, "Daily", Log!$D:$D, $C$2), _xlpm.auto_stop_that_day, _xlfn.XLOOKUP(A54, Daily!$C54:$C10048, Daily!$G54:$G10048), _xlpm.camera_wand_count_by_day/_xlpm.auto_stop_that_day), "")</f>
        <v/>
      </c>
      <c r="F54" s="262" t="str">
        <f>_xlfn.XLOOKUP($A54, Daily!$C:$C, Daily!$J:$J)</f>
        <v/>
      </c>
      <c r="G54" s="262" t="str">
        <f>_xlfn.XLOOKUP($A54, Daily!$C:$C, Daily!$M:$M)</f>
        <v/>
      </c>
    </row>
    <row r="55" spans="1:7" x14ac:dyDescent="0.3">
      <c r="A55" s="8">
        <v>0</v>
      </c>
      <c r="B55" s="7">
        <f>_xlfn.XLOOKUP($A55, Daily!C:C, Daily!D:D)</f>
        <v>0</v>
      </c>
      <c r="C55" s="9" t="str">
        <f>IFERROR(AVERAGEIFS(Log!$F:$F, Log!$C:$C, $A55, Log!$B:$B, "n/a", Log!$A:$A, "Daily", Log!$D:$D, $C$2), "")</f>
        <v/>
      </c>
      <c r="D55" s="9" t="str">
        <f>IFERROR(AVERAGEIFS(Log!$G:$G, Log!$C:$C, $A55, Log!$B:$B, "n/a", Log!$A:$A, "Daily", Log!$D:$D, $C$2), "")</f>
        <v/>
      </c>
      <c r="E55" s="277" t="str">
        <f>IFERROR(_xlfn.LET(_xlpm.camera_wand_count_by_day, AVERAGEIFS(Log!$E:$E, Log!$C:$C, $A55, Log!$B:$B, "n/a", Log!$A:$A, "Daily", Log!$D:$D, $C$2), _xlpm.auto_stop_that_day, _xlfn.XLOOKUP(A55, Daily!$C55:$C10049, Daily!$G55:$G10049), _xlpm.camera_wand_count_by_day/_xlpm.auto_stop_that_day), "")</f>
        <v/>
      </c>
      <c r="F55" s="262" t="str">
        <f>_xlfn.XLOOKUP($A55, Daily!$C:$C, Daily!$J:$J)</f>
        <v/>
      </c>
      <c r="G55" s="262" t="str">
        <f>_xlfn.XLOOKUP($A55, Daily!$C:$C, Daily!$M:$M)</f>
        <v/>
      </c>
    </row>
    <row r="56" spans="1:7" x14ac:dyDescent="0.3">
      <c r="A56" s="8">
        <v>0</v>
      </c>
      <c r="B56" s="7">
        <f>_xlfn.XLOOKUP($A56, Daily!C:C, Daily!D:D)</f>
        <v>0</v>
      </c>
      <c r="C56" s="9" t="str">
        <f>IFERROR(AVERAGEIFS(Log!$F:$F, Log!$C:$C, $A56, Log!$B:$B, "n/a", Log!$A:$A, "Daily", Log!$D:$D, $C$2), "")</f>
        <v/>
      </c>
      <c r="D56" s="9" t="str">
        <f>IFERROR(AVERAGEIFS(Log!$G:$G, Log!$C:$C, $A56, Log!$B:$B, "n/a", Log!$A:$A, "Daily", Log!$D:$D, $C$2), "")</f>
        <v/>
      </c>
      <c r="E56" s="277" t="str">
        <f>IFERROR(_xlfn.LET(_xlpm.camera_wand_count_by_day, AVERAGEIFS(Log!$E:$E, Log!$C:$C, $A56, Log!$B:$B, "n/a", Log!$A:$A, "Daily", Log!$D:$D, $C$2), _xlpm.auto_stop_that_day, _xlfn.XLOOKUP(A56, Daily!$C56:$C10050, Daily!$G56:$G10050), _xlpm.camera_wand_count_by_day/_xlpm.auto_stop_that_day), "")</f>
        <v/>
      </c>
      <c r="F56" s="262" t="str">
        <f>_xlfn.XLOOKUP($A56, Daily!$C:$C, Daily!$J:$J)</f>
        <v/>
      </c>
      <c r="G56" s="262" t="str">
        <f>_xlfn.XLOOKUP($A56, Daily!$C:$C, Daily!$M:$M)</f>
        <v/>
      </c>
    </row>
    <row r="57" spans="1:7" x14ac:dyDescent="0.3">
      <c r="A57" s="8">
        <v>0</v>
      </c>
      <c r="B57" s="7">
        <f>_xlfn.XLOOKUP($A57, Daily!C:C, Daily!D:D)</f>
        <v>0</v>
      </c>
      <c r="C57" s="9" t="str">
        <f>IFERROR(AVERAGEIFS(Log!$F:$F, Log!$C:$C, $A57, Log!$B:$B, "n/a", Log!$A:$A, "Daily", Log!$D:$D, $C$2), "")</f>
        <v/>
      </c>
      <c r="D57" s="9" t="str">
        <f>IFERROR(AVERAGEIFS(Log!$G:$G, Log!$C:$C, $A57, Log!$B:$B, "n/a", Log!$A:$A, "Daily", Log!$D:$D, $C$2), "")</f>
        <v/>
      </c>
      <c r="E57" s="277" t="str">
        <f>IFERROR(_xlfn.LET(_xlpm.camera_wand_count_by_day, AVERAGEIFS(Log!$E:$E, Log!$C:$C, $A57, Log!$B:$B, "n/a", Log!$A:$A, "Daily", Log!$D:$D, $C$2), _xlpm.auto_stop_that_day, _xlfn.XLOOKUP(A57, Daily!$C57:$C10051, Daily!$G57:$G10051), _xlpm.camera_wand_count_by_day/_xlpm.auto_stop_that_day), "")</f>
        <v/>
      </c>
      <c r="F57" s="262" t="str">
        <f>_xlfn.XLOOKUP($A57, Daily!$C:$C, Daily!$J:$J)</f>
        <v/>
      </c>
      <c r="G57" s="262" t="str">
        <f>_xlfn.XLOOKUP($A57, Daily!$C:$C, Daily!$M:$M)</f>
        <v/>
      </c>
    </row>
    <row r="58" spans="1:7" x14ac:dyDescent="0.3">
      <c r="A58" s="8">
        <v>0</v>
      </c>
      <c r="B58" s="7">
        <f>_xlfn.XLOOKUP($A58, Daily!C:C, Daily!D:D)</f>
        <v>0</v>
      </c>
      <c r="C58" s="9" t="str">
        <f>IFERROR(AVERAGEIFS(Log!$F:$F, Log!$C:$C, $A58, Log!$B:$B, "n/a", Log!$A:$A, "Daily", Log!$D:$D, $C$2), "")</f>
        <v/>
      </c>
      <c r="D58" s="9" t="str">
        <f>IFERROR(AVERAGEIFS(Log!$G:$G, Log!$C:$C, $A58, Log!$B:$B, "n/a", Log!$A:$A, "Daily", Log!$D:$D, $C$2), "")</f>
        <v/>
      </c>
      <c r="E58" s="277" t="str">
        <f>IFERROR(_xlfn.LET(_xlpm.camera_wand_count_by_day, AVERAGEIFS(Log!$E:$E, Log!$C:$C, $A58, Log!$B:$B, "n/a", Log!$A:$A, "Daily", Log!$D:$D, $C$2), _xlpm.auto_stop_that_day, _xlfn.XLOOKUP(A58, Daily!$C58:$C10052, Daily!$G58:$G10052), _xlpm.camera_wand_count_by_day/_xlpm.auto_stop_that_day), "")</f>
        <v/>
      </c>
      <c r="F58" s="262" t="str">
        <f>_xlfn.XLOOKUP($A58, Daily!$C:$C, Daily!$J:$J)</f>
        <v/>
      </c>
      <c r="G58" s="262" t="str">
        <f>_xlfn.XLOOKUP($A58, Daily!$C:$C, Daily!$M:$M)</f>
        <v/>
      </c>
    </row>
    <row r="59" spans="1:7" x14ac:dyDescent="0.3">
      <c r="A59" s="8">
        <v>0</v>
      </c>
      <c r="C59" s="9" t="str">
        <f>IFERROR(AVERAGEIFS(Log!$F:$F, Log!$C:$C, $A59, Log!$B:$B, "n/a", Log!$A:$A, "Daily", Log!$D:$D, $C$2), "")</f>
        <v/>
      </c>
      <c r="D59" s="9" t="str">
        <f>IFERROR(AVERAGEIFS(Log!$G:$G, Log!$C:$C, $A59, Log!$B:$B, "n/a", Log!$A:$A, "Daily", Log!$D:$D, $C$2), "")</f>
        <v/>
      </c>
      <c r="E59" s="277" t="str">
        <f>IFERROR(_xlfn.LET(_xlpm.camera_wand_count_by_day, AVERAGEIFS(Log!$E:$E, Log!$C:$C, $A59, Log!$B:$B, "n/a", Log!$A:$A, "Daily", Log!$D:$D, $C$2), _xlpm.auto_stop_that_day, _xlfn.XLOOKUP(A59, Daily!$C59:$C10053, Daily!$G59:$G10053), _xlpm.camera_wand_count_by_day/_xlpm.auto_stop_that_day), "")</f>
        <v/>
      </c>
      <c r="F59" s="262" t="str">
        <f>_xlfn.XLOOKUP($A59, Daily!$C:$C, Daily!$J:$J)</f>
        <v/>
      </c>
      <c r="G59" s="262" t="str">
        <f>_xlfn.XLOOKUP($A59, Daily!$C:$C, Daily!$M:$M)</f>
        <v/>
      </c>
    </row>
    <row r="60" spans="1:7" x14ac:dyDescent="0.3">
      <c r="A60" s="8">
        <v>0</v>
      </c>
      <c r="C60" s="9" t="str">
        <f>IFERROR(AVERAGEIFS(Log!$F:$F, Log!$C:$C, $A60, Log!$B:$B, "n/a", Log!$A:$A, "Daily", Log!$D:$D, $C$2), "")</f>
        <v/>
      </c>
      <c r="D60" s="9" t="str">
        <f>IFERROR(AVERAGEIFS(Log!$G:$G, Log!$C:$C, $A60, Log!$B:$B, "n/a", Log!$A:$A, "Daily", Log!$D:$D, $C$2), "")</f>
        <v/>
      </c>
      <c r="E60" s="277" t="str">
        <f>IFERROR(_xlfn.LET(_xlpm.camera_wand_count_by_day, AVERAGEIFS(Log!$E:$E, Log!$C:$C, $A60, Log!$B:$B, "n/a", Log!$A:$A, "Daily", Log!$D:$D, $C$2), _xlpm.auto_stop_that_day, _xlfn.XLOOKUP(A60, Daily!$C60:$C10054, Daily!$G60:$G10054), _xlpm.camera_wand_count_by_day/_xlpm.auto_stop_that_day), "")</f>
        <v/>
      </c>
      <c r="F60" s="262" t="str">
        <f>_xlfn.XLOOKUP($A60, Daily!$C:$C, Daily!$J:$J)</f>
        <v/>
      </c>
      <c r="G60" s="262" t="str">
        <f>_xlfn.XLOOKUP($A60, Daily!$C:$C, Daily!$M:$M)</f>
        <v/>
      </c>
    </row>
    <row r="61" spans="1:7" x14ac:dyDescent="0.3">
      <c r="A61" s="7">
        <v>0</v>
      </c>
      <c r="C61" s="9" t="str">
        <f>IFERROR(AVERAGEIFS(Log!$F:$F, Log!$C:$C, $A61, Log!$B:$B, "n/a", Log!$A:$A, "Daily", Log!$D:$D, $C$2), "")</f>
        <v/>
      </c>
      <c r="D61" s="9" t="str">
        <f>IFERROR(AVERAGEIFS(Log!$G:$G, Log!$C:$C, $A61, Log!$B:$B, "n/a", Log!$A:$A, "Daily", Log!$D:$D, $C$2), "")</f>
        <v/>
      </c>
      <c r="E61" s="277" t="str">
        <f>IFERROR(_xlfn.LET(_xlpm.camera_wand_count_by_day, AVERAGEIFS(Log!$E:$E, Log!$C:$C, $A61, Log!$B:$B, "n/a", Log!$A:$A, "Daily", Log!$D:$D, $C$2), _xlpm.auto_stop_that_day, _xlfn.XLOOKUP(A61, Daily!$C61:$C10055, Daily!$G61:$G10055), _xlpm.camera_wand_count_by_day/_xlpm.auto_stop_that_day), "")</f>
        <v/>
      </c>
      <c r="F61" s="262" t="str">
        <f>_xlfn.XLOOKUP($A61, Daily!$C:$C, Daily!$J:$J)</f>
        <v/>
      </c>
      <c r="G61" s="262" t="str">
        <f>_xlfn.XLOOKUP($A61, Daily!$C:$C, Daily!$M:$M)</f>
        <v/>
      </c>
    </row>
    <row r="62" spans="1:7" x14ac:dyDescent="0.3">
      <c r="A62" s="7">
        <v>0</v>
      </c>
      <c r="C62" s="9" t="str">
        <f>IFERROR(AVERAGEIFS(Log!$F:$F, Log!$C:$C, $A62, Log!$B:$B, "n/a", Log!$A:$A, "Daily", Log!$D:$D, $C$2), "")</f>
        <v/>
      </c>
      <c r="D62" s="9" t="str">
        <f>IFERROR(AVERAGEIFS(Log!$G:$G, Log!$C:$C, $A62, Log!$B:$B, "n/a", Log!$A:$A, "Daily", Log!$D:$D, $C$2), "")</f>
        <v/>
      </c>
      <c r="E62" s="277" t="str">
        <f>IFERROR(_xlfn.LET(_xlpm.camera_wand_count_by_day, AVERAGEIFS(Log!$E:$E, Log!$C:$C, $A62, Log!$B:$B, "n/a", Log!$A:$A, "Daily", Log!$D:$D, $C$2), _xlpm.auto_stop_that_day, _xlfn.XLOOKUP(A62, Daily!$C62:$C10056, Daily!$G62:$G10056), _xlpm.camera_wand_count_by_day/_xlpm.auto_stop_that_day), "")</f>
        <v/>
      </c>
      <c r="F62" s="262" t="str">
        <f>_xlfn.XLOOKUP($A62, Daily!$C:$C, Daily!$J:$J)</f>
        <v/>
      </c>
      <c r="G62" s="262" t="str">
        <f>_xlfn.XLOOKUP($A62, Daily!$C:$C, Daily!$M:$M)</f>
        <v/>
      </c>
    </row>
    <row r="63" spans="1:7" x14ac:dyDescent="0.3">
      <c r="A63" s="7">
        <v>0</v>
      </c>
      <c r="C63" s="9" t="str">
        <f>IFERROR(AVERAGEIFS(Log!$F:$F, Log!$C:$C, $A63, Log!$B:$B, "n/a", Log!$A:$A, "Daily", Log!$D:$D, $C$2), "")</f>
        <v/>
      </c>
      <c r="D63" s="9" t="str">
        <f>IFERROR(AVERAGEIFS(Log!$G:$G, Log!$C:$C, $A63, Log!$B:$B, "n/a", Log!$A:$A, "Daily", Log!$D:$D, $C$2), "")</f>
        <v/>
      </c>
      <c r="E63" s="277" t="str">
        <f>IFERROR(_xlfn.LET(_xlpm.camera_wand_count_by_day, AVERAGEIFS(Log!$E:$E, Log!$C:$C, $A63, Log!$B:$B, "n/a", Log!$A:$A, "Daily", Log!$D:$D, $C$2), _xlpm.auto_stop_that_day, _xlfn.XLOOKUP(A63, Daily!$C63:$C10057, Daily!$G63:$G10057), _xlpm.camera_wand_count_by_day/_xlpm.auto_stop_that_day), "")</f>
        <v/>
      </c>
      <c r="F63" s="262" t="str">
        <f>_xlfn.XLOOKUP($A63, Daily!$C:$C, Daily!$J:$J)</f>
        <v/>
      </c>
      <c r="G63" s="262" t="str">
        <f>_xlfn.XLOOKUP($A63, Daily!$C:$C, Daily!$M:$M)</f>
        <v/>
      </c>
    </row>
    <row r="64" spans="1:7" x14ac:dyDescent="0.3">
      <c r="A64" s="7">
        <v>0</v>
      </c>
      <c r="C64" s="9" t="str">
        <f>IFERROR(AVERAGEIFS(Log!$F:$F, Log!$C:$C, $A64, Log!$B:$B, "n/a", Log!$A:$A, "Daily", Log!$D:$D, $C$2), "")</f>
        <v/>
      </c>
      <c r="D64" s="9" t="str">
        <f>IFERROR(AVERAGEIFS(Log!$G:$G, Log!$C:$C, $A64, Log!$B:$B, "n/a", Log!$A:$A, "Daily", Log!$D:$D, $C$2), "")</f>
        <v/>
      </c>
      <c r="E64" s="277" t="str">
        <f>IFERROR(_xlfn.LET(_xlpm.camera_wand_count_by_day, AVERAGEIFS(Log!$E:$E, Log!$C:$C, $A64, Log!$B:$B, "n/a", Log!$A:$A, "Daily", Log!$D:$D, $C$2), _xlpm.auto_stop_that_day, _xlfn.XLOOKUP(A64, Daily!$C64:$C10058, Daily!$G64:$G10058), _xlpm.camera_wand_count_by_day/_xlpm.auto_stop_that_day), "")</f>
        <v/>
      </c>
      <c r="F64" s="262" t="str">
        <f>_xlfn.XLOOKUP($A64, Daily!$C:$C, Daily!$J:$J)</f>
        <v/>
      </c>
      <c r="G64" s="262" t="str">
        <f>_xlfn.XLOOKUP($A64, Daily!$C:$C, Daily!$M:$M)</f>
        <v/>
      </c>
    </row>
    <row r="65" spans="1:7" x14ac:dyDescent="0.3">
      <c r="A65" s="7">
        <v>0</v>
      </c>
      <c r="C65" s="9" t="str">
        <f>IFERROR(AVERAGEIFS(Log!$F:$F, Log!$C:$C, $A65, Log!$B:$B, "n/a", Log!$A:$A, "Daily", Log!$D:$D, $C$2), "")</f>
        <v/>
      </c>
      <c r="D65" s="9" t="str">
        <f>IFERROR(AVERAGEIFS(Log!$G:$G, Log!$C:$C, $A65, Log!$B:$B, "n/a", Log!$A:$A, "Daily", Log!$D:$D, $C$2), "")</f>
        <v/>
      </c>
      <c r="E65" s="277" t="str">
        <f>IFERROR(_xlfn.LET(_xlpm.camera_wand_count_by_day, AVERAGEIFS(Log!$E:$E, Log!$C:$C, $A65, Log!$B:$B, "n/a", Log!$A:$A, "Daily", Log!$D:$D, $C$2), _xlpm.auto_stop_that_day, _xlfn.XLOOKUP(A65, Daily!$C65:$C10059, Daily!$G65:$G10059), _xlpm.camera_wand_count_by_day/_xlpm.auto_stop_that_day), "")</f>
        <v/>
      </c>
      <c r="F65" s="262" t="str">
        <f>_xlfn.XLOOKUP($A65, Daily!$C:$C, Daily!$J:$J)</f>
        <v/>
      </c>
      <c r="G65" s="262" t="str">
        <f>_xlfn.XLOOKUP($A65, Daily!$C:$C, Daily!$M:$M)</f>
        <v/>
      </c>
    </row>
    <row r="66" spans="1:7" x14ac:dyDescent="0.3">
      <c r="A66" s="7">
        <v>0</v>
      </c>
      <c r="C66" s="9" t="str">
        <f>IFERROR(AVERAGEIFS(Log!$F:$F, Log!$C:$C, $A66, Log!$B:$B, "n/a", Log!$A:$A, "Daily", Log!$D:$D, $C$2), "")</f>
        <v/>
      </c>
      <c r="D66" s="9" t="str">
        <f>IFERROR(AVERAGEIFS(Log!$G:$G, Log!$C:$C, $A66, Log!$B:$B, "n/a", Log!$A:$A, "Daily", Log!$D:$D, $C$2), "")</f>
        <v/>
      </c>
      <c r="E66" s="277" t="str">
        <f>IFERROR(_xlfn.LET(_xlpm.camera_wand_count_by_day, AVERAGEIFS(Log!$E:$E, Log!$C:$C, $A66, Log!$B:$B, "n/a", Log!$A:$A, "Daily", Log!$D:$D, $C$2), _xlpm.auto_stop_that_day, _xlfn.XLOOKUP(A66, Daily!$C66:$C10060, Daily!$G66:$G10060), _xlpm.camera_wand_count_by_day/_xlpm.auto_stop_that_day), "")</f>
        <v/>
      </c>
      <c r="F66" s="262" t="str">
        <f>_xlfn.XLOOKUP($A66, Daily!$C:$C, Daily!$J:$J)</f>
        <v/>
      </c>
      <c r="G66" s="262" t="str">
        <f>_xlfn.XLOOKUP($A66, Daily!$C:$C, Daily!$M:$M)</f>
        <v/>
      </c>
    </row>
    <row r="67" spans="1:7" x14ac:dyDescent="0.3">
      <c r="A67" s="7">
        <v>0</v>
      </c>
      <c r="C67" s="9" t="str">
        <f>IFERROR(AVERAGEIFS(Log!$F:$F, Log!$C:$C, $A67, Log!$B:$B, "n/a", Log!$A:$A, "Daily", Log!$D:$D, $C$2), "")</f>
        <v/>
      </c>
      <c r="D67" s="9" t="str">
        <f>IFERROR(AVERAGEIFS(Log!$G:$G, Log!$C:$C, $A67, Log!$B:$B, "n/a", Log!$A:$A, "Daily", Log!$D:$D, $C$2), "")</f>
        <v/>
      </c>
      <c r="E67" s="277" t="str">
        <f>IFERROR(_xlfn.LET(_xlpm.camera_wand_count_by_day, AVERAGEIFS(Log!$E:$E, Log!$C:$C, $A67, Log!$B:$B, "n/a", Log!$A:$A, "Daily", Log!$D:$D, $C$2), _xlpm.auto_stop_that_day, _xlfn.XLOOKUP(A67, Daily!$C67:$C10061, Daily!$G67:$G10061), _xlpm.camera_wand_count_by_day/_xlpm.auto_stop_that_day), "")</f>
        <v/>
      </c>
      <c r="F67" s="262" t="str">
        <f>_xlfn.XLOOKUP($A67, Daily!$C:$C, Daily!$J:$J)</f>
        <v/>
      </c>
      <c r="G67" s="262" t="str">
        <f>_xlfn.XLOOKUP($A67, Daily!$C:$C, Daily!$M:$M)</f>
        <v/>
      </c>
    </row>
    <row r="68" spans="1:7" x14ac:dyDescent="0.3">
      <c r="A68" s="7">
        <v>0</v>
      </c>
      <c r="C68" s="9" t="str">
        <f>IFERROR(AVERAGEIFS(Log!$F:$F, Log!$C:$C, $A68, Log!$B:$B, "n/a", Log!$A:$A, "Daily", Log!$D:$D, $C$2), "")</f>
        <v/>
      </c>
      <c r="D68" s="9" t="str">
        <f>IFERROR(AVERAGEIFS(Log!$G:$G, Log!$C:$C, $A68, Log!$B:$B, "n/a", Log!$A:$A, "Daily", Log!$D:$D, $C$2), "")</f>
        <v/>
      </c>
      <c r="E68" s="277" t="str">
        <f>IFERROR(_xlfn.LET(_xlpm.camera_wand_count_by_day, AVERAGEIFS(Log!$E:$E, Log!$C:$C, $A68, Log!$B:$B, "n/a", Log!$A:$A, "Daily", Log!$D:$D, $C$2), _xlpm.auto_stop_that_day, _xlfn.XLOOKUP(A68, Daily!$C68:$C10062, Daily!$G68:$G10062), _xlpm.camera_wand_count_by_day/_xlpm.auto_stop_that_day), "")</f>
        <v/>
      </c>
      <c r="F68" s="262" t="str">
        <f>_xlfn.XLOOKUP($A68, Daily!$C:$C, Daily!$J:$J)</f>
        <v/>
      </c>
      <c r="G68" s="262" t="str">
        <f>_xlfn.XLOOKUP($A68, Daily!$C:$C, Daily!$M:$M)</f>
        <v/>
      </c>
    </row>
    <row r="69" spans="1:7" x14ac:dyDescent="0.3">
      <c r="A69" s="7">
        <v>0</v>
      </c>
      <c r="C69" s="9" t="str">
        <f>IFERROR(AVERAGEIFS(Log!$F:$F, Log!$C:$C, $A69, Log!$B:$B, "n/a", Log!$A:$A, "Daily", Log!$D:$D, $C$2), "")</f>
        <v/>
      </c>
      <c r="D69" s="9" t="str">
        <f>IFERROR(AVERAGEIFS(Log!$G:$G, Log!$C:$C, $A69, Log!$B:$B, "n/a", Log!$A:$A, "Daily", Log!$D:$D, $C$2), "")</f>
        <v/>
      </c>
      <c r="E69" s="277" t="str">
        <f>IFERROR(_xlfn.LET(_xlpm.camera_wand_count_by_day, AVERAGEIFS(Log!$E:$E, Log!$C:$C, $A69, Log!$B:$B, "n/a", Log!$A:$A, "Daily", Log!$D:$D, $C$2), _xlpm.auto_stop_that_day, _xlfn.XLOOKUP(A69, Daily!$C69:$C10063, Daily!$G69:$G10063), _xlpm.camera_wand_count_by_day/_xlpm.auto_stop_that_day), "")</f>
        <v/>
      </c>
      <c r="F69" s="262" t="str">
        <f>_xlfn.XLOOKUP($A69, Daily!$C:$C, Daily!$J:$J)</f>
        <v/>
      </c>
      <c r="G69" s="262" t="str">
        <f>_xlfn.XLOOKUP($A69, Daily!$C:$C, Daily!$M:$M)</f>
        <v/>
      </c>
    </row>
    <row r="70" spans="1:7" x14ac:dyDescent="0.3">
      <c r="A70" s="7">
        <v>0</v>
      </c>
      <c r="C70" s="9" t="str">
        <f>IFERROR(AVERAGEIFS(Log!$F:$F, Log!$C:$C, $A70, Log!$B:$B, "n/a", Log!$A:$A, "Daily", Log!$D:$D, $C$2), "")</f>
        <v/>
      </c>
      <c r="D70" s="9" t="str">
        <f>IFERROR(AVERAGEIFS(Log!$G:$G, Log!$C:$C, $A70, Log!$B:$B, "n/a", Log!$A:$A, "Daily", Log!$D:$D, $C$2), "")</f>
        <v/>
      </c>
      <c r="E70" s="277" t="str">
        <f>IFERROR(_xlfn.LET(_xlpm.camera_wand_count_by_day, AVERAGEIFS(Log!$E:$E, Log!$C:$C, $A70, Log!$B:$B, "n/a", Log!$A:$A, "Daily", Log!$D:$D, $C$2), _xlpm.auto_stop_that_day, _xlfn.XLOOKUP(A70, Daily!$C70:$C10064, Daily!$G70:$G10064), _xlpm.camera_wand_count_by_day/_xlpm.auto_stop_that_day), "")</f>
        <v/>
      </c>
      <c r="F70" s="262" t="str">
        <f>_xlfn.XLOOKUP($A70, Daily!$C:$C, Daily!$J:$J)</f>
        <v/>
      </c>
      <c r="G70" s="262" t="str">
        <f>_xlfn.XLOOKUP($A70, Daily!$C:$C, Daily!$M:$M)</f>
        <v/>
      </c>
    </row>
    <row r="71" spans="1:7" x14ac:dyDescent="0.3">
      <c r="A71" s="7">
        <v>0</v>
      </c>
      <c r="C71" s="9" t="str">
        <f>IFERROR(AVERAGEIFS(Log!$F:$F, Log!$C:$C, $A71, Log!$B:$B, "n/a", Log!$A:$A, "Daily", Log!$D:$D, $C$2), "")</f>
        <v/>
      </c>
      <c r="D71" s="9" t="str">
        <f>IFERROR(AVERAGEIFS(Log!$G:$G, Log!$C:$C, $A71, Log!$B:$B, "n/a", Log!$A:$A, "Daily", Log!$D:$D, $C$2), "")</f>
        <v/>
      </c>
      <c r="E71" s="277" t="str">
        <f>IFERROR(_xlfn.LET(_xlpm.camera_wand_count_by_day, AVERAGEIFS(Log!$E:$E, Log!$C:$C, $A71, Log!$B:$B, "n/a", Log!$A:$A, "Daily", Log!$D:$D, $C$2), _xlpm.auto_stop_that_day, _xlfn.XLOOKUP(A71, Daily!$C71:$C10065, Daily!$G71:$G10065), _xlpm.camera_wand_count_by_day/_xlpm.auto_stop_that_day), "")</f>
        <v/>
      </c>
      <c r="F71" s="262" t="str">
        <f>_xlfn.XLOOKUP($A71, Daily!$C:$C, Daily!$J:$J)</f>
        <v/>
      </c>
      <c r="G71" s="262" t="str">
        <f>_xlfn.XLOOKUP($A71, Daily!$C:$C, Daily!$M:$M)</f>
        <v/>
      </c>
    </row>
    <row r="72" spans="1:7" x14ac:dyDescent="0.3">
      <c r="A72" s="7">
        <v>0</v>
      </c>
      <c r="C72" s="9" t="str">
        <f>IFERROR(AVERAGEIFS(Log!$F:$F, Log!$C:$C, $A72, Log!$B:$B, "n/a", Log!$A:$A, "Daily", Log!$D:$D, $C$2), "")</f>
        <v/>
      </c>
      <c r="D72" s="9" t="str">
        <f>IFERROR(AVERAGEIFS(Log!$G:$G, Log!$C:$C, $A72, Log!$B:$B, "n/a", Log!$A:$A, "Daily", Log!$D:$D, $C$2), "")</f>
        <v/>
      </c>
      <c r="E72" s="277" t="str">
        <f>IFERROR(_xlfn.LET(_xlpm.camera_wand_count_by_day, AVERAGEIFS(Log!$E:$E, Log!$C:$C, $A72, Log!$B:$B, "n/a", Log!$A:$A, "Daily", Log!$D:$D, $C$2), _xlpm.auto_stop_that_day, _xlfn.XLOOKUP(A72, Daily!$C72:$C10066, Daily!$G72:$G10066), _xlpm.camera_wand_count_by_day/_xlpm.auto_stop_that_day), "")</f>
        <v/>
      </c>
      <c r="F72" s="262" t="str">
        <f>_xlfn.XLOOKUP($A72, Daily!$C:$C, Daily!$J:$J)</f>
        <v/>
      </c>
      <c r="G72" s="262" t="str">
        <f>_xlfn.XLOOKUP($A72, Daily!$C:$C, Daily!$M:$M)</f>
        <v/>
      </c>
    </row>
    <row r="73" spans="1:7" x14ac:dyDescent="0.3">
      <c r="A73" s="7">
        <v>0</v>
      </c>
      <c r="C73" s="9" t="str">
        <f>IFERROR(AVERAGEIFS(Log!$F:$F, Log!$C:$C, $A73, Log!$B:$B, "n/a", Log!$A:$A, "Daily", Log!$D:$D, $C$2), "")</f>
        <v/>
      </c>
      <c r="D73" s="9" t="str">
        <f>IFERROR(AVERAGEIFS(Log!$G:$G, Log!$C:$C, $A73, Log!$B:$B, "n/a", Log!$A:$A, "Daily", Log!$D:$D, $C$2), "")</f>
        <v/>
      </c>
      <c r="E73" s="277" t="str">
        <f>IFERROR(_xlfn.LET(_xlpm.camera_wand_count_by_day, AVERAGEIFS(Log!$E:$E, Log!$C:$C, $A73, Log!$B:$B, "n/a", Log!$A:$A, "Daily", Log!$D:$D, $C$2), _xlpm.auto_stop_that_day, _xlfn.XLOOKUP(A73, Daily!$C73:$C10067, Daily!$G73:$G10067), _xlpm.camera_wand_count_by_day/_xlpm.auto_stop_that_day), "")</f>
        <v/>
      </c>
      <c r="F73" s="262" t="str">
        <f>_xlfn.XLOOKUP($A73, Daily!$C:$C, Daily!$J:$J)</f>
        <v/>
      </c>
      <c r="G73" s="262" t="str">
        <f>_xlfn.XLOOKUP($A73, Daily!$C:$C, Daily!$M:$M)</f>
        <v/>
      </c>
    </row>
    <row r="74" spans="1:7" x14ac:dyDescent="0.3">
      <c r="A74" s="7">
        <v>0</v>
      </c>
      <c r="C74" s="9" t="str">
        <f>IFERROR(AVERAGEIFS(Log!$F:$F, Log!$C:$C, $A74, Log!$B:$B, "n/a", Log!$A:$A, "Daily", Log!$D:$D, $C$2), "")</f>
        <v/>
      </c>
      <c r="D74" s="9" t="str">
        <f>IFERROR(AVERAGEIFS(Log!$G:$G, Log!$C:$C, $A74, Log!$B:$B, "n/a", Log!$A:$A, "Daily", Log!$D:$D, $C$2), "")</f>
        <v/>
      </c>
      <c r="E74" s="277" t="str">
        <f>IFERROR(_xlfn.LET(_xlpm.camera_wand_count_by_day, AVERAGEIFS(Log!$E:$E, Log!$C:$C, $A74, Log!$B:$B, "n/a", Log!$A:$A, "Daily", Log!$D:$D, $C$2), _xlpm.auto_stop_that_day, _xlfn.XLOOKUP(A74, Daily!$C74:$C10068, Daily!$G74:$G10068), _xlpm.camera_wand_count_by_day/_xlpm.auto_stop_that_day), "")</f>
        <v/>
      </c>
      <c r="F74" s="262" t="str">
        <f>_xlfn.XLOOKUP($A74, Daily!$C:$C, Daily!$J:$J)</f>
        <v/>
      </c>
      <c r="G74" s="262" t="str">
        <f>_xlfn.XLOOKUP($A74, Daily!$C:$C, Daily!$M:$M)</f>
        <v/>
      </c>
    </row>
    <row r="75" spans="1:7" x14ac:dyDescent="0.3">
      <c r="A75" s="7">
        <v>0</v>
      </c>
      <c r="C75" s="9" t="str">
        <f>IFERROR(AVERAGEIFS(Log!$F:$F, Log!$C:$C, $A75, Log!$B:$B, "n/a", Log!$A:$A, "Daily", Log!$D:$D, $C$2), "")</f>
        <v/>
      </c>
      <c r="D75" s="9" t="str">
        <f>IFERROR(AVERAGEIFS(Log!$G:$G, Log!$C:$C, $A75, Log!$B:$B, "n/a", Log!$A:$A, "Daily", Log!$D:$D, $C$2), "")</f>
        <v/>
      </c>
      <c r="E75" s="277" t="str">
        <f>IFERROR(_xlfn.LET(_xlpm.camera_wand_count_by_day, AVERAGEIFS(Log!$E:$E, Log!$C:$C, $A75, Log!$B:$B, "n/a", Log!$A:$A, "Daily", Log!$D:$D, $C$2), _xlpm.auto_stop_that_day, _xlfn.XLOOKUP(A75, Daily!$C75:$C10069, Daily!$G75:$G10069), _xlpm.camera_wand_count_by_day/_xlpm.auto_stop_that_day), "")</f>
        <v/>
      </c>
      <c r="F75" s="262" t="str">
        <f>_xlfn.XLOOKUP($A75, Daily!$C:$C, Daily!$J:$J)</f>
        <v/>
      </c>
      <c r="G75" s="262" t="str">
        <f>_xlfn.XLOOKUP($A75, Daily!$C:$C, Daily!$M:$M)</f>
        <v/>
      </c>
    </row>
    <row r="76" spans="1:7" x14ac:dyDescent="0.3">
      <c r="A76" s="7">
        <v>0</v>
      </c>
      <c r="C76" s="9" t="str">
        <f>IFERROR(AVERAGEIFS(Log!$F:$F, Log!$C:$C, $A76, Log!$B:$B, "n/a", Log!$A:$A, "Daily", Log!$D:$D, $C$2), "")</f>
        <v/>
      </c>
      <c r="D76" s="9" t="str">
        <f>IFERROR(AVERAGEIFS(Log!$G:$G, Log!$C:$C, $A76, Log!$B:$B, "n/a", Log!$A:$A, "Daily", Log!$D:$D, $C$2), "")</f>
        <v/>
      </c>
      <c r="E76" s="277" t="str">
        <f>IFERROR(_xlfn.LET(_xlpm.camera_wand_count_by_day, AVERAGEIFS(Log!$E:$E, Log!$C:$C, $A76, Log!$B:$B, "n/a", Log!$A:$A, "Daily", Log!$D:$D, $C$2), _xlpm.auto_stop_that_day, _xlfn.XLOOKUP(A76, Daily!$C76:$C10070, Daily!$G76:$G10070), _xlpm.camera_wand_count_by_day/_xlpm.auto_stop_that_day), "")</f>
        <v/>
      </c>
      <c r="F76" s="262" t="str">
        <f>_xlfn.XLOOKUP($A76, Daily!$C:$C, Daily!$J:$J)</f>
        <v/>
      </c>
      <c r="G76" s="262" t="str">
        <f>_xlfn.XLOOKUP($A76, Daily!$C:$C, Daily!$M:$M)</f>
        <v/>
      </c>
    </row>
    <row r="77" spans="1:7" x14ac:dyDescent="0.3">
      <c r="A77" s="7">
        <v>0</v>
      </c>
      <c r="C77" s="9" t="str">
        <f>IFERROR(AVERAGEIFS(Log!$F:$F, Log!$C:$C, $A77, Log!$B:$B, "n/a", Log!$A:$A, "Daily", Log!$D:$D, $C$2), "")</f>
        <v/>
      </c>
      <c r="D77" s="9" t="str">
        <f>IFERROR(AVERAGEIFS(Log!$G:$G, Log!$C:$C, $A77, Log!$B:$B, "n/a", Log!$A:$A, "Daily", Log!$D:$D, $C$2), "")</f>
        <v/>
      </c>
      <c r="E77" s="277" t="str">
        <f>IFERROR(_xlfn.LET(_xlpm.camera_wand_count_by_day, AVERAGEIFS(Log!$E:$E, Log!$C:$C, $A77, Log!$B:$B, "n/a", Log!$A:$A, "Daily", Log!$D:$D, $C$2), _xlpm.auto_stop_that_day, _xlfn.XLOOKUP(A77, Daily!$C77:$C10071, Daily!$G77:$G10071), _xlpm.camera_wand_count_by_day/_xlpm.auto_stop_that_day), "")</f>
        <v/>
      </c>
      <c r="F77" s="262" t="str">
        <f>_xlfn.XLOOKUP($A77, Daily!$C:$C, Daily!$J:$J)</f>
        <v/>
      </c>
      <c r="G77" s="262" t="str">
        <f>_xlfn.XLOOKUP($A77, Daily!$C:$C, Daily!$M:$M)</f>
        <v/>
      </c>
    </row>
    <row r="78" spans="1:7" x14ac:dyDescent="0.3">
      <c r="A78" s="7">
        <v>0</v>
      </c>
      <c r="C78" s="9" t="str">
        <f>IFERROR(AVERAGEIFS(Log!$F:$F, Log!$C:$C, $A78, Log!$B:$B, "n/a", Log!$A:$A, "Daily", Log!$D:$D, $C$2), "")</f>
        <v/>
      </c>
      <c r="D78" s="9" t="str">
        <f>IFERROR(AVERAGEIFS(Log!$G:$G, Log!$C:$C, $A78, Log!$B:$B, "n/a", Log!$A:$A, "Daily", Log!$D:$D, $C$2), "")</f>
        <v/>
      </c>
      <c r="E78" s="277" t="str">
        <f>IFERROR(_xlfn.LET(_xlpm.camera_wand_count_by_day, AVERAGEIFS(Log!$E:$E, Log!$C:$C, $A78, Log!$B:$B, "n/a", Log!$A:$A, "Daily", Log!$D:$D, $C$2), _xlpm.auto_stop_that_day, _xlfn.XLOOKUP(A78, Daily!$C78:$C10072, Daily!$G78:$G10072), _xlpm.camera_wand_count_by_day/_xlpm.auto_stop_that_day), "")</f>
        <v/>
      </c>
      <c r="F78" s="262" t="str">
        <f>_xlfn.XLOOKUP($A78, Daily!$C:$C, Daily!$J:$J)</f>
        <v/>
      </c>
      <c r="G78" s="262" t="str">
        <f>_xlfn.XLOOKUP($A78, Daily!$C:$C, Daily!$M:$M)</f>
        <v/>
      </c>
    </row>
    <row r="79" spans="1:7" x14ac:dyDescent="0.3">
      <c r="A79" s="7">
        <v>0</v>
      </c>
      <c r="C79" s="9" t="str">
        <f>IFERROR(AVERAGEIFS(Log!$F:$F, Log!$C:$C, $A79, Log!$B:$B, "n/a", Log!$A:$A, "Daily", Log!$D:$D, $C$2), "")</f>
        <v/>
      </c>
      <c r="D79" s="9" t="str">
        <f>IFERROR(AVERAGEIFS(Log!$G:$G, Log!$C:$C, $A79, Log!$B:$B, "n/a", Log!$A:$A, "Daily", Log!$D:$D, $C$2), "")</f>
        <v/>
      </c>
      <c r="E79" s="277" t="str">
        <f>IFERROR(_xlfn.LET(_xlpm.camera_wand_count_by_day, AVERAGEIFS(Log!$E:$E, Log!$C:$C, $A79, Log!$B:$B, "n/a", Log!$A:$A, "Daily", Log!$D:$D, $C$2), _xlpm.auto_stop_that_day, _xlfn.XLOOKUP(A79, Daily!$C79:$C10073, Daily!$G79:$G10073), _xlpm.camera_wand_count_by_day/_xlpm.auto_stop_that_day), "")</f>
        <v/>
      </c>
      <c r="F79" s="262" t="str">
        <f>_xlfn.XLOOKUP($A79, Daily!$C:$C, Daily!$J:$J)</f>
        <v/>
      </c>
      <c r="G79" s="262" t="str">
        <f>_xlfn.XLOOKUP($A79, Daily!$C:$C, Daily!$M:$M)</f>
        <v/>
      </c>
    </row>
    <row r="80" spans="1:7" x14ac:dyDescent="0.3">
      <c r="A80" s="7">
        <v>0</v>
      </c>
      <c r="C80" s="9" t="str">
        <f>IFERROR(AVERAGEIFS(Log!$F:$F, Log!$C:$C, $A80, Log!$B:$B, "n/a", Log!$A:$A, "Daily", Log!$D:$D, $C$2), "")</f>
        <v/>
      </c>
      <c r="D80" s="9" t="str">
        <f>IFERROR(AVERAGEIFS(Log!$G:$G, Log!$C:$C, $A80, Log!$B:$B, "n/a", Log!$A:$A, "Daily", Log!$D:$D, $C$2), "")</f>
        <v/>
      </c>
      <c r="E80" s="277" t="str">
        <f>IFERROR(_xlfn.LET(_xlpm.camera_wand_count_by_day, AVERAGEIFS(Log!$E:$E, Log!$C:$C, $A80, Log!$B:$B, "n/a", Log!$A:$A, "Daily", Log!$D:$D, $C$2), _xlpm.auto_stop_that_day, _xlfn.XLOOKUP(A80, Daily!$C80:$C10074, Daily!$G80:$G10074), _xlpm.camera_wand_count_by_day/_xlpm.auto_stop_that_day), "")</f>
        <v/>
      </c>
      <c r="F80" s="262" t="str">
        <f>_xlfn.XLOOKUP($A80, Daily!$C:$C, Daily!$J:$J)</f>
        <v/>
      </c>
      <c r="G80" s="262" t="str">
        <f>_xlfn.XLOOKUP($A80, Daily!$C:$C, Daily!$M:$M)</f>
        <v/>
      </c>
    </row>
    <row r="81" spans="1:7" x14ac:dyDescent="0.3">
      <c r="A81" s="7">
        <v>0</v>
      </c>
      <c r="C81" s="9" t="str">
        <f>IFERROR(AVERAGEIFS(Log!$F:$F, Log!$C:$C, $A81, Log!$B:$B, "n/a", Log!$A:$A, "Daily", Log!$D:$D, $C$2), "")</f>
        <v/>
      </c>
      <c r="D81" s="9" t="str">
        <f>IFERROR(AVERAGEIFS(Log!$G:$G, Log!$C:$C, $A81, Log!$B:$B, "n/a", Log!$A:$A, "Daily", Log!$D:$D, $C$2), "")</f>
        <v/>
      </c>
      <c r="E81" s="277" t="str">
        <f>IFERROR(_xlfn.LET(_xlpm.camera_wand_count_by_day, AVERAGEIFS(Log!$E:$E, Log!$C:$C, $A81, Log!$B:$B, "n/a", Log!$A:$A, "Daily", Log!$D:$D, $C$2), _xlpm.auto_stop_that_day, _xlfn.XLOOKUP(A81, Daily!$C81:$C10075, Daily!$G81:$G10075), _xlpm.camera_wand_count_by_day/_xlpm.auto_stop_that_day), "")</f>
        <v/>
      </c>
      <c r="F81" s="262" t="str">
        <f>_xlfn.XLOOKUP($A81, Daily!$C:$C, Daily!$J:$J)</f>
        <v/>
      </c>
      <c r="G81" s="262" t="str">
        <f>_xlfn.XLOOKUP($A81, Daily!$C:$C, Daily!$M:$M)</f>
        <v/>
      </c>
    </row>
    <row r="82" spans="1:7" x14ac:dyDescent="0.3">
      <c r="A82" s="7">
        <v>0</v>
      </c>
      <c r="C82" s="9" t="str">
        <f>IFERROR(AVERAGEIFS(Log!$F:$F, Log!$C:$C, $A82, Log!$B:$B, "n/a", Log!$A:$A, "Daily", Log!$D:$D, $C$2), "")</f>
        <v/>
      </c>
      <c r="D82" s="9" t="str">
        <f>IFERROR(AVERAGEIFS(Log!$G:$G, Log!$C:$C, $A82, Log!$B:$B, "n/a", Log!$A:$A, "Daily", Log!$D:$D, $C$2), "")</f>
        <v/>
      </c>
      <c r="E82" s="277" t="str">
        <f>IFERROR(_xlfn.LET(_xlpm.camera_wand_count_by_day, AVERAGEIFS(Log!$E:$E, Log!$C:$C, $A82, Log!$B:$B, "n/a", Log!$A:$A, "Daily", Log!$D:$D, $C$2), _xlpm.auto_stop_that_day, _xlfn.XLOOKUP(A82, Daily!$C82:$C10076, Daily!$G82:$G10076), _xlpm.camera_wand_count_by_day/_xlpm.auto_stop_that_day), "")</f>
        <v/>
      </c>
      <c r="F82" s="262" t="str">
        <f>_xlfn.XLOOKUP($A82, Daily!$C:$C, Daily!$J:$J)</f>
        <v/>
      </c>
      <c r="G82" s="262" t="str">
        <f>_xlfn.XLOOKUP($A82, Daily!$C:$C, Daily!$M:$M)</f>
        <v/>
      </c>
    </row>
    <row r="83" spans="1:7" x14ac:dyDescent="0.3">
      <c r="A83" s="7">
        <v>0</v>
      </c>
      <c r="C83" s="9" t="str">
        <f>IFERROR(AVERAGEIFS(Log!$F:$F, Log!$C:$C, $A83, Log!$B:$B, "n/a", Log!$A:$A, "Daily", Log!$D:$D, $C$2), "")</f>
        <v/>
      </c>
      <c r="D83" s="9" t="str">
        <f>IFERROR(AVERAGEIFS(Log!$G:$G, Log!$C:$C, $A83, Log!$B:$B, "n/a", Log!$A:$A, "Daily", Log!$D:$D, $C$2), "")</f>
        <v/>
      </c>
      <c r="E83" s="277" t="str">
        <f>IFERROR(_xlfn.LET(_xlpm.camera_wand_count_by_day, AVERAGEIFS(Log!$E:$E, Log!$C:$C, $A83, Log!$B:$B, "n/a", Log!$A:$A, "Daily", Log!$D:$D, $C$2), _xlpm.auto_stop_that_day, _xlfn.XLOOKUP(A83, Daily!$C83:$C10077, Daily!$G83:$G10077), _xlpm.camera_wand_count_by_day/_xlpm.auto_stop_that_day), "")</f>
        <v/>
      </c>
      <c r="F83" s="262" t="str">
        <f>_xlfn.XLOOKUP($A83, Daily!$C:$C, Daily!$J:$J)</f>
        <v/>
      </c>
      <c r="G83" s="262" t="str">
        <f>_xlfn.XLOOKUP($A83, Daily!$C:$C, Daily!$M:$M)</f>
        <v/>
      </c>
    </row>
    <row r="84" spans="1:7" x14ac:dyDescent="0.3">
      <c r="A84" s="7">
        <v>0</v>
      </c>
      <c r="C84" s="9" t="str">
        <f>IFERROR(AVERAGEIFS(Log!$F:$F, Log!$C:$C, $A84, Log!$B:$B, "n/a", Log!$A:$A, "Daily", Log!$D:$D, $C$2), "")</f>
        <v/>
      </c>
      <c r="D84" s="9" t="str">
        <f>IFERROR(AVERAGEIFS(Log!$G:$G, Log!$C:$C, $A84, Log!$B:$B, "n/a", Log!$A:$A, "Daily", Log!$D:$D, $C$2), "")</f>
        <v/>
      </c>
      <c r="E84" s="277" t="str">
        <f>IFERROR(_xlfn.LET(_xlpm.camera_wand_count_by_day, AVERAGEIFS(Log!$E:$E, Log!$C:$C, $A84, Log!$B:$B, "n/a", Log!$A:$A, "Daily", Log!$D:$D, $C$2), _xlpm.auto_stop_that_day, _xlfn.XLOOKUP(A84, Daily!$C84:$C10078, Daily!$G84:$G10078), _xlpm.camera_wand_count_by_day/_xlpm.auto_stop_that_day), "")</f>
        <v/>
      </c>
      <c r="F84" s="262" t="str">
        <f>_xlfn.XLOOKUP($A84, Daily!$C:$C, Daily!$J:$J)</f>
        <v/>
      </c>
      <c r="G84" s="262" t="str">
        <f>_xlfn.XLOOKUP($A84, Daily!$C:$C, Daily!$M:$M)</f>
        <v/>
      </c>
    </row>
    <row r="85" spans="1:7" x14ac:dyDescent="0.3">
      <c r="A85" s="7">
        <v>0</v>
      </c>
      <c r="C85" s="9" t="str">
        <f>IFERROR(AVERAGEIFS(Log!$F:$F, Log!$C:$C, $A85, Log!$B:$B, "n/a", Log!$A:$A, "Daily", Log!$D:$D, $C$2), "")</f>
        <v/>
      </c>
      <c r="D85" s="9" t="str">
        <f>IFERROR(AVERAGEIFS(Log!$G:$G, Log!$C:$C, $A85, Log!$B:$B, "n/a", Log!$A:$A, "Daily", Log!$D:$D, $C$2), "")</f>
        <v/>
      </c>
      <c r="E85" s="277" t="str">
        <f>IFERROR(_xlfn.LET(_xlpm.camera_wand_count_by_day, AVERAGEIFS(Log!$E:$E, Log!$C:$C, $A85, Log!$B:$B, "n/a", Log!$A:$A, "Daily", Log!$D:$D, $C$2), _xlpm.auto_stop_that_day, _xlfn.XLOOKUP(A85, Daily!$C85:$C10079, Daily!$G85:$G10079), _xlpm.camera_wand_count_by_day/_xlpm.auto_stop_that_day), "")</f>
        <v/>
      </c>
      <c r="F85" s="262" t="str">
        <f>_xlfn.XLOOKUP($A85, Daily!$C:$C, Daily!$J:$J)</f>
        <v/>
      </c>
      <c r="G85" s="262" t="str">
        <f>_xlfn.XLOOKUP($A85, Daily!$C:$C, Daily!$M:$M)</f>
        <v/>
      </c>
    </row>
    <row r="86" spans="1:7" x14ac:dyDescent="0.3">
      <c r="A86" s="7">
        <v>0</v>
      </c>
      <c r="C86" s="9" t="str">
        <f>IFERROR(AVERAGEIFS(Log!$F:$F, Log!$C:$C, $A86, Log!$B:$B, "n/a", Log!$A:$A, "Daily", Log!$D:$D, $C$2), "")</f>
        <v/>
      </c>
      <c r="D86" s="9" t="str">
        <f>IFERROR(AVERAGEIFS(Log!$G:$G, Log!$C:$C, $A86, Log!$B:$B, "n/a", Log!$A:$A, "Daily", Log!$D:$D, $C$2), "")</f>
        <v/>
      </c>
      <c r="E86" s="277" t="str">
        <f>IFERROR(_xlfn.LET(_xlpm.camera_wand_count_by_day, AVERAGEIFS(Log!$E:$E, Log!$C:$C, $A86, Log!$B:$B, "n/a", Log!$A:$A, "Daily", Log!$D:$D, $C$2), _xlpm.auto_stop_that_day, _xlfn.XLOOKUP(A86, Daily!$C86:$C10080, Daily!$G86:$G10080), _xlpm.camera_wand_count_by_day/_xlpm.auto_stop_that_day), "")</f>
        <v/>
      </c>
      <c r="F86" s="262" t="str">
        <f>_xlfn.XLOOKUP($A86, Daily!$C:$C, Daily!$J:$J)</f>
        <v/>
      </c>
      <c r="G86" s="262" t="str">
        <f>_xlfn.XLOOKUP($A86, Daily!$C:$C, Daily!$M:$M)</f>
        <v/>
      </c>
    </row>
    <row r="87" spans="1:7" x14ac:dyDescent="0.3">
      <c r="A87" s="7">
        <v>0</v>
      </c>
      <c r="C87" s="9" t="str">
        <f>IFERROR(AVERAGEIFS(Log!$F:$F, Log!$C:$C, $A87, Log!$B:$B, "n/a", Log!$A:$A, "Daily", Log!$D:$D, $C$2), "")</f>
        <v/>
      </c>
      <c r="D87" s="9" t="str">
        <f>IFERROR(AVERAGEIFS(Log!$G:$G, Log!$C:$C, $A87, Log!$B:$B, "n/a", Log!$A:$A, "Daily", Log!$D:$D, $C$2), "")</f>
        <v/>
      </c>
      <c r="E87" s="277" t="str">
        <f>IFERROR(_xlfn.LET(_xlpm.camera_wand_count_by_day, AVERAGEIFS(Log!$E:$E, Log!$C:$C, $A87, Log!$B:$B, "n/a", Log!$A:$A, "Daily", Log!$D:$D, $C$2), _xlpm.auto_stop_that_day, _xlfn.XLOOKUP(A87, Daily!$C87:$C10081, Daily!$G87:$G10081), _xlpm.camera_wand_count_by_day/_xlpm.auto_stop_that_day), "")</f>
        <v/>
      </c>
      <c r="F87" s="262" t="str">
        <f>_xlfn.XLOOKUP($A87, Daily!$C:$C, Daily!$J:$J)</f>
        <v/>
      </c>
      <c r="G87" s="262" t="str">
        <f>_xlfn.XLOOKUP($A87, Daily!$C:$C, Daily!$M:$M)</f>
        <v/>
      </c>
    </row>
    <row r="88" spans="1:7" x14ac:dyDescent="0.3">
      <c r="A88" s="7">
        <v>0</v>
      </c>
      <c r="C88" s="9" t="str">
        <f>IFERROR(AVERAGEIFS(Log!$F:$F, Log!$C:$C, $A88, Log!$B:$B, "n/a", Log!$A:$A, "Daily", Log!$D:$D, $C$2), "")</f>
        <v/>
      </c>
      <c r="D88" s="9" t="str">
        <f>IFERROR(AVERAGEIFS(Log!$G:$G, Log!$C:$C, $A88, Log!$B:$B, "n/a", Log!$A:$A, "Daily", Log!$D:$D, $C$2), "")</f>
        <v/>
      </c>
      <c r="E88" s="277" t="str">
        <f>IFERROR(_xlfn.LET(_xlpm.camera_wand_count_by_day, AVERAGEIFS(Log!$E:$E, Log!$C:$C, $A88, Log!$B:$B, "n/a", Log!$A:$A, "Daily", Log!$D:$D, $C$2), _xlpm.auto_stop_that_day, _xlfn.XLOOKUP(A88, Daily!$C88:$C10082, Daily!$G88:$G10082), _xlpm.camera_wand_count_by_day/_xlpm.auto_stop_that_day), "")</f>
        <v/>
      </c>
      <c r="F88" s="262" t="str">
        <f>_xlfn.XLOOKUP($A88, Daily!$C:$C, Daily!$J:$J)</f>
        <v/>
      </c>
      <c r="G88" s="262" t="str">
        <f>_xlfn.XLOOKUP($A88, Daily!$C:$C, Daily!$M:$M)</f>
        <v/>
      </c>
    </row>
    <row r="89" spans="1:7" x14ac:dyDescent="0.3">
      <c r="A89" s="7">
        <v>0</v>
      </c>
      <c r="C89" s="9" t="str">
        <f>IFERROR(AVERAGEIFS(Log!$F:$F, Log!$C:$C, $A89, Log!$B:$B, "n/a", Log!$A:$A, "Daily", Log!$D:$D, $C$2), "")</f>
        <v/>
      </c>
      <c r="D89" s="9" t="str">
        <f>IFERROR(AVERAGEIFS(Log!$G:$G, Log!$C:$C, $A89, Log!$B:$B, "n/a", Log!$A:$A, "Daily", Log!$D:$D, $C$2), "")</f>
        <v/>
      </c>
      <c r="E89" s="277" t="str">
        <f>IFERROR(_xlfn.LET(_xlpm.camera_wand_count_by_day, AVERAGEIFS(Log!$E:$E, Log!$C:$C, $A89, Log!$B:$B, "n/a", Log!$A:$A, "Daily", Log!$D:$D, $C$2), _xlpm.auto_stop_that_day, _xlfn.XLOOKUP(A89, Daily!$C89:$C10083, Daily!$G89:$G10083), _xlpm.camera_wand_count_by_day/_xlpm.auto_stop_that_day), "")</f>
        <v/>
      </c>
      <c r="F89" s="262" t="str">
        <f>_xlfn.XLOOKUP($A89, Daily!$C:$C, Daily!$J:$J)</f>
        <v/>
      </c>
      <c r="G89" s="262" t="str">
        <f>_xlfn.XLOOKUP($A89, Daily!$C:$C, Daily!$M:$M)</f>
        <v/>
      </c>
    </row>
    <row r="90" spans="1:7" x14ac:dyDescent="0.3">
      <c r="A90" s="7">
        <v>0</v>
      </c>
      <c r="C90" s="9" t="str">
        <f>IFERROR(AVERAGEIFS(Log!$F:$F, Log!$C:$C, $A90, Log!$B:$B, "n/a", Log!$A:$A, "Daily", Log!$D:$D, $C$2), "")</f>
        <v/>
      </c>
      <c r="D90" s="9" t="str">
        <f>IFERROR(AVERAGEIFS(Log!$G:$G, Log!$C:$C, $A90, Log!$B:$B, "n/a", Log!$A:$A, "Daily", Log!$D:$D, $C$2), "")</f>
        <v/>
      </c>
      <c r="E90" s="277" t="str">
        <f>IFERROR(_xlfn.LET(_xlpm.camera_wand_count_by_day, AVERAGEIFS(Log!$E:$E, Log!$C:$C, $A90, Log!$B:$B, "n/a", Log!$A:$A, "Daily", Log!$D:$D, $C$2), _xlpm.auto_stop_that_day, _xlfn.XLOOKUP(A90, Daily!$C90:$C10084, Daily!$G90:$G10084), _xlpm.camera_wand_count_by_day/_xlpm.auto_stop_that_day), "")</f>
        <v/>
      </c>
      <c r="F90" s="262" t="str">
        <f>_xlfn.XLOOKUP($A90, Daily!$C:$C, Daily!$J:$J)</f>
        <v/>
      </c>
      <c r="G90" s="262" t="str">
        <f>_xlfn.XLOOKUP($A90, Daily!$C:$C, Daily!$M:$M)</f>
        <v/>
      </c>
    </row>
    <row r="91" spans="1:7" x14ac:dyDescent="0.3">
      <c r="A91" s="7">
        <v>0</v>
      </c>
      <c r="C91" s="9" t="str">
        <f>IFERROR(AVERAGEIFS(Log!$F:$F, Log!$C:$C, $A91, Log!$B:$B, "n/a", Log!$A:$A, "Daily", Log!$D:$D, $C$2), "")</f>
        <v/>
      </c>
      <c r="D91" s="9" t="str">
        <f>IFERROR(AVERAGEIFS(Log!$G:$G, Log!$C:$C, $A91, Log!$B:$B, "n/a", Log!$A:$A, "Daily", Log!$D:$D, $C$2), "")</f>
        <v/>
      </c>
      <c r="E91" s="277" t="str">
        <f>IFERROR(_xlfn.LET(_xlpm.camera_wand_count_by_day, AVERAGEIFS(Log!$E:$E, Log!$C:$C, $A91, Log!$B:$B, "n/a", Log!$A:$A, "Daily", Log!$D:$D, $C$2), _xlpm.auto_stop_that_day, _xlfn.XLOOKUP(A91, Daily!$C91:$C10085, Daily!$G91:$G10085), _xlpm.camera_wand_count_by_day/_xlpm.auto_stop_that_day), "")</f>
        <v/>
      </c>
      <c r="F91" s="262" t="str">
        <f>_xlfn.XLOOKUP($A91, Daily!$C:$C, Daily!$J:$J)</f>
        <v/>
      </c>
      <c r="G91" s="262" t="str">
        <f>_xlfn.XLOOKUP($A91, Daily!$C:$C, Daily!$M:$M)</f>
        <v/>
      </c>
    </row>
    <row r="92" spans="1:7" x14ac:dyDescent="0.3">
      <c r="A92" s="7">
        <v>0</v>
      </c>
      <c r="C92" s="9" t="str">
        <f>IFERROR(AVERAGEIFS(Log!$F:$F, Log!$C:$C, $A92, Log!$B:$B, "n/a", Log!$A:$A, "Daily", Log!$D:$D, $C$2), "")</f>
        <v/>
      </c>
      <c r="D92" s="9" t="str">
        <f>IFERROR(AVERAGEIFS(Log!$G:$G, Log!$C:$C, $A92, Log!$B:$B, "n/a", Log!$A:$A, "Daily", Log!$D:$D, $C$2), "")</f>
        <v/>
      </c>
      <c r="E92" s="277" t="str">
        <f>IFERROR(_xlfn.LET(_xlpm.camera_wand_count_by_day, AVERAGEIFS(Log!$E:$E, Log!$C:$C, $A92, Log!$B:$B, "n/a", Log!$A:$A, "Daily", Log!$D:$D, $C$2), _xlpm.auto_stop_that_day, _xlfn.XLOOKUP(A92, Daily!$C92:$C10086, Daily!$G92:$G10086), _xlpm.camera_wand_count_by_day/_xlpm.auto_stop_that_day), "")</f>
        <v/>
      </c>
      <c r="F92" s="262" t="str">
        <f>_xlfn.XLOOKUP($A92, Daily!$C:$C, Daily!$J:$J)</f>
        <v/>
      </c>
      <c r="G92" s="262" t="str">
        <f>_xlfn.XLOOKUP($A92, Daily!$C:$C, Daily!$M:$M)</f>
        <v/>
      </c>
    </row>
    <row r="93" spans="1:7" x14ac:dyDescent="0.3">
      <c r="A93" s="7">
        <v>0</v>
      </c>
      <c r="C93" s="9" t="str">
        <f>IFERROR(AVERAGEIFS(Log!$F:$F, Log!$C:$C, $A93, Log!$B:$B, "n/a", Log!$A:$A, "Daily", Log!$D:$D, $C$2), "")</f>
        <v/>
      </c>
      <c r="D93" s="9" t="str">
        <f>IFERROR(AVERAGEIFS(Log!$G:$G, Log!$C:$C, $A93, Log!$B:$B, "n/a", Log!$A:$A, "Daily", Log!$D:$D, $C$2), "")</f>
        <v/>
      </c>
      <c r="E93" s="277" t="str">
        <f>IFERROR(_xlfn.LET(_xlpm.camera_wand_count_by_day, AVERAGEIFS(Log!$E:$E, Log!$C:$C, $A93, Log!$B:$B, "n/a", Log!$A:$A, "Daily", Log!$D:$D, $C$2), _xlpm.auto_stop_that_day, _xlfn.XLOOKUP(A93, Daily!$C93:$C10087, Daily!$G93:$G10087), _xlpm.camera_wand_count_by_day/_xlpm.auto_stop_that_day), "")</f>
        <v/>
      </c>
      <c r="F93" s="262" t="str">
        <f>_xlfn.XLOOKUP($A93, Daily!$C:$C, Daily!$J:$J)</f>
        <v/>
      </c>
      <c r="G93" s="262" t="str">
        <f>_xlfn.XLOOKUP($A93, Daily!$C:$C, Daily!$M:$M)</f>
        <v/>
      </c>
    </row>
    <row r="94" spans="1:7" x14ac:dyDescent="0.3">
      <c r="A94" s="7">
        <v>0</v>
      </c>
      <c r="C94" s="9" t="str">
        <f>IFERROR(AVERAGEIFS(Log!$F:$F, Log!$C:$C, $A94, Log!$B:$B, "n/a", Log!$A:$A, "Daily", Log!$D:$D, $C$2), "")</f>
        <v/>
      </c>
      <c r="D94" s="9" t="str">
        <f>IFERROR(AVERAGEIFS(Log!$G:$G, Log!$C:$C, $A94, Log!$B:$B, "n/a", Log!$A:$A, "Daily", Log!$D:$D, $C$2), "")</f>
        <v/>
      </c>
      <c r="E94" s="277" t="str">
        <f>IFERROR(_xlfn.LET(_xlpm.camera_wand_count_by_day, AVERAGEIFS(Log!$E:$E, Log!$C:$C, $A94, Log!$B:$B, "n/a", Log!$A:$A, "Daily", Log!$D:$D, $C$2), _xlpm.auto_stop_that_day, _xlfn.XLOOKUP(A94, Daily!$C94:$C10088, Daily!$G94:$G10088), _xlpm.camera_wand_count_by_day/_xlpm.auto_stop_that_day), "")</f>
        <v/>
      </c>
      <c r="F94" s="262" t="str">
        <f>_xlfn.XLOOKUP($A94, Daily!$C:$C, Daily!$J:$J)</f>
        <v/>
      </c>
      <c r="G94" s="262" t="str">
        <f>_xlfn.XLOOKUP($A94, Daily!$C:$C, Daily!$M:$M)</f>
        <v/>
      </c>
    </row>
    <row r="95" spans="1:7" x14ac:dyDescent="0.3">
      <c r="A95" s="7">
        <v>0</v>
      </c>
      <c r="C95" s="9" t="str">
        <f>IFERROR(AVERAGEIFS(Log!$F:$F, Log!$C:$C, $A95, Log!$B:$B, "n/a", Log!$A:$A, "Daily", Log!$D:$D, $C$2), "")</f>
        <v/>
      </c>
      <c r="D95" s="9" t="str">
        <f>IFERROR(AVERAGEIFS(Log!$G:$G, Log!$C:$C, $A95, Log!$B:$B, "n/a", Log!$A:$A, "Daily", Log!$D:$D, $C$2), "")</f>
        <v/>
      </c>
      <c r="E95" s="277" t="str">
        <f>IFERROR(_xlfn.LET(_xlpm.camera_wand_count_by_day, AVERAGEIFS(Log!$E:$E, Log!$C:$C, $A95, Log!$B:$B, "n/a", Log!$A:$A, "Daily", Log!$D:$D, $C$2), _xlpm.auto_stop_that_day, _xlfn.XLOOKUP(A95, Daily!$C95:$C10089, Daily!$G95:$G10089), _xlpm.camera_wand_count_by_day/_xlpm.auto_stop_that_day), "")</f>
        <v/>
      </c>
      <c r="F95" s="262" t="str">
        <f>_xlfn.XLOOKUP($A95, Daily!$C:$C, Daily!$J:$J)</f>
        <v/>
      </c>
      <c r="G95" s="262" t="str">
        <f>_xlfn.XLOOKUP($A95, Daily!$C:$C, Daily!$M:$M)</f>
        <v/>
      </c>
    </row>
    <row r="96" spans="1:7" x14ac:dyDescent="0.3">
      <c r="A96" s="7">
        <v>0</v>
      </c>
      <c r="C96" s="9" t="str">
        <f>IFERROR(AVERAGEIFS(Log!$F:$F, Log!$C:$C, $A96, Log!$B:$B, "n/a", Log!$A:$A, "Daily", Log!$D:$D, $C$2), "")</f>
        <v/>
      </c>
      <c r="D96" s="9" t="str">
        <f>IFERROR(AVERAGEIFS(Log!$G:$G, Log!$C:$C, $A96, Log!$B:$B, "n/a", Log!$A:$A, "Daily", Log!$D:$D, $C$2), "")</f>
        <v/>
      </c>
      <c r="E96" s="277" t="str">
        <f>IFERROR(_xlfn.LET(_xlpm.camera_wand_count_by_day, AVERAGEIFS(Log!$E:$E, Log!$C:$C, $A96, Log!$B:$B, "n/a", Log!$A:$A, "Daily", Log!$D:$D, $C$2), _xlpm.auto_stop_that_day, _xlfn.XLOOKUP(A96, Daily!$C96:$C10090, Daily!$G96:$G10090), _xlpm.camera_wand_count_by_day/_xlpm.auto_stop_that_day), "")</f>
        <v/>
      </c>
      <c r="F96" s="262" t="str">
        <f>_xlfn.XLOOKUP($A96, Daily!$C:$C, Daily!$J:$J)</f>
        <v/>
      </c>
      <c r="G96" s="262" t="str">
        <f>_xlfn.XLOOKUP($A96, Daily!$C:$C, Daily!$M:$M)</f>
        <v/>
      </c>
    </row>
    <row r="97" spans="1:7" x14ac:dyDescent="0.3">
      <c r="A97" s="7">
        <v>0</v>
      </c>
      <c r="C97" s="9" t="str">
        <f>IFERROR(AVERAGEIFS(Log!$F:$F, Log!$C:$C, $A97, Log!$B:$B, "n/a", Log!$A:$A, "Daily", Log!$D:$D, $C$2), "")</f>
        <v/>
      </c>
      <c r="D97" s="9" t="str">
        <f>IFERROR(AVERAGEIFS(Log!$G:$G, Log!$C:$C, $A97, Log!$B:$B, "n/a", Log!$A:$A, "Daily", Log!$D:$D, $C$2), "")</f>
        <v/>
      </c>
      <c r="E97" s="277" t="str">
        <f>IFERROR(_xlfn.LET(_xlpm.camera_wand_count_by_day, AVERAGEIFS(Log!$E:$E, Log!$C:$C, $A97, Log!$B:$B, "n/a", Log!$A:$A, "Daily", Log!$D:$D, $C$2), _xlpm.auto_stop_that_day, _xlfn.XLOOKUP(A97, Daily!$C97:$C10091, Daily!$G97:$G10091), _xlpm.camera_wand_count_by_day/_xlpm.auto_stop_that_day), "")</f>
        <v/>
      </c>
      <c r="F97" s="262" t="str">
        <f>_xlfn.XLOOKUP($A97, Daily!$C:$C, Daily!$J:$J)</f>
        <v/>
      </c>
      <c r="G97" s="262" t="str">
        <f>_xlfn.XLOOKUP($A97, Daily!$C:$C, Daily!$M:$M)</f>
        <v/>
      </c>
    </row>
    <row r="98" spans="1:7" x14ac:dyDescent="0.3">
      <c r="A98" s="7">
        <v>0</v>
      </c>
      <c r="C98" s="9" t="str">
        <f>IFERROR(AVERAGEIFS(Log!$F:$F, Log!$C:$C, $A98, Log!$B:$B, "n/a", Log!$A:$A, "Daily", Log!$D:$D, $C$2), "")</f>
        <v/>
      </c>
      <c r="D98" s="9" t="str">
        <f>IFERROR(AVERAGEIFS(Log!$G:$G, Log!$C:$C, $A98, Log!$B:$B, "n/a", Log!$A:$A, "Daily", Log!$D:$D, $C$2), "")</f>
        <v/>
      </c>
      <c r="E98" s="277" t="str">
        <f>IFERROR(_xlfn.LET(_xlpm.camera_wand_count_by_day, AVERAGEIFS(Log!$E:$E, Log!$C:$C, $A98, Log!$B:$B, "n/a", Log!$A:$A, "Daily", Log!$D:$D, $C$2), _xlpm.auto_stop_that_day, _xlfn.XLOOKUP(A98, Daily!$C98:$C10092, Daily!$G98:$G10092), _xlpm.camera_wand_count_by_day/_xlpm.auto_stop_that_day), "")</f>
        <v/>
      </c>
      <c r="F98" s="262" t="str">
        <f>_xlfn.XLOOKUP($A98, Daily!$C:$C, Daily!$J:$J)</f>
        <v/>
      </c>
      <c r="G98" s="262" t="str">
        <f>_xlfn.XLOOKUP($A98, Daily!$C:$C, Daily!$M:$M)</f>
        <v/>
      </c>
    </row>
    <row r="99" spans="1:7" x14ac:dyDescent="0.3">
      <c r="A99" s="7">
        <v>0</v>
      </c>
      <c r="C99" s="9" t="str">
        <f>IFERROR(AVERAGEIFS(Log!$F:$F, Log!$C:$C, $A99, Log!$B:$B, "n/a", Log!$A:$A, "Daily", Log!$D:$D, $C$2), "")</f>
        <v/>
      </c>
      <c r="D99" s="9" t="str">
        <f>IFERROR(AVERAGEIFS(Log!$G:$G, Log!$C:$C, $A99, Log!$B:$B, "n/a", Log!$A:$A, "Daily", Log!$D:$D, $C$2), "")</f>
        <v/>
      </c>
      <c r="E99" s="277" t="str">
        <f>IFERROR(_xlfn.LET(_xlpm.camera_wand_count_by_day, AVERAGEIFS(Log!$E:$E, Log!$C:$C, $A99, Log!$B:$B, "n/a", Log!$A:$A, "Daily", Log!$D:$D, $C$2), _xlpm.auto_stop_that_day, _xlfn.XLOOKUP(A99, Daily!$C99:$C10093, Daily!$G99:$G10093), _xlpm.camera_wand_count_by_day/_xlpm.auto_stop_that_day), "")</f>
        <v/>
      </c>
      <c r="F99" s="262" t="str">
        <f>_xlfn.XLOOKUP($A99, Daily!$C:$C, Daily!$J:$J)</f>
        <v/>
      </c>
      <c r="G99" s="262" t="str">
        <f>_xlfn.XLOOKUP($A99, Daily!$C:$C, Daily!$M:$M)</f>
        <v/>
      </c>
    </row>
    <row r="100" spans="1:7" x14ac:dyDescent="0.3">
      <c r="A100" s="7">
        <v>0</v>
      </c>
      <c r="C100" s="9" t="str">
        <f>IFERROR(AVERAGEIFS(Log!$F:$F, Log!$C:$C, $A100, Log!$B:$B, "n/a", Log!$A:$A, "Daily", Log!$D:$D, $C$2), "")</f>
        <v/>
      </c>
      <c r="D100" s="9" t="str">
        <f>IFERROR(AVERAGEIFS(Log!$G:$G, Log!$C:$C, $A100, Log!$B:$B, "n/a", Log!$A:$A, "Daily", Log!$D:$D, $C$2), "")</f>
        <v/>
      </c>
      <c r="E100" s="277" t="str">
        <f>IFERROR(_xlfn.LET(_xlpm.camera_wand_count_by_day, AVERAGEIFS(Log!$E:$E, Log!$C:$C, $A100, Log!$B:$B, "n/a", Log!$A:$A, "Daily", Log!$D:$D, $C$2), _xlpm.auto_stop_that_day, _xlfn.XLOOKUP(A100, Daily!$C100:$C10094, Daily!$G100:$G10094), _xlpm.camera_wand_count_by_day/_xlpm.auto_stop_that_day), "")</f>
        <v/>
      </c>
      <c r="F100" s="262" t="str">
        <f>_xlfn.XLOOKUP($A100, Daily!$C:$C, Daily!$J:$J)</f>
        <v/>
      </c>
      <c r="G100" s="262" t="str">
        <f>_xlfn.XLOOKUP($A100, Daily!$C:$C, Daily!$M:$M)</f>
        <v/>
      </c>
    </row>
    <row r="101" spans="1:7" x14ac:dyDescent="0.3">
      <c r="A101" s="7">
        <v>0</v>
      </c>
      <c r="C101" s="9" t="str">
        <f>IFERROR(AVERAGEIFS(Log!$F:$F, Log!$C:$C, $A101, Log!$B:$B, "n/a", Log!$A:$A, "Daily", Log!$D:$D, $C$2), "")</f>
        <v/>
      </c>
      <c r="D101" s="9" t="str">
        <f>IFERROR(AVERAGEIFS(Log!$G:$G, Log!$C:$C, $A101, Log!$B:$B, "n/a", Log!$A:$A, "Daily", Log!$D:$D, $C$2), "")</f>
        <v/>
      </c>
      <c r="E101" s="277" t="str">
        <f>IFERROR(_xlfn.LET(_xlpm.camera_wand_count_by_day, AVERAGEIFS(Log!$E:$E, Log!$C:$C, $A101, Log!$B:$B, "n/a", Log!$A:$A, "Daily", Log!$D:$D, $C$2), _xlpm.auto_stop_that_day, _xlfn.XLOOKUP(A101, Daily!$C101:$C10095, Daily!$G101:$G10095), _xlpm.camera_wand_count_by_day/_xlpm.auto_stop_that_day), "")</f>
        <v/>
      </c>
      <c r="F101" s="262" t="str">
        <f>_xlfn.XLOOKUP($A101, Daily!$C:$C, Daily!$J:$J)</f>
        <v/>
      </c>
      <c r="G101" s="262" t="str">
        <f>_xlfn.XLOOKUP($A101, Daily!$C:$C, Daily!$M:$M)</f>
        <v/>
      </c>
    </row>
    <row r="102" spans="1:7" x14ac:dyDescent="0.3">
      <c r="A102" s="7">
        <v>0</v>
      </c>
      <c r="C102" s="9" t="str">
        <f>IFERROR(AVERAGEIFS(Log!$F:$F, Log!$C:$C, $A102, Log!$B:$B, "n/a", Log!$A:$A, "Daily", Log!$D:$D, $C$2), "")</f>
        <v/>
      </c>
      <c r="D102" s="9" t="str">
        <f>IFERROR(AVERAGEIFS(Log!$G:$G, Log!$C:$C, $A102, Log!$B:$B, "n/a", Log!$A:$A, "Daily", Log!$D:$D, $C$2), "")</f>
        <v/>
      </c>
      <c r="E102" s="277" t="str">
        <f>IFERROR(_xlfn.LET(_xlpm.camera_wand_count_by_day, AVERAGEIFS(Log!$E:$E, Log!$C:$C, $A102, Log!$B:$B, "n/a", Log!$A:$A, "Daily", Log!$D:$D, $C$2), _xlpm.auto_stop_that_day, _xlfn.XLOOKUP(A102, Daily!$C102:$C10096, Daily!$G102:$G10096), _xlpm.camera_wand_count_by_day/_xlpm.auto_stop_that_day), "")</f>
        <v/>
      </c>
      <c r="F102" s="262" t="str">
        <f>_xlfn.XLOOKUP($A102, Daily!$C:$C, Daily!$J:$J)</f>
        <v/>
      </c>
      <c r="G102" s="262" t="str">
        <f>_xlfn.XLOOKUP($A102, Daily!$C:$C, Daily!$M:$M)</f>
        <v/>
      </c>
    </row>
    <row r="103" spans="1:7" x14ac:dyDescent="0.3">
      <c r="A103" s="7">
        <v>0</v>
      </c>
      <c r="C103" s="9" t="str">
        <f>IFERROR(AVERAGEIFS(Log!$F:$F, Log!$C:$C, $A103, Log!$B:$B, "n/a", Log!$A:$A, "Daily", Log!$D:$D, $C$2), "")</f>
        <v/>
      </c>
      <c r="D103" s="9" t="str">
        <f>IFERROR(AVERAGEIFS(Log!$G:$G, Log!$C:$C, $A103, Log!$B:$B, "n/a", Log!$A:$A, "Daily", Log!$D:$D, $C$2), "")</f>
        <v/>
      </c>
      <c r="E103" s="277" t="str">
        <f>IFERROR(_xlfn.LET(_xlpm.camera_wand_count_by_day, AVERAGEIFS(Log!$E:$E, Log!$C:$C, $A103, Log!$B:$B, "n/a", Log!$A:$A, "Daily", Log!$D:$D, $C$2), _xlpm.auto_stop_that_day, _xlfn.XLOOKUP(A103, Daily!$C103:$C10097, Daily!$G103:$G10097), _xlpm.camera_wand_count_by_day/_xlpm.auto_stop_that_day), "")</f>
        <v/>
      </c>
      <c r="F103" s="262" t="str">
        <f>_xlfn.XLOOKUP($A103, Daily!$C:$C, Daily!$J:$J)</f>
        <v/>
      </c>
      <c r="G103" s="262" t="str">
        <f>_xlfn.XLOOKUP($A103, Daily!$C:$C, Daily!$M:$M)</f>
        <v/>
      </c>
    </row>
    <row r="104" spans="1:7" x14ac:dyDescent="0.3">
      <c r="A104" s="7">
        <v>0</v>
      </c>
      <c r="C104" s="9" t="str">
        <f>IFERROR(AVERAGEIFS(Log!$F:$F, Log!$C:$C, $A104, Log!$B:$B, "n/a", Log!$A:$A, "Daily", Log!$D:$D, $C$2), "")</f>
        <v/>
      </c>
      <c r="D104" s="9" t="str">
        <f>IFERROR(AVERAGEIFS(Log!$G:$G, Log!$C:$C, $A104, Log!$B:$B, "n/a", Log!$A:$A, "Daily", Log!$D:$D, $C$2), "")</f>
        <v/>
      </c>
      <c r="E104" s="277" t="str">
        <f>IFERROR(_xlfn.LET(_xlpm.camera_wand_count_by_day, AVERAGEIFS(Log!$E:$E, Log!$C:$C, $A104, Log!$B:$B, "n/a", Log!$A:$A, "Daily", Log!$D:$D, $C$2), _xlpm.auto_stop_that_day, _xlfn.XLOOKUP(A104, Daily!$C104:$C10098, Daily!$G104:$G10098), _xlpm.camera_wand_count_by_day/_xlpm.auto_stop_that_day), "")</f>
        <v/>
      </c>
      <c r="F104" s="262" t="str">
        <f>_xlfn.XLOOKUP($A104, Daily!$C:$C, Daily!$J:$J)</f>
        <v/>
      </c>
      <c r="G104" s="262" t="str">
        <f>_xlfn.XLOOKUP($A104, Daily!$C:$C, Daily!$M:$M)</f>
        <v/>
      </c>
    </row>
    <row r="105" spans="1:7" x14ac:dyDescent="0.3">
      <c r="A105" s="7">
        <v>0</v>
      </c>
      <c r="C105" s="9" t="str">
        <f>IFERROR(AVERAGEIFS(Log!$F:$F, Log!$C:$C, $A105, Log!$B:$B, "n/a", Log!$A:$A, "Daily", Log!$D:$D, $C$2), "")</f>
        <v/>
      </c>
      <c r="D105" s="9" t="str">
        <f>IFERROR(AVERAGEIFS(Log!$G:$G, Log!$C:$C, $A105, Log!$B:$B, "n/a", Log!$A:$A, "Daily", Log!$D:$D, $C$2), "")</f>
        <v/>
      </c>
      <c r="E105" s="277" t="str">
        <f>IFERROR(_xlfn.LET(_xlpm.camera_wand_count_by_day, AVERAGEIFS(Log!$E:$E, Log!$C:$C, $A105, Log!$B:$B, "n/a", Log!$A:$A, "Daily", Log!$D:$D, $C$2), _xlpm.auto_stop_that_day, _xlfn.XLOOKUP(A105, Daily!$C105:$C10099, Daily!$G105:$G10099), _xlpm.camera_wand_count_by_day/_xlpm.auto_stop_that_day), "")</f>
        <v/>
      </c>
      <c r="F105" s="262" t="str">
        <f>_xlfn.XLOOKUP($A105, Daily!$C:$C, Daily!$J:$J)</f>
        <v/>
      </c>
      <c r="G105" s="262" t="str">
        <f>_xlfn.XLOOKUP($A105, Daily!$C:$C, Daily!$M:$M)</f>
        <v/>
      </c>
    </row>
    <row r="106" spans="1:7" x14ac:dyDescent="0.3">
      <c r="A106" s="7">
        <v>0</v>
      </c>
      <c r="C106" s="9" t="str">
        <f>IFERROR(AVERAGEIFS(Log!$F:$F, Log!$C:$C, $A106, Log!$B:$B, "n/a", Log!$A:$A, "Daily", Log!$D:$D, $C$2), "")</f>
        <v/>
      </c>
      <c r="D106" s="9" t="str">
        <f>IFERROR(AVERAGEIFS(Log!$G:$G, Log!$C:$C, $A106, Log!$B:$B, "n/a", Log!$A:$A, "Daily", Log!$D:$D, $C$2), "")</f>
        <v/>
      </c>
      <c r="E106" s="277" t="str">
        <f>IFERROR(_xlfn.LET(_xlpm.camera_wand_count_by_day, AVERAGEIFS(Log!$E:$E, Log!$C:$C, $A106, Log!$B:$B, "n/a", Log!$A:$A, "Daily", Log!$D:$D, $C$2), _xlpm.auto_stop_that_day, _xlfn.XLOOKUP(A106, Daily!$C106:$C10100, Daily!$G106:$G10100), _xlpm.camera_wand_count_by_day/_xlpm.auto_stop_that_day), "")</f>
        <v/>
      </c>
      <c r="F106" s="262" t="str">
        <f>_xlfn.XLOOKUP($A106, Daily!$C:$C, Daily!$J:$J)</f>
        <v/>
      </c>
      <c r="G106" s="262" t="str">
        <f>_xlfn.XLOOKUP($A106, Daily!$C:$C, Daily!$M:$M)</f>
        <v/>
      </c>
    </row>
    <row r="107" spans="1:7" x14ac:dyDescent="0.3">
      <c r="A107" s="7">
        <v>0</v>
      </c>
      <c r="C107" s="9" t="str">
        <f>IFERROR(AVERAGEIFS(Log!$F:$F, Log!$C:$C, $A107, Log!$B:$B, "n/a", Log!$A:$A, "Daily", Log!$D:$D, $C$2), "")</f>
        <v/>
      </c>
      <c r="D107" s="9" t="str">
        <f>IFERROR(AVERAGEIFS(Log!$G:$G, Log!$C:$C, $A107, Log!$B:$B, "n/a", Log!$A:$A, "Daily", Log!$D:$D, $C$2), "")</f>
        <v/>
      </c>
      <c r="E107" s="277" t="str">
        <f>IFERROR(_xlfn.LET(_xlpm.camera_wand_count_by_day, AVERAGEIFS(Log!$E:$E, Log!$C:$C, $A107, Log!$B:$B, "n/a", Log!$A:$A, "Daily", Log!$D:$D, $C$2), _xlpm.auto_stop_that_day, _xlfn.XLOOKUP(A107, Daily!$C107:$C10101, Daily!$G107:$G10101), _xlpm.camera_wand_count_by_day/_xlpm.auto_stop_that_day), "")</f>
        <v/>
      </c>
      <c r="F107" s="262" t="str">
        <f>_xlfn.XLOOKUP($A107, Daily!$C:$C, Daily!$J:$J)</f>
        <v/>
      </c>
      <c r="G107" s="262" t="str">
        <f>_xlfn.XLOOKUP($A107, Daily!$C:$C, Daily!$M:$M)</f>
        <v/>
      </c>
    </row>
    <row r="108" spans="1:7" x14ac:dyDescent="0.3">
      <c r="A108" s="7">
        <v>0</v>
      </c>
      <c r="C108" s="9" t="str">
        <f>IFERROR(AVERAGEIFS(Log!$F:$F, Log!$C:$C, $A108, Log!$B:$B, "n/a", Log!$A:$A, "Daily", Log!$D:$D, $C$2), "")</f>
        <v/>
      </c>
      <c r="D108" s="9" t="str">
        <f>IFERROR(AVERAGEIFS(Log!$G:$G, Log!$C:$C, $A108, Log!$B:$B, "n/a", Log!$A:$A, "Daily", Log!$D:$D, $C$2), "")</f>
        <v/>
      </c>
      <c r="E108" s="277" t="str">
        <f>IFERROR(_xlfn.LET(_xlpm.camera_wand_count_by_day, AVERAGEIFS(Log!$E:$E, Log!$C:$C, $A108, Log!$B:$B, "n/a", Log!$A:$A, "Daily", Log!$D:$D, $C$2), _xlpm.auto_stop_that_day, _xlfn.XLOOKUP(A108, Daily!$C108:$C10102, Daily!$G108:$G10102), _xlpm.camera_wand_count_by_day/_xlpm.auto_stop_that_day), "")</f>
        <v/>
      </c>
      <c r="F108" s="262" t="str">
        <f>_xlfn.XLOOKUP($A108, Daily!$C:$C, Daily!$J:$J)</f>
        <v/>
      </c>
      <c r="G108" s="262" t="str">
        <f>_xlfn.XLOOKUP($A108, Daily!$C:$C, Daily!$M:$M)</f>
        <v/>
      </c>
    </row>
    <row r="109" spans="1:7" x14ac:dyDescent="0.3">
      <c r="A109" s="7">
        <v>0</v>
      </c>
      <c r="C109" s="9" t="str">
        <f>IFERROR(AVERAGEIFS(Log!$F:$F, Log!$C:$C, $A109, Log!$B:$B, "n/a", Log!$A:$A, "Daily", Log!$D:$D, $C$2), "")</f>
        <v/>
      </c>
      <c r="D109" s="9" t="str">
        <f>IFERROR(AVERAGEIFS(Log!$G:$G, Log!$C:$C, $A109, Log!$B:$B, "n/a", Log!$A:$A, "Daily", Log!$D:$D, $C$2), "")</f>
        <v/>
      </c>
      <c r="E109" s="277" t="str">
        <f>IFERROR(_xlfn.LET(_xlpm.camera_wand_count_by_day, AVERAGEIFS(Log!$E:$E, Log!$C:$C, $A109, Log!$B:$B, "n/a", Log!$A:$A, "Daily", Log!$D:$D, $C$2), _xlpm.auto_stop_that_day, _xlfn.XLOOKUP(A109, Daily!$C109:$C10103, Daily!$G109:$G10103), _xlpm.camera_wand_count_by_day/_xlpm.auto_stop_that_day), "")</f>
        <v/>
      </c>
      <c r="F109" s="262" t="str">
        <f>_xlfn.XLOOKUP($A109, Daily!$C:$C, Daily!$J:$J)</f>
        <v/>
      </c>
      <c r="G109" s="262" t="str">
        <f>_xlfn.XLOOKUP($A109, Daily!$C:$C, Daily!$M:$M)</f>
        <v/>
      </c>
    </row>
    <row r="110" spans="1:7" x14ac:dyDescent="0.3">
      <c r="A110" s="7">
        <v>0</v>
      </c>
      <c r="C110" s="9" t="str">
        <f>IFERROR(AVERAGEIFS(Log!$F:$F, Log!$C:$C, $A110, Log!$B:$B, "n/a", Log!$A:$A, "Daily", Log!$D:$D, $C$2), "")</f>
        <v/>
      </c>
      <c r="D110" s="9" t="str">
        <f>IFERROR(AVERAGEIFS(Log!$G:$G, Log!$C:$C, $A110, Log!$B:$B, "n/a", Log!$A:$A, "Daily", Log!$D:$D, $C$2), "")</f>
        <v/>
      </c>
      <c r="E110" s="277" t="str">
        <f>IFERROR(_xlfn.LET(_xlpm.camera_wand_count_by_day, AVERAGEIFS(Log!$E:$E, Log!$C:$C, $A110, Log!$B:$B, "n/a", Log!$A:$A, "Daily", Log!$D:$D, $C$2), _xlpm.auto_stop_that_day, _xlfn.XLOOKUP(A110, Daily!$C110:$C10104, Daily!$G110:$G10104), _xlpm.camera_wand_count_by_day/_xlpm.auto_stop_that_day), "")</f>
        <v/>
      </c>
      <c r="F110" s="262" t="str">
        <f>_xlfn.XLOOKUP($A110, Daily!$C:$C, Daily!$J:$J)</f>
        <v/>
      </c>
      <c r="G110" s="262" t="str">
        <f>_xlfn.XLOOKUP($A110, Daily!$C:$C, Daily!$M:$M)</f>
        <v/>
      </c>
    </row>
    <row r="111" spans="1:7" x14ac:dyDescent="0.3">
      <c r="A111" s="7">
        <v>0</v>
      </c>
      <c r="C111" s="9" t="str">
        <f>IFERROR(AVERAGEIFS(Log!$F:$F, Log!$C:$C, $A111, Log!$B:$B, "n/a", Log!$A:$A, "Daily", Log!$D:$D, $C$2), "")</f>
        <v/>
      </c>
      <c r="D111" s="9" t="str">
        <f>IFERROR(AVERAGEIFS(Log!$G:$G, Log!$C:$C, $A111, Log!$B:$B, "n/a", Log!$A:$A, "Daily", Log!$D:$D, $C$2), "")</f>
        <v/>
      </c>
      <c r="E111" s="277" t="str">
        <f>IFERROR(_xlfn.LET(_xlpm.camera_wand_count_by_day, AVERAGEIFS(Log!$E:$E, Log!$C:$C, $A111, Log!$B:$B, "n/a", Log!$A:$A, "Daily", Log!$D:$D, $C$2), _xlpm.auto_stop_that_day, _xlfn.XLOOKUP(A111, Daily!$C111:$C10105, Daily!$G111:$G10105), _xlpm.camera_wand_count_by_day/_xlpm.auto_stop_that_day), "")</f>
        <v/>
      </c>
      <c r="F111" s="262" t="str">
        <f>_xlfn.XLOOKUP($A111, Daily!$C:$C, Daily!$J:$J)</f>
        <v/>
      </c>
      <c r="G111" s="262" t="str">
        <f>_xlfn.XLOOKUP($A111, Daily!$C:$C, Daily!$M:$M)</f>
        <v/>
      </c>
    </row>
    <row r="112" spans="1:7" x14ac:dyDescent="0.3">
      <c r="A112" s="7">
        <v>0</v>
      </c>
      <c r="C112" s="9" t="str">
        <f>IFERROR(AVERAGEIFS(Log!$F:$F, Log!$C:$C, $A112, Log!$B:$B, "n/a", Log!$A:$A, "Daily", Log!$D:$D, $C$2), "")</f>
        <v/>
      </c>
      <c r="D112" s="9" t="str">
        <f>IFERROR(AVERAGEIFS(Log!$G:$G, Log!$C:$C, $A112, Log!$B:$B, "n/a", Log!$A:$A, "Daily", Log!$D:$D, $C$2), "")</f>
        <v/>
      </c>
      <c r="E112" s="277" t="str">
        <f>IFERROR(_xlfn.LET(_xlpm.camera_wand_count_by_day, AVERAGEIFS(Log!$E:$E, Log!$C:$C, $A112, Log!$B:$B, "n/a", Log!$A:$A, "Daily", Log!$D:$D, $C$2), _xlpm.auto_stop_that_day, _xlfn.XLOOKUP(A112, Daily!$C112:$C10106, Daily!$G112:$G10106), _xlpm.camera_wand_count_by_day/_xlpm.auto_stop_that_day), "")</f>
        <v/>
      </c>
      <c r="F112" s="262" t="str">
        <f>_xlfn.XLOOKUP($A112, Daily!$C:$C, Daily!$J:$J)</f>
        <v/>
      </c>
      <c r="G112" s="262" t="str">
        <f>_xlfn.XLOOKUP($A112, Daily!$C:$C, Daily!$M:$M)</f>
        <v/>
      </c>
    </row>
    <row r="113" spans="1:7" x14ac:dyDescent="0.3">
      <c r="A113" s="7">
        <v>0</v>
      </c>
      <c r="C113" s="9" t="str">
        <f>IFERROR(AVERAGEIFS(Log!$F:$F, Log!$C:$C, $A113, Log!$B:$B, "n/a", Log!$A:$A, "Daily", Log!$D:$D, $C$2), "")</f>
        <v/>
      </c>
      <c r="D113" s="9" t="str">
        <f>IFERROR(AVERAGEIFS(Log!$G:$G, Log!$C:$C, $A113, Log!$B:$B, "n/a", Log!$A:$A, "Daily", Log!$D:$D, $C$2), "")</f>
        <v/>
      </c>
      <c r="E113" s="277" t="str">
        <f>IFERROR(_xlfn.LET(_xlpm.camera_wand_count_by_day, AVERAGEIFS(Log!$E:$E, Log!$C:$C, $A113, Log!$B:$B, "n/a", Log!$A:$A, "Daily", Log!$D:$D, $C$2), _xlpm.auto_stop_that_day, _xlfn.XLOOKUP(A113, Daily!$C113:$C10107, Daily!$G113:$G10107), _xlpm.camera_wand_count_by_day/_xlpm.auto_stop_that_day), "")</f>
        <v/>
      </c>
      <c r="F113" s="262" t="str">
        <f>_xlfn.XLOOKUP($A113, Daily!$C:$C, Daily!$J:$J)</f>
        <v/>
      </c>
      <c r="G113" s="262" t="str">
        <f>_xlfn.XLOOKUP($A113, Daily!$C:$C, Daily!$M:$M)</f>
        <v/>
      </c>
    </row>
    <row r="114" spans="1:7" x14ac:dyDescent="0.3">
      <c r="A114" s="7">
        <v>0</v>
      </c>
      <c r="C114" s="9" t="str">
        <f>IFERROR(AVERAGEIFS(Log!$F:$F, Log!$C:$C, $A114, Log!$B:$B, "n/a", Log!$A:$A, "Daily", Log!$D:$D, $C$2), "")</f>
        <v/>
      </c>
      <c r="D114" s="9" t="str">
        <f>IFERROR(AVERAGEIFS(Log!$G:$G, Log!$C:$C, $A114, Log!$B:$B, "n/a", Log!$A:$A, "Daily", Log!$D:$D, $C$2), "")</f>
        <v/>
      </c>
      <c r="E114" s="277" t="str">
        <f>IFERROR(_xlfn.LET(_xlpm.camera_wand_count_by_day, AVERAGEIFS(Log!$E:$E, Log!$C:$C, $A114, Log!$B:$B, "n/a", Log!$A:$A, "Daily", Log!$D:$D, $C$2), _xlpm.auto_stop_that_day, _xlfn.XLOOKUP(A114, Daily!$C114:$C10108, Daily!$G114:$G10108), _xlpm.camera_wand_count_by_day/_xlpm.auto_stop_that_day), "")</f>
        <v/>
      </c>
      <c r="F114" s="262" t="str">
        <f>_xlfn.XLOOKUP($A114, Daily!$C:$C, Daily!$J:$J)</f>
        <v/>
      </c>
      <c r="G114" s="262" t="str">
        <f>_xlfn.XLOOKUP($A114, Daily!$C:$C, Daily!$M:$M)</f>
        <v/>
      </c>
    </row>
    <row r="115" spans="1:7" x14ac:dyDescent="0.3">
      <c r="A115" s="7">
        <v>0</v>
      </c>
      <c r="C115" s="9" t="str">
        <f>IFERROR(AVERAGEIFS(Log!$F:$F, Log!$C:$C, $A115, Log!$B:$B, "n/a", Log!$A:$A, "Daily", Log!$D:$D, $C$2), "")</f>
        <v/>
      </c>
      <c r="D115" s="9" t="str">
        <f>IFERROR(AVERAGEIFS(Log!$G:$G, Log!$C:$C, $A115, Log!$B:$B, "n/a", Log!$A:$A, "Daily", Log!$D:$D, $C$2), "")</f>
        <v/>
      </c>
      <c r="E115" s="277" t="str">
        <f>IFERROR(_xlfn.LET(_xlpm.camera_wand_count_by_day, AVERAGEIFS(Log!$E:$E, Log!$C:$C, $A115, Log!$B:$B, "n/a", Log!$A:$A, "Daily", Log!$D:$D, $C$2), _xlpm.auto_stop_that_day, _xlfn.XLOOKUP(A115, Daily!$C115:$C10109, Daily!$G115:$G10109), _xlpm.camera_wand_count_by_day/_xlpm.auto_stop_that_day), "")</f>
        <v/>
      </c>
      <c r="F115" s="262" t="str">
        <f>_xlfn.XLOOKUP($A115, Daily!$C:$C, Daily!$J:$J)</f>
        <v/>
      </c>
      <c r="G115" s="262" t="str">
        <f>_xlfn.XLOOKUP($A115, Daily!$C:$C, Daily!$M:$M)</f>
        <v/>
      </c>
    </row>
    <row r="116" spans="1:7" x14ac:dyDescent="0.3">
      <c r="A116" s="7">
        <v>0</v>
      </c>
      <c r="C116" s="9" t="str">
        <f>IFERROR(AVERAGEIFS(Log!$F:$F, Log!$C:$C, $A116, Log!$B:$B, "n/a", Log!$A:$A, "Daily", Log!$D:$D, $C$2), "")</f>
        <v/>
      </c>
      <c r="D116" s="9" t="str">
        <f>IFERROR(AVERAGEIFS(Log!$G:$G, Log!$C:$C, $A116, Log!$B:$B, "n/a", Log!$A:$A, "Daily", Log!$D:$D, $C$2), "")</f>
        <v/>
      </c>
      <c r="E116" s="277" t="str">
        <f>IFERROR(_xlfn.LET(_xlpm.camera_wand_count_by_day, AVERAGEIFS(Log!$E:$E, Log!$C:$C, $A116, Log!$B:$B, "n/a", Log!$A:$A, "Daily", Log!$D:$D, $C$2), _xlpm.auto_stop_that_day, _xlfn.XLOOKUP(A116, Daily!$C116:$C10110, Daily!$G116:$G10110), _xlpm.camera_wand_count_by_day/_xlpm.auto_stop_that_day), "")</f>
        <v/>
      </c>
      <c r="F116" s="262" t="str">
        <f>_xlfn.XLOOKUP($A116, Daily!$C:$C, Daily!$J:$J)</f>
        <v/>
      </c>
      <c r="G116" s="262" t="str">
        <f>_xlfn.XLOOKUP($A116, Daily!$C:$C, Daily!$M:$M)</f>
        <v/>
      </c>
    </row>
    <row r="117" spans="1:7" x14ac:dyDescent="0.3">
      <c r="A117" s="7">
        <v>0</v>
      </c>
      <c r="C117" s="9" t="str">
        <f>IFERROR(AVERAGEIFS(Log!$F:$F, Log!$C:$C, $A117, Log!$B:$B, "n/a", Log!$A:$A, "Daily", Log!$D:$D, $C$2), "")</f>
        <v/>
      </c>
      <c r="D117" s="9" t="str">
        <f>IFERROR(AVERAGEIFS(Log!$G:$G, Log!$C:$C, $A117, Log!$B:$B, "n/a", Log!$A:$A, "Daily", Log!$D:$D, $C$2), "")</f>
        <v/>
      </c>
      <c r="E117" s="277" t="str">
        <f>IFERROR(_xlfn.LET(_xlpm.camera_wand_count_by_day, AVERAGEIFS(Log!$E:$E, Log!$C:$C, $A117, Log!$B:$B, "n/a", Log!$A:$A, "Daily", Log!$D:$D, $C$2), _xlpm.auto_stop_that_day, _xlfn.XLOOKUP(A117, Daily!$C117:$C10111, Daily!$G117:$G10111), _xlpm.camera_wand_count_by_day/_xlpm.auto_stop_that_day), "")</f>
        <v/>
      </c>
      <c r="F117" s="262" t="str">
        <f>_xlfn.XLOOKUP($A117, Daily!$C:$C, Daily!$J:$J)</f>
        <v/>
      </c>
      <c r="G117" s="262" t="str">
        <f>_xlfn.XLOOKUP($A117, Daily!$C:$C, Daily!$M:$M)</f>
        <v/>
      </c>
    </row>
    <row r="118" spans="1:7" x14ac:dyDescent="0.3">
      <c r="A118" s="7">
        <v>0</v>
      </c>
      <c r="C118" s="9" t="str">
        <f>IFERROR(AVERAGEIFS(Log!$F:$F, Log!$C:$C, $A118, Log!$B:$B, "n/a", Log!$A:$A, "Daily", Log!$D:$D, $C$2), "")</f>
        <v/>
      </c>
      <c r="D118" s="9" t="str">
        <f>IFERROR(AVERAGEIFS(Log!$G:$G, Log!$C:$C, $A118, Log!$B:$B, "n/a", Log!$A:$A, "Daily", Log!$D:$D, $C$2), "")</f>
        <v/>
      </c>
      <c r="E118" s="277" t="str">
        <f>IFERROR(_xlfn.LET(_xlpm.camera_wand_count_by_day, AVERAGEIFS(Log!$E:$E, Log!$C:$C, $A118, Log!$B:$B, "n/a", Log!$A:$A, "Daily", Log!$D:$D, $C$2), _xlpm.auto_stop_that_day, _xlfn.XLOOKUP(A118, Daily!$C118:$C10112, Daily!$G118:$G10112), _xlpm.camera_wand_count_by_day/_xlpm.auto_stop_that_day), "")</f>
        <v/>
      </c>
      <c r="F118" s="262" t="str">
        <f>_xlfn.XLOOKUP($A118, Daily!$C:$C, Daily!$J:$J)</f>
        <v/>
      </c>
      <c r="G118" s="262" t="str">
        <f>_xlfn.XLOOKUP($A118, Daily!$C:$C, Daily!$M:$M)</f>
        <v/>
      </c>
    </row>
    <row r="119" spans="1:7" x14ac:dyDescent="0.3">
      <c r="A119" s="7">
        <v>0</v>
      </c>
      <c r="C119" s="9" t="str">
        <f>IFERROR(AVERAGEIFS(Log!$F:$F, Log!$C:$C, $A119, Log!$B:$B, "n/a", Log!$A:$A, "Daily", Log!$D:$D, $C$2), "")</f>
        <v/>
      </c>
      <c r="D119" s="9" t="str">
        <f>IFERROR(AVERAGEIFS(Log!$G:$G, Log!$C:$C, $A119, Log!$B:$B, "n/a", Log!$A:$A, "Daily", Log!$D:$D, $C$2), "")</f>
        <v/>
      </c>
      <c r="E119" s="277" t="str">
        <f>IFERROR(_xlfn.LET(_xlpm.camera_wand_count_by_day, AVERAGEIFS(Log!$E:$E, Log!$C:$C, $A119, Log!$B:$B, "n/a", Log!$A:$A, "Daily", Log!$D:$D, $C$2), _xlpm.auto_stop_that_day, _xlfn.XLOOKUP(A119, Daily!$C119:$C10113, Daily!$G119:$G10113), _xlpm.camera_wand_count_by_day/_xlpm.auto_stop_that_day), "")</f>
        <v/>
      </c>
      <c r="F119" s="262" t="str">
        <f>_xlfn.XLOOKUP($A119, Daily!$C:$C, Daily!$J:$J)</f>
        <v/>
      </c>
      <c r="G119" s="262" t="str">
        <f>_xlfn.XLOOKUP($A119, Daily!$C:$C, Daily!$M:$M)</f>
        <v/>
      </c>
    </row>
    <row r="120" spans="1:7" x14ac:dyDescent="0.3">
      <c r="A120" s="7">
        <v>0</v>
      </c>
      <c r="C120" s="9" t="str">
        <f>IFERROR(AVERAGEIFS(Log!$F:$F, Log!$C:$C, $A120, Log!$B:$B, "n/a", Log!$A:$A, "Daily", Log!$D:$D, $C$2), "")</f>
        <v/>
      </c>
      <c r="D120" s="9" t="str">
        <f>IFERROR(AVERAGEIFS(Log!$G:$G, Log!$C:$C, $A120, Log!$B:$B, "n/a", Log!$A:$A, "Daily", Log!$D:$D, $C$2), "")</f>
        <v/>
      </c>
      <c r="E120" s="277" t="str">
        <f>IFERROR(_xlfn.LET(_xlpm.camera_wand_count_by_day, AVERAGEIFS(Log!$E:$E, Log!$C:$C, $A120, Log!$B:$B, "n/a", Log!$A:$A, "Daily", Log!$D:$D, $C$2), _xlpm.auto_stop_that_day, _xlfn.XLOOKUP(A120, Daily!$C120:$C10114, Daily!$G120:$G10114), _xlpm.camera_wand_count_by_day/_xlpm.auto_stop_that_day), "")</f>
        <v/>
      </c>
      <c r="F120" s="262" t="str">
        <f>_xlfn.XLOOKUP($A120, Daily!$C:$C, Daily!$J:$J)</f>
        <v/>
      </c>
      <c r="G120" s="262" t="str">
        <f>_xlfn.XLOOKUP($A120, Daily!$C:$C, Daily!$M:$M)</f>
        <v/>
      </c>
    </row>
    <row r="121" spans="1:7" x14ac:dyDescent="0.3">
      <c r="A121" s="7">
        <v>0</v>
      </c>
      <c r="C121" s="9" t="str">
        <f>IFERROR(AVERAGEIFS(Log!$F:$F, Log!$C:$C, $A121, Log!$B:$B, "n/a", Log!$A:$A, "Daily", Log!$D:$D, $C$2), "")</f>
        <v/>
      </c>
      <c r="D121" s="9" t="str">
        <f>IFERROR(AVERAGEIFS(Log!$G:$G, Log!$C:$C, $A121, Log!$B:$B, "n/a", Log!$A:$A, "Daily", Log!$D:$D, $C$2), "")</f>
        <v/>
      </c>
      <c r="E121" s="277" t="str">
        <f>IFERROR(_xlfn.LET(_xlpm.camera_wand_count_by_day, AVERAGEIFS(Log!$E:$E, Log!$C:$C, $A121, Log!$B:$B, "n/a", Log!$A:$A, "Daily", Log!$D:$D, $C$2), _xlpm.auto_stop_that_day, _xlfn.XLOOKUP(A121, Daily!$C121:$C10115, Daily!$G121:$G10115), _xlpm.camera_wand_count_by_day/_xlpm.auto_stop_that_day), "")</f>
        <v/>
      </c>
      <c r="F121" s="262" t="str">
        <f>_xlfn.XLOOKUP($A121, Daily!$C:$C, Daily!$J:$J)</f>
        <v/>
      </c>
      <c r="G121" s="262" t="str">
        <f>_xlfn.XLOOKUP($A121, Daily!$C:$C, Daily!$M:$M)</f>
        <v/>
      </c>
    </row>
    <row r="122" spans="1:7" x14ac:dyDescent="0.3">
      <c r="A122" s="7">
        <v>0</v>
      </c>
      <c r="C122" s="9" t="str">
        <f>IFERROR(AVERAGEIFS(Log!$F:$F, Log!$C:$C, $A122, Log!$B:$B, "n/a", Log!$A:$A, "Daily", Log!$D:$D, $C$2), "")</f>
        <v/>
      </c>
      <c r="D122" s="9" t="str">
        <f>IFERROR(AVERAGEIFS(Log!$G:$G, Log!$C:$C, $A122, Log!$B:$B, "n/a", Log!$A:$A, "Daily", Log!$D:$D, $C$2), "")</f>
        <v/>
      </c>
      <c r="E122" s="277" t="str">
        <f>IFERROR(_xlfn.LET(_xlpm.camera_wand_count_by_day, AVERAGEIFS(Log!$E:$E, Log!$C:$C, $A122, Log!$B:$B, "n/a", Log!$A:$A, "Daily", Log!$D:$D, $C$2), _xlpm.auto_stop_that_day, _xlfn.XLOOKUP(A122, Daily!$C122:$C10116, Daily!$G122:$G10116), _xlpm.camera_wand_count_by_day/_xlpm.auto_stop_that_day), "")</f>
        <v/>
      </c>
      <c r="F122" s="262" t="str">
        <f>_xlfn.XLOOKUP($A122, Daily!$C:$C, Daily!$J:$J)</f>
        <v/>
      </c>
      <c r="G122" s="262" t="str">
        <f>_xlfn.XLOOKUP($A122, Daily!$C:$C, Daily!$M:$M)</f>
        <v/>
      </c>
    </row>
    <row r="123" spans="1:7" x14ac:dyDescent="0.3">
      <c r="A123" s="7">
        <v>0</v>
      </c>
      <c r="C123" s="9" t="str">
        <f>IFERROR(AVERAGEIFS(Log!$F:$F, Log!$C:$C, $A123, Log!$B:$B, "n/a", Log!$A:$A, "Daily", Log!$D:$D, $C$2), "")</f>
        <v/>
      </c>
      <c r="D123" s="9" t="str">
        <f>IFERROR(AVERAGEIFS(Log!$G:$G, Log!$C:$C, $A123, Log!$B:$B, "n/a", Log!$A:$A, "Daily", Log!$D:$D, $C$2), "")</f>
        <v/>
      </c>
      <c r="E123" s="277" t="str">
        <f>IFERROR(_xlfn.LET(_xlpm.camera_wand_count_by_day, AVERAGEIFS(Log!$E:$E, Log!$C:$C, $A123, Log!$B:$B, "n/a", Log!$A:$A, "Daily", Log!$D:$D, $C$2), _xlpm.auto_stop_that_day, _xlfn.XLOOKUP(A123, Daily!$C123:$C10117, Daily!$G123:$G10117), _xlpm.camera_wand_count_by_day/_xlpm.auto_stop_that_day), "")</f>
        <v/>
      </c>
      <c r="F123" s="262" t="str">
        <f>_xlfn.XLOOKUP($A123, Daily!$C:$C, Daily!$J:$J)</f>
        <v/>
      </c>
      <c r="G123" s="262" t="str">
        <f>_xlfn.XLOOKUP($A123, Daily!$C:$C, Daily!$M:$M)</f>
        <v/>
      </c>
    </row>
    <row r="124" spans="1:7" x14ac:dyDescent="0.3">
      <c r="A124" s="7">
        <v>0</v>
      </c>
      <c r="C124" s="9" t="str">
        <f>IFERROR(AVERAGEIFS(Log!$F:$F, Log!$C:$C, $A124, Log!$B:$B, "n/a", Log!$A:$A, "Daily", Log!$D:$D, $C$2), "")</f>
        <v/>
      </c>
      <c r="D124" s="9" t="str">
        <f>IFERROR(AVERAGEIFS(Log!$G:$G, Log!$C:$C, $A124, Log!$B:$B, "n/a", Log!$A:$A, "Daily", Log!$D:$D, $C$2), "")</f>
        <v/>
      </c>
      <c r="E124" s="277" t="str">
        <f>IFERROR(_xlfn.LET(_xlpm.camera_wand_count_by_day, AVERAGEIFS(Log!$E:$E, Log!$C:$C, $A124, Log!$B:$B, "n/a", Log!$A:$A, "Daily", Log!$D:$D, $C$2), _xlpm.auto_stop_that_day, _xlfn.XLOOKUP(A124, Daily!$C124:$C10118, Daily!$G124:$G10118), _xlpm.camera_wand_count_by_day/_xlpm.auto_stop_that_day), "")</f>
        <v/>
      </c>
      <c r="F124" s="262" t="str">
        <f>_xlfn.XLOOKUP($A124, Daily!$C:$C, Daily!$J:$J)</f>
        <v/>
      </c>
      <c r="G124" s="262" t="str">
        <f>_xlfn.XLOOKUP($A124, Daily!$C:$C, Daily!$M:$M)</f>
        <v/>
      </c>
    </row>
    <row r="125" spans="1:7" x14ac:dyDescent="0.3">
      <c r="A125" s="7">
        <v>0</v>
      </c>
      <c r="C125" s="9" t="str">
        <f>IFERROR(AVERAGEIFS(Log!$F:$F, Log!$C:$C, $A125, Log!$B:$B, "n/a", Log!$A:$A, "Daily", Log!$D:$D, $C$2), "")</f>
        <v/>
      </c>
      <c r="D125" s="9" t="str">
        <f>IFERROR(AVERAGEIFS(Log!$G:$G, Log!$C:$C, $A125, Log!$B:$B, "n/a", Log!$A:$A, "Daily", Log!$D:$D, $C$2), "")</f>
        <v/>
      </c>
      <c r="E125" s="277" t="str">
        <f>IFERROR(_xlfn.LET(_xlpm.camera_wand_count_by_day, AVERAGEIFS(Log!$E:$E, Log!$C:$C, $A125, Log!$B:$B, "n/a", Log!$A:$A, "Daily", Log!$D:$D, $C$2), _xlpm.auto_stop_that_day, _xlfn.XLOOKUP(A125, Daily!$C125:$C10119, Daily!$G125:$G10119), _xlpm.camera_wand_count_by_day/_xlpm.auto_stop_that_day), "")</f>
        <v/>
      </c>
      <c r="F125" s="262" t="str">
        <f>_xlfn.XLOOKUP($A125, Daily!$C:$C, Daily!$J:$J)</f>
        <v/>
      </c>
      <c r="G125" s="262" t="str">
        <f>_xlfn.XLOOKUP($A125, Daily!$C:$C, Daily!$M:$M)</f>
        <v/>
      </c>
    </row>
    <row r="126" spans="1:7" x14ac:dyDescent="0.3">
      <c r="A126" s="7">
        <v>0</v>
      </c>
      <c r="C126" s="9" t="str">
        <f>IFERROR(AVERAGEIFS(Log!$F:$F, Log!$C:$C, $A126, Log!$B:$B, "n/a", Log!$A:$A, "Daily", Log!$D:$D, $C$2), "")</f>
        <v/>
      </c>
      <c r="D126" s="9" t="str">
        <f>IFERROR(AVERAGEIFS(Log!$G:$G, Log!$C:$C, $A126, Log!$B:$B, "n/a", Log!$A:$A, "Daily", Log!$D:$D, $C$2), "")</f>
        <v/>
      </c>
      <c r="E126" s="277" t="str">
        <f>IFERROR(_xlfn.LET(_xlpm.camera_wand_count_by_day, AVERAGEIFS(Log!$E:$E, Log!$C:$C, $A126, Log!$B:$B, "n/a", Log!$A:$A, "Daily", Log!$D:$D, $C$2), _xlpm.auto_stop_that_day, _xlfn.XLOOKUP(A126, Daily!$C126:$C10120, Daily!$G126:$G10120), _xlpm.camera_wand_count_by_day/_xlpm.auto_stop_that_day), "")</f>
        <v/>
      </c>
      <c r="F126" s="262" t="str">
        <f>_xlfn.XLOOKUP($A126, Daily!$C:$C, Daily!$J:$J)</f>
        <v/>
      </c>
      <c r="G126" s="262" t="str">
        <f>_xlfn.XLOOKUP($A126, Daily!$C:$C, Daily!$M:$M)</f>
        <v/>
      </c>
    </row>
    <row r="127" spans="1:7" x14ac:dyDescent="0.3">
      <c r="A127" s="7">
        <v>0</v>
      </c>
      <c r="C127" s="9" t="str">
        <f>IFERROR(AVERAGEIFS(Log!$F:$F, Log!$C:$C, $A127, Log!$B:$B, "n/a", Log!$A:$A, "Daily", Log!$D:$D, $C$2), "")</f>
        <v/>
      </c>
      <c r="D127" s="9" t="str">
        <f>IFERROR(AVERAGEIFS(Log!$G:$G, Log!$C:$C, $A127, Log!$B:$B, "n/a", Log!$A:$A, "Daily", Log!$D:$D, $C$2), "")</f>
        <v/>
      </c>
      <c r="E127" s="277" t="str">
        <f>IFERROR(_xlfn.LET(_xlpm.camera_wand_count_by_day, AVERAGEIFS(Log!$E:$E, Log!$C:$C, $A127, Log!$B:$B, "n/a", Log!$A:$A, "Daily", Log!$D:$D, $C$2), _xlpm.auto_stop_that_day, _xlfn.XLOOKUP(A127, Daily!$C127:$C10121, Daily!$G127:$G10121), _xlpm.camera_wand_count_by_day/_xlpm.auto_stop_that_day), "")</f>
        <v/>
      </c>
      <c r="F127" s="262" t="str">
        <f>_xlfn.XLOOKUP($A127, Daily!$C:$C, Daily!$J:$J)</f>
        <v/>
      </c>
      <c r="G127" s="262" t="str">
        <f>_xlfn.XLOOKUP($A127, Daily!$C:$C, Daily!$M:$M)</f>
        <v/>
      </c>
    </row>
    <row r="128" spans="1:7" x14ac:dyDescent="0.3">
      <c r="A128" s="7">
        <v>0</v>
      </c>
      <c r="C128" s="9" t="str">
        <f>IFERROR(AVERAGEIFS(Log!$F:$F, Log!$C:$C, $A128, Log!$B:$B, "n/a", Log!$A:$A, "Daily", Log!$D:$D, $C$2), "")</f>
        <v/>
      </c>
      <c r="D128" s="9" t="str">
        <f>IFERROR(AVERAGEIFS(Log!$G:$G, Log!$C:$C, $A128, Log!$B:$B, "n/a", Log!$A:$A, "Daily", Log!$D:$D, $C$2), "")</f>
        <v/>
      </c>
      <c r="E128" s="277" t="str">
        <f>IFERROR(_xlfn.LET(_xlpm.camera_wand_count_by_day, AVERAGEIFS(Log!$E:$E, Log!$C:$C, $A128, Log!$B:$B, "n/a", Log!$A:$A, "Daily", Log!$D:$D, $C$2), _xlpm.auto_stop_that_day, _xlfn.XLOOKUP(A128, Daily!$C128:$C10122, Daily!$G128:$G10122), _xlpm.camera_wand_count_by_day/_xlpm.auto_stop_that_day), "")</f>
        <v/>
      </c>
      <c r="F128" s="262" t="str">
        <f>_xlfn.XLOOKUP($A128, Daily!$C:$C, Daily!$J:$J)</f>
        <v/>
      </c>
      <c r="G128" s="262" t="str">
        <f>_xlfn.XLOOKUP($A128, Daily!$C:$C, Daily!$M:$M)</f>
        <v/>
      </c>
    </row>
    <row r="129" spans="1:7" x14ac:dyDescent="0.3">
      <c r="A129" s="7">
        <v>0</v>
      </c>
      <c r="C129" s="9" t="str">
        <f>IFERROR(AVERAGEIFS(Log!$F:$F, Log!$C:$C, $A129, Log!$B:$B, "n/a", Log!$A:$A, "Daily", Log!$D:$D, $C$2), "")</f>
        <v/>
      </c>
      <c r="D129" s="9" t="str">
        <f>IFERROR(AVERAGEIFS(Log!$G:$G, Log!$C:$C, $A129, Log!$B:$B, "n/a", Log!$A:$A, "Daily", Log!$D:$D, $C$2), "")</f>
        <v/>
      </c>
      <c r="E129" s="277" t="str">
        <f>IFERROR(_xlfn.LET(_xlpm.camera_wand_count_by_day, AVERAGEIFS(Log!$E:$E, Log!$C:$C, $A129, Log!$B:$B, "n/a", Log!$A:$A, "Daily", Log!$D:$D, $C$2), _xlpm.auto_stop_that_day, _xlfn.XLOOKUP(A129, Daily!$C129:$C10123, Daily!$G129:$G10123), _xlpm.camera_wand_count_by_day/_xlpm.auto_stop_that_day), "")</f>
        <v/>
      </c>
      <c r="F129" s="262" t="str">
        <f>_xlfn.XLOOKUP($A129, Daily!$C:$C, Daily!$J:$J)</f>
        <v/>
      </c>
      <c r="G129" s="262" t="str">
        <f>_xlfn.XLOOKUP($A129, Daily!$C:$C, Daily!$M:$M)</f>
        <v/>
      </c>
    </row>
    <row r="130" spans="1:7" x14ac:dyDescent="0.3">
      <c r="A130" s="7">
        <v>0</v>
      </c>
      <c r="C130" s="9" t="str">
        <f>IFERROR(AVERAGEIFS(Log!$F:$F, Log!$C:$C, $A130, Log!$B:$B, "n/a", Log!$A:$A, "Daily", Log!$D:$D, $C$2), "")</f>
        <v/>
      </c>
      <c r="D130" s="9" t="str">
        <f>IFERROR(AVERAGEIFS(Log!$G:$G, Log!$C:$C, $A130, Log!$B:$B, "n/a", Log!$A:$A, "Daily", Log!$D:$D, $C$2), "")</f>
        <v/>
      </c>
      <c r="E130" s="277" t="str">
        <f>IFERROR(_xlfn.LET(_xlpm.camera_wand_count_by_day, AVERAGEIFS(Log!$E:$E, Log!$C:$C, $A130, Log!$B:$B, "n/a", Log!$A:$A, "Daily", Log!$D:$D, $C$2), _xlpm.auto_stop_that_day, _xlfn.XLOOKUP(A130, Daily!$C130:$C10124, Daily!$G130:$G10124), _xlpm.camera_wand_count_by_day/_xlpm.auto_stop_that_day), "")</f>
        <v/>
      </c>
      <c r="F130" s="262" t="str">
        <f>_xlfn.XLOOKUP($A130, Daily!$C:$C, Daily!$J:$J)</f>
        <v/>
      </c>
      <c r="G130" s="262" t="str">
        <f>_xlfn.XLOOKUP($A130, Daily!$C:$C, Daily!$M:$M)</f>
        <v/>
      </c>
    </row>
    <row r="131" spans="1:7" x14ac:dyDescent="0.3">
      <c r="A131" s="7">
        <v>0</v>
      </c>
      <c r="C131" s="9" t="str">
        <f>IFERROR(AVERAGEIFS(Log!$F:$F, Log!$C:$C, $A131, Log!$B:$B, "n/a", Log!$A:$A, "Daily", Log!$D:$D, $C$2), "")</f>
        <v/>
      </c>
      <c r="D131" s="9" t="str">
        <f>IFERROR(AVERAGEIFS(Log!$G:$G, Log!$C:$C, $A131, Log!$B:$B, "n/a", Log!$A:$A, "Daily", Log!$D:$D, $C$2), "")</f>
        <v/>
      </c>
      <c r="E131" s="277" t="str">
        <f>IFERROR(_xlfn.LET(_xlpm.camera_wand_count_by_day, AVERAGEIFS(Log!$E:$E, Log!$C:$C, $A131, Log!$B:$B, "n/a", Log!$A:$A, "Daily", Log!$D:$D, $C$2), _xlpm.auto_stop_that_day, _xlfn.XLOOKUP(A131, Daily!$C131:$C10125, Daily!$G131:$G10125), _xlpm.camera_wand_count_by_day/_xlpm.auto_stop_that_day), "")</f>
        <v/>
      </c>
      <c r="F131" s="262" t="str">
        <f>_xlfn.XLOOKUP($A131, Daily!$C:$C, Daily!$J:$J)</f>
        <v/>
      </c>
      <c r="G131" s="262" t="str">
        <f>_xlfn.XLOOKUP($A131, Daily!$C:$C, Daily!$M:$M)</f>
        <v/>
      </c>
    </row>
    <row r="132" spans="1:7" x14ac:dyDescent="0.3">
      <c r="A132" s="7">
        <v>0</v>
      </c>
      <c r="C132" s="9" t="str">
        <f>IFERROR(AVERAGEIFS(Log!$F:$F, Log!$C:$C, $A132, Log!$B:$B, "n/a", Log!$A:$A, "Daily", Log!$D:$D, $C$2), "")</f>
        <v/>
      </c>
      <c r="D132" s="9" t="str">
        <f>IFERROR(AVERAGEIFS(Log!$G:$G, Log!$C:$C, $A132, Log!$B:$B, "n/a", Log!$A:$A, "Daily", Log!$D:$D, $C$2), "")</f>
        <v/>
      </c>
      <c r="E132" s="277" t="str">
        <f>IFERROR(_xlfn.LET(_xlpm.camera_wand_count_by_day, AVERAGEIFS(Log!$E:$E, Log!$C:$C, $A132, Log!$B:$B, "n/a", Log!$A:$A, "Daily", Log!$D:$D, $C$2), _xlpm.auto_stop_that_day, _xlfn.XLOOKUP(A132, Daily!$C132:$C10126, Daily!$G132:$G10126), _xlpm.camera_wand_count_by_day/_xlpm.auto_stop_that_day), "")</f>
        <v/>
      </c>
      <c r="F132" s="262" t="str">
        <f>_xlfn.XLOOKUP($A132, Daily!$C:$C, Daily!$J:$J)</f>
        <v/>
      </c>
      <c r="G132" s="262" t="str">
        <f>_xlfn.XLOOKUP($A132, Daily!$C:$C, Daily!$M:$M)</f>
        <v/>
      </c>
    </row>
    <row r="133" spans="1:7" x14ac:dyDescent="0.3">
      <c r="A133" s="7">
        <v>0</v>
      </c>
      <c r="C133" s="9" t="str">
        <f>IFERROR(AVERAGEIFS(Log!$F:$F, Log!$C:$C, $A133, Log!$B:$B, "n/a", Log!$A:$A, "Daily", Log!$D:$D, $C$2), "")</f>
        <v/>
      </c>
      <c r="D133" s="9" t="str">
        <f>IFERROR(AVERAGEIFS(Log!$G:$G, Log!$C:$C, $A133, Log!$B:$B, "n/a", Log!$A:$A, "Daily", Log!$D:$D, $C$2), "")</f>
        <v/>
      </c>
      <c r="E133" s="277" t="str">
        <f>IFERROR(_xlfn.LET(_xlpm.camera_wand_count_by_day, AVERAGEIFS(Log!$E:$E, Log!$C:$C, $A133, Log!$B:$B, "n/a", Log!$A:$A, "Daily", Log!$D:$D, $C$2), _xlpm.auto_stop_that_day, _xlfn.XLOOKUP(A133, Daily!$C133:$C10127, Daily!$G133:$G10127), _xlpm.camera_wand_count_by_day/_xlpm.auto_stop_that_day), "")</f>
        <v/>
      </c>
      <c r="F133" s="262" t="str">
        <f>_xlfn.XLOOKUP($A133, Daily!$C:$C, Daily!$J:$J)</f>
        <v/>
      </c>
      <c r="G133" s="262" t="str">
        <f>_xlfn.XLOOKUP($A133, Daily!$C:$C, Daily!$M:$M)</f>
        <v/>
      </c>
    </row>
    <row r="134" spans="1:7" x14ac:dyDescent="0.3">
      <c r="A134" s="7">
        <v>0</v>
      </c>
      <c r="C134" s="9" t="str">
        <f>IFERROR(AVERAGEIFS(Log!$F:$F, Log!$C:$C, $A134, Log!$B:$B, "n/a", Log!$A:$A, "Daily", Log!$D:$D, $C$2), "")</f>
        <v/>
      </c>
      <c r="D134" s="9" t="str">
        <f>IFERROR(AVERAGEIFS(Log!$G:$G, Log!$C:$C, $A134, Log!$B:$B, "n/a", Log!$A:$A, "Daily", Log!$D:$D, $C$2), "")</f>
        <v/>
      </c>
      <c r="E134" s="277" t="str">
        <f>IFERROR(_xlfn.LET(_xlpm.camera_wand_count_by_day, AVERAGEIFS(Log!$E:$E, Log!$C:$C, $A134, Log!$B:$B, "n/a", Log!$A:$A, "Daily", Log!$D:$D, $C$2), _xlpm.auto_stop_that_day, _xlfn.XLOOKUP(A134, Daily!$C134:$C10128, Daily!$G134:$G10128), _xlpm.camera_wand_count_by_day/_xlpm.auto_stop_that_day), "")</f>
        <v/>
      </c>
      <c r="F134" s="262" t="str">
        <f>_xlfn.XLOOKUP($A134, Daily!$C:$C, Daily!$J:$J)</f>
        <v/>
      </c>
      <c r="G134" s="262" t="str">
        <f>_xlfn.XLOOKUP($A134, Daily!$C:$C, Daily!$M:$M)</f>
        <v/>
      </c>
    </row>
    <row r="135" spans="1:7" x14ac:dyDescent="0.3">
      <c r="A135" s="7">
        <v>0</v>
      </c>
      <c r="C135" s="9" t="str">
        <f>IFERROR(AVERAGEIFS(Log!$F:$F, Log!$C:$C, $A135, Log!$B:$B, "n/a", Log!$A:$A, "Daily", Log!$D:$D, $C$2), "")</f>
        <v/>
      </c>
      <c r="D135" s="9" t="str">
        <f>IFERROR(AVERAGEIFS(Log!$G:$G, Log!$C:$C, $A135, Log!$B:$B, "n/a", Log!$A:$A, "Daily", Log!$D:$D, $C$2), "")</f>
        <v/>
      </c>
      <c r="E135" s="277" t="str">
        <f>IFERROR(_xlfn.LET(_xlpm.camera_wand_count_by_day, AVERAGEIFS(Log!$E:$E, Log!$C:$C, $A135, Log!$B:$B, "n/a", Log!$A:$A, "Daily", Log!$D:$D, $C$2), _xlpm.auto_stop_that_day, _xlfn.XLOOKUP(A135, Daily!$C135:$C10129, Daily!$G135:$G10129), _xlpm.camera_wand_count_by_day/_xlpm.auto_stop_that_day), "")</f>
        <v/>
      </c>
      <c r="F135" s="262" t="str">
        <f>_xlfn.XLOOKUP($A135, Daily!$C:$C, Daily!$J:$J)</f>
        <v/>
      </c>
      <c r="G135" s="262" t="str">
        <f>_xlfn.XLOOKUP($A135, Daily!$C:$C, Daily!$M:$M)</f>
        <v/>
      </c>
    </row>
    <row r="136" spans="1:7" x14ac:dyDescent="0.3">
      <c r="A136" s="7">
        <v>0</v>
      </c>
      <c r="C136" s="9" t="str">
        <f>IFERROR(AVERAGEIFS(Log!$F:$F, Log!$C:$C, $A136, Log!$B:$B, "n/a", Log!$A:$A, "Daily", Log!$D:$D, $C$2), "")</f>
        <v/>
      </c>
      <c r="D136" s="9" t="str">
        <f>IFERROR(AVERAGEIFS(Log!$G:$G, Log!$C:$C, $A136, Log!$B:$B, "n/a", Log!$A:$A, "Daily", Log!$D:$D, $C$2), "")</f>
        <v/>
      </c>
      <c r="E136" s="277" t="str">
        <f>IFERROR(_xlfn.LET(_xlpm.camera_wand_count_by_day, AVERAGEIFS(Log!$E:$E, Log!$C:$C, $A136, Log!$B:$B, "n/a", Log!$A:$A, "Daily", Log!$D:$D, $C$2), _xlpm.auto_stop_that_day, _xlfn.XLOOKUP(A136, Daily!$C136:$C10130, Daily!$G136:$G10130), _xlpm.camera_wand_count_by_day/_xlpm.auto_stop_that_day), "")</f>
        <v/>
      </c>
      <c r="F136" s="262" t="str">
        <f>_xlfn.XLOOKUP($A136, Daily!$C:$C, Daily!$J:$J)</f>
        <v/>
      </c>
      <c r="G136" s="262" t="str">
        <f>_xlfn.XLOOKUP($A136, Daily!$C:$C, Daily!$M:$M)</f>
        <v/>
      </c>
    </row>
    <row r="137" spans="1:7" x14ac:dyDescent="0.3">
      <c r="A137" s="7">
        <v>0</v>
      </c>
      <c r="C137" s="9" t="str">
        <f>IFERROR(AVERAGEIFS(Log!$F:$F, Log!$C:$C, $A137, Log!$B:$B, "n/a", Log!$A:$A, "Daily", Log!$D:$D, $C$2), "")</f>
        <v/>
      </c>
      <c r="D137" s="9" t="str">
        <f>IFERROR(AVERAGEIFS(Log!$G:$G, Log!$C:$C, $A137, Log!$B:$B, "n/a", Log!$A:$A, "Daily", Log!$D:$D, $C$2), "")</f>
        <v/>
      </c>
      <c r="E137" s="277" t="str">
        <f>IFERROR(_xlfn.LET(_xlpm.camera_wand_count_by_day, AVERAGEIFS(Log!$E:$E, Log!$C:$C, $A137, Log!$B:$B, "n/a", Log!$A:$A, "Daily", Log!$D:$D, $C$2), _xlpm.auto_stop_that_day, _xlfn.XLOOKUP(A137, Daily!$C137:$C10131, Daily!$G137:$G10131), _xlpm.camera_wand_count_by_day/_xlpm.auto_stop_that_day), "")</f>
        <v/>
      </c>
      <c r="F137" s="262" t="str">
        <f>_xlfn.XLOOKUP($A137, Daily!$C:$C, Daily!$J:$J)</f>
        <v/>
      </c>
      <c r="G137" s="262" t="str">
        <f>_xlfn.XLOOKUP($A137, Daily!$C:$C, Daily!$M:$M)</f>
        <v/>
      </c>
    </row>
    <row r="138" spans="1:7" x14ac:dyDescent="0.3">
      <c r="A138" s="7">
        <v>0</v>
      </c>
      <c r="C138" s="9" t="str">
        <f>IFERROR(AVERAGEIFS(Log!$F:$F, Log!$C:$C, $A138, Log!$B:$B, "n/a", Log!$A:$A, "Daily", Log!$D:$D, $C$2), "")</f>
        <v/>
      </c>
      <c r="D138" s="9" t="str">
        <f>IFERROR(AVERAGEIFS(Log!$G:$G, Log!$C:$C, $A138, Log!$B:$B, "n/a", Log!$A:$A, "Daily", Log!$D:$D, $C$2), "")</f>
        <v/>
      </c>
      <c r="E138" s="277" t="str">
        <f>IFERROR(_xlfn.LET(_xlpm.camera_wand_count_by_day, AVERAGEIFS(Log!$E:$E, Log!$C:$C, $A138, Log!$B:$B, "n/a", Log!$A:$A, "Daily", Log!$D:$D, $C$2), _xlpm.auto_stop_that_day, _xlfn.XLOOKUP(A138, Daily!$C138:$C10132, Daily!$G138:$G10132), _xlpm.camera_wand_count_by_day/_xlpm.auto_stop_that_day), "")</f>
        <v/>
      </c>
      <c r="F138" s="262" t="str">
        <f>_xlfn.XLOOKUP($A138, Daily!$C:$C, Daily!$J:$J)</f>
        <v/>
      </c>
      <c r="G138" s="262" t="str">
        <f>_xlfn.XLOOKUP($A138, Daily!$C:$C, Daily!$M:$M)</f>
        <v/>
      </c>
    </row>
    <row r="139" spans="1:7" x14ac:dyDescent="0.3">
      <c r="A139" s="7">
        <v>0</v>
      </c>
      <c r="C139" s="9" t="str">
        <f>IFERROR(AVERAGEIFS(Log!$F:$F, Log!$C:$C, $A139, Log!$B:$B, "n/a", Log!$A:$A, "Daily", Log!$D:$D, $C$2), "")</f>
        <v/>
      </c>
      <c r="D139" s="9" t="str">
        <f>IFERROR(AVERAGEIFS(Log!$G:$G, Log!$C:$C, $A139, Log!$B:$B, "n/a", Log!$A:$A, "Daily", Log!$D:$D, $C$2), "")</f>
        <v/>
      </c>
      <c r="E139" s="277" t="str">
        <f>IFERROR(_xlfn.LET(_xlpm.camera_wand_count_by_day, AVERAGEIFS(Log!$E:$E, Log!$C:$C, $A139, Log!$B:$B, "n/a", Log!$A:$A, "Daily", Log!$D:$D, $C$2), _xlpm.auto_stop_that_day, _xlfn.XLOOKUP(A139, Daily!$C139:$C10133, Daily!$G139:$G10133), _xlpm.camera_wand_count_by_day/_xlpm.auto_stop_that_day), "")</f>
        <v/>
      </c>
      <c r="F139" s="262" t="str">
        <f>_xlfn.XLOOKUP($A139, Daily!$C:$C, Daily!$J:$J)</f>
        <v/>
      </c>
      <c r="G139" s="262" t="str">
        <f>_xlfn.XLOOKUP($A139, Daily!$C:$C, Daily!$M:$M)</f>
        <v/>
      </c>
    </row>
    <row r="140" spans="1:7" x14ac:dyDescent="0.3">
      <c r="A140" s="7">
        <v>0</v>
      </c>
      <c r="C140" s="9" t="str">
        <f>IFERROR(AVERAGEIFS(Log!$F:$F, Log!$C:$C, $A140, Log!$B:$B, "n/a", Log!$A:$A, "Daily", Log!$D:$D, $C$2), "")</f>
        <v/>
      </c>
      <c r="D140" s="9" t="str">
        <f>IFERROR(AVERAGEIFS(Log!$G:$G, Log!$C:$C, $A140, Log!$B:$B, "n/a", Log!$A:$A, "Daily", Log!$D:$D, $C$2), "")</f>
        <v/>
      </c>
      <c r="E140" s="277" t="str">
        <f>IFERROR(_xlfn.LET(_xlpm.camera_wand_count_by_day, AVERAGEIFS(Log!$E:$E, Log!$C:$C, $A140, Log!$B:$B, "n/a", Log!$A:$A, "Daily", Log!$D:$D, $C$2), _xlpm.auto_stop_that_day, _xlfn.XLOOKUP(A140, Daily!$C140:$C10134, Daily!$G140:$G10134), _xlpm.camera_wand_count_by_day/_xlpm.auto_stop_that_day), "")</f>
        <v/>
      </c>
      <c r="F140" s="262" t="str">
        <f>_xlfn.XLOOKUP($A140, Daily!$C:$C, Daily!$J:$J)</f>
        <v/>
      </c>
      <c r="G140" s="262" t="str">
        <f>_xlfn.XLOOKUP($A140, Daily!$C:$C, Daily!$M:$M)</f>
        <v/>
      </c>
    </row>
    <row r="141" spans="1:7" x14ac:dyDescent="0.3">
      <c r="A141" s="7">
        <v>0</v>
      </c>
      <c r="C141" s="9" t="str">
        <f>IFERROR(AVERAGEIFS(Log!$F:$F, Log!$C:$C, $A141, Log!$B:$B, "n/a", Log!$A:$A, "Daily", Log!$D:$D, $C$2), "")</f>
        <v/>
      </c>
      <c r="D141" s="9" t="str">
        <f>IFERROR(AVERAGEIFS(Log!$G:$G, Log!$C:$C, $A141, Log!$B:$B, "n/a", Log!$A:$A, "Daily", Log!$D:$D, $C$2), "")</f>
        <v/>
      </c>
      <c r="E141" s="277" t="str">
        <f>IFERROR(_xlfn.LET(_xlpm.camera_wand_count_by_day, AVERAGEIFS(Log!$E:$E, Log!$C:$C, $A141, Log!$B:$B, "n/a", Log!$A:$A, "Daily", Log!$D:$D, $C$2), _xlpm.auto_stop_that_day, _xlfn.XLOOKUP(A141, Daily!$C141:$C10135, Daily!$G141:$G10135), _xlpm.camera_wand_count_by_day/_xlpm.auto_stop_that_day), "")</f>
        <v/>
      </c>
      <c r="F141" s="262" t="str">
        <f>_xlfn.XLOOKUP($A141, Daily!$C:$C, Daily!$J:$J)</f>
        <v/>
      </c>
      <c r="G141" s="262" t="str">
        <f>_xlfn.XLOOKUP($A141, Daily!$C:$C, Daily!$M:$M)</f>
        <v/>
      </c>
    </row>
    <row r="142" spans="1:7" x14ac:dyDescent="0.3">
      <c r="A142" s="7">
        <v>0</v>
      </c>
      <c r="C142" s="9" t="str">
        <f>IFERROR(AVERAGEIFS(Log!$F:$F, Log!$C:$C, $A142, Log!$B:$B, "n/a", Log!$A:$A, "Daily", Log!$D:$D, $C$2), "")</f>
        <v/>
      </c>
      <c r="D142" s="9" t="str">
        <f>IFERROR(AVERAGEIFS(Log!$G:$G, Log!$C:$C, $A142, Log!$B:$B, "n/a", Log!$A:$A, "Daily", Log!$D:$D, $C$2), "")</f>
        <v/>
      </c>
      <c r="E142" s="63" t="str">
        <f>IFERROR(AVERAGEIFS(Log!$E:$E, Log!$C:$C, $A142, Log!$B:$B, "n/a", Log!$A:$A, "Daily", Log!$D:$D, $C$2), "")</f>
        <v/>
      </c>
      <c r="F142" s="262" t="str">
        <f>_xlfn.XLOOKUP($A142, Daily!$C:$C, Daily!$J:$J)</f>
        <v/>
      </c>
      <c r="G142" s="262" t="str">
        <f>_xlfn.XLOOKUP($A142, Daily!$C:$C, Daily!$M:$M)</f>
        <v/>
      </c>
    </row>
    <row r="143" spans="1:7" x14ac:dyDescent="0.3">
      <c r="A143" s="7">
        <v>0</v>
      </c>
      <c r="C143" s="9" t="str">
        <f>IFERROR(AVERAGEIFS(Log!$F:$F, Log!$C:$C, $A143, Log!$B:$B, "n/a", Log!$A:$A, "Daily", Log!$D:$D, $C$2), "")</f>
        <v/>
      </c>
      <c r="D143" s="9" t="str">
        <f>IFERROR(AVERAGEIFS(Log!$G:$G, Log!$C:$C, $A143, Log!$B:$B, "n/a", Log!$A:$A, "Daily", Log!$D:$D, $C$2), "")</f>
        <v/>
      </c>
      <c r="E143" s="63" t="str">
        <f>IFERROR(AVERAGEIFS(Log!$E:$E, Log!$C:$C, $A143, Log!$B:$B, "n/a", Log!$A:$A, "Daily", Log!$D:$D, $C$2), "")</f>
        <v/>
      </c>
      <c r="F143" s="262" t="str">
        <f>_xlfn.XLOOKUP($A143, Daily!$C:$C, Daily!$J:$J)</f>
        <v/>
      </c>
      <c r="G143" s="262" t="str">
        <f>_xlfn.XLOOKUP($A143, Daily!$C:$C, Daily!$M:$M)</f>
        <v/>
      </c>
    </row>
    <row r="144" spans="1:7" x14ac:dyDescent="0.3">
      <c r="A144" s="7">
        <v>0</v>
      </c>
      <c r="C144" s="9" t="str">
        <f>IFERROR(AVERAGEIFS(Log!$F:$F, Log!$C:$C, $A144, Log!$B:$B, "n/a", Log!$A:$A, "Daily", Log!$D:$D, $C$2), "")</f>
        <v/>
      </c>
      <c r="D144" s="9" t="str">
        <f>IFERROR(AVERAGEIFS(Log!$G:$G, Log!$C:$C, $A144, Log!$B:$B, "n/a", Log!$A:$A, "Daily", Log!$D:$D, $C$2), "")</f>
        <v/>
      </c>
      <c r="E144" s="63" t="str">
        <f>IFERROR(AVERAGEIFS(Log!$E:$E, Log!$C:$C, $A144, Log!$B:$B, "n/a", Log!$A:$A, "Daily", Log!$D:$D, $C$2), "")</f>
        <v/>
      </c>
      <c r="F144" s="262" t="str">
        <f>_xlfn.XLOOKUP($A144, Daily!$C:$C, Daily!$J:$J)</f>
        <v/>
      </c>
      <c r="G144" s="262" t="str">
        <f>_xlfn.XLOOKUP($A144, Daily!$C:$C, Daily!$M:$M)</f>
        <v/>
      </c>
    </row>
    <row r="145" spans="1:7" x14ac:dyDescent="0.3">
      <c r="A145" s="7">
        <v>0</v>
      </c>
      <c r="C145" s="9" t="str">
        <f>IFERROR(AVERAGEIFS(Log!$F:$F, Log!$C:$C, $A145, Log!$B:$B, "n/a", Log!$A:$A, "Daily", Log!$D:$D, $C$2), "")</f>
        <v/>
      </c>
      <c r="D145" s="9" t="str">
        <f>IFERROR(AVERAGEIFS(Log!$G:$G, Log!$C:$C, $A145, Log!$B:$B, "n/a", Log!$A:$A, "Daily", Log!$D:$D, $C$2), "")</f>
        <v/>
      </c>
      <c r="E145" s="63" t="str">
        <f>IFERROR(AVERAGEIFS(Log!$E:$E, Log!$C:$C, $A145, Log!$B:$B, "n/a", Log!$A:$A, "Daily", Log!$D:$D, $C$2), "")</f>
        <v/>
      </c>
      <c r="F145" s="262" t="str">
        <f>_xlfn.XLOOKUP($A145, Daily!$C:$C, Daily!$J:$J)</f>
        <v/>
      </c>
      <c r="G145" s="262" t="str">
        <f>_xlfn.XLOOKUP($A145, Daily!$C:$C, Daily!$M:$M)</f>
        <v/>
      </c>
    </row>
    <row r="146" spans="1:7" x14ac:dyDescent="0.3">
      <c r="A146" s="7">
        <v>0</v>
      </c>
      <c r="C146" s="9" t="str">
        <f>IFERROR(AVERAGEIFS(Log!$F:$F, Log!$C:$C, $A146, Log!$B:$B, "n/a", Log!$A:$A, "Daily", Log!$D:$D, $C$2), "")</f>
        <v/>
      </c>
      <c r="D146" s="9" t="str">
        <f>IFERROR(AVERAGEIFS(Log!$G:$G, Log!$C:$C, $A146, Log!$B:$B, "n/a", Log!$A:$A, "Daily", Log!$D:$D, $C$2), "")</f>
        <v/>
      </c>
      <c r="E146" s="63" t="str">
        <f>IFERROR(AVERAGEIFS(Log!$E:$E, Log!$C:$C, $A146, Log!$B:$B, "n/a", Log!$A:$A, "Daily", Log!$D:$D, $C$2), "")</f>
        <v/>
      </c>
      <c r="F146" s="262" t="str">
        <f>_xlfn.XLOOKUP($A146, Daily!$C:$C, Daily!$J:$J)</f>
        <v/>
      </c>
      <c r="G146" s="262" t="str">
        <f>_xlfn.XLOOKUP($A146, Daily!$C:$C, Daily!$M:$M)</f>
        <v/>
      </c>
    </row>
    <row r="147" spans="1:7" x14ac:dyDescent="0.3">
      <c r="A147" s="7">
        <v>0</v>
      </c>
      <c r="C147" s="9" t="str">
        <f>IFERROR(AVERAGEIFS(Log!$F:$F, Log!$C:$C, $A147, Log!$B:$B, "n/a", Log!$A:$A, "Daily", Log!$D:$D, $C$2), "")</f>
        <v/>
      </c>
      <c r="D147" s="9" t="str">
        <f>IFERROR(AVERAGEIFS(Log!$G:$G, Log!$C:$C, $A147, Log!$B:$B, "n/a", Log!$A:$A, "Daily", Log!$D:$D, $C$2), "")</f>
        <v/>
      </c>
      <c r="E147" s="63" t="str">
        <f>IFERROR(AVERAGEIFS(Log!$E:$E, Log!$C:$C, $A147, Log!$B:$B, "n/a", Log!$A:$A, "Daily", Log!$D:$D, $C$2), "")</f>
        <v/>
      </c>
      <c r="F147" s="262" t="str">
        <f>_xlfn.XLOOKUP($A147, Daily!$C:$C, Daily!$J:$J)</f>
        <v/>
      </c>
      <c r="G147" s="262" t="str">
        <f>_xlfn.XLOOKUP($A147, Daily!$C:$C, Daily!$M:$M)</f>
        <v/>
      </c>
    </row>
    <row r="148" spans="1:7" x14ac:dyDescent="0.3">
      <c r="A148" s="7">
        <v>0</v>
      </c>
      <c r="C148" s="9" t="str">
        <f>IFERROR(AVERAGEIFS(Log!$F:$F, Log!$C:$C, $A148, Log!$B:$B, "n/a", Log!$A:$A, "Daily", Log!$D:$D, $C$2), "")</f>
        <v/>
      </c>
      <c r="D148" s="9" t="str">
        <f>IFERROR(AVERAGEIFS(Log!$G:$G, Log!$C:$C, $A148, Log!$B:$B, "n/a", Log!$A:$A, "Daily", Log!$D:$D, $C$2), "")</f>
        <v/>
      </c>
      <c r="E148" s="63" t="str">
        <f>IFERROR(AVERAGEIFS(Log!$E:$E, Log!$C:$C, $A148, Log!$B:$B, "n/a", Log!$A:$A, "Daily", Log!$D:$D, $C$2), "")</f>
        <v/>
      </c>
      <c r="F148" s="262" t="str">
        <f>_xlfn.XLOOKUP($A148, Daily!$C:$C, Daily!$J:$J)</f>
        <v/>
      </c>
      <c r="G148" s="262" t="str">
        <f>_xlfn.XLOOKUP($A148, Daily!$C:$C, Daily!$M:$M)</f>
        <v/>
      </c>
    </row>
    <row r="149" spans="1:7" x14ac:dyDescent="0.3">
      <c r="A149" s="7">
        <v>0</v>
      </c>
      <c r="C149" s="9" t="str">
        <f>IFERROR(AVERAGEIFS(Log!$F:$F, Log!$C:$C, $A149, Log!$B:$B, "n/a", Log!$A:$A, "Daily", Log!$D:$D, $C$2), "")</f>
        <v/>
      </c>
      <c r="D149" s="9" t="str">
        <f>IFERROR(AVERAGEIFS(Log!$G:$G, Log!$C:$C, $A149, Log!$B:$B, "n/a", Log!$A:$A, "Daily", Log!$D:$D, $C$2), "")</f>
        <v/>
      </c>
      <c r="E149" s="63" t="str">
        <f>IFERROR(AVERAGEIFS(Log!$E:$E, Log!$C:$C, $A149, Log!$B:$B, "n/a", Log!$A:$A, "Daily", Log!$D:$D, $C$2), "")</f>
        <v/>
      </c>
      <c r="F149" s="262" t="str">
        <f>_xlfn.XLOOKUP($A149, Daily!$C:$C, Daily!$J:$J)</f>
        <v/>
      </c>
      <c r="G149" s="262" t="str">
        <f>_xlfn.XLOOKUP($A149, Daily!$C:$C, Daily!$M:$M)</f>
        <v/>
      </c>
    </row>
    <row r="150" spans="1:7" x14ac:dyDescent="0.3">
      <c r="A150" s="7">
        <v>0</v>
      </c>
      <c r="C150" s="9" t="str">
        <f>IFERROR(AVERAGEIFS(Log!$F:$F, Log!$C:$C, $A150, Log!$B:$B, "n/a", Log!$A:$A, "Daily", Log!$D:$D, $C$2), "")</f>
        <v/>
      </c>
      <c r="D150" s="9" t="str">
        <f>IFERROR(AVERAGEIFS(Log!$G:$G, Log!$C:$C, $A150, Log!$B:$B, "n/a", Log!$A:$A, "Daily", Log!$D:$D, $C$2), "")</f>
        <v/>
      </c>
      <c r="E150" s="63" t="str">
        <f>IFERROR(AVERAGEIFS(Log!$E:$E, Log!$C:$C, $A150, Log!$B:$B, "n/a", Log!$A:$A, "Daily", Log!$D:$D, $C$2), "")</f>
        <v/>
      </c>
      <c r="F150" s="262" t="str">
        <f>_xlfn.XLOOKUP($A150, Daily!$C:$C, Daily!$J:$J)</f>
        <v/>
      </c>
      <c r="G150" s="262" t="str">
        <f>_xlfn.XLOOKUP($A150, Daily!$C:$C, Daily!$M:$M)</f>
        <v/>
      </c>
    </row>
    <row r="151" spans="1:7" x14ac:dyDescent="0.3">
      <c r="A151" s="7">
        <v>0</v>
      </c>
      <c r="C151" s="9" t="str">
        <f>IFERROR(AVERAGEIFS(Log!$F:$F, Log!$C:$C, $A151, Log!$B:$B, "n/a", Log!$A:$A, "Daily", Log!$D:$D, $C$2), "")</f>
        <v/>
      </c>
      <c r="D151" s="9" t="str">
        <f>IFERROR(AVERAGEIFS(Log!$G:$G, Log!$C:$C, $A151, Log!$B:$B, "n/a", Log!$A:$A, "Daily", Log!$D:$D, $C$2), "")</f>
        <v/>
      </c>
      <c r="E151" s="63" t="str">
        <f>IFERROR(AVERAGEIFS(Log!$E:$E, Log!$C:$C, $A151, Log!$B:$B, "n/a", Log!$A:$A, "Daily", Log!$D:$D, $C$2), "")</f>
        <v/>
      </c>
      <c r="F151" s="262" t="str">
        <f>_xlfn.XLOOKUP($A151, Daily!$C:$C, Daily!$J:$J)</f>
        <v/>
      </c>
      <c r="G151" s="262" t="str">
        <f>_xlfn.XLOOKUP($A151, Daily!$C:$C, Daily!$M:$M)</f>
        <v/>
      </c>
    </row>
    <row r="152" spans="1:7" x14ac:dyDescent="0.3">
      <c r="A152" s="7">
        <v>0</v>
      </c>
      <c r="C152" s="9" t="str">
        <f>IFERROR(AVERAGEIFS(Log!$F:$F, Log!$C:$C, $A152, Log!$B:$B, "n/a", Log!$A:$A, "Daily", Log!$D:$D, $C$2), "")</f>
        <v/>
      </c>
      <c r="D152" s="9" t="str">
        <f>IFERROR(AVERAGEIFS(Log!$G:$G, Log!$C:$C, $A152, Log!$B:$B, "n/a", Log!$A:$A, "Daily", Log!$D:$D, $C$2), "")</f>
        <v/>
      </c>
      <c r="E152" s="63" t="str">
        <f>IFERROR(AVERAGEIFS(Log!$E:$E, Log!$C:$C, $A152, Log!$B:$B, "n/a", Log!$A:$A, "Daily", Log!$D:$D, $C$2), "")</f>
        <v/>
      </c>
      <c r="F152" s="262" t="str">
        <f>_xlfn.XLOOKUP($A152, Daily!$C:$C, Daily!$J:$J)</f>
        <v/>
      </c>
      <c r="G152" s="262" t="str">
        <f>_xlfn.XLOOKUP($A152, Daily!$C:$C, Daily!$M:$M)</f>
        <v/>
      </c>
    </row>
    <row r="153" spans="1:7" x14ac:dyDescent="0.3">
      <c r="A153" s="7">
        <v>0</v>
      </c>
      <c r="C153" s="9" t="str">
        <f>IFERROR(AVERAGEIFS(Log!$F:$F, Log!$C:$C, $A153, Log!$B:$B, "n/a", Log!$A:$A, "Daily", Log!$D:$D, $C$2), "")</f>
        <v/>
      </c>
      <c r="D153" s="9" t="str">
        <f>IFERROR(AVERAGEIFS(Log!$G:$G, Log!$C:$C, $A153, Log!$B:$B, "n/a", Log!$A:$A, "Daily", Log!$D:$D, $C$2), "")</f>
        <v/>
      </c>
      <c r="E153" s="63" t="str">
        <f>IFERROR(AVERAGEIFS(Log!$E:$E, Log!$C:$C, $A153, Log!$B:$B, "n/a", Log!$A:$A, "Daily", Log!$D:$D, $C$2), "")</f>
        <v/>
      </c>
      <c r="F153" s="262" t="str">
        <f>_xlfn.XLOOKUP($A153, Daily!$C:$C, Daily!$J:$J)</f>
        <v/>
      </c>
      <c r="G153" s="262" t="str">
        <f>_xlfn.XLOOKUP($A153, Daily!$C:$C, Daily!$M:$M)</f>
        <v/>
      </c>
    </row>
    <row r="154" spans="1:7" x14ac:dyDescent="0.3">
      <c r="A154" s="7">
        <v>0</v>
      </c>
      <c r="C154" s="9" t="str">
        <f>IFERROR(AVERAGEIFS(Log!$F:$F, Log!$C:$C, $A154, Log!$B:$B, "n/a", Log!$A:$A, "Daily", Log!$D:$D, $C$2), "")</f>
        <v/>
      </c>
      <c r="D154" s="9" t="str">
        <f>IFERROR(AVERAGEIFS(Log!$G:$G, Log!$C:$C, $A154, Log!$B:$B, "n/a", Log!$A:$A, "Daily", Log!$D:$D, $C$2), "")</f>
        <v/>
      </c>
      <c r="E154" s="63" t="str">
        <f>IFERROR(AVERAGEIFS(Log!$E:$E, Log!$C:$C, $A154, Log!$B:$B, "n/a", Log!$A:$A, "Daily", Log!$D:$D, $C$2), "")</f>
        <v/>
      </c>
      <c r="F154" s="262" t="str">
        <f>_xlfn.XLOOKUP($A154, Daily!$C:$C, Daily!$J:$J)</f>
        <v/>
      </c>
      <c r="G154" s="262" t="str">
        <f>_xlfn.XLOOKUP($A154, Daily!$C:$C, Daily!$M:$M)</f>
        <v/>
      </c>
    </row>
    <row r="155" spans="1:7" x14ac:dyDescent="0.3">
      <c r="A155" s="7">
        <v>0</v>
      </c>
      <c r="C155" s="9" t="str">
        <f>IFERROR(AVERAGEIFS(Log!$F:$F, Log!$C:$C, $A155, Log!$B:$B, "n/a", Log!$A:$A, "Daily", Log!$D:$D, $C$2), "")</f>
        <v/>
      </c>
      <c r="D155" s="9" t="str">
        <f>IFERROR(AVERAGEIFS(Log!$G:$G, Log!$C:$C, $A155, Log!$B:$B, "n/a", Log!$A:$A, "Daily", Log!$D:$D, $C$2), "")</f>
        <v/>
      </c>
      <c r="E155" s="63" t="str">
        <f>IFERROR(AVERAGEIFS(Log!$E:$E, Log!$C:$C, $A155, Log!$B:$B, "n/a", Log!$A:$A, "Daily", Log!$D:$D, $C$2), "")</f>
        <v/>
      </c>
      <c r="F155" s="262" t="str">
        <f>_xlfn.XLOOKUP($A155, Daily!$C:$C, Daily!$J:$J)</f>
        <v/>
      </c>
      <c r="G155" s="262" t="str">
        <f>_xlfn.XLOOKUP($A155, Daily!$C:$C, Daily!$M:$M)</f>
        <v/>
      </c>
    </row>
    <row r="156" spans="1:7" x14ac:dyDescent="0.3">
      <c r="A156" s="7">
        <v>0</v>
      </c>
      <c r="C156" s="9" t="str">
        <f>IFERROR(AVERAGEIFS(Log!$F:$F, Log!$C:$C, $A156, Log!$B:$B, "n/a", Log!$A:$A, "Daily", Log!$D:$D, $C$2), "")</f>
        <v/>
      </c>
      <c r="D156" s="9" t="str">
        <f>IFERROR(AVERAGEIFS(Log!$G:$G, Log!$C:$C, $A156, Log!$B:$B, "n/a", Log!$A:$A, "Daily", Log!$D:$D, $C$2), "")</f>
        <v/>
      </c>
      <c r="E156" s="63" t="str">
        <f>IFERROR(AVERAGEIFS(Log!$E:$E, Log!$C:$C, $A156, Log!$B:$B, "n/a", Log!$A:$A, "Daily", Log!$D:$D, $C$2), "")</f>
        <v/>
      </c>
      <c r="F156" s="262" t="str">
        <f>_xlfn.XLOOKUP($A156, Daily!$C:$C, Daily!$J:$J)</f>
        <v/>
      </c>
      <c r="G156" s="262" t="str">
        <f>_xlfn.XLOOKUP($A156, Daily!$C:$C, Daily!$M:$M)</f>
        <v/>
      </c>
    </row>
    <row r="157" spans="1:7" x14ac:dyDescent="0.3">
      <c r="A157" s="7">
        <v>0</v>
      </c>
      <c r="C157" s="9" t="str">
        <f>IFERROR(AVERAGEIFS(Log!$F:$F, Log!$C:$C, $A157, Log!$B:$B, "n/a", Log!$A:$A, "Daily", Log!$D:$D, $C$2), "")</f>
        <v/>
      </c>
      <c r="D157" s="9" t="str">
        <f>IFERROR(AVERAGEIFS(Log!$G:$G, Log!$C:$C, $A157, Log!$B:$B, "n/a", Log!$A:$A, "Daily", Log!$D:$D, $C$2), "")</f>
        <v/>
      </c>
      <c r="E157" s="63" t="str">
        <f>IFERROR(AVERAGEIFS(Log!$E:$E, Log!$C:$C, $A157, Log!$B:$B, "n/a", Log!$A:$A, "Daily", Log!$D:$D, $C$2), "")</f>
        <v/>
      </c>
      <c r="F157" s="262" t="str">
        <f>_xlfn.XLOOKUP($A157, Daily!$C:$C, Daily!$J:$J)</f>
        <v/>
      </c>
      <c r="G157" s="262" t="str">
        <f>_xlfn.XLOOKUP($A157, Daily!$C:$C, Daily!$M:$M)</f>
        <v/>
      </c>
    </row>
    <row r="158" spans="1:7" x14ac:dyDescent="0.3">
      <c r="A158" s="7">
        <v>0</v>
      </c>
      <c r="C158" s="9" t="str">
        <f>IFERROR(AVERAGEIFS(Log!$F:$F, Log!$C:$C, $A158, Log!$B:$B, "n/a", Log!$A:$A, "Daily", Log!$D:$D, $C$2), "")</f>
        <v/>
      </c>
      <c r="D158" s="9" t="str">
        <f>IFERROR(AVERAGEIFS(Log!$G:$G, Log!$C:$C, $A158, Log!$B:$B, "n/a", Log!$A:$A, "Daily", Log!$D:$D, $C$2), "")</f>
        <v/>
      </c>
      <c r="E158" s="63" t="str">
        <f>IFERROR(AVERAGEIFS(Log!$E:$E, Log!$C:$C, $A158, Log!$B:$B, "n/a", Log!$A:$A, "Daily", Log!$D:$D, $C$2), "")</f>
        <v/>
      </c>
      <c r="F158" s="262" t="str">
        <f>_xlfn.XLOOKUP($A158, Daily!$C:$C, Daily!$J:$J)</f>
        <v/>
      </c>
      <c r="G158" s="262" t="str">
        <f>_xlfn.XLOOKUP($A158, Daily!$C:$C, Daily!$M:$M)</f>
        <v/>
      </c>
    </row>
    <row r="159" spans="1:7" x14ac:dyDescent="0.3">
      <c r="A159" s="7">
        <v>0</v>
      </c>
      <c r="C159" s="9" t="str">
        <f>IFERROR(AVERAGEIFS(Log!$F:$F, Log!$C:$C, $A159, Log!$B:$B, "n/a", Log!$A:$A, "Daily", Log!$D:$D, $C$2), "")</f>
        <v/>
      </c>
      <c r="D159" s="9" t="str">
        <f>IFERROR(AVERAGEIFS(Log!$G:$G, Log!$C:$C, $A159, Log!$B:$B, "n/a", Log!$A:$A, "Daily", Log!$D:$D, $C$2), "")</f>
        <v/>
      </c>
      <c r="E159" s="63" t="str">
        <f>IFERROR(AVERAGEIFS(Log!$E:$E, Log!$C:$C, $A159, Log!$B:$B, "n/a", Log!$A:$A, "Daily", Log!$D:$D, $C$2), "")</f>
        <v/>
      </c>
      <c r="F159" s="262" t="str">
        <f>_xlfn.XLOOKUP($A159, Daily!$C:$C, Daily!$J:$J)</f>
        <v/>
      </c>
      <c r="G159" s="262" t="str">
        <f>_xlfn.XLOOKUP($A159, Daily!$C:$C, Daily!$M:$M)</f>
        <v/>
      </c>
    </row>
    <row r="160" spans="1:7" x14ac:dyDescent="0.3">
      <c r="A160" s="7">
        <v>0</v>
      </c>
      <c r="C160" s="9" t="str">
        <f>IFERROR(AVERAGEIFS(Log!$F:$F, Log!$C:$C, $A160, Log!$B:$B, "n/a", Log!$A:$A, "Daily", Log!$D:$D, $C$2), "")</f>
        <v/>
      </c>
      <c r="D160" s="9" t="str">
        <f>IFERROR(AVERAGEIFS(Log!$G:$G, Log!$C:$C, $A160, Log!$B:$B, "n/a", Log!$A:$A, "Daily", Log!$D:$D, $C$2), "")</f>
        <v/>
      </c>
      <c r="E160" s="63" t="str">
        <f>IFERROR(AVERAGEIFS(Log!$E:$E, Log!$C:$C, $A160, Log!$B:$B, "n/a", Log!$A:$A, "Daily", Log!$D:$D, $C$2), "")</f>
        <v/>
      </c>
      <c r="F160" s="262" t="str">
        <f>_xlfn.XLOOKUP($A160, Daily!$C:$C, Daily!$J:$J)</f>
        <v/>
      </c>
      <c r="G160" s="262" t="str">
        <f>_xlfn.XLOOKUP($A160, Daily!$C:$C, Daily!$M:$M)</f>
        <v/>
      </c>
    </row>
    <row r="161" spans="1:7" x14ac:dyDescent="0.3">
      <c r="A161" s="7">
        <v>0</v>
      </c>
      <c r="C161" s="9" t="str">
        <f>IFERROR(AVERAGEIFS(Log!$F:$F, Log!$C:$C, $A161, Log!$B:$B, "n/a", Log!$A:$A, "Daily", Log!$D:$D, $C$2), "")</f>
        <v/>
      </c>
      <c r="D161" s="9" t="str">
        <f>IFERROR(AVERAGEIFS(Log!$G:$G, Log!$C:$C, $A161, Log!$B:$B, "n/a", Log!$A:$A, "Daily", Log!$D:$D, $C$2), "")</f>
        <v/>
      </c>
      <c r="E161" s="63" t="str">
        <f>IFERROR(AVERAGEIFS(Log!$E:$E, Log!$C:$C, $A161, Log!$B:$B, "n/a", Log!$A:$A, "Daily", Log!$D:$D, $C$2), "")</f>
        <v/>
      </c>
      <c r="F161" s="262" t="str">
        <f>_xlfn.XLOOKUP($A161, Daily!$C:$C, Daily!$J:$J)</f>
        <v/>
      </c>
      <c r="G161" s="262" t="str">
        <f>_xlfn.XLOOKUP($A161, Daily!$C:$C, Daily!$M:$M)</f>
        <v/>
      </c>
    </row>
    <row r="162" spans="1:7" x14ac:dyDescent="0.3">
      <c r="A162" s="7">
        <v>0</v>
      </c>
      <c r="C162" s="9" t="str">
        <f>IFERROR(AVERAGEIFS(Log!$F:$F, Log!$C:$C, $A162, Log!$B:$B, "n/a", Log!$A:$A, "Daily", Log!$D:$D, $C$2), "")</f>
        <v/>
      </c>
      <c r="D162" s="9" t="str">
        <f>IFERROR(AVERAGEIFS(Log!$G:$G, Log!$C:$C, $A162, Log!$B:$B, "n/a", Log!$A:$A, "Daily", Log!$D:$D, $C$2), "")</f>
        <v/>
      </c>
      <c r="E162" s="63" t="str">
        <f>IFERROR(AVERAGEIFS(Log!$E:$E, Log!$C:$C, $A162, Log!$B:$B, "n/a", Log!$A:$A, "Daily", Log!$D:$D, $C$2), "")</f>
        <v/>
      </c>
      <c r="F162" s="262" t="str">
        <f>_xlfn.XLOOKUP($A162, Daily!$C:$C, Daily!$J:$J)</f>
        <v/>
      </c>
      <c r="G162" s="262" t="str">
        <f>_xlfn.XLOOKUP($A162, Daily!$C:$C, Daily!$M:$M)</f>
        <v/>
      </c>
    </row>
    <row r="163" spans="1:7" x14ac:dyDescent="0.3">
      <c r="A163" s="7">
        <v>0</v>
      </c>
      <c r="C163" s="9" t="str">
        <f>IFERROR(AVERAGEIFS(Log!$F:$F, Log!$C:$C, $A163, Log!$B:$B, "n/a", Log!$A:$A, "Daily", Log!$D:$D, $C$2), "")</f>
        <v/>
      </c>
      <c r="D163" s="9" t="str">
        <f>IFERROR(AVERAGEIFS(Log!$G:$G, Log!$C:$C, $A163, Log!$B:$B, "n/a", Log!$A:$A, "Daily", Log!$D:$D, $C$2), "")</f>
        <v/>
      </c>
      <c r="E163" s="63" t="str">
        <f>IFERROR(AVERAGEIFS(Log!$E:$E, Log!$C:$C, $A163, Log!$B:$B, "n/a", Log!$A:$A, "Daily", Log!$D:$D, $C$2), "")</f>
        <v/>
      </c>
      <c r="F163" s="262" t="str">
        <f>_xlfn.XLOOKUP($A163, Daily!$C:$C, Daily!$J:$J)</f>
        <v/>
      </c>
      <c r="G163" s="262" t="str">
        <f>_xlfn.XLOOKUP($A163, Daily!$C:$C, Daily!$M:$M)</f>
        <v/>
      </c>
    </row>
    <row r="164" spans="1:7" x14ac:dyDescent="0.3">
      <c r="A164" s="7">
        <v>0</v>
      </c>
      <c r="C164" s="9" t="str">
        <f>IFERROR(AVERAGEIFS(Log!$F:$F, Log!$C:$C, $A164, Log!$B:$B, "n/a", Log!$A:$A, "Daily", Log!$D:$D, $C$2), "")</f>
        <v/>
      </c>
      <c r="D164" s="9" t="str">
        <f>IFERROR(AVERAGEIFS(Log!$G:$G, Log!$C:$C, $A164, Log!$B:$B, "n/a", Log!$A:$A, "Daily", Log!$D:$D, $C$2), "")</f>
        <v/>
      </c>
      <c r="E164" s="63" t="str">
        <f>IFERROR(AVERAGEIFS(Log!$E:$E, Log!$C:$C, $A164, Log!$B:$B, "n/a", Log!$A:$A, "Daily", Log!$D:$D, $C$2), "")</f>
        <v/>
      </c>
      <c r="F164" s="262" t="str">
        <f>_xlfn.XLOOKUP($A164, Daily!$C:$C, Daily!$J:$J)</f>
        <v/>
      </c>
      <c r="G164" s="262" t="str">
        <f>_xlfn.XLOOKUP($A164, Daily!$C:$C, Daily!$M:$M)</f>
        <v/>
      </c>
    </row>
    <row r="165" spans="1:7" x14ac:dyDescent="0.3">
      <c r="A165" s="7">
        <v>0</v>
      </c>
      <c r="C165" s="9" t="str">
        <f>IFERROR(AVERAGEIFS(Log!$F:$F, Log!$C:$C, $A165, Log!$B:$B, "n/a", Log!$A:$A, "Daily", Log!$D:$D, $C$2), "")</f>
        <v/>
      </c>
      <c r="D165" s="9" t="str">
        <f>IFERROR(AVERAGEIFS(Log!$G:$G, Log!$C:$C, $A165, Log!$B:$B, "n/a", Log!$A:$A, "Daily", Log!$D:$D, $C$2), "")</f>
        <v/>
      </c>
      <c r="E165" s="63" t="str">
        <f>IFERROR(AVERAGEIFS(Log!$E:$E, Log!$C:$C, $A165, Log!$B:$B, "n/a", Log!$A:$A, "Daily", Log!$D:$D, $C$2), "")</f>
        <v/>
      </c>
      <c r="F165" s="262" t="str">
        <f>_xlfn.XLOOKUP($A165, Daily!$C:$C, Daily!$J:$J)</f>
        <v/>
      </c>
      <c r="G165" s="262" t="str">
        <f>_xlfn.XLOOKUP($A165, Daily!$C:$C, Daily!$M:$M)</f>
        <v/>
      </c>
    </row>
    <row r="166" spans="1:7" x14ac:dyDescent="0.3">
      <c r="A166" s="7">
        <v>0</v>
      </c>
      <c r="C166" s="9" t="str">
        <f>IFERROR(AVERAGEIFS(Log!$F:$F, Log!$C:$C, $A166, Log!$B:$B, "n/a", Log!$A:$A, "Daily", Log!$D:$D, $C$2), "")</f>
        <v/>
      </c>
      <c r="D166" s="9" t="str">
        <f>IFERROR(AVERAGEIFS(Log!$G:$G, Log!$C:$C, $A166, Log!$B:$B, "n/a", Log!$A:$A, "Daily", Log!$D:$D, $C$2), "")</f>
        <v/>
      </c>
      <c r="E166" s="63" t="str">
        <f>IFERROR(AVERAGEIFS(Log!$E:$E, Log!$C:$C, $A166, Log!$B:$B, "n/a", Log!$A:$A, "Daily", Log!$D:$D, $C$2), "")</f>
        <v/>
      </c>
      <c r="F166" s="262" t="str">
        <f>_xlfn.XLOOKUP($A166, Daily!$C:$C, Daily!$J:$J)</f>
        <v/>
      </c>
      <c r="G166" s="262" t="str">
        <f>_xlfn.XLOOKUP($A166, Daily!$C:$C, Daily!$M:$M)</f>
        <v/>
      </c>
    </row>
    <row r="167" spans="1:7" x14ac:dyDescent="0.3">
      <c r="A167" s="7">
        <v>0</v>
      </c>
      <c r="C167" s="9" t="str">
        <f>IFERROR(AVERAGEIFS(Log!$F:$F, Log!$C:$C, $A167, Log!$B:$B, "n/a", Log!$A:$A, "Daily", Log!$D:$D, $C$2), "")</f>
        <v/>
      </c>
      <c r="D167" s="9" t="str">
        <f>IFERROR(AVERAGEIFS(Log!$G:$G, Log!$C:$C, $A167, Log!$B:$B, "n/a", Log!$A:$A, "Daily", Log!$D:$D, $C$2), "")</f>
        <v/>
      </c>
      <c r="E167" s="63" t="str">
        <f>IFERROR(AVERAGEIFS(Log!$E:$E, Log!$C:$C, $A167, Log!$B:$B, "n/a", Log!$A:$A, "Daily", Log!$D:$D, $C$2), "")</f>
        <v/>
      </c>
      <c r="F167" s="262" t="str">
        <f>_xlfn.XLOOKUP($A167, Daily!$C:$C, Daily!$J:$J)</f>
        <v/>
      </c>
      <c r="G167" s="262" t="str">
        <f>_xlfn.XLOOKUP($A167, Daily!$C:$C, Daily!$M:$M)</f>
        <v/>
      </c>
    </row>
    <row r="168" spans="1:7" x14ac:dyDescent="0.3">
      <c r="A168" s="7">
        <v>0</v>
      </c>
      <c r="C168" s="9" t="str">
        <f>IFERROR(AVERAGEIFS(Log!$F:$F, Log!$C:$C, $A168, Log!$B:$B, "n/a", Log!$A:$A, "Daily", Log!$D:$D, $C$2), "")</f>
        <v/>
      </c>
      <c r="D168" s="9" t="str">
        <f>IFERROR(AVERAGEIFS(Log!$G:$G, Log!$C:$C, $A168, Log!$B:$B, "n/a", Log!$A:$A, "Daily", Log!$D:$D, $C$2), "")</f>
        <v/>
      </c>
      <c r="E168" s="63" t="str">
        <f>IFERROR(AVERAGEIFS(Log!$E:$E, Log!$C:$C, $A168, Log!$B:$B, "n/a", Log!$A:$A, "Daily", Log!$D:$D, $C$2), "")</f>
        <v/>
      </c>
      <c r="F168" s="262" t="str">
        <f>_xlfn.XLOOKUP($A168, Daily!$C:$C, Daily!$J:$J)</f>
        <v/>
      </c>
      <c r="G168" s="262" t="str">
        <f>_xlfn.XLOOKUP($A168, Daily!$C:$C, Daily!$M:$M)</f>
        <v/>
      </c>
    </row>
    <row r="169" spans="1:7" x14ac:dyDescent="0.3">
      <c r="A169" s="7">
        <v>0</v>
      </c>
      <c r="C169" s="9" t="str">
        <f>IFERROR(AVERAGEIFS(Log!$F:$F, Log!$C:$C, $A169, Log!$B:$B, "n/a", Log!$A:$A, "Daily", Log!$D:$D, $C$2), "")</f>
        <v/>
      </c>
      <c r="D169" s="9" t="str">
        <f>IFERROR(AVERAGEIFS(Log!$G:$G, Log!$C:$C, $A169, Log!$B:$B, "n/a", Log!$A:$A, "Daily", Log!$D:$D, $C$2), "")</f>
        <v/>
      </c>
      <c r="E169" s="63" t="str">
        <f>IFERROR(AVERAGEIFS(Log!$E:$E, Log!$C:$C, $A169, Log!$B:$B, "n/a", Log!$A:$A, "Daily", Log!$D:$D, $C$2), "")</f>
        <v/>
      </c>
      <c r="F169" s="262" t="str">
        <f>_xlfn.XLOOKUP($A169, Daily!$C:$C, Daily!$J:$J)</f>
        <v/>
      </c>
      <c r="G169" s="262" t="str">
        <f>_xlfn.XLOOKUP($A169, Daily!$C:$C, Daily!$M:$M)</f>
        <v/>
      </c>
    </row>
    <row r="170" spans="1:7" x14ac:dyDescent="0.3">
      <c r="A170" s="7">
        <v>0</v>
      </c>
      <c r="C170" s="9" t="str">
        <f>IFERROR(AVERAGEIFS(Log!$F:$F, Log!$C:$C, $A170, Log!$B:$B, "n/a", Log!$A:$A, "Daily", Log!$D:$D, $C$2), "")</f>
        <v/>
      </c>
      <c r="D170" s="9" t="str">
        <f>IFERROR(AVERAGEIFS(Log!$G:$G, Log!$C:$C, $A170, Log!$B:$B, "n/a", Log!$A:$A, "Daily", Log!$D:$D, $C$2), "")</f>
        <v/>
      </c>
      <c r="E170" s="63" t="str">
        <f>IFERROR(AVERAGEIFS(Log!$E:$E, Log!$C:$C, $A170, Log!$B:$B, "n/a", Log!$A:$A, "Daily", Log!$D:$D, $C$2), "")</f>
        <v/>
      </c>
      <c r="F170" s="262" t="str">
        <f>_xlfn.XLOOKUP($A170, Daily!$C:$C, Daily!$J:$J)</f>
        <v/>
      </c>
      <c r="G170" s="262" t="str">
        <f>_xlfn.XLOOKUP($A170, Daily!$C:$C, Daily!$M:$M)</f>
        <v/>
      </c>
    </row>
    <row r="171" spans="1:7" x14ac:dyDescent="0.3">
      <c r="A171" s="7">
        <v>0</v>
      </c>
      <c r="C171" s="9" t="str">
        <f>IFERROR(AVERAGEIFS(Log!$F:$F, Log!$C:$C, $A171, Log!$B:$B, "n/a", Log!$A:$A, "Daily", Log!$D:$D, $C$2), "")</f>
        <v/>
      </c>
      <c r="D171" s="9" t="str">
        <f>IFERROR(AVERAGEIFS(Log!$G:$G, Log!$C:$C, $A171, Log!$B:$B, "n/a", Log!$A:$A, "Daily", Log!$D:$D, $C$2), "")</f>
        <v/>
      </c>
      <c r="E171" s="63" t="str">
        <f>IFERROR(AVERAGEIFS(Log!$E:$E, Log!$C:$C, $A171, Log!$B:$B, "n/a", Log!$A:$A, "Daily", Log!$D:$D, $C$2), "")</f>
        <v/>
      </c>
      <c r="F171" s="262" t="str">
        <f>_xlfn.XLOOKUP($A171, Daily!$C:$C, Daily!$J:$J)</f>
        <v/>
      </c>
      <c r="G171" s="262" t="str">
        <f>_xlfn.XLOOKUP($A171, Daily!$C:$C, Daily!$M:$M)</f>
        <v/>
      </c>
    </row>
    <row r="172" spans="1:7" x14ac:dyDescent="0.3">
      <c r="A172" s="7">
        <v>0</v>
      </c>
      <c r="C172" s="9" t="str">
        <f>IFERROR(AVERAGEIFS(Log!$F:$F, Log!$C:$C, $A172, Log!$B:$B, "n/a", Log!$A:$A, "Daily", Log!$D:$D, $C$2), "")</f>
        <v/>
      </c>
      <c r="D172" s="9" t="str">
        <f>IFERROR(AVERAGEIFS(Log!$G:$G, Log!$C:$C, $A172, Log!$B:$B, "n/a", Log!$A:$A, "Daily", Log!$D:$D, $C$2), "")</f>
        <v/>
      </c>
      <c r="E172" s="63" t="str">
        <f>IFERROR(AVERAGEIFS(Log!$E:$E, Log!$C:$C, $A172, Log!$B:$B, "n/a", Log!$A:$A, "Daily", Log!$D:$D, $C$2), "")</f>
        <v/>
      </c>
      <c r="F172" s="262" t="str">
        <f>_xlfn.XLOOKUP($A172, Daily!$C:$C, Daily!$J:$J)</f>
        <v/>
      </c>
      <c r="G172" s="262" t="str">
        <f>_xlfn.XLOOKUP($A172, Daily!$C:$C, Daily!$M:$M)</f>
        <v/>
      </c>
    </row>
    <row r="173" spans="1:7" x14ac:dyDescent="0.3">
      <c r="A173" s="7">
        <v>0</v>
      </c>
      <c r="C173" s="9" t="str">
        <f>IFERROR(AVERAGEIFS(Log!$F:$F, Log!$C:$C, $A173, Log!$B:$B, "n/a", Log!$A:$A, "Daily", Log!$D:$D, $C$2), "")</f>
        <v/>
      </c>
      <c r="D173" s="9" t="str">
        <f>IFERROR(AVERAGEIFS(Log!$G:$G, Log!$C:$C, $A173, Log!$B:$B, "n/a", Log!$A:$A, "Daily", Log!$D:$D, $C$2), "")</f>
        <v/>
      </c>
      <c r="E173" s="63" t="str">
        <f>IFERROR(AVERAGEIFS(Log!$E:$E, Log!$C:$C, $A173, Log!$B:$B, "n/a", Log!$A:$A, "Daily", Log!$D:$D, $C$2), "")</f>
        <v/>
      </c>
      <c r="F173" s="262" t="str">
        <f>_xlfn.XLOOKUP($A173, Daily!$C:$C, Daily!$J:$J)</f>
        <v/>
      </c>
      <c r="G173" s="262" t="str">
        <f>_xlfn.XLOOKUP($A173, Daily!$C:$C, Daily!$M:$M)</f>
        <v/>
      </c>
    </row>
    <row r="174" spans="1:7" x14ac:dyDescent="0.3">
      <c r="A174" s="7">
        <v>0</v>
      </c>
      <c r="C174" s="9" t="str">
        <f>IFERROR(AVERAGEIFS(Log!$F:$F, Log!$C:$C, $A174, Log!$B:$B, "n/a", Log!$A:$A, "Daily", Log!$D:$D, $C$2), "")</f>
        <v/>
      </c>
      <c r="D174" s="9" t="str">
        <f>IFERROR(AVERAGEIFS(Log!$G:$G, Log!$C:$C, $A174, Log!$B:$B, "n/a", Log!$A:$A, "Daily", Log!$D:$D, $C$2), "")</f>
        <v/>
      </c>
      <c r="E174" s="63" t="str">
        <f>IFERROR(AVERAGEIFS(Log!$E:$E, Log!$C:$C, $A174, Log!$B:$B, "n/a", Log!$A:$A, "Daily", Log!$D:$D, $C$2), "")</f>
        <v/>
      </c>
      <c r="F174" s="262" t="str">
        <f>_xlfn.XLOOKUP($A174, Daily!$C:$C, Daily!$J:$J)</f>
        <v/>
      </c>
      <c r="G174" s="262" t="str">
        <f>_xlfn.XLOOKUP($A174, Daily!$C:$C, Daily!$M:$M)</f>
        <v/>
      </c>
    </row>
    <row r="175" spans="1:7" x14ac:dyDescent="0.3">
      <c r="A175" s="7">
        <v>0</v>
      </c>
      <c r="C175" s="9" t="str">
        <f>IFERROR(AVERAGEIFS(Log!$F:$F, Log!$C:$C, $A175, Log!$B:$B, "n/a", Log!$A:$A, "Daily", Log!$D:$D, $C$2), "")</f>
        <v/>
      </c>
      <c r="D175" s="9" t="str">
        <f>IFERROR(AVERAGEIFS(Log!$G:$G, Log!$C:$C, $A175, Log!$B:$B, "n/a", Log!$A:$A, "Daily", Log!$D:$D, $C$2), "")</f>
        <v/>
      </c>
      <c r="E175" s="63" t="str">
        <f>IFERROR(AVERAGEIFS(Log!$E:$E, Log!$C:$C, $A175, Log!$B:$B, "n/a", Log!$A:$A, "Daily", Log!$D:$D, $C$2), "")</f>
        <v/>
      </c>
      <c r="F175" s="262" t="str">
        <f>_xlfn.XLOOKUP($A175, Daily!$C:$C, Daily!$J:$J)</f>
        <v/>
      </c>
      <c r="G175" s="262" t="str">
        <f>_xlfn.XLOOKUP($A175, Daily!$C:$C, Daily!$M:$M)</f>
        <v/>
      </c>
    </row>
    <row r="176" spans="1:7" x14ac:dyDescent="0.3">
      <c r="A176" s="7">
        <v>0</v>
      </c>
      <c r="C176" s="9" t="str">
        <f>IFERROR(AVERAGEIFS(Log!$F:$F, Log!$C:$C, $A176, Log!$B:$B, "n/a", Log!$A:$A, "Daily", Log!$D:$D, $C$2), "")</f>
        <v/>
      </c>
      <c r="D176" s="9" t="str">
        <f>IFERROR(AVERAGEIFS(Log!$G:$G, Log!$C:$C, $A176, Log!$B:$B, "n/a", Log!$A:$A, "Daily", Log!$D:$D, $C$2), "")</f>
        <v/>
      </c>
      <c r="E176" s="63" t="str">
        <f>IFERROR(AVERAGEIFS(Log!$E:$E, Log!$C:$C, $A176, Log!$B:$B, "n/a", Log!$A:$A, "Daily", Log!$D:$D, $C$2), "")</f>
        <v/>
      </c>
      <c r="F176" s="262" t="str">
        <f>_xlfn.XLOOKUP($A176, Daily!$C:$C, Daily!$J:$J)</f>
        <v/>
      </c>
      <c r="G176" s="262" t="str">
        <f>_xlfn.XLOOKUP($A176, Daily!$C:$C, Daily!$M:$M)</f>
        <v/>
      </c>
    </row>
    <row r="177" spans="1:7" x14ac:dyDescent="0.3">
      <c r="A177" s="7">
        <v>0</v>
      </c>
      <c r="C177" s="9" t="str">
        <f>IFERROR(AVERAGEIFS(Log!$F:$F, Log!$C:$C, $A177, Log!$B:$B, "n/a", Log!$A:$A, "Daily", Log!$D:$D, $C$2), "")</f>
        <v/>
      </c>
      <c r="D177" s="9" t="str">
        <f>IFERROR(AVERAGEIFS(Log!$G:$G, Log!$C:$C, $A177, Log!$B:$B, "n/a", Log!$A:$A, "Daily", Log!$D:$D, $C$2), "")</f>
        <v/>
      </c>
      <c r="E177" s="63" t="str">
        <f>IFERROR(AVERAGEIFS(Log!$E:$E, Log!$C:$C, $A177, Log!$B:$B, "n/a", Log!$A:$A, "Daily", Log!$D:$D, $C$2), "")</f>
        <v/>
      </c>
      <c r="F177" s="262" t="str">
        <f>_xlfn.XLOOKUP($A177, Daily!$C:$C, Daily!$J:$J)</f>
        <v/>
      </c>
      <c r="G177" s="262" t="str">
        <f>_xlfn.XLOOKUP($A177, Daily!$C:$C, Daily!$M:$M)</f>
        <v/>
      </c>
    </row>
    <row r="178" spans="1:7" x14ac:dyDescent="0.3">
      <c r="A178" s="7">
        <v>0</v>
      </c>
      <c r="C178" s="9" t="str">
        <f>IFERROR(AVERAGEIFS(Log!$F:$F, Log!$C:$C, $A178, Log!$B:$B, "n/a", Log!$A:$A, "Daily", Log!$D:$D, $C$2), "")</f>
        <v/>
      </c>
      <c r="D178" s="9" t="str">
        <f>IFERROR(AVERAGEIFS(Log!$G:$G, Log!$C:$C, $A178, Log!$B:$B, "n/a", Log!$A:$A, "Daily", Log!$D:$D, $C$2), "")</f>
        <v/>
      </c>
      <c r="E178" s="63" t="str">
        <f>IFERROR(AVERAGEIFS(Log!$E:$E, Log!$C:$C, $A178, Log!$B:$B, "n/a", Log!$A:$A, "Daily", Log!$D:$D, $C$2), "")</f>
        <v/>
      </c>
      <c r="F178" s="262" t="str">
        <f>_xlfn.XLOOKUP($A178, Daily!$C:$C, Daily!$J:$J)</f>
        <v/>
      </c>
      <c r="G178" s="262" t="str">
        <f>_xlfn.XLOOKUP($A178, Daily!$C:$C, Daily!$M:$M)</f>
        <v/>
      </c>
    </row>
    <row r="179" spans="1:7" x14ac:dyDescent="0.3">
      <c r="A179" s="7">
        <v>0</v>
      </c>
      <c r="C179" s="9" t="str">
        <f>IFERROR(AVERAGEIFS(Log!$F:$F, Log!$C:$C, $A179, Log!$B:$B, "n/a", Log!$A:$A, "Daily", Log!$D:$D, $C$2), "")</f>
        <v/>
      </c>
      <c r="D179" s="9" t="str">
        <f>IFERROR(AVERAGEIFS(Log!$G:$G, Log!$C:$C, $A179, Log!$B:$B, "n/a", Log!$A:$A, "Daily", Log!$D:$D, $C$2), "")</f>
        <v/>
      </c>
      <c r="E179" s="63" t="str">
        <f>IFERROR(AVERAGEIFS(Log!$E:$E, Log!$C:$C, $A179, Log!$B:$B, "n/a", Log!$A:$A, "Daily", Log!$D:$D, $C$2), "")</f>
        <v/>
      </c>
      <c r="F179" s="262" t="str">
        <f>_xlfn.XLOOKUP($A179, Daily!$C:$C, Daily!$J:$J)</f>
        <v/>
      </c>
      <c r="G179" s="262" t="str">
        <f>_xlfn.XLOOKUP($A179, Daily!$C:$C, Daily!$M:$M)</f>
        <v/>
      </c>
    </row>
    <row r="180" spans="1:7" x14ac:dyDescent="0.3">
      <c r="A180" s="7">
        <v>0</v>
      </c>
      <c r="C180" s="9" t="str">
        <f>IFERROR(AVERAGEIFS(Log!$F:$F, Log!$C:$C, $A180, Log!$B:$B, "n/a", Log!$A:$A, "Daily", Log!$D:$D, $C$2), "")</f>
        <v/>
      </c>
      <c r="D180" s="9" t="str">
        <f>IFERROR(AVERAGEIFS(Log!$G:$G, Log!$C:$C, $A180, Log!$B:$B, "n/a", Log!$A:$A, "Daily", Log!$D:$D, $C$2), "")</f>
        <v/>
      </c>
      <c r="E180" s="63" t="str">
        <f>IFERROR(AVERAGEIFS(Log!$E:$E, Log!$C:$C, $A180, Log!$B:$B, "n/a", Log!$A:$A, "Daily", Log!$D:$D, $C$2), "")</f>
        <v/>
      </c>
      <c r="F180" s="262" t="str">
        <f>_xlfn.XLOOKUP($A180, Daily!$C:$C, Daily!$J:$J)</f>
        <v/>
      </c>
      <c r="G180" s="262" t="str">
        <f>_xlfn.XLOOKUP($A180, Daily!$C:$C, Daily!$M:$M)</f>
        <v/>
      </c>
    </row>
    <row r="181" spans="1:7" x14ac:dyDescent="0.3">
      <c r="A181" s="7">
        <v>0</v>
      </c>
      <c r="C181" s="9" t="str">
        <f>IFERROR(AVERAGEIFS(Log!$F:$F, Log!$C:$C, $A181, Log!$B:$B, "n/a", Log!$A:$A, "Daily", Log!$D:$D, $C$2), "")</f>
        <v/>
      </c>
      <c r="D181" s="9" t="str">
        <f>IFERROR(AVERAGEIFS(Log!$G:$G, Log!$C:$C, $A181, Log!$B:$B, "n/a", Log!$A:$A, "Daily", Log!$D:$D, $C$2), "")</f>
        <v/>
      </c>
      <c r="E181" s="63" t="str">
        <f>IFERROR(AVERAGEIFS(Log!$E:$E, Log!$C:$C, $A181, Log!$B:$B, "n/a", Log!$A:$A, "Daily", Log!$D:$D, $C$2), "")</f>
        <v/>
      </c>
      <c r="F181" s="262" t="str">
        <f>_xlfn.XLOOKUP($A181, Daily!$C:$C, Daily!$J:$J)</f>
        <v/>
      </c>
      <c r="G181" s="262" t="str">
        <f>_xlfn.XLOOKUP($A181, Daily!$C:$C, Daily!$M:$M)</f>
        <v/>
      </c>
    </row>
    <row r="182" spans="1:7" x14ac:dyDescent="0.3">
      <c r="A182" s="7">
        <v>0</v>
      </c>
      <c r="C182" s="9" t="str">
        <f>IFERROR(AVERAGEIFS(Log!$F:$F, Log!$C:$C, $A182, Log!$B:$B, "n/a", Log!$A:$A, "Daily", Log!$D:$D, $C$2), "")</f>
        <v/>
      </c>
      <c r="D182" s="9" t="str">
        <f>IFERROR(AVERAGEIFS(Log!$G:$G, Log!$C:$C, $A182, Log!$B:$B, "n/a", Log!$A:$A, "Daily", Log!$D:$D, $C$2), "")</f>
        <v/>
      </c>
      <c r="E182" s="63" t="str">
        <f>IFERROR(AVERAGEIFS(Log!$E:$E, Log!$C:$C, $A182, Log!$B:$B, "n/a", Log!$A:$A, "Daily", Log!$D:$D, $C$2), "")</f>
        <v/>
      </c>
      <c r="F182" s="262" t="str">
        <f>_xlfn.XLOOKUP($A182, Daily!$C:$C, Daily!$J:$J)</f>
        <v/>
      </c>
      <c r="G182" s="262" t="str">
        <f>_xlfn.XLOOKUP($A182, Daily!$C:$C, Daily!$M:$M)</f>
        <v/>
      </c>
    </row>
    <row r="183" spans="1:7" x14ac:dyDescent="0.3">
      <c r="A183" s="7">
        <v>0</v>
      </c>
      <c r="C183" s="9" t="str">
        <f>IFERROR(AVERAGEIFS(Log!$F:$F, Log!$C:$C, $A183, Log!$B:$B, "n/a", Log!$A:$A, "Daily", Log!$D:$D, $C$2), "")</f>
        <v/>
      </c>
      <c r="D183" s="9" t="str">
        <f>IFERROR(AVERAGEIFS(Log!$G:$G, Log!$C:$C, $A183, Log!$B:$B, "n/a", Log!$A:$A, "Daily", Log!$D:$D, $C$2), "")</f>
        <v/>
      </c>
      <c r="E183" s="63" t="str">
        <f>IFERROR(AVERAGEIFS(Log!$E:$E, Log!$C:$C, $A183, Log!$B:$B, "n/a", Log!$A:$A, "Daily", Log!$D:$D, $C$2), "")</f>
        <v/>
      </c>
      <c r="F183" s="262" t="str">
        <f>_xlfn.XLOOKUP($A183, Daily!$C:$C, Daily!$J:$J)</f>
        <v/>
      </c>
      <c r="G183" s="262" t="str">
        <f>_xlfn.XLOOKUP($A183, Daily!$C:$C, Daily!$M:$M)</f>
        <v/>
      </c>
    </row>
    <row r="184" spans="1:7" x14ac:dyDescent="0.3">
      <c r="A184" s="7">
        <v>0</v>
      </c>
      <c r="C184" s="9" t="str">
        <f>IFERROR(AVERAGEIFS(Log!$F:$F, Log!$C:$C, $A184, Log!$B:$B, "n/a", Log!$A:$A, "Daily", Log!$D:$D, $C$2), "")</f>
        <v/>
      </c>
      <c r="D184" s="9" t="str">
        <f>IFERROR(AVERAGEIFS(Log!$G:$G, Log!$C:$C, $A184, Log!$B:$B, "n/a", Log!$A:$A, "Daily", Log!$D:$D, $C$2), "")</f>
        <v/>
      </c>
      <c r="E184" s="63" t="str">
        <f>IFERROR(AVERAGEIFS(Log!$E:$E, Log!$C:$C, $A184, Log!$B:$B, "n/a", Log!$A:$A, "Daily", Log!$D:$D, $C$2), "")</f>
        <v/>
      </c>
      <c r="F184" s="262" t="str">
        <f>_xlfn.XLOOKUP($A184, Daily!$C:$C, Daily!$J:$J)</f>
        <v/>
      </c>
      <c r="G184" s="262" t="str">
        <f>_xlfn.XLOOKUP($A184, Daily!$C:$C, Daily!$M:$M)</f>
        <v/>
      </c>
    </row>
    <row r="185" spans="1:7" x14ac:dyDescent="0.3">
      <c r="A185" s="7">
        <v>0</v>
      </c>
      <c r="C185" s="9" t="str">
        <f>IFERROR(AVERAGEIFS(Log!$F:$F, Log!$C:$C, $A185, Log!$B:$B, "n/a", Log!$A:$A, "Daily", Log!$D:$D, $C$2), "")</f>
        <v/>
      </c>
      <c r="D185" s="9" t="str">
        <f>IFERROR(AVERAGEIFS(Log!$G:$G, Log!$C:$C, $A185, Log!$B:$B, "n/a", Log!$A:$A, "Daily", Log!$D:$D, $C$2), "")</f>
        <v/>
      </c>
      <c r="E185" s="63" t="str">
        <f>IFERROR(AVERAGEIFS(Log!$E:$E, Log!$C:$C, $A185, Log!$B:$B, "n/a", Log!$A:$A, "Daily", Log!$D:$D, $C$2), "")</f>
        <v/>
      </c>
      <c r="F185" s="262" t="str">
        <f>_xlfn.XLOOKUP($A185, Daily!$C:$C, Daily!$J:$J)</f>
        <v/>
      </c>
      <c r="G185" s="262" t="str">
        <f>_xlfn.XLOOKUP($A185, Daily!$C:$C, Daily!$M:$M)</f>
        <v/>
      </c>
    </row>
    <row r="186" spans="1:7" x14ac:dyDescent="0.3">
      <c r="A186" s="7">
        <v>0</v>
      </c>
      <c r="C186" s="9" t="str">
        <f>IFERROR(AVERAGEIFS(Log!$F:$F, Log!$C:$C, $A186, Log!$B:$B, "n/a", Log!$A:$A, "Daily", Log!$D:$D, $C$2), "")</f>
        <v/>
      </c>
      <c r="D186" s="9" t="str">
        <f>IFERROR(AVERAGEIFS(Log!$G:$G, Log!$C:$C, $A186, Log!$B:$B, "n/a", Log!$A:$A, "Daily", Log!$D:$D, $C$2), "")</f>
        <v/>
      </c>
      <c r="E186" s="63" t="str">
        <f>IFERROR(AVERAGEIFS(Log!$E:$E, Log!$C:$C, $A186, Log!$B:$B, "n/a", Log!$A:$A, "Daily", Log!$D:$D, $C$2), "")</f>
        <v/>
      </c>
      <c r="F186" s="262" t="str">
        <f>_xlfn.XLOOKUP($A186, Daily!$C:$C, Daily!$J:$J)</f>
        <v/>
      </c>
      <c r="G186" s="262" t="str">
        <f>_xlfn.XLOOKUP($A186, Daily!$C:$C, Daily!$M:$M)</f>
        <v/>
      </c>
    </row>
    <row r="187" spans="1:7" x14ac:dyDescent="0.3">
      <c r="A187" s="7">
        <v>0</v>
      </c>
      <c r="C187" s="9" t="str">
        <f>IFERROR(AVERAGEIFS(Log!$F:$F, Log!$C:$C, $A187, Log!$B:$B, "n/a", Log!$A:$A, "Daily", Log!$D:$D, $C$2), "")</f>
        <v/>
      </c>
      <c r="D187" s="9" t="str">
        <f>IFERROR(AVERAGEIFS(Log!$G:$G, Log!$C:$C, $A187, Log!$B:$B, "n/a", Log!$A:$A, "Daily", Log!$D:$D, $C$2), "")</f>
        <v/>
      </c>
      <c r="E187" s="63" t="str">
        <f>IFERROR(AVERAGEIFS(Log!$E:$E, Log!$C:$C, $A187, Log!$B:$B, "n/a", Log!$A:$A, "Daily", Log!$D:$D, $C$2), "")</f>
        <v/>
      </c>
      <c r="F187" s="262" t="str">
        <f>_xlfn.XLOOKUP($A187, Daily!$C:$C, Daily!$J:$J)</f>
        <v/>
      </c>
      <c r="G187" s="262" t="str">
        <f>_xlfn.XLOOKUP($A187, Daily!$C:$C, Daily!$M:$M)</f>
        <v/>
      </c>
    </row>
    <row r="188" spans="1:7" x14ac:dyDescent="0.3">
      <c r="A188" s="7">
        <v>0</v>
      </c>
      <c r="C188" s="9" t="str">
        <f>IFERROR(AVERAGEIFS(Log!$F:$F, Log!$C:$C, $A188, Log!$B:$B, "n/a", Log!$A:$A, "Daily", Log!$D:$D, $C$2), "")</f>
        <v/>
      </c>
      <c r="D188" s="9" t="str">
        <f>IFERROR(AVERAGEIFS(Log!$G:$G, Log!$C:$C, $A188, Log!$B:$B, "n/a", Log!$A:$A, "Daily", Log!$D:$D, $C$2), "")</f>
        <v/>
      </c>
      <c r="E188" s="63" t="str">
        <f>IFERROR(AVERAGEIFS(Log!$E:$E, Log!$C:$C, $A188, Log!$B:$B, "n/a", Log!$A:$A, "Daily", Log!$D:$D, $C$2), "")</f>
        <v/>
      </c>
      <c r="F188" s="262" t="str">
        <f>_xlfn.XLOOKUP($A188, Daily!$C:$C, Daily!$J:$J)</f>
        <v/>
      </c>
      <c r="G188" s="262" t="str">
        <f>_xlfn.XLOOKUP($A188, Daily!$C:$C, Daily!$M:$M)</f>
        <v/>
      </c>
    </row>
    <row r="189" spans="1:7" x14ac:dyDescent="0.3">
      <c r="A189" s="7">
        <v>0</v>
      </c>
      <c r="C189" s="9" t="str">
        <f>IFERROR(AVERAGEIFS(Log!$F:$F, Log!$C:$C, $A189, Log!$B:$B, "n/a", Log!$A:$A, "Daily", Log!$D:$D, $C$2), "")</f>
        <v/>
      </c>
      <c r="D189" s="9" t="str">
        <f>IFERROR(AVERAGEIFS(Log!$G:$G, Log!$C:$C, $A189, Log!$B:$B, "n/a", Log!$A:$A, "Daily", Log!$D:$D, $C$2), "")</f>
        <v/>
      </c>
      <c r="E189" s="63" t="str">
        <f>IFERROR(AVERAGEIFS(Log!$E:$E, Log!$C:$C, $A189, Log!$B:$B, "n/a", Log!$A:$A, "Daily", Log!$D:$D, $C$2), "")</f>
        <v/>
      </c>
      <c r="F189" s="262" t="str">
        <f>_xlfn.XLOOKUP($A189, Daily!$C:$C, Daily!$J:$J)</f>
        <v/>
      </c>
      <c r="G189" s="262" t="str">
        <f>_xlfn.XLOOKUP($A189, Daily!$C:$C, Daily!$M:$M)</f>
        <v/>
      </c>
    </row>
    <row r="190" spans="1:7" x14ac:dyDescent="0.3">
      <c r="A190" s="7">
        <v>0</v>
      </c>
      <c r="C190" s="9" t="str">
        <f>IFERROR(AVERAGEIFS(Log!$F:$F, Log!$C:$C, $A190, Log!$B:$B, "n/a", Log!$A:$A, "Daily", Log!$D:$D, $C$2), "")</f>
        <v/>
      </c>
      <c r="D190" s="9" t="str">
        <f>IFERROR(AVERAGEIFS(Log!$G:$G, Log!$C:$C, $A190, Log!$B:$B, "n/a", Log!$A:$A, "Daily", Log!$D:$D, $C$2), "")</f>
        <v/>
      </c>
      <c r="E190" s="63" t="str">
        <f>IFERROR(AVERAGEIFS(Log!$E:$E, Log!$C:$C, $A190, Log!$B:$B, "n/a", Log!$A:$A, "Daily", Log!$D:$D, $C$2), "")</f>
        <v/>
      </c>
      <c r="F190" s="262" t="str">
        <f>_xlfn.XLOOKUP($A190, Daily!$C:$C, Daily!$J:$J)</f>
        <v/>
      </c>
      <c r="G190" s="262" t="str">
        <f>_xlfn.XLOOKUP($A190, Daily!$C:$C, Daily!$M:$M)</f>
        <v/>
      </c>
    </row>
    <row r="191" spans="1:7" x14ac:dyDescent="0.3">
      <c r="A191" s="7">
        <v>0</v>
      </c>
      <c r="C191" s="9" t="str">
        <f>IFERROR(AVERAGEIFS(Log!$F:$F, Log!$C:$C, $A191, Log!$B:$B, "n/a", Log!$A:$A, "Daily", Log!$D:$D, $C$2), "")</f>
        <v/>
      </c>
      <c r="D191" s="9" t="str">
        <f>IFERROR(AVERAGEIFS(Log!$G:$G, Log!$C:$C, $A191, Log!$B:$B, "n/a", Log!$A:$A, "Daily", Log!$D:$D, $C$2), "")</f>
        <v/>
      </c>
      <c r="E191" s="63" t="str">
        <f>IFERROR(AVERAGEIFS(Log!$E:$E, Log!$C:$C, $A191, Log!$B:$B, "n/a", Log!$A:$A, "Daily", Log!$D:$D, $C$2), "")</f>
        <v/>
      </c>
      <c r="F191" s="262" t="str">
        <f>_xlfn.XLOOKUP($A191, Daily!$C:$C, Daily!$J:$J)</f>
        <v/>
      </c>
      <c r="G191" s="262" t="str">
        <f>_xlfn.XLOOKUP($A191, Daily!$C:$C, Daily!$M:$M)</f>
        <v/>
      </c>
    </row>
    <row r="192" spans="1:7" x14ac:dyDescent="0.3">
      <c r="A192" s="7">
        <v>0</v>
      </c>
      <c r="C192" s="9" t="str">
        <f>IFERROR(AVERAGEIFS(Log!$F:$F, Log!$C:$C, $A192, Log!$B:$B, "n/a", Log!$A:$A, "Daily", Log!$D:$D, $C$2), "")</f>
        <v/>
      </c>
      <c r="D192" s="9" t="str">
        <f>IFERROR(AVERAGEIFS(Log!$G:$G, Log!$C:$C, $A192, Log!$B:$B, "n/a", Log!$A:$A, "Daily", Log!$D:$D, $C$2), "")</f>
        <v/>
      </c>
      <c r="E192" s="63" t="str">
        <f>IFERROR(AVERAGEIFS(Log!$E:$E, Log!$C:$C, $A192, Log!$B:$B, "n/a", Log!$A:$A, "Daily", Log!$D:$D, $C$2), "")</f>
        <v/>
      </c>
      <c r="F192" s="262" t="str">
        <f>_xlfn.XLOOKUP($A192, Daily!$C:$C, Daily!$J:$J)</f>
        <v/>
      </c>
      <c r="G192" s="262" t="str">
        <f>_xlfn.XLOOKUP($A192, Daily!$C:$C, Daily!$M:$M)</f>
        <v/>
      </c>
    </row>
    <row r="193" spans="1:7" x14ac:dyDescent="0.3">
      <c r="A193" s="7">
        <v>0</v>
      </c>
      <c r="C193" s="9" t="str">
        <f>IFERROR(AVERAGEIFS(Log!$F:$F, Log!$C:$C, $A193, Log!$B:$B, "n/a", Log!$A:$A, "Daily", Log!$D:$D, $C$2), "")</f>
        <v/>
      </c>
      <c r="D193" s="9" t="str">
        <f>IFERROR(AVERAGEIFS(Log!$G:$G, Log!$C:$C, $A193, Log!$B:$B, "n/a", Log!$A:$A, "Daily", Log!$D:$D, $C$2), "")</f>
        <v/>
      </c>
      <c r="E193" s="63" t="str">
        <f>IFERROR(AVERAGEIFS(Log!$E:$E, Log!$C:$C, $A193, Log!$B:$B, "n/a", Log!$A:$A, "Daily", Log!$D:$D, $C$2), "")</f>
        <v/>
      </c>
      <c r="F193" s="262" t="str">
        <f>_xlfn.XLOOKUP($A193, Daily!$C:$C, Daily!$J:$J)</f>
        <v/>
      </c>
      <c r="G193" s="262" t="str">
        <f>_xlfn.XLOOKUP($A193, Daily!$C:$C, Daily!$M:$M)</f>
        <v/>
      </c>
    </row>
    <row r="194" spans="1:7" x14ac:dyDescent="0.3">
      <c r="A194" s="7">
        <v>0</v>
      </c>
      <c r="C194" s="9" t="str">
        <f>IFERROR(AVERAGEIFS(Log!$F:$F, Log!$C:$C, $A194, Log!$B:$B, "n/a", Log!$A:$A, "Daily", Log!$D:$D, $C$2), "")</f>
        <v/>
      </c>
      <c r="D194" s="9" t="str">
        <f>IFERROR(AVERAGEIFS(Log!$G:$G, Log!$C:$C, $A194, Log!$B:$B, "n/a", Log!$A:$A, "Daily", Log!$D:$D, $C$2), "")</f>
        <v/>
      </c>
      <c r="E194" s="63" t="str">
        <f>IFERROR(AVERAGEIFS(Log!$E:$E, Log!$C:$C, $A194, Log!$B:$B, "n/a", Log!$A:$A, "Daily", Log!$D:$D, $C$2), "")</f>
        <v/>
      </c>
      <c r="F194" s="262" t="str">
        <f>_xlfn.XLOOKUP($A194, Daily!$C:$C, Daily!$J:$J)</f>
        <v/>
      </c>
      <c r="G194" s="262" t="str">
        <f>_xlfn.XLOOKUP($A194, Daily!$C:$C, Daily!$M:$M)</f>
        <v/>
      </c>
    </row>
    <row r="195" spans="1:7" x14ac:dyDescent="0.3">
      <c r="A195" s="7">
        <v>0</v>
      </c>
      <c r="C195" s="9" t="str">
        <f>IFERROR(AVERAGEIFS(Log!$F:$F, Log!$C:$C, $A195, Log!$B:$B, "n/a", Log!$A:$A, "Daily", Log!$D:$D, $C$2), "")</f>
        <v/>
      </c>
      <c r="D195" s="9" t="str">
        <f>IFERROR(AVERAGEIFS(Log!$G:$G, Log!$C:$C, $A195, Log!$B:$B, "n/a", Log!$A:$A, "Daily", Log!$D:$D, $C$2), "")</f>
        <v/>
      </c>
      <c r="E195" s="63" t="str">
        <f>IFERROR(AVERAGEIFS(Log!$E:$E, Log!$C:$C, $A195, Log!$B:$B, "n/a", Log!$A:$A, "Daily", Log!$D:$D, $C$2), "")</f>
        <v/>
      </c>
      <c r="F195" s="262" t="str">
        <f>_xlfn.XLOOKUP($A195, Daily!$C:$C, Daily!$J:$J)</f>
        <v/>
      </c>
      <c r="G195" s="262" t="str">
        <f>_xlfn.XLOOKUP($A195, Daily!$C:$C, Daily!$M:$M)</f>
        <v/>
      </c>
    </row>
    <row r="196" spans="1:7" x14ac:dyDescent="0.3">
      <c r="A196" s="7">
        <v>0</v>
      </c>
      <c r="C196" s="9" t="str">
        <f>IFERROR(AVERAGEIFS(Log!$F:$F, Log!$C:$C, $A196, Log!$B:$B, "n/a", Log!$A:$A, "Daily", Log!$D:$D, $C$2), "")</f>
        <v/>
      </c>
      <c r="D196" s="9" t="str">
        <f>IFERROR(AVERAGEIFS(Log!$G:$G, Log!$C:$C, $A196, Log!$B:$B, "n/a", Log!$A:$A, "Daily", Log!$D:$D, $C$2), "")</f>
        <v/>
      </c>
      <c r="E196" s="63" t="str">
        <f>IFERROR(AVERAGEIFS(Log!$E:$E, Log!$C:$C, $A196, Log!$B:$B, "n/a", Log!$A:$A, "Daily", Log!$D:$D, $C$2), "")</f>
        <v/>
      </c>
      <c r="F196" s="262" t="str">
        <f>_xlfn.XLOOKUP($A196, Daily!$C:$C, Daily!$J:$J)</f>
        <v/>
      </c>
      <c r="G196" s="262" t="str">
        <f>_xlfn.XLOOKUP($A196, Daily!$C:$C, Daily!$M:$M)</f>
        <v/>
      </c>
    </row>
    <row r="197" spans="1:7" x14ac:dyDescent="0.3">
      <c r="A197" s="7">
        <v>0</v>
      </c>
      <c r="C197" s="9" t="str">
        <f>IFERROR(AVERAGEIFS(Log!$F:$F, Log!$C:$C, $A197, Log!$B:$B, "n/a", Log!$A:$A, "Daily", Log!$D:$D, $C$2), "")</f>
        <v/>
      </c>
      <c r="D197" s="9" t="str">
        <f>IFERROR(AVERAGEIFS(Log!$G:$G, Log!$C:$C, $A197, Log!$B:$B, "n/a", Log!$A:$A, "Daily", Log!$D:$D, $C$2), "")</f>
        <v/>
      </c>
      <c r="E197" s="63" t="str">
        <f>IFERROR(AVERAGEIFS(Log!$E:$E, Log!$C:$C, $A197, Log!$B:$B, "n/a", Log!$A:$A, "Daily", Log!$D:$D, $C$2), "")</f>
        <v/>
      </c>
      <c r="F197" s="262" t="str">
        <f>_xlfn.XLOOKUP($A197, Daily!$C:$C, Daily!$J:$J)</f>
        <v/>
      </c>
      <c r="G197" s="262" t="str">
        <f>_xlfn.XLOOKUP($A197, Daily!$C:$C, Daily!$M:$M)</f>
        <v/>
      </c>
    </row>
    <row r="198" spans="1:7" x14ac:dyDescent="0.3">
      <c r="A198" s="7">
        <v>0</v>
      </c>
      <c r="C198" s="9" t="str">
        <f>IFERROR(AVERAGEIFS(Log!$F:$F, Log!$C:$C, $A198, Log!$B:$B, "n/a", Log!$A:$A, "Daily", Log!$D:$D, $C$2), "")</f>
        <v/>
      </c>
      <c r="D198" s="9" t="str">
        <f>IFERROR(AVERAGEIFS(Log!$G:$G, Log!$C:$C, $A198, Log!$B:$B, "n/a", Log!$A:$A, "Daily", Log!$D:$D, $C$2), "")</f>
        <v/>
      </c>
      <c r="E198" s="63" t="str">
        <f>IFERROR(AVERAGEIFS(Log!$E:$E, Log!$C:$C, $A198, Log!$B:$B, "n/a", Log!$A:$A, "Daily", Log!$D:$D, $C$2), "")</f>
        <v/>
      </c>
      <c r="F198" s="262" t="str">
        <f>_xlfn.XLOOKUP($A198, Daily!$C:$C, Daily!$J:$J)</f>
        <v/>
      </c>
      <c r="G198" s="262" t="str">
        <f>_xlfn.XLOOKUP($A198, Daily!$C:$C, Daily!$M:$M)</f>
        <v/>
      </c>
    </row>
    <row r="199" spans="1:7" x14ac:dyDescent="0.3">
      <c r="A199" s="7">
        <v>0</v>
      </c>
      <c r="C199" s="9" t="str">
        <f>IFERROR(AVERAGEIFS(Log!$F:$F, Log!$C:$C, $A199, Log!$B:$B, "n/a", Log!$A:$A, "Daily", Log!$D:$D, $C$2), "")</f>
        <v/>
      </c>
      <c r="D199" s="9" t="str">
        <f>IFERROR(AVERAGEIFS(Log!$G:$G, Log!$C:$C, $A199, Log!$B:$B, "n/a", Log!$A:$A, "Daily", Log!$D:$D, $C$2), "")</f>
        <v/>
      </c>
      <c r="E199" s="63" t="str">
        <f>IFERROR(AVERAGEIFS(Log!$E:$E, Log!$C:$C, $A199, Log!$B:$B, "n/a", Log!$A:$A, "Daily", Log!$D:$D, $C$2), "")</f>
        <v/>
      </c>
      <c r="F199" s="262" t="str">
        <f>_xlfn.XLOOKUP($A199, Daily!$C:$C, Daily!$J:$J)</f>
        <v/>
      </c>
      <c r="G199" s="262" t="str">
        <f>_xlfn.XLOOKUP($A199, Daily!$C:$C, Daily!$M:$M)</f>
        <v/>
      </c>
    </row>
    <row r="200" spans="1:7" x14ac:dyDescent="0.3">
      <c r="A200" s="7">
        <v>0</v>
      </c>
      <c r="C200" s="9" t="str">
        <f>IFERROR(AVERAGEIFS(Log!$F:$F, Log!$C:$C, $A200, Log!$B:$B, "n/a", Log!$A:$A, "Daily", Log!$D:$D, $C$2), "")</f>
        <v/>
      </c>
      <c r="D200" s="9" t="str">
        <f>IFERROR(AVERAGEIFS(Log!$G:$G, Log!$C:$C, $A200, Log!$B:$B, "n/a", Log!$A:$A, "Daily", Log!$D:$D, $C$2), "")</f>
        <v/>
      </c>
      <c r="E200" s="63" t="str">
        <f>IFERROR(AVERAGEIFS(Log!$E:$E, Log!$C:$C, $A200, Log!$B:$B, "n/a", Log!$A:$A, "Daily", Log!$D:$D, $C$2), "")</f>
        <v/>
      </c>
      <c r="F200" s="262" t="str">
        <f>_xlfn.XLOOKUP($A200, Daily!$C:$C, Daily!$J:$J)</f>
        <v/>
      </c>
      <c r="G200" s="262" t="str">
        <f>_xlfn.XLOOKUP($A200, Daily!$C:$C, Daily!$M:$M)</f>
        <v/>
      </c>
    </row>
    <row r="201" spans="1:7" x14ac:dyDescent="0.3">
      <c r="A201" s="7">
        <v>0</v>
      </c>
      <c r="C201" s="9" t="str">
        <f>IFERROR(AVERAGEIFS(Log!$F:$F, Log!$C:$C, $A201, Log!$B:$B, "n/a", Log!$A:$A, "Daily", Log!$D:$D, $C$2), "")</f>
        <v/>
      </c>
      <c r="D201" s="9" t="str">
        <f>IFERROR(AVERAGEIFS(Log!$G:$G, Log!$C:$C, $A201, Log!$B:$B, "n/a", Log!$A:$A, "Daily", Log!$D:$D, $C$2), "")</f>
        <v/>
      </c>
      <c r="E201" s="63" t="str">
        <f>IFERROR(AVERAGEIFS(Log!$E:$E, Log!$C:$C, $A201, Log!$B:$B, "n/a", Log!$A:$A, "Daily", Log!$D:$D, $C$2), "")</f>
        <v/>
      </c>
      <c r="F201" s="262" t="str">
        <f>_xlfn.XLOOKUP($A201, Daily!$C:$C, Daily!$J:$J)</f>
        <v/>
      </c>
      <c r="G201" s="262" t="str">
        <f>_xlfn.XLOOKUP($A201, Daily!$C:$C, Daily!$M:$M)</f>
        <v/>
      </c>
    </row>
    <row r="202" spans="1:7" x14ac:dyDescent="0.3">
      <c r="A202" s="7">
        <v>0</v>
      </c>
      <c r="C202" s="9" t="str">
        <f>IFERROR(AVERAGEIFS(Log!$F:$F, Log!$C:$C, $A202, Log!$B:$B, "n/a", Log!$A:$A, "Daily", Log!$D:$D, $C$2), "")</f>
        <v/>
      </c>
      <c r="D202" s="9" t="str">
        <f>IFERROR(AVERAGEIFS(Log!$G:$G, Log!$C:$C, $A202, Log!$B:$B, "n/a", Log!$A:$A, "Daily", Log!$D:$D, $C$2), "")</f>
        <v/>
      </c>
      <c r="E202" s="63" t="str">
        <f>IFERROR(AVERAGEIFS(Log!$E:$E, Log!$C:$C, $A202, Log!$B:$B, "n/a", Log!$A:$A, "Daily", Log!$D:$D, $C$2), "")</f>
        <v/>
      </c>
      <c r="F202" s="262" t="str">
        <f>_xlfn.XLOOKUP($A202, Daily!$C:$C, Daily!$J:$J)</f>
        <v/>
      </c>
      <c r="G202" s="262" t="str">
        <f>_xlfn.XLOOKUP($A202, Daily!$C:$C, Daily!$M:$M)</f>
        <v/>
      </c>
    </row>
    <row r="203" spans="1:7" x14ac:dyDescent="0.3">
      <c r="A203" s="7">
        <v>0</v>
      </c>
      <c r="C203" s="9" t="str">
        <f>IFERROR(AVERAGEIFS(Log!$F:$F, Log!$C:$C, $A203, Log!$B:$B, "n/a", Log!$A:$A, "Daily", Log!$D:$D, $C$2), "")</f>
        <v/>
      </c>
      <c r="D203" s="9" t="str">
        <f>IFERROR(AVERAGEIFS(Log!$G:$G, Log!$C:$C, $A203, Log!$B:$B, "n/a", Log!$A:$A, "Daily", Log!$D:$D, $C$2), "")</f>
        <v/>
      </c>
      <c r="E203" s="63" t="str">
        <f>IFERROR(AVERAGEIFS(Log!$E:$E, Log!$C:$C, $A203, Log!$B:$B, "n/a", Log!$A:$A, "Daily", Log!$D:$D, $C$2), "")</f>
        <v/>
      </c>
      <c r="F203" s="262" t="str">
        <f>_xlfn.XLOOKUP($A203, Daily!$C:$C, Daily!$J:$J)</f>
        <v/>
      </c>
      <c r="G203" s="262" t="str">
        <f>_xlfn.XLOOKUP($A203, Daily!$C:$C, Daily!$M:$M)</f>
        <v/>
      </c>
    </row>
    <row r="204" spans="1:7" x14ac:dyDescent="0.3">
      <c r="A204" s="7">
        <v>0</v>
      </c>
      <c r="C204" s="9" t="str">
        <f>IFERROR(AVERAGEIFS(Log!$F:$F, Log!$C:$C, $A204, Log!$B:$B, "n/a", Log!$A:$A, "Daily", Log!$D:$D, $C$2), "")</f>
        <v/>
      </c>
      <c r="D204" s="9" t="str">
        <f>IFERROR(AVERAGEIFS(Log!$G:$G, Log!$C:$C, $A204, Log!$B:$B, "n/a", Log!$A:$A, "Daily", Log!$D:$D, $C$2), "")</f>
        <v/>
      </c>
      <c r="E204" s="63" t="str">
        <f>IFERROR(AVERAGEIFS(Log!$E:$E, Log!$C:$C, $A204, Log!$B:$B, "n/a", Log!$A:$A, "Daily", Log!$D:$D, $C$2), "")</f>
        <v/>
      </c>
      <c r="F204" s="262" t="str">
        <f>_xlfn.XLOOKUP($A204, Daily!$C:$C, Daily!$J:$J)</f>
        <v/>
      </c>
      <c r="G204" s="262" t="str">
        <f>_xlfn.XLOOKUP($A204, Daily!$C:$C, Daily!$M:$M)</f>
        <v/>
      </c>
    </row>
    <row r="205" spans="1:7" x14ac:dyDescent="0.3">
      <c r="A205" s="7">
        <v>0</v>
      </c>
      <c r="C205" s="9" t="str">
        <f>IFERROR(AVERAGEIFS(Log!$F:$F, Log!$C:$C, $A205, Log!$B:$B, "n/a", Log!$A:$A, "Daily", Log!$D:$D, $C$2), "")</f>
        <v/>
      </c>
      <c r="D205" s="9" t="str">
        <f>IFERROR(AVERAGEIFS(Log!$G:$G, Log!$C:$C, $A205, Log!$B:$B, "n/a", Log!$A:$A, "Daily", Log!$D:$D, $C$2), "")</f>
        <v/>
      </c>
      <c r="E205" s="63" t="str">
        <f>IFERROR(AVERAGEIFS(Log!$E:$E, Log!$C:$C, $A205, Log!$B:$B, "n/a", Log!$A:$A, "Daily", Log!$D:$D, $C$2), "")</f>
        <v/>
      </c>
      <c r="F205" s="262" t="str">
        <f>_xlfn.XLOOKUP($A205, Daily!$C:$C, Daily!$J:$J)</f>
        <v/>
      </c>
      <c r="G205" s="262" t="str">
        <f>_xlfn.XLOOKUP($A205, Daily!$C:$C, Daily!$M:$M)</f>
        <v/>
      </c>
    </row>
    <row r="206" spans="1:7" x14ac:dyDescent="0.3">
      <c r="A206" s="7">
        <v>0</v>
      </c>
      <c r="C206" s="9" t="str">
        <f>IFERROR(AVERAGEIFS(Log!$F:$F, Log!$C:$C, $A206, Log!$B:$B, "n/a", Log!$A:$A, "Daily", Log!$D:$D, $C$2), "")</f>
        <v/>
      </c>
      <c r="D206" s="9" t="str">
        <f>IFERROR(AVERAGEIFS(Log!$G:$G, Log!$C:$C, $A206, Log!$B:$B, "n/a", Log!$A:$A, "Daily", Log!$D:$D, $C$2), "")</f>
        <v/>
      </c>
      <c r="E206" s="63" t="str">
        <f>IFERROR(AVERAGEIFS(Log!$E:$E, Log!$C:$C, $A206, Log!$B:$B, "n/a", Log!$A:$A, "Daily", Log!$D:$D, $C$2), "")</f>
        <v/>
      </c>
      <c r="F206" s="262" t="str">
        <f>_xlfn.XLOOKUP($A206, Daily!$C:$C, Daily!$J:$J)</f>
        <v/>
      </c>
      <c r="G206" s="262" t="str">
        <f>_xlfn.XLOOKUP($A206, Daily!$C:$C, Daily!$M:$M)</f>
        <v/>
      </c>
    </row>
    <row r="207" spans="1:7" x14ac:dyDescent="0.3">
      <c r="A207" s="7">
        <v>0</v>
      </c>
      <c r="C207" s="9" t="str">
        <f>IFERROR(AVERAGEIFS(Log!$F:$F, Log!$C:$C, $A207, Log!$B:$B, "n/a", Log!$A:$A, "Daily", Log!$D:$D, $C$2), "")</f>
        <v/>
      </c>
      <c r="D207" s="9" t="str">
        <f>IFERROR(AVERAGEIFS(Log!$G:$G, Log!$C:$C, $A207, Log!$B:$B, "n/a", Log!$A:$A, "Daily", Log!$D:$D, $C$2), "")</f>
        <v/>
      </c>
      <c r="E207" s="63" t="str">
        <f>IFERROR(AVERAGEIFS(Log!$E:$E, Log!$C:$C, $A207, Log!$B:$B, "n/a", Log!$A:$A, "Daily", Log!$D:$D, $C$2), "")</f>
        <v/>
      </c>
      <c r="F207" s="262" t="str">
        <f>_xlfn.XLOOKUP($A207, Daily!$C:$C, Daily!$J:$J)</f>
        <v/>
      </c>
      <c r="G207" s="262" t="str">
        <f>_xlfn.XLOOKUP($A207, Daily!$C:$C, Daily!$M:$M)</f>
        <v/>
      </c>
    </row>
    <row r="208" spans="1:7" x14ac:dyDescent="0.3">
      <c r="A208" s="7">
        <v>0</v>
      </c>
      <c r="C208" s="9" t="str">
        <f>IFERROR(AVERAGEIFS(Log!$F:$F, Log!$C:$C, $A208, Log!$B:$B, "n/a", Log!$A:$A, "Daily", Log!$D:$D, $C$2), "")</f>
        <v/>
      </c>
      <c r="D208" s="9" t="str">
        <f>IFERROR(AVERAGEIFS(Log!$G:$G, Log!$C:$C, $A208, Log!$B:$B, "n/a", Log!$A:$A, "Daily", Log!$D:$D, $C$2), "")</f>
        <v/>
      </c>
      <c r="E208" s="63" t="str">
        <f>IFERROR(AVERAGEIFS(Log!$E:$E, Log!$C:$C, $A208, Log!$B:$B, "n/a", Log!$A:$A, "Daily", Log!$D:$D, $C$2), "")</f>
        <v/>
      </c>
      <c r="F208" s="262" t="str">
        <f>_xlfn.XLOOKUP($A208, Daily!$C:$C, Daily!$J:$J)</f>
        <v/>
      </c>
      <c r="G208" s="262" t="str">
        <f>_xlfn.XLOOKUP($A208, Daily!$C:$C, Daily!$M:$M)</f>
        <v/>
      </c>
    </row>
    <row r="209" spans="1:7" x14ac:dyDescent="0.3">
      <c r="A209" s="7">
        <v>0</v>
      </c>
      <c r="C209" s="9" t="str">
        <f>IFERROR(AVERAGEIFS(Log!$F:$F, Log!$C:$C, $A209, Log!$B:$B, "n/a", Log!$A:$A, "Daily", Log!$D:$D, $C$2), "")</f>
        <v/>
      </c>
      <c r="D209" s="9" t="str">
        <f>IFERROR(AVERAGEIFS(Log!$G:$G, Log!$C:$C, $A209, Log!$B:$B, "n/a", Log!$A:$A, "Daily", Log!$D:$D, $C$2), "")</f>
        <v/>
      </c>
      <c r="E209" s="63" t="str">
        <f>IFERROR(AVERAGEIFS(Log!$E:$E, Log!$C:$C, $A209, Log!$B:$B, "n/a", Log!$A:$A, "Daily", Log!$D:$D, $C$2), "")</f>
        <v/>
      </c>
      <c r="F209" s="262" t="str">
        <f>_xlfn.XLOOKUP($A209, Daily!$C:$C, Daily!$J:$J)</f>
        <v/>
      </c>
      <c r="G209" s="262" t="str">
        <f>_xlfn.XLOOKUP($A209, Daily!$C:$C, Daily!$M:$M)</f>
        <v/>
      </c>
    </row>
    <row r="210" spans="1:7" x14ac:dyDescent="0.3">
      <c r="A210" s="7">
        <v>0</v>
      </c>
      <c r="C210" s="9" t="str">
        <f>IFERROR(AVERAGEIFS(Log!$F:$F, Log!$C:$C, $A210, Log!$B:$B, "n/a", Log!$A:$A, "Daily", Log!$D:$D, $C$2), "")</f>
        <v/>
      </c>
      <c r="D210" s="9" t="str">
        <f>IFERROR(AVERAGEIFS(Log!$G:$G, Log!$C:$C, $A210, Log!$B:$B, "n/a", Log!$A:$A, "Daily", Log!$D:$D, $C$2), "")</f>
        <v/>
      </c>
      <c r="E210" s="63" t="str">
        <f>IFERROR(AVERAGEIFS(Log!$E:$E, Log!$C:$C, $A210, Log!$B:$B, "n/a", Log!$A:$A, "Daily", Log!$D:$D, $C$2), "")</f>
        <v/>
      </c>
      <c r="F210" s="262" t="str">
        <f>_xlfn.XLOOKUP($A210, Daily!$C:$C, Daily!$J:$J)</f>
        <v/>
      </c>
      <c r="G210" s="262" t="str">
        <f>_xlfn.XLOOKUP($A210, Daily!$C:$C, Daily!$M:$M)</f>
        <v/>
      </c>
    </row>
    <row r="211" spans="1:7" x14ac:dyDescent="0.3">
      <c r="A211" s="7">
        <v>0</v>
      </c>
      <c r="C211" s="9" t="str">
        <f>IFERROR(AVERAGEIFS(Log!$F:$F, Log!$C:$C, $A211, Log!$B:$B, "n/a", Log!$A:$A, "Daily", Log!$D:$D, $C$2), "")</f>
        <v/>
      </c>
      <c r="D211" s="9" t="str">
        <f>IFERROR(AVERAGEIFS(Log!$G:$G, Log!$C:$C, $A211, Log!$B:$B, "n/a", Log!$A:$A, "Daily", Log!$D:$D, $C$2), "")</f>
        <v/>
      </c>
      <c r="E211" s="63" t="str">
        <f>IFERROR(AVERAGEIFS(Log!$E:$E, Log!$C:$C, $A211, Log!$B:$B, "n/a", Log!$A:$A, "Daily", Log!$D:$D, $C$2), "")</f>
        <v/>
      </c>
      <c r="F211" s="262" t="str">
        <f>_xlfn.XLOOKUP($A211, Daily!$C:$C, Daily!$J:$J)</f>
        <v/>
      </c>
      <c r="G211" s="262" t="str">
        <f>_xlfn.XLOOKUP($A211, Daily!$C:$C, Daily!$M:$M)</f>
        <v/>
      </c>
    </row>
    <row r="212" spans="1:7" x14ac:dyDescent="0.3">
      <c r="A212" s="7">
        <v>0</v>
      </c>
      <c r="C212" s="9" t="str">
        <f>IFERROR(AVERAGEIFS(Log!$F:$F, Log!$C:$C, $A212, Log!$B:$B, "n/a", Log!$A:$A, "Daily", Log!$D:$D, $C$2), "")</f>
        <v/>
      </c>
      <c r="D212" s="9" t="str">
        <f>IFERROR(AVERAGEIFS(Log!$G:$G, Log!$C:$C, $A212, Log!$B:$B, "n/a", Log!$A:$A, "Daily", Log!$D:$D, $C$2), "")</f>
        <v/>
      </c>
      <c r="E212" s="63" t="str">
        <f>IFERROR(AVERAGEIFS(Log!$E:$E, Log!$C:$C, $A212, Log!$B:$B, "n/a", Log!$A:$A, "Daily", Log!$D:$D, $C$2), "")</f>
        <v/>
      </c>
      <c r="F212" s="262" t="str">
        <f>_xlfn.XLOOKUP($A212, Daily!$C:$C, Daily!$J:$J)</f>
        <v/>
      </c>
      <c r="G212" s="262" t="str">
        <f>_xlfn.XLOOKUP($A212, Daily!$C:$C, Daily!$M:$M)</f>
        <v/>
      </c>
    </row>
    <row r="213" spans="1:7" x14ac:dyDescent="0.3">
      <c r="A213" s="7">
        <v>0</v>
      </c>
      <c r="C213" s="9" t="str">
        <f>IFERROR(AVERAGEIFS(Log!$F:$F, Log!$C:$C, $A213, Log!$B:$B, "n/a", Log!$A:$A, "Daily", Log!$D:$D, $C$2), "")</f>
        <v/>
      </c>
      <c r="D213" s="9" t="str">
        <f>IFERROR(AVERAGEIFS(Log!$G:$G, Log!$C:$C, $A213, Log!$B:$B, "n/a", Log!$A:$A, "Daily", Log!$D:$D, $C$2), "")</f>
        <v/>
      </c>
      <c r="E213" s="63" t="str">
        <f>IFERROR(AVERAGEIFS(Log!$E:$E, Log!$C:$C, $A213, Log!$B:$B, "n/a", Log!$A:$A, "Daily", Log!$D:$D, $C$2), "")</f>
        <v/>
      </c>
      <c r="F213" s="262" t="str">
        <f>_xlfn.XLOOKUP($A213, Daily!$C:$C, Daily!$J:$J)</f>
        <v/>
      </c>
      <c r="G213" s="262" t="str">
        <f>_xlfn.XLOOKUP($A213, Daily!$C:$C, Daily!$M:$M)</f>
        <v/>
      </c>
    </row>
    <row r="214" spans="1:7" x14ac:dyDescent="0.3">
      <c r="A214" s="7">
        <v>0</v>
      </c>
      <c r="C214" s="9" t="str">
        <f>IFERROR(AVERAGEIFS(Log!$F:$F, Log!$C:$C, $A214, Log!$B:$B, "n/a", Log!$A:$A, "Daily", Log!$D:$D, $C$2), "")</f>
        <v/>
      </c>
      <c r="D214" s="9" t="str">
        <f>IFERROR(AVERAGEIFS(Log!$G:$G, Log!$C:$C, $A214, Log!$B:$B, "n/a", Log!$A:$A, "Daily", Log!$D:$D, $C$2), "")</f>
        <v/>
      </c>
      <c r="E214" s="63" t="str">
        <f>IFERROR(AVERAGEIFS(Log!$E:$E, Log!$C:$C, $A214, Log!$B:$B, "n/a", Log!$A:$A, "Daily", Log!$D:$D, $C$2), "")</f>
        <v/>
      </c>
      <c r="F214" s="262" t="str">
        <f>_xlfn.XLOOKUP($A214, Daily!$C:$C, Daily!$J:$J)</f>
        <v/>
      </c>
      <c r="G214" s="262" t="str">
        <f>_xlfn.XLOOKUP($A214, Daily!$C:$C, Daily!$M:$M)</f>
        <v/>
      </c>
    </row>
    <row r="215" spans="1:7" x14ac:dyDescent="0.3">
      <c r="A215" s="7">
        <v>0</v>
      </c>
      <c r="C215" s="9" t="str">
        <f>IFERROR(AVERAGEIFS(Log!$F:$F, Log!$C:$C, $A215, Log!$B:$B, "n/a", Log!$A:$A, "Daily", Log!$D:$D, $C$2), "")</f>
        <v/>
      </c>
      <c r="D215" s="9" t="str">
        <f>IFERROR(AVERAGEIFS(Log!$G:$G, Log!$C:$C, $A215, Log!$B:$B, "n/a", Log!$A:$A, "Daily", Log!$D:$D, $C$2), "")</f>
        <v/>
      </c>
      <c r="E215" s="63" t="str">
        <f>IFERROR(AVERAGEIFS(Log!$E:$E, Log!$C:$C, $A215, Log!$B:$B, "n/a", Log!$A:$A, "Daily", Log!$D:$D, $C$2), "")</f>
        <v/>
      </c>
      <c r="F215" s="262" t="str">
        <f>_xlfn.XLOOKUP($A215, Daily!$C:$C, Daily!$J:$J)</f>
        <v/>
      </c>
      <c r="G215" s="262" t="str">
        <f>_xlfn.XLOOKUP($A215, Daily!$C:$C, Daily!$M:$M)</f>
        <v/>
      </c>
    </row>
    <row r="216" spans="1:7" x14ac:dyDescent="0.3">
      <c r="A216" s="7">
        <v>0</v>
      </c>
      <c r="C216" s="9" t="str">
        <f>IFERROR(AVERAGEIFS(Log!$F:$F, Log!$C:$C, $A216, Log!$B:$B, "n/a", Log!$A:$A, "Daily", Log!$D:$D, $C$2), "")</f>
        <v/>
      </c>
      <c r="D216" s="9" t="str">
        <f>IFERROR(AVERAGEIFS(Log!$G:$G, Log!$C:$C, $A216, Log!$B:$B, "n/a", Log!$A:$A, "Daily", Log!$D:$D, $C$2), "")</f>
        <v/>
      </c>
      <c r="E216" s="63" t="str">
        <f>IFERROR(AVERAGEIFS(Log!$E:$E, Log!$C:$C, $A216, Log!$B:$B, "n/a", Log!$A:$A, "Daily", Log!$D:$D, $C$2), "")</f>
        <v/>
      </c>
      <c r="F216" s="262" t="str">
        <f>_xlfn.XLOOKUP($A216, Daily!$C:$C, Daily!$J:$J)</f>
        <v/>
      </c>
      <c r="G216" s="262" t="str">
        <f>_xlfn.XLOOKUP($A216, Daily!$C:$C, Daily!$M:$M)</f>
        <v/>
      </c>
    </row>
    <row r="217" spans="1:7" x14ac:dyDescent="0.3">
      <c r="A217" s="7">
        <v>0</v>
      </c>
      <c r="C217" s="9" t="str">
        <f>IFERROR(AVERAGEIFS(Log!$F:$F, Log!$C:$C, $A217, Log!$B:$B, "n/a", Log!$A:$A, "Daily", Log!$D:$D, $C$2), "")</f>
        <v/>
      </c>
      <c r="D217" s="9" t="str">
        <f>IFERROR(AVERAGEIFS(Log!$G:$G, Log!$C:$C, $A217, Log!$B:$B, "n/a", Log!$A:$A, "Daily", Log!$D:$D, $C$2), "")</f>
        <v/>
      </c>
      <c r="E217" s="63" t="str">
        <f>IFERROR(AVERAGEIFS(Log!$E:$E, Log!$C:$C, $A217, Log!$B:$B, "n/a", Log!$A:$A, "Daily", Log!$D:$D, $C$2), "")</f>
        <v/>
      </c>
      <c r="F217" s="262" t="str">
        <f>_xlfn.XLOOKUP($A217, Daily!$C:$C, Daily!$J:$J)</f>
        <v/>
      </c>
      <c r="G217" s="262" t="str">
        <f>_xlfn.XLOOKUP($A217, Daily!$C:$C, Daily!$M:$M)</f>
        <v/>
      </c>
    </row>
    <row r="218" spans="1:7" x14ac:dyDescent="0.3">
      <c r="A218" s="7">
        <v>0</v>
      </c>
      <c r="C218" s="9" t="str">
        <f>IFERROR(AVERAGEIFS(Log!$F:$F, Log!$C:$C, $A218, Log!$B:$B, "n/a", Log!$A:$A, "Daily", Log!$D:$D, $C$2), "")</f>
        <v/>
      </c>
      <c r="D218" s="9" t="str">
        <f>IFERROR(AVERAGEIFS(Log!$G:$G, Log!$C:$C, $A218, Log!$B:$B, "n/a", Log!$A:$A, "Daily", Log!$D:$D, $C$2), "")</f>
        <v/>
      </c>
      <c r="E218" s="63" t="str">
        <f>IFERROR(AVERAGEIFS(Log!$E:$E, Log!$C:$C, $A218, Log!$B:$B, "n/a", Log!$A:$A, "Daily", Log!$D:$D, $C$2), "")</f>
        <v/>
      </c>
      <c r="F218" s="262" t="str">
        <f>_xlfn.XLOOKUP($A218, Daily!$C:$C, Daily!$J:$J)</f>
        <v/>
      </c>
      <c r="G218" s="262" t="str">
        <f>_xlfn.XLOOKUP($A218, Daily!$C:$C, Daily!$M:$M)</f>
        <v/>
      </c>
    </row>
    <row r="219" spans="1:7" x14ac:dyDescent="0.3">
      <c r="A219" s="7">
        <v>0</v>
      </c>
      <c r="C219" s="9" t="str">
        <f>IFERROR(AVERAGEIFS(Log!$F:$F, Log!$C:$C, $A219, Log!$B:$B, "n/a", Log!$A:$A, "Daily", Log!$D:$D, $C$2), "")</f>
        <v/>
      </c>
      <c r="D219" s="9" t="str">
        <f>IFERROR(AVERAGEIFS(Log!$G:$G, Log!$C:$C, $A219, Log!$B:$B, "n/a", Log!$A:$A, "Daily", Log!$D:$D, $C$2), "")</f>
        <v/>
      </c>
      <c r="E219" s="63" t="str">
        <f>IFERROR(AVERAGEIFS(Log!$E:$E, Log!$C:$C, $A219, Log!$B:$B, "n/a", Log!$A:$A, "Daily", Log!$D:$D, $C$2), "")</f>
        <v/>
      </c>
      <c r="F219" s="262" t="str">
        <f>_xlfn.XLOOKUP($A219, Daily!$C:$C, Daily!$J:$J)</f>
        <v/>
      </c>
      <c r="G219" s="262" t="str">
        <f>_xlfn.XLOOKUP($A219, Daily!$C:$C, Daily!$M:$M)</f>
        <v/>
      </c>
    </row>
    <row r="220" spans="1:7" x14ac:dyDescent="0.3">
      <c r="A220" s="7">
        <v>0</v>
      </c>
      <c r="C220" s="9" t="str">
        <f>IFERROR(AVERAGEIFS(Log!$F:$F, Log!$C:$C, $A220, Log!$B:$B, "n/a", Log!$A:$A, "Daily", Log!$D:$D, $C$2), "")</f>
        <v/>
      </c>
      <c r="D220" s="9" t="str">
        <f>IFERROR(AVERAGEIFS(Log!$G:$G, Log!$C:$C, $A220, Log!$B:$B, "n/a", Log!$A:$A, "Daily", Log!$D:$D, $C$2), "")</f>
        <v/>
      </c>
      <c r="E220" s="63" t="str">
        <f>IFERROR(AVERAGEIFS(Log!$E:$E, Log!$C:$C, $A220, Log!$B:$B, "n/a", Log!$A:$A, "Daily", Log!$D:$D, $C$2), "")</f>
        <v/>
      </c>
      <c r="F220" s="262" t="str">
        <f>_xlfn.XLOOKUP($A220, Daily!$C:$C, Daily!$J:$J)</f>
        <v/>
      </c>
      <c r="G220" s="262" t="str">
        <f>_xlfn.XLOOKUP($A220, Daily!$C:$C, Daily!$M:$M)</f>
        <v/>
      </c>
    </row>
    <row r="221" spans="1:7" x14ac:dyDescent="0.3">
      <c r="A221" s="7">
        <v>0</v>
      </c>
      <c r="C221" s="9" t="str">
        <f>IFERROR(AVERAGEIFS(Log!$F:$F, Log!$C:$C, $A221, Log!$B:$B, "n/a", Log!$A:$A, "Daily", Log!$D:$D, $C$2), "")</f>
        <v/>
      </c>
      <c r="D221" s="9" t="str">
        <f>IFERROR(AVERAGEIFS(Log!$G:$G, Log!$C:$C, $A221, Log!$B:$B, "n/a", Log!$A:$A, "Daily", Log!$D:$D, $C$2), "")</f>
        <v/>
      </c>
      <c r="E221" s="63" t="str">
        <f>IFERROR(AVERAGEIFS(Log!$E:$E, Log!$C:$C, $A221, Log!$B:$B, "n/a", Log!$A:$A, "Daily", Log!$D:$D, $C$2), "")</f>
        <v/>
      </c>
      <c r="F221" s="262" t="str">
        <f>_xlfn.XLOOKUP($A221, Daily!$C:$C, Daily!$J:$J)</f>
        <v/>
      </c>
      <c r="G221" s="262" t="str">
        <f>_xlfn.XLOOKUP($A221, Daily!$C:$C, Daily!$M:$M)</f>
        <v/>
      </c>
    </row>
    <row r="222" spans="1:7" x14ac:dyDescent="0.3">
      <c r="A222" s="7">
        <v>0</v>
      </c>
      <c r="C222" s="9" t="str">
        <f>IFERROR(AVERAGEIFS(Log!$F:$F, Log!$C:$C, $A222, Log!$B:$B, "n/a", Log!$A:$A, "Daily", Log!$D:$D, $C$2), "")</f>
        <v/>
      </c>
      <c r="D222" s="9" t="str">
        <f>IFERROR(AVERAGEIFS(Log!$G:$G, Log!$C:$C, $A222, Log!$B:$B, "n/a", Log!$A:$A, "Daily", Log!$D:$D, $C$2), "")</f>
        <v/>
      </c>
      <c r="E222" s="63" t="str">
        <f>IFERROR(AVERAGEIFS(Log!$E:$E, Log!$C:$C, $A222, Log!$B:$B, "n/a", Log!$A:$A, "Daily", Log!$D:$D, $C$2), "")</f>
        <v/>
      </c>
      <c r="F222" s="262" t="str">
        <f>_xlfn.XLOOKUP($A222, Daily!$C:$C, Daily!$J:$J)</f>
        <v/>
      </c>
      <c r="G222" s="262" t="str">
        <f>_xlfn.XLOOKUP($A222, Daily!$C:$C, Daily!$M:$M)</f>
        <v/>
      </c>
    </row>
    <row r="223" spans="1:7" x14ac:dyDescent="0.3">
      <c r="A223" s="7">
        <v>0</v>
      </c>
      <c r="C223" s="9" t="str">
        <f>IFERROR(AVERAGEIFS(Log!$F:$F, Log!$C:$C, $A223, Log!$B:$B, "n/a", Log!$A:$A, "Daily", Log!$D:$D, $C$2), "")</f>
        <v/>
      </c>
      <c r="D223" s="9" t="str">
        <f>IFERROR(AVERAGEIFS(Log!$G:$G, Log!$C:$C, $A223, Log!$B:$B, "n/a", Log!$A:$A, "Daily", Log!$D:$D, $C$2), "")</f>
        <v/>
      </c>
      <c r="E223" s="63" t="str">
        <f>IFERROR(AVERAGEIFS(Log!$E:$E, Log!$C:$C, $A223, Log!$B:$B, "n/a", Log!$A:$A, "Daily", Log!$D:$D, $C$2), "")</f>
        <v/>
      </c>
      <c r="F223" s="262" t="str">
        <f>_xlfn.XLOOKUP($A223, Daily!$C:$C, Daily!$J:$J)</f>
        <v/>
      </c>
      <c r="G223" s="262" t="str">
        <f>_xlfn.XLOOKUP($A223, Daily!$C:$C, Daily!$M:$M)</f>
        <v/>
      </c>
    </row>
    <row r="224" spans="1:7" x14ac:dyDescent="0.3">
      <c r="A224" s="7">
        <v>0</v>
      </c>
      <c r="C224" s="9" t="str">
        <f>IFERROR(AVERAGEIFS(Log!$F:$F, Log!$C:$C, $A224, Log!$B:$B, "n/a", Log!$A:$A, "Daily", Log!$D:$D, $C$2), "")</f>
        <v/>
      </c>
      <c r="D224" s="9" t="str">
        <f>IFERROR(AVERAGEIFS(Log!$G:$G, Log!$C:$C, $A224, Log!$B:$B, "n/a", Log!$A:$A, "Daily", Log!$D:$D, $C$2), "")</f>
        <v/>
      </c>
      <c r="E224" s="63" t="str">
        <f>IFERROR(AVERAGEIFS(Log!$E:$E, Log!$C:$C, $A224, Log!$B:$B, "n/a", Log!$A:$A, "Daily", Log!$D:$D, $C$2), "")</f>
        <v/>
      </c>
      <c r="F224" s="262" t="str">
        <f>_xlfn.XLOOKUP($A224, Daily!$C:$C, Daily!$J:$J)</f>
        <v/>
      </c>
      <c r="G224" s="262" t="str">
        <f>_xlfn.XLOOKUP($A224, Daily!$C:$C, Daily!$M:$M)</f>
        <v/>
      </c>
    </row>
    <row r="225" spans="1:7" x14ac:dyDescent="0.3">
      <c r="A225" s="7">
        <v>0</v>
      </c>
      <c r="C225" s="9" t="str">
        <f>IFERROR(AVERAGEIFS(Log!$F:$F, Log!$C:$C, $A225, Log!$B:$B, "n/a", Log!$A:$A, "Daily", Log!$D:$D, $C$2), "")</f>
        <v/>
      </c>
      <c r="D225" s="9" t="str">
        <f>IFERROR(AVERAGEIFS(Log!$G:$G, Log!$C:$C, $A225, Log!$B:$B, "n/a", Log!$A:$A, "Daily", Log!$D:$D, $C$2), "")</f>
        <v/>
      </c>
      <c r="E225" s="63" t="str">
        <f>IFERROR(AVERAGEIFS(Log!$E:$E, Log!$C:$C, $A225, Log!$B:$B, "n/a", Log!$A:$A, "Daily", Log!$D:$D, $C$2), "")</f>
        <v/>
      </c>
      <c r="F225" s="262" t="str">
        <f>_xlfn.XLOOKUP($A225, Daily!$C:$C, Daily!$J:$J)</f>
        <v/>
      </c>
      <c r="G225" s="262" t="str">
        <f>_xlfn.XLOOKUP($A225, Daily!$C:$C, Daily!$M:$M)</f>
        <v/>
      </c>
    </row>
    <row r="226" spans="1:7" x14ac:dyDescent="0.3">
      <c r="A226" s="7">
        <v>0</v>
      </c>
      <c r="C226" s="9" t="str">
        <f>IFERROR(AVERAGEIFS(Log!$F:$F, Log!$C:$C, $A226, Log!$B:$B, "n/a", Log!$A:$A, "Daily", Log!$D:$D, $C$2), "")</f>
        <v/>
      </c>
      <c r="D226" s="9" t="str">
        <f>IFERROR(AVERAGEIFS(Log!$G:$G, Log!$C:$C, $A226, Log!$B:$B, "n/a", Log!$A:$A, "Daily", Log!$D:$D, $C$2), "")</f>
        <v/>
      </c>
      <c r="E226" s="63" t="str">
        <f>IFERROR(AVERAGEIFS(Log!$E:$E, Log!$C:$C, $A226, Log!$B:$B, "n/a", Log!$A:$A, "Daily", Log!$D:$D, $C$2), "")</f>
        <v/>
      </c>
      <c r="F226" s="262" t="str">
        <f>_xlfn.XLOOKUP($A226, Daily!$C:$C, Daily!$J:$J)</f>
        <v/>
      </c>
      <c r="G226" s="262" t="str">
        <f>_xlfn.XLOOKUP($A226, Daily!$C:$C, Daily!$M:$M)</f>
        <v/>
      </c>
    </row>
    <row r="227" spans="1:7" x14ac:dyDescent="0.3">
      <c r="A227" s="7">
        <v>0</v>
      </c>
      <c r="C227" s="9" t="str">
        <f>IFERROR(AVERAGEIFS(Log!$F:$F, Log!$C:$C, $A227, Log!$B:$B, "n/a", Log!$A:$A, "Daily", Log!$D:$D, $C$2), "")</f>
        <v/>
      </c>
      <c r="D227" s="9" t="str">
        <f>IFERROR(AVERAGEIFS(Log!$G:$G, Log!$C:$C, $A227, Log!$B:$B, "n/a", Log!$A:$A, "Daily", Log!$D:$D, $C$2), "")</f>
        <v/>
      </c>
      <c r="E227" s="63" t="str">
        <f>IFERROR(AVERAGEIFS(Log!$E:$E, Log!$C:$C, $A227, Log!$B:$B, "n/a", Log!$A:$A, "Daily", Log!$D:$D, $C$2), "")</f>
        <v/>
      </c>
      <c r="F227" s="262" t="str">
        <f>_xlfn.XLOOKUP($A227, Daily!$C:$C, Daily!$J:$J)</f>
        <v/>
      </c>
      <c r="G227" s="262" t="str">
        <f>_xlfn.XLOOKUP($A227, Daily!$C:$C, Daily!$M:$M)</f>
        <v/>
      </c>
    </row>
    <row r="228" spans="1:7" x14ac:dyDescent="0.3">
      <c r="A228" s="7">
        <v>0</v>
      </c>
      <c r="C228" s="9" t="str">
        <f>IFERROR(AVERAGEIFS(Log!$F:$F, Log!$C:$C, $A228, Log!$B:$B, "n/a", Log!$A:$A, "Daily", Log!$D:$D, $C$2), "")</f>
        <v/>
      </c>
      <c r="D228" s="9" t="str">
        <f>IFERROR(AVERAGEIFS(Log!$G:$G, Log!$C:$C, $A228, Log!$B:$B, "n/a", Log!$A:$A, "Daily", Log!$D:$D, $C$2), "")</f>
        <v/>
      </c>
      <c r="E228" s="63" t="str">
        <f>IFERROR(AVERAGEIFS(Log!$E:$E, Log!$C:$C, $A228, Log!$B:$B, "n/a", Log!$A:$A, "Daily", Log!$D:$D, $C$2), "")</f>
        <v/>
      </c>
      <c r="F228" s="262" t="str">
        <f>_xlfn.XLOOKUP($A228, Daily!$C:$C, Daily!$J:$J)</f>
        <v/>
      </c>
      <c r="G228" s="262" t="str">
        <f>_xlfn.XLOOKUP($A228, Daily!$C:$C, Daily!$M:$M)</f>
        <v/>
      </c>
    </row>
    <row r="229" spans="1:7" x14ac:dyDescent="0.3">
      <c r="A229" s="7">
        <v>0</v>
      </c>
      <c r="C229" s="9" t="str">
        <f>IFERROR(AVERAGEIFS(Log!$F:$F, Log!$C:$C, $A229, Log!$B:$B, "n/a", Log!$A:$A, "Daily", Log!$D:$D, $C$2), "")</f>
        <v/>
      </c>
      <c r="D229" s="9" t="str">
        <f>IFERROR(AVERAGEIFS(Log!$G:$G, Log!$C:$C, $A229, Log!$B:$B, "n/a", Log!$A:$A, "Daily", Log!$D:$D, $C$2), "")</f>
        <v/>
      </c>
      <c r="E229" s="63" t="str">
        <f>IFERROR(AVERAGEIFS(Log!$E:$E, Log!$C:$C, $A229, Log!$B:$B, "n/a", Log!$A:$A, "Daily", Log!$D:$D, $C$2), "")</f>
        <v/>
      </c>
      <c r="F229" s="262" t="str">
        <f>_xlfn.XLOOKUP($A229, Daily!$C:$C, Daily!$J:$J)</f>
        <v/>
      </c>
      <c r="G229" s="262" t="str">
        <f>_xlfn.XLOOKUP($A229, Daily!$C:$C, Daily!$M:$M)</f>
        <v/>
      </c>
    </row>
    <row r="230" spans="1:7" x14ac:dyDescent="0.3">
      <c r="A230" s="7">
        <v>0</v>
      </c>
      <c r="C230" s="9" t="str">
        <f>IFERROR(AVERAGEIFS(Log!$F:$F, Log!$C:$C, $A230, Log!$B:$B, "n/a", Log!$A:$A, "Daily", Log!$D:$D, $C$2), "")</f>
        <v/>
      </c>
      <c r="D230" s="9" t="str">
        <f>IFERROR(AVERAGEIFS(Log!$G:$G, Log!$C:$C, $A230, Log!$B:$B, "n/a", Log!$A:$A, "Daily", Log!$D:$D, $C$2), "")</f>
        <v/>
      </c>
      <c r="E230" s="63" t="str">
        <f>IFERROR(AVERAGEIFS(Log!$E:$E, Log!$C:$C, $A230, Log!$B:$B, "n/a", Log!$A:$A, "Daily", Log!$D:$D, $C$2), "")</f>
        <v/>
      </c>
      <c r="F230" s="262" t="str">
        <f>_xlfn.XLOOKUP($A230, Daily!$C:$C, Daily!$J:$J)</f>
        <v/>
      </c>
      <c r="G230" s="262" t="str">
        <f>_xlfn.XLOOKUP($A230, Daily!$C:$C, Daily!$M:$M)</f>
        <v/>
      </c>
    </row>
    <row r="231" spans="1:7" x14ac:dyDescent="0.3">
      <c r="A231" s="7">
        <v>0</v>
      </c>
      <c r="C231" s="9" t="str">
        <f>IFERROR(AVERAGEIFS(Log!$F:$F, Log!$C:$C, $A231, Log!$B:$B, "n/a", Log!$A:$A, "Daily", Log!$D:$D, $C$2), "")</f>
        <v/>
      </c>
      <c r="D231" s="9" t="str">
        <f>IFERROR(AVERAGEIFS(Log!$G:$G, Log!$C:$C, $A231, Log!$B:$B, "n/a", Log!$A:$A, "Daily", Log!$D:$D, $C$2), "")</f>
        <v/>
      </c>
      <c r="E231" s="63" t="str">
        <f>IFERROR(AVERAGEIFS(Log!$E:$E, Log!$C:$C, $A231, Log!$B:$B, "n/a", Log!$A:$A, "Daily", Log!$D:$D, $C$2), "")</f>
        <v/>
      </c>
      <c r="F231" s="262" t="str">
        <f>_xlfn.XLOOKUP($A231, Daily!$C:$C, Daily!$J:$J)</f>
        <v/>
      </c>
      <c r="G231" s="262" t="str">
        <f>_xlfn.XLOOKUP($A231, Daily!$C:$C, Daily!$M:$M)</f>
        <v/>
      </c>
    </row>
    <row r="232" spans="1:7" x14ac:dyDescent="0.3">
      <c r="A232" s="7">
        <v>0</v>
      </c>
      <c r="C232" s="9" t="str">
        <f>IFERROR(AVERAGEIFS(Log!$F:$F, Log!$C:$C, $A232, Log!$B:$B, "n/a", Log!$A:$A, "Daily", Log!$D:$D, $C$2), "")</f>
        <v/>
      </c>
      <c r="D232" s="9" t="str">
        <f>IFERROR(AVERAGEIFS(Log!$G:$G, Log!$C:$C, $A232, Log!$B:$B, "n/a", Log!$A:$A, "Daily", Log!$D:$D, $C$2), "")</f>
        <v/>
      </c>
      <c r="E232" s="63" t="str">
        <f>IFERROR(AVERAGEIFS(Log!$E:$E, Log!$C:$C, $A232, Log!$B:$B, "n/a", Log!$A:$A, "Daily", Log!$D:$D, $C$2), "")</f>
        <v/>
      </c>
      <c r="F232" s="262" t="str">
        <f>_xlfn.XLOOKUP($A232, Daily!$C:$C, Daily!$J:$J)</f>
        <v/>
      </c>
      <c r="G232" s="262" t="str">
        <f>_xlfn.XLOOKUP($A232, Daily!$C:$C, Daily!$M:$M)</f>
        <v/>
      </c>
    </row>
    <row r="233" spans="1:7" x14ac:dyDescent="0.3">
      <c r="A233" s="7">
        <v>0</v>
      </c>
      <c r="C233" s="9" t="str">
        <f>IFERROR(AVERAGEIFS(Log!$F:$F, Log!$C:$C, $A233, Log!$B:$B, "n/a", Log!$A:$A, "Daily", Log!$D:$D, $C$2), "")</f>
        <v/>
      </c>
      <c r="D233" s="9" t="str">
        <f>IFERROR(AVERAGEIFS(Log!$G:$G, Log!$C:$C, $A233, Log!$B:$B, "n/a", Log!$A:$A, "Daily", Log!$D:$D, $C$2), "")</f>
        <v/>
      </c>
      <c r="E233" s="63" t="str">
        <f>IFERROR(AVERAGEIFS(Log!$E:$E, Log!$C:$C, $A233, Log!$B:$B, "n/a", Log!$A:$A, "Daily", Log!$D:$D, $C$2), "")</f>
        <v/>
      </c>
      <c r="F233" s="262" t="str">
        <f>_xlfn.XLOOKUP($A233, Daily!$C:$C, Daily!$J:$J)</f>
        <v/>
      </c>
      <c r="G233" s="262" t="str">
        <f>_xlfn.XLOOKUP($A233, Daily!$C:$C, Daily!$M:$M)</f>
        <v/>
      </c>
    </row>
    <row r="234" spans="1:7" x14ac:dyDescent="0.3">
      <c r="A234" s="7">
        <v>0</v>
      </c>
      <c r="C234" s="9" t="str">
        <f>IFERROR(AVERAGEIFS(Log!$F:$F, Log!$C:$C, $A234, Log!$B:$B, "n/a", Log!$A:$A, "Daily", Log!$D:$D, $C$2), "")</f>
        <v/>
      </c>
      <c r="D234" s="9" t="str">
        <f>IFERROR(AVERAGEIFS(Log!$G:$G, Log!$C:$C, $A234, Log!$B:$B, "n/a", Log!$A:$A, "Daily", Log!$D:$D, $C$2), "")</f>
        <v/>
      </c>
      <c r="E234" s="63" t="str">
        <f>IFERROR(AVERAGEIFS(Log!$E:$E, Log!$C:$C, $A234, Log!$B:$B, "n/a", Log!$A:$A, "Daily", Log!$D:$D, $C$2), "")</f>
        <v/>
      </c>
      <c r="F234" s="262" t="str">
        <f>_xlfn.XLOOKUP($A234, Daily!$C:$C, Daily!$J:$J)</f>
        <v/>
      </c>
      <c r="G234" s="262" t="str">
        <f>_xlfn.XLOOKUP($A234, Daily!$C:$C, Daily!$M:$M)</f>
        <v/>
      </c>
    </row>
    <row r="235" spans="1:7" x14ac:dyDescent="0.3">
      <c r="A235" s="7">
        <v>0</v>
      </c>
      <c r="C235" s="9" t="str">
        <f>IFERROR(AVERAGEIFS(Log!$F:$F, Log!$C:$C, $A235, Log!$B:$B, "n/a", Log!$A:$A, "Daily", Log!$D:$D, $C$2), "")</f>
        <v/>
      </c>
      <c r="D235" s="9" t="str">
        <f>IFERROR(AVERAGEIFS(Log!$G:$G, Log!$C:$C, $A235, Log!$B:$B, "n/a", Log!$A:$A, "Daily", Log!$D:$D, $C$2), "")</f>
        <v/>
      </c>
      <c r="E235" s="63" t="str">
        <f>IFERROR(AVERAGEIFS(Log!$E:$E, Log!$C:$C, $A235, Log!$B:$B, "n/a", Log!$A:$A, "Daily", Log!$D:$D, $C$2), "")</f>
        <v/>
      </c>
      <c r="F235" s="262" t="str">
        <f>_xlfn.XLOOKUP($A235, Daily!$C:$C, Daily!$J:$J)</f>
        <v/>
      </c>
      <c r="G235" s="262" t="str">
        <f>_xlfn.XLOOKUP($A235, Daily!$C:$C, Daily!$M:$M)</f>
        <v/>
      </c>
    </row>
    <row r="236" spans="1:7" x14ac:dyDescent="0.3">
      <c r="A236" s="7">
        <v>0</v>
      </c>
      <c r="C236" s="9" t="str">
        <f>IFERROR(AVERAGEIFS(Log!$F:$F, Log!$C:$C, $A236, Log!$B:$B, "n/a", Log!$A:$A, "Daily", Log!$D:$D, $C$2), "")</f>
        <v/>
      </c>
      <c r="D236" s="9" t="str">
        <f>IFERROR(AVERAGEIFS(Log!$G:$G, Log!$C:$C, $A236, Log!$B:$B, "n/a", Log!$A:$A, "Daily", Log!$D:$D, $C$2), "")</f>
        <v/>
      </c>
      <c r="E236" s="63" t="str">
        <f>IFERROR(AVERAGEIFS(Log!$E:$E, Log!$C:$C, $A236, Log!$B:$B, "n/a", Log!$A:$A, "Daily", Log!$D:$D, $C$2), "")</f>
        <v/>
      </c>
      <c r="F236" s="262" t="str">
        <f>_xlfn.XLOOKUP($A236, Daily!$C:$C, Daily!$J:$J)</f>
        <v/>
      </c>
      <c r="G236" s="262" t="str">
        <f>_xlfn.XLOOKUP($A236, Daily!$C:$C, Daily!$M:$M)</f>
        <v/>
      </c>
    </row>
    <row r="237" spans="1:7" x14ac:dyDescent="0.3">
      <c r="A237" s="7">
        <v>0</v>
      </c>
      <c r="C237" s="9" t="str">
        <f>IFERROR(AVERAGEIFS(Log!$F:$F, Log!$C:$C, $A237, Log!$B:$B, "n/a", Log!$A:$A, "Daily", Log!$D:$D, $C$2), "")</f>
        <v/>
      </c>
      <c r="D237" s="9" t="str">
        <f>IFERROR(AVERAGEIFS(Log!$G:$G, Log!$C:$C, $A237, Log!$B:$B, "n/a", Log!$A:$A, "Daily", Log!$D:$D, $C$2), "")</f>
        <v/>
      </c>
      <c r="E237" s="63" t="str">
        <f>IFERROR(AVERAGEIFS(Log!$E:$E, Log!$C:$C, $A237, Log!$B:$B, "n/a", Log!$A:$A, "Daily", Log!$D:$D, $C$2), "")</f>
        <v/>
      </c>
      <c r="F237" s="262" t="str">
        <f>_xlfn.XLOOKUP($A237, Daily!$C:$C, Daily!$J:$J)</f>
        <v/>
      </c>
      <c r="G237" s="262" t="str">
        <f>_xlfn.XLOOKUP($A237, Daily!$C:$C, Daily!$M:$M)</f>
        <v/>
      </c>
    </row>
    <row r="238" spans="1:7" x14ac:dyDescent="0.3">
      <c r="A238" s="7">
        <v>0</v>
      </c>
      <c r="C238" s="9" t="str">
        <f>IFERROR(AVERAGEIFS(Log!$F:$F, Log!$C:$C, $A238, Log!$B:$B, "n/a", Log!$A:$A, "Daily", Log!$D:$D, $C$2), "")</f>
        <v/>
      </c>
      <c r="D238" s="9" t="str">
        <f>IFERROR(AVERAGEIFS(Log!$G:$G, Log!$C:$C, $A238, Log!$B:$B, "n/a", Log!$A:$A, "Daily", Log!$D:$D, $C$2), "")</f>
        <v/>
      </c>
      <c r="E238" s="63" t="str">
        <f>IFERROR(AVERAGEIFS(Log!$E:$E, Log!$C:$C, $A238, Log!$B:$B, "n/a", Log!$A:$A, "Daily", Log!$D:$D, $C$2), "")</f>
        <v/>
      </c>
      <c r="F238" s="262" t="str">
        <f>_xlfn.XLOOKUP($A238, Daily!$C:$C, Daily!$J:$J)</f>
        <v/>
      </c>
      <c r="G238" s="262" t="str">
        <f>_xlfn.XLOOKUP($A238, Daily!$C:$C, Daily!$M:$M)</f>
        <v/>
      </c>
    </row>
    <row r="239" spans="1:7" x14ac:dyDescent="0.3">
      <c r="A239" s="7">
        <v>0</v>
      </c>
      <c r="C239" s="9" t="str">
        <f>IFERROR(AVERAGEIFS(Log!$F:$F, Log!$C:$C, $A239, Log!$B:$B, "n/a", Log!$A:$A, "Daily", Log!$D:$D, $C$2), "")</f>
        <v/>
      </c>
      <c r="D239" s="9" t="str">
        <f>IFERROR(AVERAGEIFS(Log!$G:$G, Log!$C:$C, $A239, Log!$B:$B, "n/a", Log!$A:$A, "Daily", Log!$D:$D, $C$2), "")</f>
        <v/>
      </c>
      <c r="E239" s="63" t="str">
        <f>IFERROR(AVERAGEIFS(Log!$E:$E, Log!$C:$C, $A239, Log!$B:$B, "n/a", Log!$A:$A, "Daily", Log!$D:$D, $C$2), "")</f>
        <v/>
      </c>
      <c r="F239" s="262" t="str">
        <f>_xlfn.XLOOKUP($A239, Daily!$C:$C, Daily!$J:$J)</f>
        <v/>
      </c>
      <c r="G239" s="262" t="str">
        <f>_xlfn.XLOOKUP($A239, Daily!$C:$C, Daily!$M:$M)</f>
        <v/>
      </c>
    </row>
    <row r="240" spans="1:7" x14ac:dyDescent="0.3">
      <c r="A240" s="7">
        <v>0</v>
      </c>
      <c r="C240" s="9" t="str">
        <f>IFERROR(AVERAGEIFS(Log!$F:$F, Log!$C:$C, $A240, Log!$B:$B, "n/a", Log!$A:$A, "Daily", Log!$D:$D, $C$2), "")</f>
        <v/>
      </c>
      <c r="D240" s="9" t="str">
        <f>IFERROR(AVERAGEIFS(Log!$G:$G, Log!$C:$C, $A240, Log!$B:$B, "n/a", Log!$A:$A, "Daily", Log!$D:$D, $C$2), "")</f>
        <v/>
      </c>
      <c r="E240" s="63" t="str">
        <f>IFERROR(AVERAGEIFS(Log!$E:$E, Log!$C:$C, $A240, Log!$B:$B, "n/a", Log!$A:$A, "Daily", Log!$D:$D, $C$2), "")</f>
        <v/>
      </c>
      <c r="F240" s="262" t="str">
        <f>_xlfn.XLOOKUP($A240, Daily!$C:$C, Daily!$J:$J)</f>
        <v/>
      </c>
      <c r="G240" s="262" t="str">
        <f>_xlfn.XLOOKUP($A240, Daily!$C:$C, Daily!$M:$M)</f>
        <v/>
      </c>
    </row>
    <row r="241" spans="1:7" x14ac:dyDescent="0.3">
      <c r="A241" s="7">
        <v>0</v>
      </c>
      <c r="C241" s="9" t="str">
        <f>IFERROR(AVERAGEIFS(Log!$F:$F, Log!$C:$C, $A241, Log!$B:$B, "n/a", Log!$A:$A, "Daily", Log!$D:$D, $C$2), "")</f>
        <v/>
      </c>
      <c r="D241" s="9" t="str">
        <f>IFERROR(AVERAGEIFS(Log!$G:$G, Log!$C:$C, $A241, Log!$B:$B, "n/a", Log!$A:$A, "Daily", Log!$D:$D, $C$2), "")</f>
        <v/>
      </c>
      <c r="E241" s="63" t="str">
        <f>IFERROR(AVERAGEIFS(Log!$E:$E, Log!$C:$C, $A241, Log!$B:$B, "n/a", Log!$A:$A, "Daily", Log!$D:$D, $C$2), "")</f>
        <v/>
      </c>
      <c r="F241" s="262" t="str">
        <f>_xlfn.XLOOKUP($A241, Daily!$C:$C, Daily!$J:$J)</f>
        <v/>
      </c>
      <c r="G241" s="262" t="str">
        <f>_xlfn.XLOOKUP($A241, Daily!$C:$C, Daily!$M:$M)</f>
        <v/>
      </c>
    </row>
    <row r="242" spans="1:7" x14ac:dyDescent="0.3">
      <c r="A242" s="7">
        <v>0</v>
      </c>
      <c r="C242" s="9" t="str">
        <f>IFERROR(AVERAGEIFS(Log!$F:$F, Log!$C:$C, $A242, Log!$B:$B, "n/a", Log!$A:$A, "Daily", Log!$D:$D, $C$2), "")</f>
        <v/>
      </c>
      <c r="D242" s="9" t="str">
        <f>IFERROR(AVERAGEIFS(Log!$G:$G, Log!$C:$C, $A242, Log!$B:$B, "n/a", Log!$A:$A, "Daily", Log!$D:$D, $C$2), "")</f>
        <v/>
      </c>
      <c r="E242" s="63" t="str">
        <f>IFERROR(AVERAGEIFS(Log!$E:$E, Log!$C:$C, $A242, Log!$B:$B, "n/a", Log!$A:$A, "Daily", Log!$D:$D, $C$2), "")</f>
        <v/>
      </c>
      <c r="F242" s="262" t="str">
        <f>_xlfn.XLOOKUP($A242, Daily!$C:$C, Daily!$J:$J)</f>
        <v/>
      </c>
      <c r="G242" s="262" t="str">
        <f>_xlfn.XLOOKUP($A242, Daily!$C:$C, Daily!$M:$M)</f>
        <v/>
      </c>
    </row>
    <row r="243" spans="1:7" x14ac:dyDescent="0.3">
      <c r="A243" s="7">
        <v>0</v>
      </c>
      <c r="C243" s="9" t="str">
        <f>IFERROR(AVERAGEIFS(Log!$F:$F, Log!$C:$C, $A243, Log!$B:$B, "n/a", Log!$A:$A, "Daily", Log!$D:$D, $C$2), "")</f>
        <v/>
      </c>
      <c r="D243" s="9" t="str">
        <f>IFERROR(AVERAGEIFS(Log!$G:$G, Log!$C:$C, $A243, Log!$B:$B, "n/a", Log!$A:$A, "Daily", Log!$D:$D, $C$2), "")</f>
        <v/>
      </c>
      <c r="E243" s="63" t="str">
        <f>IFERROR(AVERAGEIFS(Log!$E:$E, Log!$C:$C, $A243, Log!$B:$B, "n/a", Log!$A:$A, "Daily", Log!$D:$D, $C$2), "")</f>
        <v/>
      </c>
      <c r="F243" s="262" t="str">
        <f>_xlfn.XLOOKUP($A243, Daily!$C:$C, Daily!$J:$J)</f>
        <v/>
      </c>
      <c r="G243" s="262" t="str">
        <f>_xlfn.XLOOKUP($A243, Daily!$C:$C, Daily!$M:$M)</f>
        <v/>
      </c>
    </row>
    <row r="244" spans="1:7" x14ac:dyDescent="0.3">
      <c r="A244" s="7">
        <v>0</v>
      </c>
      <c r="C244" s="9" t="str">
        <f>IFERROR(AVERAGEIFS(Log!$F:$F, Log!$C:$C, $A244, Log!$B:$B, "n/a", Log!$A:$A, "Daily", Log!$D:$D, $C$2), "")</f>
        <v/>
      </c>
      <c r="D244" s="9" t="str">
        <f>IFERROR(AVERAGEIFS(Log!$G:$G, Log!$C:$C, $A244, Log!$B:$B, "n/a", Log!$A:$A, "Daily", Log!$D:$D, $C$2), "")</f>
        <v/>
      </c>
      <c r="E244" s="63" t="str">
        <f>IFERROR(AVERAGEIFS(Log!$E:$E, Log!$C:$C, $A244, Log!$B:$B, "n/a", Log!$A:$A, "Daily", Log!$D:$D, $C$2), "")</f>
        <v/>
      </c>
      <c r="F244" s="262" t="str">
        <f>_xlfn.XLOOKUP($A244, Daily!$C:$C, Daily!$J:$J)</f>
        <v/>
      </c>
      <c r="G244" s="262" t="str">
        <f>_xlfn.XLOOKUP($A244, Daily!$C:$C, Daily!$M:$M)</f>
        <v/>
      </c>
    </row>
    <row r="245" spans="1:7" x14ac:dyDescent="0.3">
      <c r="A245" s="7">
        <v>0</v>
      </c>
      <c r="C245" s="9" t="str">
        <f>IFERROR(AVERAGEIFS(Log!$F:$F, Log!$C:$C, $A245, Log!$B:$B, "n/a", Log!$A:$A, "Daily", Log!$D:$D, $C$2), "")</f>
        <v/>
      </c>
      <c r="D245" s="9" t="str">
        <f>IFERROR(AVERAGEIFS(Log!$G:$G, Log!$C:$C, $A245, Log!$B:$B, "n/a", Log!$A:$A, "Daily", Log!$D:$D, $C$2), "")</f>
        <v/>
      </c>
      <c r="E245" s="63" t="str">
        <f>IFERROR(AVERAGEIFS(Log!$E:$E, Log!$C:$C, $A245, Log!$B:$B, "n/a", Log!$A:$A, "Daily", Log!$D:$D, $C$2), "")</f>
        <v/>
      </c>
      <c r="F245" s="262" t="str">
        <f>_xlfn.XLOOKUP($A245, Daily!$C:$C, Daily!$J:$J)</f>
        <v/>
      </c>
      <c r="G245" s="262" t="str">
        <f>_xlfn.XLOOKUP($A245, Daily!$C:$C, Daily!$M:$M)</f>
        <v/>
      </c>
    </row>
    <row r="246" spans="1:7" x14ac:dyDescent="0.3">
      <c r="A246" s="7">
        <v>0</v>
      </c>
      <c r="C246" s="9" t="str">
        <f>IFERROR(AVERAGEIFS(Log!$F:$F, Log!$C:$C, $A246, Log!$B:$B, "n/a", Log!$A:$A, "Daily", Log!$D:$D, $C$2), "")</f>
        <v/>
      </c>
      <c r="D246" s="9" t="str">
        <f>IFERROR(AVERAGEIFS(Log!$G:$G, Log!$C:$C, $A246, Log!$B:$B, "n/a", Log!$A:$A, "Daily", Log!$D:$D, $C$2), "")</f>
        <v/>
      </c>
      <c r="E246" s="63" t="str">
        <f>IFERROR(AVERAGEIFS(Log!$E:$E, Log!$C:$C, $A246, Log!$B:$B, "n/a", Log!$A:$A, "Daily", Log!$D:$D, $C$2), "")</f>
        <v/>
      </c>
      <c r="F246" s="262" t="str">
        <f>_xlfn.XLOOKUP($A246, Daily!$C:$C, Daily!$J:$J)</f>
        <v/>
      </c>
      <c r="G246" s="262" t="str">
        <f>_xlfn.XLOOKUP($A246, Daily!$C:$C, Daily!$M:$M)</f>
        <v/>
      </c>
    </row>
    <row r="247" spans="1:7" x14ac:dyDescent="0.3">
      <c r="A247" s="7">
        <v>0</v>
      </c>
      <c r="C247" s="9" t="str">
        <f>IFERROR(AVERAGEIFS(Log!$F:$F, Log!$C:$C, $A247, Log!$B:$B, "n/a", Log!$A:$A, "Daily", Log!$D:$D, $C$2), "")</f>
        <v/>
      </c>
      <c r="D247" s="9" t="str">
        <f>IFERROR(AVERAGEIFS(Log!$G:$G, Log!$C:$C, $A247, Log!$B:$B, "n/a", Log!$A:$A, "Daily", Log!$D:$D, $C$2), "")</f>
        <v/>
      </c>
      <c r="E247" s="63" t="str">
        <f>IFERROR(AVERAGEIFS(Log!$E:$E, Log!$C:$C, $A247, Log!$B:$B, "n/a", Log!$A:$A, "Daily", Log!$D:$D, $C$2), "")</f>
        <v/>
      </c>
      <c r="F247" s="262" t="str">
        <f>_xlfn.XLOOKUP($A247, Daily!$C:$C, Daily!$J:$J)</f>
        <v/>
      </c>
      <c r="G247" s="262" t="str">
        <f>_xlfn.XLOOKUP($A247, Daily!$C:$C, Daily!$M:$M)</f>
        <v/>
      </c>
    </row>
    <row r="248" spans="1:7" x14ac:dyDescent="0.3">
      <c r="A248" s="7">
        <v>0</v>
      </c>
      <c r="C248" s="9" t="str">
        <f>IFERROR(AVERAGEIFS(Log!$F:$F, Log!$C:$C, $A248, Log!$B:$B, "n/a", Log!$A:$A, "Daily", Log!$D:$D, $C$2), "")</f>
        <v/>
      </c>
      <c r="D248" s="9" t="str">
        <f>IFERROR(AVERAGEIFS(Log!$G:$G, Log!$C:$C, $A248, Log!$B:$B, "n/a", Log!$A:$A, "Daily", Log!$D:$D, $C$2), "")</f>
        <v/>
      </c>
      <c r="E248" s="63" t="str">
        <f>IFERROR(AVERAGEIFS(Log!$E:$E, Log!$C:$C, $A248, Log!$B:$B, "n/a", Log!$A:$A, "Daily", Log!$D:$D, $C$2), "")</f>
        <v/>
      </c>
      <c r="F248" s="262" t="str">
        <f>_xlfn.XLOOKUP($A248, Daily!$C:$C, Daily!$J:$J)</f>
        <v/>
      </c>
      <c r="G248" s="262" t="str">
        <f>_xlfn.XLOOKUP($A248, Daily!$C:$C, Daily!$M:$M)</f>
        <v/>
      </c>
    </row>
    <row r="249" spans="1:7" x14ac:dyDescent="0.3">
      <c r="A249" s="7">
        <v>0</v>
      </c>
      <c r="C249" s="9" t="str">
        <f>IFERROR(AVERAGEIFS(Log!$F:$F, Log!$C:$C, $A249, Log!$B:$B, "n/a", Log!$A:$A, "Daily", Log!$D:$D, $C$2), "")</f>
        <v/>
      </c>
      <c r="D249" s="9" t="str">
        <f>IFERROR(AVERAGEIFS(Log!$G:$G, Log!$C:$C, $A249, Log!$B:$B, "n/a", Log!$A:$A, "Daily", Log!$D:$D, $C$2), "")</f>
        <v/>
      </c>
      <c r="E249" s="63" t="str">
        <f>IFERROR(AVERAGEIFS(Log!$E:$E, Log!$C:$C, $A249, Log!$B:$B, "n/a", Log!$A:$A, "Daily", Log!$D:$D, $C$2), "")</f>
        <v/>
      </c>
      <c r="F249" s="262" t="str">
        <f>_xlfn.XLOOKUP($A249, Daily!$C:$C, Daily!$J:$J)</f>
        <v/>
      </c>
      <c r="G249" s="262" t="str">
        <f>_xlfn.XLOOKUP($A249, Daily!$C:$C, Daily!$M:$M)</f>
        <v/>
      </c>
    </row>
    <row r="250" spans="1:7" x14ac:dyDescent="0.3">
      <c r="A250" s="7">
        <v>0</v>
      </c>
      <c r="C250" s="9" t="str">
        <f>IFERROR(AVERAGEIFS(Log!$F:$F, Log!$C:$C, $A250, Log!$B:$B, "n/a", Log!$A:$A, "Daily", Log!$D:$D, $C$2), "")</f>
        <v/>
      </c>
      <c r="D250" s="9" t="str">
        <f>IFERROR(AVERAGEIFS(Log!$G:$G, Log!$C:$C, $A250, Log!$B:$B, "n/a", Log!$A:$A, "Daily", Log!$D:$D, $C$2), "")</f>
        <v/>
      </c>
      <c r="E250" s="63" t="str">
        <f>IFERROR(AVERAGEIFS(Log!$E:$E, Log!$C:$C, $A250, Log!$B:$B, "n/a", Log!$A:$A, "Daily", Log!$D:$D, $C$2), "")</f>
        <v/>
      </c>
      <c r="F250" s="262" t="str">
        <f>_xlfn.XLOOKUP($A250, Daily!$C:$C, Daily!$J:$J)</f>
        <v/>
      </c>
      <c r="G250" s="262" t="str">
        <f>_xlfn.XLOOKUP($A250, Daily!$C:$C, Daily!$M:$M)</f>
        <v/>
      </c>
    </row>
    <row r="251" spans="1:7" x14ac:dyDescent="0.3">
      <c r="A251" s="7">
        <v>0</v>
      </c>
      <c r="C251" s="9" t="str">
        <f>IFERROR(AVERAGEIFS(Log!$F:$F, Log!$C:$C, $A251, Log!$B:$B, "n/a", Log!$A:$A, "Daily", Log!$D:$D, $C$2), "")</f>
        <v/>
      </c>
      <c r="D251" s="9" t="str">
        <f>IFERROR(AVERAGEIFS(Log!$G:$G, Log!$C:$C, $A251, Log!$B:$B, "n/a", Log!$A:$A, "Daily", Log!$D:$D, $C$2), "")</f>
        <v/>
      </c>
      <c r="E251" s="63" t="str">
        <f>IFERROR(AVERAGEIFS(Log!$E:$E, Log!$C:$C, $A251, Log!$B:$B, "n/a", Log!$A:$A, "Daily", Log!$D:$D, $C$2), "")</f>
        <v/>
      </c>
      <c r="F251" s="262" t="str">
        <f>_xlfn.XLOOKUP($A251, Daily!$C:$C, Daily!$J:$J)</f>
        <v/>
      </c>
      <c r="G251" s="262" t="str">
        <f>_xlfn.XLOOKUP($A251, Daily!$C:$C, Daily!$M:$M)</f>
        <v/>
      </c>
    </row>
    <row r="252" spans="1:7" x14ac:dyDescent="0.3">
      <c r="A252" s="7">
        <v>0</v>
      </c>
      <c r="C252" s="9" t="str">
        <f>IFERROR(AVERAGEIFS(Log!$F:$F, Log!$C:$C, $A252, Log!$B:$B, "n/a", Log!$A:$A, "Daily", Log!$D:$D, $C$2), "")</f>
        <v/>
      </c>
      <c r="D252" s="9" t="str">
        <f>IFERROR(AVERAGEIFS(Log!$G:$G, Log!$C:$C, $A252, Log!$B:$B, "n/a", Log!$A:$A, "Daily", Log!$D:$D, $C$2), "")</f>
        <v/>
      </c>
      <c r="E252" s="63" t="str">
        <f>IFERROR(AVERAGEIFS(Log!$E:$E, Log!$C:$C, $A252, Log!$B:$B, "n/a", Log!$A:$A, "Daily", Log!$D:$D, $C$2), "")</f>
        <v/>
      </c>
      <c r="F252" s="262" t="str">
        <f>_xlfn.XLOOKUP($A252, Daily!$C:$C, Daily!$J:$J)</f>
        <v/>
      </c>
      <c r="G252" s="262" t="str">
        <f>_xlfn.XLOOKUP($A252, Daily!$C:$C, Daily!$M:$M)</f>
        <v/>
      </c>
    </row>
    <row r="253" spans="1:7" x14ac:dyDescent="0.3">
      <c r="A253" s="7">
        <v>0</v>
      </c>
      <c r="C253" s="9" t="str">
        <f>IFERROR(AVERAGEIFS(Log!$F:$F, Log!$C:$C, $A253, Log!$B:$B, "n/a", Log!$A:$A, "Daily", Log!$D:$D, $C$2), "")</f>
        <v/>
      </c>
      <c r="D253" s="9" t="str">
        <f>IFERROR(AVERAGEIFS(Log!$G:$G, Log!$C:$C, $A253, Log!$B:$B, "n/a", Log!$A:$A, "Daily", Log!$D:$D, $C$2), "")</f>
        <v/>
      </c>
      <c r="E253" s="63" t="str">
        <f>IFERROR(AVERAGEIFS(Log!$E:$E, Log!$C:$C, $A253, Log!$B:$B, "n/a", Log!$A:$A, "Daily", Log!$D:$D, $C$2), "")</f>
        <v/>
      </c>
      <c r="F253" s="262" t="str">
        <f>_xlfn.XLOOKUP($A253, Daily!$C:$C, Daily!$J:$J)</f>
        <v/>
      </c>
      <c r="G253" s="262" t="str">
        <f>_xlfn.XLOOKUP($A253, Daily!$C:$C, Daily!$M:$M)</f>
        <v/>
      </c>
    </row>
    <row r="254" spans="1:7" x14ac:dyDescent="0.3">
      <c r="A254" s="7">
        <v>0</v>
      </c>
      <c r="C254" s="9" t="str">
        <f>IFERROR(AVERAGEIFS(Log!$F:$F, Log!$C:$C, $A254, Log!$B:$B, "n/a", Log!$A:$A, "Daily", Log!$D:$D, $C$2), "")</f>
        <v/>
      </c>
      <c r="D254" s="9" t="str">
        <f>IFERROR(AVERAGEIFS(Log!$G:$G, Log!$C:$C, $A254, Log!$B:$B, "n/a", Log!$A:$A, "Daily", Log!$D:$D, $C$2), "")</f>
        <v/>
      </c>
      <c r="E254" s="63" t="str">
        <f>IFERROR(AVERAGEIFS(Log!$E:$E, Log!$C:$C, $A254, Log!$B:$B, "n/a", Log!$A:$A, "Daily", Log!$D:$D, $C$2), "")</f>
        <v/>
      </c>
      <c r="F254" s="262" t="str">
        <f>_xlfn.XLOOKUP($A254, Daily!$C:$C, Daily!$J:$J)</f>
        <v/>
      </c>
      <c r="G254" s="262" t="str">
        <f>_xlfn.XLOOKUP($A254, Daily!$C:$C, Daily!$M:$M)</f>
        <v/>
      </c>
    </row>
    <row r="255" spans="1:7" x14ac:dyDescent="0.3">
      <c r="A255" s="7">
        <v>0</v>
      </c>
      <c r="E255" s="63" t="str">
        <f>IFERROR(AVERAGEIFS(Log!$E:$E, Log!$C:$C, $A255, Log!$B:$B, "n/a", Log!$A:$A, "Daily", Log!$D:$D, $C$2), "")</f>
        <v/>
      </c>
      <c r="F255" s="262" t="str">
        <f>Daily!J255</f>
        <v/>
      </c>
      <c r="G255" s="262" t="str">
        <f>Daily!M255</f>
        <v/>
      </c>
    </row>
    <row r="256" spans="1:7" x14ac:dyDescent="0.3">
      <c r="A256" s="7">
        <v>0</v>
      </c>
      <c r="E256" s="63" t="str">
        <f>IFERROR(AVERAGEIFS(Log!$E:$E, Log!$C:$C, $A256, Log!$B:$B, "n/a", Log!$A:$A, "Daily", Log!$D:$D, $C$2), "")</f>
        <v/>
      </c>
      <c r="F256" s="262" t="str">
        <f>Daily!J256</f>
        <v/>
      </c>
      <c r="G256" s="262" t="str">
        <f>Daily!M256</f>
        <v/>
      </c>
    </row>
    <row r="257" spans="1:7" x14ac:dyDescent="0.3">
      <c r="A257" s="7">
        <v>0</v>
      </c>
      <c r="E257" s="63" t="str">
        <f>IFERROR(AVERAGEIFS(Log!$E:$E, Log!$C:$C, $A257, Log!$B:$B, "n/a", Log!$A:$A, "Daily", Log!$D:$D, $C$2), "")</f>
        <v/>
      </c>
      <c r="F257" s="262" t="str">
        <f>Daily!J257</f>
        <v/>
      </c>
      <c r="G257" s="262" t="str">
        <f>Daily!M257</f>
        <v/>
      </c>
    </row>
    <row r="258" spans="1:7" x14ac:dyDescent="0.3">
      <c r="A258" s="7">
        <v>0</v>
      </c>
      <c r="E258" s="63" t="str">
        <f>IFERROR(AVERAGEIFS(Log!$E:$E, Log!$C:$C, $A258, Log!$B:$B, "n/a", Log!$A:$A, "Daily", Log!$D:$D, $C$2), "")</f>
        <v/>
      </c>
      <c r="F258" s="262" t="str">
        <f>Daily!J258</f>
        <v/>
      </c>
      <c r="G258" s="262" t="str">
        <f>Daily!M258</f>
        <v/>
      </c>
    </row>
    <row r="259" spans="1:7" x14ac:dyDescent="0.3">
      <c r="A259" s="7">
        <v>0</v>
      </c>
      <c r="E259" s="63" t="str">
        <f>IFERROR(AVERAGEIFS(Log!$E:$E, Log!$C:$C, $A259, Log!$B:$B, "n/a", Log!$A:$A, "Daily", Log!$D:$D, $C$2), "")</f>
        <v/>
      </c>
      <c r="F259" s="262" t="str">
        <f>Daily!J259</f>
        <v/>
      </c>
      <c r="G259" s="262" t="str">
        <f>Daily!M259</f>
        <v/>
      </c>
    </row>
    <row r="260" spans="1:7" x14ac:dyDescent="0.3">
      <c r="A260" s="7">
        <v>0</v>
      </c>
      <c r="E260" s="63" t="str">
        <f>IFERROR(AVERAGEIFS(Log!$E:$E, Log!$C:$C, $A260, Log!$B:$B, "n/a", Log!$A:$A, "Daily", Log!$D:$D, $C$2), "")</f>
        <v/>
      </c>
      <c r="F260" s="262" t="str">
        <f>Daily!J260</f>
        <v/>
      </c>
      <c r="G260" s="262" t="str">
        <f>Daily!M260</f>
        <v/>
      </c>
    </row>
    <row r="261" spans="1:7" x14ac:dyDescent="0.3">
      <c r="A261" s="7">
        <v>0</v>
      </c>
      <c r="E261" s="63" t="str">
        <f>IFERROR(AVERAGEIFS(Log!$E:$E, Log!$C:$C, $A261, Log!$B:$B, "n/a", Log!$A:$A, "Daily", Log!$D:$D, $C$2), "")</f>
        <v/>
      </c>
      <c r="F261" s="262" t="str">
        <f>Daily!J261</f>
        <v/>
      </c>
      <c r="G261" s="262" t="str">
        <f>Daily!M261</f>
        <v/>
      </c>
    </row>
    <row r="262" spans="1:7" x14ac:dyDescent="0.3">
      <c r="A262" s="7">
        <v>0</v>
      </c>
      <c r="E262" s="63" t="str">
        <f>IFERROR(AVERAGEIFS(Log!$E:$E, Log!$C:$C, $A262, Log!$B:$B, "n/a", Log!$A:$A, "Daily", Log!$D:$D, $C$2), "")</f>
        <v/>
      </c>
      <c r="F262" s="262" t="str">
        <f>Daily!J262</f>
        <v/>
      </c>
      <c r="G262" s="262" t="str">
        <f>Daily!M262</f>
        <v/>
      </c>
    </row>
    <row r="263" spans="1:7" x14ac:dyDescent="0.3">
      <c r="A263" s="7">
        <v>0</v>
      </c>
      <c r="E263" s="63" t="str">
        <f>IFERROR(AVERAGEIFS(Log!$E:$E, Log!$C:$C, $A263, Log!$B:$B, "n/a", Log!$A:$A, "Daily", Log!$D:$D, $C$2), "")</f>
        <v/>
      </c>
      <c r="F263" s="262" t="str">
        <f>Daily!J263</f>
        <v/>
      </c>
      <c r="G263" s="262" t="str">
        <f>Daily!M263</f>
        <v/>
      </c>
    </row>
    <row r="264" spans="1:7" x14ac:dyDescent="0.3">
      <c r="A264" s="7">
        <v>0</v>
      </c>
      <c r="E264" s="63" t="str">
        <f>IFERROR(AVERAGEIFS(Log!$E:$E, Log!$C:$C, $A264, Log!$B:$B, "n/a", Log!$A:$A, "Daily", Log!$D:$D, $C$2), "")</f>
        <v/>
      </c>
      <c r="F264" s="262" t="str">
        <f>Daily!J264</f>
        <v/>
      </c>
      <c r="G264" s="262" t="str">
        <f>Daily!M264</f>
        <v/>
      </c>
    </row>
    <row r="265" spans="1:7" x14ac:dyDescent="0.3">
      <c r="A265" s="7">
        <v>0</v>
      </c>
      <c r="E265" s="63" t="str">
        <f>IFERROR(AVERAGEIFS(Log!$E:$E, Log!$C:$C, $A265, Log!$B:$B, "n/a", Log!$A:$A, "Daily", Log!$D:$D, $C$2), "")</f>
        <v/>
      </c>
      <c r="F265" s="262" t="str">
        <f>Daily!J265</f>
        <v/>
      </c>
      <c r="G265" s="262" t="str">
        <f>Daily!M265</f>
        <v/>
      </c>
    </row>
    <row r="266" spans="1:7" x14ac:dyDescent="0.3">
      <c r="A266" s="7">
        <v>0</v>
      </c>
      <c r="E266" s="63" t="str">
        <f>IFERROR(AVERAGEIFS(Log!$E:$E, Log!$C:$C, $A266, Log!$B:$B, "n/a", Log!$A:$A, "Daily", Log!$D:$D, $C$2), "")</f>
        <v/>
      </c>
      <c r="F266" s="262" t="str">
        <f>Daily!J266</f>
        <v/>
      </c>
      <c r="G266" s="262" t="str">
        <f>Daily!M266</f>
        <v/>
      </c>
    </row>
    <row r="267" spans="1:7" x14ac:dyDescent="0.3">
      <c r="A267" s="7">
        <v>0</v>
      </c>
      <c r="E267" s="63" t="str">
        <f>IFERROR(AVERAGEIFS(Log!$E:$E, Log!$C:$C, $A267, Log!$B:$B, "n/a", Log!$A:$A, "Daily", Log!$D:$D, $C$2), "")</f>
        <v/>
      </c>
      <c r="F267" s="262" t="str">
        <f>Daily!J267</f>
        <v/>
      </c>
      <c r="G267" s="262" t="str">
        <f>Daily!M267</f>
        <v/>
      </c>
    </row>
    <row r="268" spans="1:7" x14ac:dyDescent="0.3">
      <c r="A268" s="7">
        <v>0</v>
      </c>
      <c r="E268" s="63" t="str">
        <f>IFERROR(AVERAGEIFS(Log!$E:$E, Log!$C:$C, $A268, Log!$B:$B, "n/a", Log!$A:$A, "Daily", Log!$D:$D, $C$2), "")</f>
        <v/>
      </c>
      <c r="F268" s="262" t="str">
        <f>Daily!J268</f>
        <v/>
      </c>
      <c r="G268" s="262" t="str">
        <f>Daily!M268</f>
        <v/>
      </c>
    </row>
    <row r="269" spans="1:7" x14ac:dyDescent="0.3">
      <c r="A269" s="7">
        <v>0</v>
      </c>
      <c r="E269" s="63" t="str">
        <f>IFERROR(AVERAGEIFS(Log!$E:$E, Log!$C:$C, $A269, Log!$B:$B, "n/a", Log!$A:$A, "Daily", Log!$D:$D, $C$2), "")</f>
        <v/>
      </c>
      <c r="F269" s="262" t="str">
        <f>Daily!J269</f>
        <v/>
      </c>
      <c r="G269" s="262" t="str">
        <f>Daily!M269</f>
        <v/>
      </c>
    </row>
    <row r="270" spans="1:7" x14ac:dyDescent="0.3">
      <c r="A270" s="7">
        <v>0</v>
      </c>
      <c r="E270" s="63" t="str">
        <f>IFERROR(AVERAGEIFS(Log!$E:$E, Log!$C:$C, $A270, Log!$B:$B, "n/a", Log!$A:$A, "Daily", Log!$D:$D, $C$2), "")</f>
        <v/>
      </c>
      <c r="F270" s="262" t="str">
        <f>Daily!J270</f>
        <v/>
      </c>
      <c r="G270" s="262" t="str">
        <f>Daily!M270</f>
        <v/>
      </c>
    </row>
    <row r="271" spans="1:7" x14ac:dyDescent="0.3">
      <c r="A271" s="7">
        <v>0</v>
      </c>
      <c r="E271" s="63" t="str">
        <f>IFERROR(AVERAGEIFS(Log!$E:$E, Log!$C:$C, $A271, Log!$B:$B, "n/a", Log!$A:$A, "Daily", Log!$D:$D, $C$2), "")</f>
        <v/>
      </c>
      <c r="F271" s="262" t="str">
        <f>Daily!J271</f>
        <v/>
      </c>
      <c r="G271" s="262" t="str">
        <f>Daily!M271</f>
        <v/>
      </c>
    </row>
    <row r="272" spans="1:7" x14ac:dyDescent="0.3">
      <c r="A272" s="7">
        <v>0</v>
      </c>
      <c r="E272" s="63" t="str">
        <f>IFERROR(AVERAGEIFS(Log!$E:$E, Log!$C:$C, $A272, Log!$B:$B, "n/a", Log!$A:$A, "Daily", Log!$D:$D, $C$2), "")</f>
        <v/>
      </c>
      <c r="F272" s="262" t="str">
        <f>Daily!J272</f>
        <v/>
      </c>
      <c r="G272" s="262" t="str">
        <f>Daily!M272</f>
        <v/>
      </c>
    </row>
    <row r="273" spans="1:7" x14ac:dyDescent="0.3">
      <c r="A273" s="7">
        <v>0</v>
      </c>
      <c r="E273" s="63" t="str">
        <f>IFERROR(AVERAGEIFS(Log!$E:$E, Log!$C:$C, $A273, Log!$B:$B, "n/a", Log!$A:$A, "Daily", Log!$D:$D, $C$2), "")</f>
        <v/>
      </c>
      <c r="F273" s="262" t="str">
        <f>Daily!J273</f>
        <v/>
      </c>
      <c r="G273" s="262" t="str">
        <f>Daily!M273</f>
        <v/>
      </c>
    </row>
    <row r="274" spans="1:7" x14ac:dyDescent="0.3">
      <c r="A274" s="7">
        <v>0</v>
      </c>
      <c r="E274" s="63" t="str">
        <f>IFERROR(AVERAGEIFS(Log!$E:$E, Log!$C:$C, $A274, Log!$B:$B, "n/a", Log!$A:$A, "Daily", Log!$D:$D, $C$2), "")</f>
        <v/>
      </c>
      <c r="F274" s="262" t="str">
        <f>Daily!J274</f>
        <v/>
      </c>
      <c r="G274" s="262" t="str">
        <f>Daily!M274</f>
        <v/>
      </c>
    </row>
    <row r="275" spans="1:7" x14ac:dyDescent="0.3">
      <c r="A275" s="7">
        <v>0</v>
      </c>
      <c r="E275" s="63" t="str">
        <f>IFERROR(AVERAGEIFS(Log!$E:$E, Log!$C:$C, $A275, Log!$B:$B, "n/a", Log!$A:$A, "Daily", Log!$D:$D, $C$2), "")</f>
        <v/>
      </c>
      <c r="F275" s="262" t="str">
        <f>Daily!J275</f>
        <v/>
      </c>
      <c r="G275" s="262" t="str">
        <f>Daily!M275</f>
        <v/>
      </c>
    </row>
    <row r="276" spans="1:7" x14ac:dyDescent="0.3">
      <c r="A276" s="7">
        <v>0</v>
      </c>
      <c r="E276" s="63" t="str">
        <f>IFERROR(AVERAGEIFS(Log!$E:$E, Log!$C:$C, $A276, Log!$B:$B, "n/a", Log!$A:$A, "Daily", Log!$D:$D, $C$2), "")</f>
        <v/>
      </c>
      <c r="F276" s="262" t="str">
        <f>Daily!J276</f>
        <v/>
      </c>
      <c r="G276" s="262" t="str">
        <f>Daily!M276</f>
        <v/>
      </c>
    </row>
    <row r="277" spans="1:7" x14ac:dyDescent="0.3">
      <c r="A277" s="7">
        <v>0</v>
      </c>
      <c r="E277" s="63" t="str">
        <f>IFERROR(AVERAGEIFS(Log!$E:$E, Log!$C:$C, $A277, Log!$B:$B, "n/a", Log!$A:$A, "Daily", Log!$D:$D, $C$2), "")</f>
        <v/>
      </c>
      <c r="F277" s="262" t="str">
        <f>Daily!J277</f>
        <v/>
      </c>
      <c r="G277" s="262" t="str">
        <f>Daily!M277</f>
        <v/>
      </c>
    </row>
    <row r="278" spans="1:7" x14ac:dyDescent="0.3">
      <c r="A278" s="7">
        <v>0</v>
      </c>
      <c r="E278" s="63" t="str">
        <f>IFERROR(AVERAGEIFS(Log!$E:$E, Log!$C:$C, $A278, Log!$B:$B, "n/a", Log!$A:$A, "Daily", Log!$D:$D, $C$2), "")</f>
        <v/>
      </c>
      <c r="F278" s="262" t="str">
        <f>Daily!J278</f>
        <v/>
      </c>
      <c r="G278" s="262" t="str">
        <f>Daily!M278</f>
        <v/>
      </c>
    </row>
    <row r="279" spans="1:7" x14ac:dyDescent="0.3">
      <c r="A279" s="7">
        <v>0</v>
      </c>
      <c r="E279" s="63" t="str">
        <f>IFERROR(AVERAGEIFS(Log!$E:$E, Log!$C:$C, $A279, Log!$B:$B, "n/a", Log!$A:$A, "Daily", Log!$D:$D, $C$2), "")</f>
        <v/>
      </c>
      <c r="F279" s="262" t="str">
        <f>Daily!J279</f>
        <v/>
      </c>
      <c r="G279" s="262" t="str">
        <f>Daily!M279</f>
        <v/>
      </c>
    </row>
    <row r="280" spans="1:7" x14ac:dyDescent="0.3">
      <c r="A280" s="7">
        <v>0</v>
      </c>
      <c r="E280" s="63" t="str">
        <f>IFERROR(AVERAGEIFS(Log!$E:$E, Log!$C:$C, $A280, Log!$B:$B, "n/a", Log!$A:$A, "Daily", Log!$D:$D, $C$2), "")</f>
        <v/>
      </c>
      <c r="F280" s="262" t="str">
        <f>Daily!J280</f>
        <v/>
      </c>
      <c r="G280" s="262" t="str">
        <f>Daily!M280</f>
        <v/>
      </c>
    </row>
    <row r="281" spans="1:7" x14ac:dyDescent="0.3">
      <c r="A281" s="7">
        <v>0</v>
      </c>
      <c r="E281" s="63" t="str">
        <f>IFERROR(AVERAGEIFS(Log!$E:$E, Log!$C:$C, $A281, Log!$B:$B, "n/a", Log!$A:$A, "Daily", Log!$D:$D, $C$2), "")</f>
        <v/>
      </c>
      <c r="F281" s="262" t="str">
        <f>Daily!J281</f>
        <v/>
      </c>
      <c r="G281" s="262" t="str">
        <f>Daily!M281</f>
        <v/>
      </c>
    </row>
    <row r="282" spans="1:7" x14ac:dyDescent="0.3">
      <c r="A282" s="7">
        <v>0</v>
      </c>
      <c r="E282" s="63" t="str">
        <f>IFERROR(AVERAGEIFS(Log!$E:$E, Log!$C:$C, $A282, Log!$B:$B, "n/a", Log!$A:$A, "Daily", Log!$D:$D, $C$2), "")</f>
        <v/>
      </c>
      <c r="F282" s="262" t="str">
        <f>Daily!J282</f>
        <v/>
      </c>
      <c r="G282" s="262" t="str">
        <f>Daily!M282</f>
        <v/>
      </c>
    </row>
    <row r="283" spans="1:7" x14ac:dyDescent="0.3">
      <c r="A283" s="7">
        <v>0</v>
      </c>
      <c r="E283" s="63" t="str">
        <f>IFERROR(AVERAGEIFS(Log!$E:$E, Log!$C:$C, $A283, Log!$B:$B, "n/a", Log!$A:$A, "Daily", Log!$D:$D, $C$2), "")</f>
        <v/>
      </c>
      <c r="F283" s="262" t="str">
        <f>Daily!J283</f>
        <v/>
      </c>
      <c r="G283" s="262" t="str">
        <f>Daily!M283</f>
        <v/>
      </c>
    </row>
    <row r="284" spans="1:7" x14ac:dyDescent="0.3">
      <c r="A284" s="7">
        <v>0</v>
      </c>
      <c r="E284" s="63" t="str">
        <f>IFERROR(AVERAGEIFS(Log!$E:$E, Log!$C:$C, $A284, Log!$B:$B, "n/a", Log!$A:$A, "Daily", Log!$D:$D, $C$2), "")</f>
        <v/>
      </c>
      <c r="F284" s="262" t="str">
        <f>Daily!J284</f>
        <v/>
      </c>
      <c r="G284" s="262" t="str">
        <f>Daily!M284</f>
        <v/>
      </c>
    </row>
    <row r="285" spans="1:7" x14ac:dyDescent="0.3">
      <c r="A285" s="7">
        <v>0</v>
      </c>
      <c r="E285" s="63" t="str">
        <f>IFERROR(AVERAGEIFS(Log!$E:$E, Log!$C:$C, $A285, Log!$B:$B, "n/a", Log!$A:$A, "Daily", Log!$D:$D, $C$2), "")</f>
        <v/>
      </c>
      <c r="F285" s="262" t="str">
        <f>Daily!J285</f>
        <v/>
      </c>
      <c r="G285" s="262" t="str">
        <f>Daily!M285</f>
        <v/>
      </c>
    </row>
    <row r="286" spans="1:7" x14ac:dyDescent="0.3">
      <c r="A286" s="7">
        <v>0</v>
      </c>
      <c r="E286" s="63" t="str">
        <f>IFERROR(AVERAGEIFS(Log!$E:$E, Log!$C:$C, $A286, Log!$B:$B, "n/a", Log!$A:$A, "Daily", Log!$D:$D, $C$2), "")</f>
        <v/>
      </c>
      <c r="F286" s="262" t="str">
        <f>Daily!J286</f>
        <v/>
      </c>
      <c r="G286" s="262" t="str">
        <f>Daily!M286</f>
        <v/>
      </c>
    </row>
    <row r="287" spans="1:7" x14ac:dyDescent="0.3">
      <c r="A287" s="7">
        <v>0</v>
      </c>
      <c r="E287" s="63" t="str">
        <f>IFERROR(AVERAGEIFS(Log!$E:$E, Log!$C:$C, $A287, Log!$B:$B, "n/a", Log!$A:$A, "Daily", Log!$D:$D, $C$2), "")</f>
        <v/>
      </c>
      <c r="F287" s="262" t="str">
        <f>Daily!J287</f>
        <v/>
      </c>
      <c r="G287" s="262" t="str">
        <f>Daily!M287</f>
        <v/>
      </c>
    </row>
    <row r="288" spans="1:7" x14ac:dyDescent="0.3">
      <c r="A288" s="7">
        <v>0</v>
      </c>
      <c r="E288" s="63" t="str">
        <f>IFERROR(AVERAGEIFS(Log!$E:$E, Log!$C:$C, $A288, Log!$B:$B, "n/a", Log!$A:$A, "Daily", Log!$D:$D, $C$2), "")</f>
        <v/>
      </c>
      <c r="F288" s="262" t="str">
        <f>Daily!J288</f>
        <v/>
      </c>
      <c r="G288" s="262" t="str">
        <f>Daily!M288</f>
        <v/>
      </c>
    </row>
    <row r="289" spans="1:7" x14ac:dyDescent="0.3">
      <c r="A289" s="7">
        <v>0</v>
      </c>
      <c r="E289" s="63" t="str">
        <f>IFERROR(AVERAGEIFS(Log!$E:$E, Log!$C:$C, $A289, Log!$B:$B, "n/a", Log!$A:$A, "Daily", Log!$D:$D, $C$2), "")</f>
        <v/>
      </c>
      <c r="F289" s="262" t="str">
        <f>Daily!J289</f>
        <v/>
      </c>
      <c r="G289" s="262" t="str">
        <f>Daily!M289</f>
        <v/>
      </c>
    </row>
    <row r="290" spans="1:7" x14ac:dyDescent="0.3">
      <c r="A290" s="7">
        <v>0</v>
      </c>
      <c r="E290" s="63" t="str">
        <f>IFERROR(AVERAGEIFS(Log!$E:$E, Log!$C:$C, $A290, Log!$B:$B, "n/a", Log!$A:$A, "Daily", Log!$D:$D, $C$2), "")</f>
        <v/>
      </c>
      <c r="F290" s="262" t="str">
        <f>Daily!J290</f>
        <v/>
      </c>
      <c r="G290" s="262" t="str">
        <f>Daily!M290</f>
        <v/>
      </c>
    </row>
    <row r="291" spans="1:7" x14ac:dyDescent="0.3">
      <c r="A291" s="7">
        <v>0</v>
      </c>
      <c r="E291" s="63" t="str">
        <f>IFERROR(AVERAGEIFS(Log!$E:$E, Log!$C:$C, $A291, Log!$B:$B, "n/a", Log!$A:$A, "Daily", Log!$D:$D, $C$2), "")</f>
        <v/>
      </c>
      <c r="F291" s="262" t="str">
        <f>Daily!J291</f>
        <v/>
      </c>
      <c r="G291" s="262" t="str">
        <f>Daily!M291</f>
        <v/>
      </c>
    </row>
    <row r="292" spans="1:7" x14ac:dyDescent="0.3">
      <c r="A292" s="7">
        <v>0</v>
      </c>
      <c r="E292" s="63" t="str">
        <f>IFERROR(AVERAGEIFS(Log!$E:$E, Log!$C:$C, $A292, Log!$B:$B, "n/a", Log!$A:$A, "Daily", Log!$D:$D, $C$2), "")</f>
        <v/>
      </c>
      <c r="F292" s="262" t="str">
        <f>Daily!J292</f>
        <v/>
      </c>
      <c r="G292" s="262" t="str">
        <f>Daily!M292</f>
        <v/>
      </c>
    </row>
    <row r="293" spans="1:7" x14ac:dyDescent="0.3">
      <c r="A293" s="7">
        <v>0</v>
      </c>
      <c r="E293" s="63" t="str">
        <f>IFERROR(AVERAGEIFS(Log!$E:$E, Log!$C:$C, $A293, Log!$B:$B, "n/a", Log!$A:$A, "Daily", Log!$D:$D, $C$2), "")</f>
        <v/>
      </c>
      <c r="F293" s="262" t="str">
        <f>Daily!J293</f>
        <v/>
      </c>
      <c r="G293" s="262" t="str">
        <f>Daily!M293</f>
        <v/>
      </c>
    </row>
    <row r="294" spans="1:7" x14ac:dyDescent="0.3">
      <c r="A294" s="7">
        <v>0</v>
      </c>
      <c r="E294" s="63" t="str">
        <f>IFERROR(AVERAGEIFS(Log!$E:$E, Log!$C:$C, $A294, Log!$B:$B, "n/a", Log!$A:$A, "Daily", Log!$D:$D, $C$2), "")</f>
        <v/>
      </c>
      <c r="F294" s="262" t="str">
        <f>Daily!J294</f>
        <v/>
      </c>
      <c r="G294" s="262" t="str">
        <f>Daily!M294</f>
        <v/>
      </c>
    </row>
    <row r="295" spans="1:7" x14ac:dyDescent="0.3">
      <c r="A295" s="7">
        <v>0</v>
      </c>
      <c r="E295" s="63" t="str">
        <f>IFERROR(AVERAGEIFS(Log!$E:$E, Log!$C:$C, $A295, Log!$B:$B, "n/a", Log!$A:$A, "Daily", Log!$D:$D, $C$2), "")</f>
        <v/>
      </c>
    </row>
    <row r="296" spans="1:7" x14ac:dyDescent="0.3">
      <c r="A296" s="7">
        <v>0</v>
      </c>
      <c r="E296" s="63" t="str">
        <f>IFERROR(AVERAGEIFS(Log!$E:$E, Log!$C:$C, $A296, Log!$B:$B, "n/a", Log!$A:$A, "Daily", Log!$D:$D, $C$2), "")</f>
        <v/>
      </c>
    </row>
    <row r="297" spans="1:7" x14ac:dyDescent="0.3">
      <c r="A297" s="7">
        <v>0</v>
      </c>
      <c r="E297" s="63" t="str">
        <f>IFERROR(AVERAGEIFS(Log!$E:$E, Log!$C:$C, $A297, Log!$B:$B, "n/a", Log!$A:$A, "Daily", Log!$D:$D, $C$2), "")</f>
        <v/>
      </c>
    </row>
    <row r="298" spans="1:7" x14ac:dyDescent="0.3">
      <c r="A298" s="7">
        <v>0</v>
      </c>
      <c r="E298" s="63" t="str">
        <f>IFERROR(AVERAGEIFS(Log!$E:$E, Log!$C:$C, $A298, Log!$B:$B, "n/a", Log!$A:$A, "Daily", Log!$D:$D, $C$2), "")</f>
        <v/>
      </c>
    </row>
    <row r="299" spans="1:7" x14ac:dyDescent="0.3">
      <c r="A299" s="7">
        <v>0</v>
      </c>
      <c r="E299" s="63" t="str">
        <f>IFERROR(AVERAGEIFS(Log!$E:$E, Log!$C:$C, $A299, Log!$B:$B, "n/a", Log!$A:$A, "Daily", Log!$D:$D, $C$2), "")</f>
        <v/>
      </c>
    </row>
    <row r="300" spans="1:7" x14ac:dyDescent="0.3">
      <c r="A300" s="7">
        <v>0</v>
      </c>
      <c r="E300" s="63" t="str">
        <f>IFERROR(AVERAGEIFS(Log!$E:$E, Log!$C:$C, $A300, Log!$B:$B, "n/a", Log!$A:$A, "Daily", Log!$D:$D, $C$2), "")</f>
        <v/>
      </c>
    </row>
    <row r="301" spans="1:7" x14ac:dyDescent="0.3">
      <c r="A301" s="7">
        <v>0</v>
      </c>
      <c r="E301" s="63" t="str">
        <f>IFERROR(AVERAGEIFS(Log!$E:$E, Log!$C:$C, $A301, Log!$B:$B, "n/a", Log!$A:$A, "Daily", Log!$D:$D, $C$2), "")</f>
        <v/>
      </c>
    </row>
    <row r="302" spans="1:7" x14ac:dyDescent="0.3">
      <c r="A302" s="7">
        <v>0</v>
      </c>
      <c r="E302" s="63" t="str">
        <f>IFERROR(AVERAGEIFS(Log!$E:$E, Log!$C:$C, $A302, Log!$B:$B, "n/a", Log!$A:$A, "Daily", Log!$D:$D, $C$2), "")</f>
        <v/>
      </c>
    </row>
    <row r="303" spans="1:7" x14ac:dyDescent="0.3">
      <c r="A303" s="7">
        <v>0</v>
      </c>
      <c r="E303" s="63" t="str">
        <f>IFERROR(AVERAGEIFS(Log!$E:$E, Log!$C:$C, $A303, Log!$B:$B, "n/a", Log!$A:$A, "Daily", Log!$D:$D, $C$2), "")</f>
        <v/>
      </c>
    </row>
    <row r="304" spans="1:7" x14ac:dyDescent="0.3">
      <c r="A304" s="7">
        <v>0</v>
      </c>
      <c r="E304" s="63" t="str">
        <f>IFERROR(AVERAGEIFS(Log!$E:$E, Log!$C:$C, $A304, Log!$B:$B, "n/a", Log!$A:$A, "Daily", Log!$D:$D, $C$2), "")</f>
        <v/>
      </c>
    </row>
    <row r="305" spans="1:5" x14ac:dyDescent="0.3">
      <c r="A305" s="7">
        <v>0</v>
      </c>
      <c r="E305" s="63" t="str">
        <f>IFERROR(AVERAGEIFS(Log!$E:$E, Log!$C:$C, $A305, Log!$B:$B, "n/a", Log!$A:$A, "Daily", Log!$D:$D, $C$2), "")</f>
        <v/>
      </c>
    </row>
    <row r="306" spans="1:5" x14ac:dyDescent="0.3">
      <c r="A306" s="7">
        <v>0</v>
      </c>
      <c r="E306" s="63" t="str">
        <f>IFERROR(AVERAGEIFS(Log!$E:$E, Log!$C:$C, $A306, Log!$B:$B, "n/a", Log!$A:$A, "Daily", Log!$D:$D, $C$2), "")</f>
        <v/>
      </c>
    </row>
    <row r="307" spans="1:5" x14ac:dyDescent="0.3">
      <c r="A307" s="7">
        <v>0</v>
      </c>
      <c r="E307" s="63" t="str">
        <f>IFERROR(AVERAGEIFS(Log!$E:$E, Log!$C:$C, $A307, Log!$B:$B, "n/a", Log!$A:$A, "Daily", Log!$D:$D, $C$2), "")</f>
        <v/>
      </c>
    </row>
    <row r="308" spans="1:5" x14ac:dyDescent="0.3">
      <c r="A308" s="7">
        <v>0</v>
      </c>
      <c r="E308" s="63" t="str">
        <f>IFERROR(AVERAGEIFS(Log!$E:$E, Log!$C:$C, $A308, Log!$B:$B, "n/a", Log!$A:$A, "Daily", Log!$D:$D, $C$2), "")</f>
        <v/>
      </c>
    </row>
    <row r="309" spans="1:5" x14ac:dyDescent="0.3">
      <c r="A309" s="7">
        <v>0</v>
      </c>
      <c r="E309" s="63" t="str">
        <f>IFERROR(AVERAGEIFS(Log!$E:$E, Log!$C:$C, $A309, Log!$B:$B, "n/a", Log!$A:$A, "Daily", Log!$D:$D, $C$2), "")</f>
        <v/>
      </c>
    </row>
    <row r="310" spans="1:5" x14ac:dyDescent="0.3">
      <c r="A310" s="7">
        <v>0</v>
      </c>
      <c r="E310" s="63" t="str">
        <f>IFERROR(AVERAGEIFS(Log!$E:$E, Log!$C:$C, $A310, Log!$B:$B, "n/a", Log!$A:$A, "Daily", Log!$D:$D, $C$2), "")</f>
        <v/>
      </c>
    </row>
    <row r="311" spans="1:5" x14ac:dyDescent="0.3">
      <c r="A311" s="7">
        <v>0</v>
      </c>
      <c r="E311" s="63" t="str">
        <f>IFERROR(AVERAGEIFS(Log!$E:$E, Log!$C:$C, $A311, Log!$B:$B, "n/a", Log!$A:$A, "Daily", Log!$D:$D, $C$2), "")</f>
        <v/>
      </c>
    </row>
    <row r="312" spans="1:5" x14ac:dyDescent="0.3">
      <c r="A312" s="7">
        <v>0</v>
      </c>
      <c r="E312" s="63" t="str">
        <f>IFERROR(AVERAGEIFS(Log!$E:$E, Log!$C:$C, $A312, Log!$B:$B, "n/a", Log!$A:$A, "Daily", Log!$D:$D, $C$2), "")</f>
        <v/>
      </c>
    </row>
    <row r="313" spans="1:5" x14ac:dyDescent="0.3">
      <c r="A313" s="7">
        <v>0</v>
      </c>
      <c r="E313" s="63" t="str">
        <f>IFERROR(AVERAGEIFS(Log!$E:$E, Log!$C:$C, $A313, Log!$B:$B, "n/a", Log!$A:$A, "Daily", Log!$D:$D, $C$2), "")</f>
        <v/>
      </c>
    </row>
    <row r="314" spans="1:5" x14ac:dyDescent="0.3">
      <c r="A314" s="7">
        <v>0</v>
      </c>
      <c r="E314" s="63" t="str">
        <f>IFERROR(AVERAGEIFS(Log!$E:$E, Log!$C:$C, $A314, Log!$B:$B, "n/a", Log!$A:$A, "Daily", Log!$D:$D, $C$2), "")</f>
        <v/>
      </c>
    </row>
    <row r="315" spans="1:5" x14ac:dyDescent="0.3">
      <c r="A315" s="7">
        <v>0</v>
      </c>
      <c r="E315" s="63" t="str">
        <f>IFERROR(AVERAGEIFS(Log!$E:$E, Log!$C:$C, $A315, Log!$B:$B, "n/a", Log!$A:$A, "Daily", Log!$D:$D, $C$2), "")</f>
        <v/>
      </c>
    </row>
    <row r="316" spans="1:5" x14ac:dyDescent="0.3">
      <c r="A316" s="7">
        <v>0</v>
      </c>
      <c r="E316" s="63" t="str">
        <f>IFERROR(AVERAGEIFS(Log!$E:$E, Log!$C:$C, $A316, Log!$B:$B, "n/a", Log!$A:$A, "Daily", Log!$D:$D, $C$2), "")</f>
        <v/>
      </c>
    </row>
    <row r="317" spans="1:5" x14ac:dyDescent="0.3">
      <c r="A317" s="7">
        <v>0</v>
      </c>
      <c r="E317" s="63" t="str">
        <f>IFERROR(AVERAGEIFS(Log!$E:$E, Log!$C:$C, $A317, Log!$B:$B, "n/a", Log!$A:$A, "Daily", Log!$D:$D, $C$2), "")</f>
        <v/>
      </c>
    </row>
    <row r="318" spans="1:5" x14ac:dyDescent="0.3">
      <c r="A318" s="7">
        <v>0</v>
      </c>
      <c r="E318" s="63" t="str">
        <f>IFERROR(AVERAGEIFS(Log!$E:$E, Log!$C:$C, $A318, Log!$B:$B, "n/a", Log!$A:$A, "Daily", Log!$D:$D, $C$2), "")</f>
        <v/>
      </c>
    </row>
    <row r="319" spans="1:5" x14ac:dyDescent="0.3">
      <c r="A319" s="7">
        <v>0</v>
      </c>
      <c r="E319" s="63" t="str">
        <f>IFERROR(AVERAGEIFS(Log!$E:$E, Log!$C:$C, $A319, Log!$B:$B, "n/a", Log!$A:$A, "Daily", Log!$D:$D, $C$2), "")</f>
        <v/>
      </c>
    </row>
    <row r="320" spans="1:5" x14ac:dyDescent="0.3">
      <c r="A320" s="7">
        <v>0</v>
      </c>
      <c r="E320" s="63" t="str">
        <f>IFERROR(AVERAGEIFS(Log!$E:$E, Log!$C:$C, $A320, Log!$B:$B, "n/a", Log!$A:$A, "Daily", Log!$D:$D, $C$2), "")</f>
        <v/>
      </c>
    </row>
    <row r="321" spans="1:5" x14ac:dyDescent="0.3">
      <c r="A321" s="7">
        <v>0</v>
      </c>
      <c r="E321" s="63" t="str">
        <f>IFERROR(AVERAGEIFS(Log!$E:$E, Log!$C:$C, $A321, Log!$B:$B, "n/a", Log!$A:$A, "Daily", Log!$D:$D, $C$2), "")</f>
        <v/>
      </c>
    </row>
    <row r="322" spans="1:5" x14ac:dyDescent="0.3">
      <c r="A322" s="7">
        <v>0</v>
      </c>
      <c r="E322" s="63" t="str">
        <f>IFERROR(AVERAGEIFS(Log!$E:$E, Log!$C:$C, $A322, Log!$B:$B, "n/a", Log!$A:$A, "Daily", Log!$D:$D, $C$2), "")</f>
        <v/>
      </c>
    </row>
    <row r="323" spans="1:5" x14ac:dyDescent="0.3">
      <c r="A323" s="7">
        <v>0</v>
      </c>
      <c r="E323" s="63" t="str">
        <f>IFERROR(AVERAGEIFS(Log!$E:$E, Log!$C:$C, $A323, Log!$B:$B, "n/a", Log!$A:$A, "Daily", Log!$D:$D, $C$2), "")</f>
        <v/>
      </c>
    </row>
    <row r="324" spans="1:5" x14ac:dyDescent="0.3">
      <c r="A324" s="7">
        <v>0</v>
      </c>
      <c r="E324" s="63" t="str">
        <f>IFERROR(AVERAGEIFS(Log!$E:$E, Log!$C:$C, $A324, Log!$B:$B, "n/a", Log!$A:$A, "Daily", Log!$D:$D, $C$2), "")</f>
        <v/>
      </c>
    </row>
    <row r="325" spans="1:5" x14ac:dyDescent="0.3">
      <c r="A325" s="7">
        <v>0</v>
      </c>
      <c r="E325" s="63" t="str">
        <f>IFERROR(AVERAGEIFS(Log!$E:$E, Log!$C:$C, $A325, Log!$B:$B, "n/a", Log!$A:$A, "Daily", Log!$D:$D, $C$2), "")</f>
        <v/>
      </c>
    </row>
    <row r="326" spans="1:5" x14ac:dyDescent="0.3">
      <c r="A326" s="7">
        <v>0</v>
      </c>
      <c r="E326" s="63" t="str">
        <f>IFERROR(AVERAGEIFS(Log!$E:$E, Log!$C:$C, $A326, Log!$B:$B, "n/a", Log!$A:$A, "Daily", Log!$D:$D, $C$2), "")</f>
        <v/>
      </c>
    </row>
    <row r="327" spans="1:5" x14ac:dyDescent="0.3">
      <c r="A327" s="7">
        <v>0</v>
      </c>
      <c r="E327" s="63" t="str">
        <f>IFERROR(AVERAGEIFS(Log!$E:$E, Log!$C:$C, $A327, Log!$B:$B, "n/a", Log!$A:$A, "Daily", Log!$D:$D, $C$2), "")</f>
        <v/>
      </c>
    </row>
    <row r="328" spans="1:5" x14ac:dyDescent="0.3">
      <c r="A328" s="7">
        <v>0</v>
      </c>
      <c r="E328" s="63" t="str">
        <f>IFERROR(AVERAGEIFS(Log!$E:$E, Log!$C:$C, $A328, Log!$B:$B, "n/a", Log!$A:$A, "Daily", Log!$D:$D, $C$2), "")</f>
        <v/>
      </c>
    </row>
    <row r="329" spans="1:5" x14ac:dyDescent="0.3">
      <c r="A329" s="7">
        <v>0</v>
      </c>
      <c r="E329" s="63" t="str">
        <f>IFERROR(AVERAGEIFS(Log!$E:$E, Log!$C:$C, $A329, Log!$B:$B, "n/a", Log!$A:$A, "Daily", Log!$D:$D, $C$2), "")</f>
        <v/>
      </c>
    </row>
    <row r="330" spans="1:5" x14ac:dyDescent="0.3">
      <c r="A330" s="7">
        <v>0</v>
      </c>
      <c r="E330" s="63" t="str">
        <f>IFERROR(AVERAGEIFS(Log!$E:$E, Log!$C:$C, $A330, Log!$B:$B, "n/a", Log!$A:$A, "Daily", Log!$D:$D, $C$2), "")</f>
        <v/>
      </c>
    </row>
    <row r="331" spans="1:5" x14ac:dyDescent="0.3">
      <c r="A331" s="7">
        <v>0</v>
      </c>
      <c r="E331" s="63" t="str">
        <f>IFERROR(AVERAGEIFS(Log!$E:$E, Log!$C:$C, $A331, Log!$B:$B, "n/a", Log!$A:$A, "Daily", Log!$D:$D, $C$2), "")</f>
        <v/>
      </c>
    </row>
    <row r="332" spans="1:5" x14ac:dyDescent="0.3">
      <c r="A332" s="7">
        <v>0</v>
      </c>
      <c r="E332" s="63" t="str">
        <f>IFERROR(AVERAGEIFS(Log!$E:$E, Log!$C:$C, $A332, Log!$B:$B, "n/a", Log!$A:$A, "Daily", Log!$D:$D, $C$2), "")</f>
        <v/>
      </c>
    </row>
    <row r="333" spans="1:5" x14ac:dyDescent="0.3">
      <c r="A333" s="7">
        <v>0</v>
      </c>
      <c r="E333" s="63" t="str">
        <f>IFERROR(AVERAGEIFS(Log!$E:$E, Log!$C:$C, $A333, Log!$B:$B, "n/a", Log!$A:$A, "Daily", Log!$D:$D, $C$2), "")</f>
        <v/>
      </c>
    </row>
    <row r="334" spans="1:5" x14ac:dyDescent="0.3">
      <c r="A334" s="7">
        <v>0</v>
      </c>
      <c r="E334" s="63" t="str">
        <f>IFERROR(AVERAGEIFS(Log!$E:$E, Log!$C:$C, $A334, Log!$B:$B, "n/a", Log!$A:$A, "Daily", Log!$D:$D, $C$2), "")</f>
        <v/>
      </c>
    </row>
    <row r="335" spans="1:5" x14ac:dyDescent="0.3">
      <c r="A335" s="7">
        <v>0</v>
      </c>
      <c r="E335" s="63" t="str">
        <f>IFERROR(AVERAGEIFS(Log!$E:$E, Log!$C:$C, $A335, Log!$B:$B, "n/a", Log!$A:$A, "Daily", Log!$D:$D, $C$2), "")</f>
        <v/>
      </c>
    </row>
    <row r="336" spans="1:5" x14ac:dyDescent="0.3">
      <c r="A336" s="7">
        <v>0</v>
      </c>
      <c r="E336" s="63" t="str">
        <f>IFERROR(AVERAGEIFS(Log!$E:$E, Log!$C:$C, $A336, Log!$B:$B, "n/a", Log!$A:$A, "Daily", Log!$D:$D, $C$2), "")</f>
        <v/>
      </c>
    </row>
    <row r="337" spans="1:5" x14ac:dyDescent="0.3">
      <c r="A337" s="7">
        <v>0</v>
      </c>
      <c r="E337" s="63" t="str">
        <f>IFERROR(AVERAGEIFS(Log!$E:$E, Log!$C:$C, $A337, Log!$B:$B, "n/a", Log!$A:$A, "Daily", Log!$D:$D, $C$2), "")</f>
        <v/>
      </c>
    </row>
    <row r="338" spans="1:5" x14ac:dyDescent="0.3">
      <c r="A338" s="7">
        <v>0</v>
      </c>
      <c r="E338" s="63" t="str">
        <f>IFERROR(AVERAGEIFS(Log!$E:$E, Log!$C:$C, $A338, Log!$B:$B, "n/a", Log!$A:$A, "Daily", Log!$D:$D, $C$2), "")</f>
        <v/>
      </c>
    </row>
    <row r="339" spans="1:5" x14ac:dyDescent="0.3">
      <c r="A339" s="7">
        <v>0</v>
      </c>
      <c r="E339" s="63" t="str">
        <f>IFERROR(AVERAGEIFS(Log!$E:$E, Log!$C:$C, $A339, Log!$B:$B, "n/a", Log!$A:$A, "Daily", Log!$D:$D, $C$2), "")</f>
        <v/>
      </c>
    </row>
    <row r="340" spans="1:5" x14ac:dyDescent="0.3">
      <c r="A340" s="7">
        <v>0</v>
      </c>
      <c r="E340" s="63" t="str">
        <f>IFERROR(AVERAGEIFS(Log!$E:$E, Log!$C:$C, $A340, Log!$B:$B, "n/a", Log!$A:$A, "Daily", Log!$D:$D, $C$2), "")</f>
        <v/>
      </c>
    </row>
    <row r="341" spans="1:5" x14ac:dyDescent="0.3">
      <c r="A341" s="7">
        <v>0</v>
      </c>
      <c r="E341" s="63" t="str">
        <f>IFERROR(AVERAGEIFS(Log!$E:$E, Log!$C:$C, $A341, Log!$B:$B, "n/a", Log!$A:$A, "Daily", Log!$D:$D, $C$2), "")</f>
        <v/>
      </c>
    </row>
    <row r="342" spans="1:5" x14ac:dyDescent="0.3">
      <c r="A342" s="7">
        <v>0</v>
      </c>
      <c r="E342" s="63" t="str">
        <f>IFERROR(AVERAGEIFS(Log!$E:$E, Log!$C:$C, $A342, Log!$B:$B, "n/a", Log!$A:$A, "Daily", Log!$D:$D, $C$2), "")</f>
        <v/>
      </c>
    </row>
    <row r="343" spans="1:5" x14ac:dyDescent="0.3">
      <c r="A343" s="7">
        <v>0</v>
      </c>
      <c r="E343" s="63" t="str">
        <f>IFERROR(AVERAGEIFS(Log!$E:$E, Log!$C:$C, $A343, Log!$B:$B, "n/a", Log!$A:$A, "Daily", Log!$D:$D, $C$2), "")</f>
        <v/>
      </c>
    </row>
    <row r="344" spans="1:5" x14ac:dyDescent="0.3">
      <c r="A344" s="7">
        <v>0</v>
      </c>
      <c r="E344" s="63" t="str">
        <f>IFERROR(AVERAGEIFS(Log!$E:$E, Log!$C:$C, $A344, Log!$B:$B, "n/a", Log!$A:$A, "Daily", Log!$D:$D, $C$2), "")</f>
        <v/>
      </c>
    </row>
    <row r="345" spans="1:5" x14ac:dyDescent="0.3">
      <c r="A345" s="7">
        <v>0</v>
      </c>
      <c r="E345" s="63" t="str">
        <f>IFERROR(AVERAGEIFS(Log!$E:$E, Log!$C:$C, $A345, Log!$B:$B, "n/a", Log!$A:$A, "Daily", Log!$D:$D, $C$2), "")</f>
        <v/>
      </c>
    </row>
    <row r="346" spans="1:5" x14ac:dyDescent="0.3">
      <c r="A346" s="7">
        <v>0</v>
      </c>
      <c r="E346" s="63" t="str">
        <f>IFERROR(AVERAGEIFS(Log!$E:$E, Log!$C:$C, $A346, Log!$B:$B, "n/a", Log!$A:$A, "Daily", Log!$D:$D, $C$2), "")</f>
        <v/>
      </c>
    </row>
    <row r="347" spans="1:5" x14ac:dyDescent="0.3">
      <c r="A347" s="7">
        <v>0</v>
      </c>
      <c r="E347" s="63" t="str">
        <f>IFERROR(AVERAGEIFS(Log!$E:$E, Log!$C:$C, $A347, Log!$B:$B, "n/a", Log!$A:$A, "Daily", Log!$D:$D, $C$2), "")</f>
        <v/>
      </c>
    </row>
    <row r="348" spans="1:5" x14ac:dyDescent="0.3">
      <c r="A348" s="7">
        <v>0</v>
      </c>
      <c r="E348" s="63" t="str">
        <f>IFERROR(AVERAGEIFS(Log!$E:$E, Log!$C:$C, $A348, Log!$B:$B, "n/a", Log!$A:$A, "Daily", Log!$D:$D, $C$2), "")</f>
        <v/>
      </c>
    </row>
    <row r="349" spans="1:5" x14ac:dyDescent="0.3">
      <c r="A349" s="7">
        <v>0</v>
      </c>
      <c r="E349" s="63" t="str">
        <f>IFERROR(AVERAGEIFS(Log!$E:$E, Log!$C:$C, $A349, Log!$B:$B, "n/a", Log!$A:$A, "Daily", Log!$D:$D, $C$2), "")</f>
        <v/>
      </c>
    </row>
    <row r="350" spans="1:5" x14ac:dyDescent="0.3">
      <c r="A350" s="7">
        <v>0</v>
      </c>
      <c r="E350" s="63" t="str">
        <f>IFERROR(AVERAGEIFS(Log!$E:$E, Log!$C:$C, $A350, Log!$B:$B, "n/a", Log!$A:$A, "Daily", Log!$D:$D, $C$2), "")</f>
        <v/>
      </c>
    </row>
    <row r="351" spans="1:5" x14ac:dyDescent="0.3">
      <c r="A351" s="7">
        <v>0</v>
      </c>
      <c r="E351" s="63" t="str">
        <f>IFERROR(AVERAGEIFS(Log!$E:$E, Log!$C:$C, $A351, Log!$B:$B, "n/a", Log!$A:$A, "Daily", Log!$D:$D, $C$2), "")</f>
        <v/>
      </c>
    </row>
    <row r="352" spans="1:5" x14ac:dyDescent="0.3">
      <c r="A352" s="7">
        <v>0</v>
      </c>
      <c r="E352" s="63" t="str">
        <f>IFERROR(AVERAGEIFS(Log!$E:$E, Log!$C:$C, $A352, Log!$B:$B, "n/a", Log!$A:$A, "Daily", Log!$D:$D, $C$2), "")</f>
        <v/>
      </c>
    </row>
    <row r="353" spans="1:5" x14ac:dyDescent="0.3">
      <c r="A353" s="7">
        <v>0</v>
      </c>
      <c r="E353" s="63" t="str">
        <f>IFERROR(AVERAGEIFS(Log!$E:$E, Log!$C:$C, $A353, Log!$B:$B, "n/a", Log!$A:$A, "Daily", Log!$D:$D, $C$2), "")</f>
        <v/>
      </c>
    </row>
    <row r="354" spans="1:5" x14ac:dyDescent="0.3">
      <c r="A354" s="7">
        <v>0</v>
      </c>
      <c r="E354" s="63" t="str">
        <f>IFERROR(AVERAGEIFS(Log!$E:$E, Log!$C:$C, $A354, Log!$B:$B, "n/a", Log!$A:$A, "Daily", Log!$D:$D, $C$2), "")</f>
        <v/>
      </c>
    </row>
    <row r="355" spans="1:5" x14ac:dyDescent="0.3">
      <c r="A355" s="7">
        <v>0</v>
      </c>
      <c r="E355" s="63" t="str">
        <f>IFERROR(AVERAGEIFS(Log!$E:$E, Log!$C:$C, $A355, Log!$B:$B, "n/a", Log!$A:$A, "Daily", Log!$D:$D, $C$2), "")</f>
        <v/>
      </c>
    </row>
    <row r="356" spans="1:5" x14ac:dyDescent="0.3">
      <c r="A356" s="7">
        <v>0</v>
      </c>
      <c r="E356" s="63" t="str">
        <f>IFERROR(AVERAGEIFS(Log!$E:$E, Log!$C:$C, $A356, Log!$B:$B, "n/a", Log!$A:$A, "Daily", Log!$D:$D, $C$2), "")</f>
        <v/>
      </c>
    </row>
    <row r="357" spans="1:5" x14ac:dyDescent="0.3">
      <c r="A357" s="7">
        <v>0</v>
      </c>
      <c r="E357" s="63" t="str">
        <f>IFERROR(AVERAGEIFS(Log!$E:$E, Log!$C:$C, $A357, Log!$B:$B, "n/a", Log!$A:$A, "Daily", Log!$D:$D, $C$2), "")</f>
        <v/>
      </c>
    </row>
    <row r="358" spans="1:5" x14ac:dyDescent="0.3">
      <c r="A358" s="7">
        <v>0</v>
      </c>
      <c r="E358" s="63" t="str">
        <f>IFERROR(AVERAGEIFS(Log!$E:$E, Log!$C:$C, $A358, Log!$B:$B, "n/a", Log!$A:$A, "Daily", Log!$D:$D, $C$2), "")</f>
        <v/>
      </c>
    </row>
    <row r="359" spans="1:5" x14ac:dyDescent="0.3">
      <c r="A359" s="7">
        <v>0</v>
      </c>
      <c r="E359" s="63" t="str">
        <f>IFERROR(AVERAGEIFS(Log!$E:$E, Log!$C:$C, $A359, Log!$B:$B, "n/a", Log!$A:$A, "Daily", Log!$D:$D, $C$2), "")</f>
        <v/>
      </c>
    </row>
    <row r="360" spans="1:5" x14ac:dyDescent="0.3">
      <c r="A360" s="7">
        <v>0</v>
      </c>
      <c r="E360" s="63" t="str">
        <f>IFERROR(AVERAGEIFS(Log!$E:$E, Log!$C:$C, $A360, Log!$B:$B, "n/a", Log!$A:$A, "Daily", Log!$D:$D, $C$2), "")</f>
        <v/>
      </c>
    </row>
    <row r="361" spans="1:5" x14ac:dyDescent="0.3">
      <c r="A361" s="7">
        <v>0</v>
      </c>
      <c r="E361" s="63" t="str">
        <f>IFERROR(AVERAGEIFS(Log!$E:$E, Log!$C:$C, $A361, Log!$B:$B, "n/a", Log!$A:$A, "Daily", Log!$D:$D, $C$2), "")</f>
        <v/>
      </c>
    </row>
    <row r="362" spans="1:5" x14ac:dyDescent="0.3">
      <c r="A362" s="7">
        <v>0</v>
      </c>
      <c r="E362" s="63" t="str">
        <f>IFERROR(AVERAGEIFS(Log!$E:$E, Log!$C:$C, $A362, Log!$B:$B, "n/a", Log!$A:$A, "Daily", Log!$D:$D, $C$2), "")</f>
        <v/>
      </c>
    </row>
    <row r="363" spans="1:5" x14ac:dyDescent="0.3">
      <c r="A363" s="7">
        <v>0</v>
      </c>
      <c r="E363" s="63" t="str">
        <f>IFERROR(AVERAGEIFS(Log!$E:$E, Log!$C:$C, $A363, Log!$B:$B, "n/a", Log!$A:$A, "Daily", Log!$D:$D, $C$2), "")</f>
        <v/>
      </c>
    </row>
    <row r="364" spans="1:5" x14ac:dyDescent="0.3">
      <c r="A364" s="7">
        <v>0</v>
      </c>
      <c r="E364" s="63" t="str">
        <f>IFERROR(AVERAGEIFS(Log!$E:$E, Log!$C:$C, $A364, Log!$B:$B, "n/a", Log!$A:$A, "Daily", Log!$D:$D, $C$2), "")</f>
        <v/>
      </c>
    </row>
    <row r="365" spans="1:5" x14ac:dyDescent="0.3">
      <c r="A365" s="7">
        <v>0</v>
      </c>
      <c r="E365" s="63" t="str">
        <f>IFERROR(AVERAGEIFS(Log!$E:$E, Log!$C:$C, $A365, Log!$B:$B, "n/a", Log!$A:$A, "Daily", Log!$D:$D, $C$2), "")</f>
        <v/>
      </c>
    </row>
    <row r="366" spans="1:5" x14ac:dyDescent="0.3">
      <c r="A366" s="7">
        <v>0</v>
      </c>
      <c r="E366" s="63" t="str">
        <f>IFERROR(AVERAGEIFS(Log!$E:$E, Log!$C:$C, $A366, Log!$B:$B, "n/a", Log!$A:$A, "Daily", Log!$D:$D, $C$2), "")</f>
        <v/>
      </c>
    </row>
    <row r="367" spans="1:5" x14ac:dyDescent="0.3">
      <c r="A367" s="7">
        <v>0</v>
      </c>
      <c r="E367" s="63" t="str">
        <f>IFERROR(AVERAGEIFS(Log!$E:$E, Log!$C:$C, $A367, Log!$B:$B, "n/a", Log!$A:$A, "Daily", Log!$D:$D, $C$2), "")</f>
        <v/>
      </c>
    </row>
    <row r="368" spans="1:5" x14ac:dyDescent="0.3">
      <c r="A368" s="7">
        <v>0</v>
      </c>
      <c r="E368" s="63" t="str">
        <f>IFERROR(AVERAGEIFS(Log!$E:$E, Log!$C:$C, $A368, Log!$B:$B, "n/a", Log!$A:$A, "Daily", Log!$D:$D, $C$2), "")</f>
        <v/>
      </c>
    </row>
    <row r="369" spans="1:5" x14ac:dyDescent="0.3">
      <c r="A369" s="7">
        <v>0</v>
      </c>
      <c r="E369" s="63" t="str">
        <f>IFERROR(AVERAGEIFS(Log!$E:$E, Log!$C:$C, $A369, Log!$B:$B, "n/a", Log!$A:$A, "Daily", Log!$D:$D, $C$2), "")</f>
        <v/>
      </c>
    </row>
    <row r="370" spans="1:5" x14ac:dyDescent="0.3">
      <c r="A370" s="7">
        <v>0</v>
      </c>
      <c r="E370" s="63" t="str">
        <f>IFERROR(AVERAGEIFS(Log!$E:$E, Log!$C:$C, $A370, Log!$B:$B, "n/a", Log!$A:$A, "Daily", Log!$D:$D, $C$2), "")</f>
        <v/>
      </c>
    </row>
    <row r="371" spans="1:5" x14ac:dyDescent="0.3">
      <c r="A371" s="7">
        <v>0</v>
      </c>
      <c r="E371" s="63" t="str">
        <f>IFERROR(AVERAGEIFS(Log!$E:$E, Log!$C:$C, $A371, Log!$B:$B, "n/a", Log!$A:$A, "Daily", Log!$D:$D, $C$2), "")</f>
        <v/>
      </c>
    </row>
    <row r="372" spans="1:5" x14ac:dyDescent="0.3">
      <c r="A372" s="7">
        <v>0</v>
      </c>
      <c r="E372" s="63" t="str">
        <f>IFERROR(AVERAGEIFS(Log!$E:$E, Log!$C:$C, $A372, Log!$B:$B, "n/a", Log!$A:$A, "Daily", Log!$D:$D, $C$2), "")</f>
        <v/>
      </c>
    </row>
    <row r="373" spans="1:5" x14ac:dyDescent="0.3">
      <c r="A373" s="7">
        <v>0</v>
      </c>
      <c r="E373" s="63" t="str">
        <f>IFERROR(AVERAGEIFS(Log!$E:$E, Log!$C:$C, $A373, Log!$B:$B, "n/a", Log!$A:$A, "Daily", Log!$D:$D, $C$2), "")</f>
        <v/>
      </c>
    </row>
    <row r="374" spans="1:5" x14ac:dyDescent="0.3">
      <c r="A374" s="7">
        <v>0</v>
      </c>
      <c r="E374" s="63" t="str">
        <f>IFERROR(AVERAGEIFS(Log!$E:$E, Log!$C:$C, $A374, Log!$B:$B, "n/a", Log!$A:$A, "Daily", Log!$D:$D, $C$2), "")</f>
        <v/>
      </c>
    </row>
    <row r="375" spans="1:5" x14ac:dyDescent="0.3">
      <c r="A375" s="7">
        <v>0</v>
      </c>
      <c r="E375" s="63" t="str">
        <f>IFERROR(AVERAGEIFS(Log!$E:$E, Log!$C:$C, $A375, Log!$B:$B, "n/a", Log!$A:$A, "Daily", Log!$D:$D, $C$2), "")</f>
        <v/>
      </c>
    </row>
    <row r="376" spans="1:5" x14ac:dyDescent="0.3">
      <c r="A376" s="7">
        <v>0</v>
      </c>
      <c r="E376" s="63" t="str">
        <f>IFERROR(AVERAGEIFS(Log!$E:$E, Log!$C:$C, $A376, Log!$B:$B, "n/a", Log!$A:$A, "Daily", Log!$D:$D, $C$2), "")</f>
        <v/>
      </c>
    </row>
    <row r="377" spans="1:5" x14ac:dyDescent="0.3">
      <c r="A377" s="7">
        <v>0</v>
      </c>
      <c r="E377" s="63" t="str">
        <f>IFERROR(AVERAGEIFS(Log!$E:$E, Log!$C:$C, $A377, Log!$B:$B, "n/a", Log!$A:$A, "Daily", Log!$D:$D, $C$2), "")</f>
        <v/>
      </c>
    </row>
    <row r="378" spans="1:5" x14ac:dyDescent="0.3">
      <c r="A378" s="7">
        <v>0</v>
      </c>
      <c r="E378" s="63" t="str">
        <f>IFERROR(AVERAGEIFS(Log!$E:$E, Log!$C:$C, $A378, Log!$B:$B, "n/a", Log!$A:$A, "Daily", Log!$D:$D, $C$2), "")</f>
        <v/>
      </c>
    </row>
    <row r="379" spans="1:5" x14ac:dyDescent="0.3">
      <c r="A379" s="7">
        <v>0</v>
      </c>
      <c r="E379" s="63" t="str">
        <f>IFERROR(AVERAGEIFS(Log!$E:$E, Log!$C:$C, $A379, Log!$B:$B, "n/a", Log!$A:$A, "Daily", Log!$D:$D, $C$2), "")</f>
        <v/>
      </c>
    </row>
    <row r="380" spans="1:5" x14ac:dyDescent="0.3">
      <c r="A380" s="7">
        <v>0</v>
      </c>
    </row>
    <row r="381" spans="1:5" x14ac:dyDescent="0.3">
      <c r="A381" s="7">
        <v>0</v>
      </c>
    </row>
    <row r="382" spans="1:5" x14ac:dyDescent="0.3">
      <c r="A382" s="7">
        <v>0</v>
      </c>
    </row>
    <row r="383" spans="1:5" x14ac:dyDescent="0.3">
      <c r="A383" s="7">
        <v>0</v>
      </c>
    </row>
    <row r="384" spans="1:5" x14ac:dyDescent="0.3">
      <c r="A384" s="7">
        <v>0</v>
      </c>
    </row>
    <row r="385" spans="1:1" x14ac:dyDescent="0.3">
      <c r="A385" s="7">
        <v>0</v>
      </c>
    </row>
    <row r="386" spans="1:1" x14ac:dyDescent="0.3">
      <c r="A386" s="7">
        <v>0</v>
      </c>
    </row>
    <row r="387" spans="1:1" x14ac:dyDescent="0.3">
      <c r="A387" s="7">
        <v>0</v>
      </c>
    </row>
    <row r="388" spans="1:1" x14ac:dyDescent="0.3">
      <c r="A388" s="7">
        <v>0</v>
      </c>
    </row>
    <row r="389" spans="1:1" x14ac:dyDescent="0.3">
      <c r="A389" s="7">
        <v>0</v>
      </c>
    </row>
    <row r="390" spans="1:1" x14ac:dyDescent="0.3">
      <c r="A390" s="7">
        <v>0</v>
      </c>
    </row>
    <row r="391" spans="1:1" x14ac:dyDescent="0.3">
      <c r="A391" s="7">
        <v>0</v>
      </c>
    </row>
    <row r="392" spans="1:1" x14ac:dyDescent="0.3">
      <c r="A392" s="7">
        <v>0</v>
      </c>
    </row>
    <row r="393" spans="1:1" x14ac:dyDescent="0.3">
      <c r="A393" s="7">
        <v>0</v>
      </c>
    </row>
    <row r="394" spans="1:1" x14ac:dyDescent="0.3">
      <c r="A394" s="7">
        <v>0</v>
      </c>
    </row>
    <row r="395" spans="1:1" x14ac:dyDescent="0.3">
      <c r="A395" s="7">
        <v>0</v>
      </c>
    </row>
    <row r="396" spans="1:1" x14ac:dyDescent="0.3">
      <c r="A396" s="7">
        <v>0</v>
      </c>
    </row>
    <row r="397" spans="1:1" x14ac:dyDescent="0.3">
      <c r="A397" s="7">
        <v>0</v>
      </c>
    </row>
    <row r="398" spans="1:1" x14ac:dyDescent="0.3">
      <c r="A398" s="7">
        <v>0</v>
      </c>
    </row>
    <row r="399" spans="1:1" x14ac:dyDescent="0.3">
      <c r="A399" s="7">
        <v>0</v>
      </c>
    </row>
    <row r="400" spans="1:1" x14ac:dyDescent="0.3">
      <c r="A400" s="7">
        <v>0</v>
      </c>
    </row>
    <row r="401" spans="1:1" x14ac:dyDescent="0.3">
      <c r="A401" s="7">
        <v>0</v>
      </c>
    </row>
    <row r="402" spans="1:1" x14ac:dyDescent="0.3">
      <c r="A402" s="7">
        <v>0</v>
      </c>
    </row>
    <row r="403" spans="1:1" x14ac:dyDescent="0.3">
      <c r="A403" s="7">
        <v>0</v>
      </c>
    </row>
    <row r="404" spans="1:1" x14ac:dyDescent="0.3">
      <c r="A404" s="7">
        <v>0</v>
      </c>
    </row>
    <row r="405" spans="1:1" x14ac:dyDescent="0.3">
      <c r="A405" s="7">
        <v>0</v>
      </c>
    </row>
    <row r="406" spans="1:1" x14ac:dyDescent="0.3">
      <c r="A406" s="7">
        <v>0</v>
      </c>
    </row>
    <row r="407" spans="1:1" x14ac:dyDescent="0.3">
      <c r="A407" s="7">
        <v>0</v>
      </c>
    </row>
    <row r="408" spans="1:1" x14ac:dyDescent="0.3">
      <c r="A408" s="7">
        <v>0</v>
      </c>
    </row>
    <row r="409" spans="1:1" x14ac:dyDescent="0.3">
      <c r="A409" s="7">
        <v>0</v>
      </c>
    </row>
    <row r="410" spans="1:1" x14ac:dyDescent="0.3">
      <c r="A410" s="7">
        <v>0</v>
      </c>
    </row>
    <row r="411" spans="1:1" x14ac:dyDescent="0.3">
      <c r="A411" s="7">
        <v>0</v>
      </c>
    </row>
    <row r="412" spans="1:1" x14ac:dyDescent="0.3">
      <c r="A412" s="7">
        <v>0</v>
      </c>
    </row>
    <row r="413" spans="1:1" x14ac:dyDescent="0.3">
      <c r="A413" s="7">
        <v>0</v>
      </c>
    </row>
    <row r="414" spans="1:1" x14ac:dyDescent="0.3">
      <c r="A414" s="7">
        <v>0</v>
      </c>
    </row>
    <row r="415" spans="1:1" x14ac:dyDescent="0.3">
      <c r="A415" s="7">
        <v>0</v>
      </c>
    </row>
    <row r="416" spans="1:1" x14ac:dyDescent="0.3">
      <c r="A416" s="7">
        <v>0</v>
      </c>
    </row>
    <row r="417" spans="1:1" x14ac:dyDescent="0.3">
      <c r="A417" s="7">
        <v>0</v>
      </c>
    </row>
    <row r="418" spans="1:1" x14ac:dyDescent="0.3">
      <c r="A418" s="7">
        <v>0</v>
      </c>
    </row>
    <row r="419" spans="1:1" x14ac:dyDescent="0.3">
      <c r="A419" s="7">
        <v>0</v>
      </c>
    </row>
    <row r="420" spans="1:1" x14ac:dyDescent="0.3">
      <c r="A420" s="7">
        <v>0</v>
      </c>
    </row>
    <row r="421" spans="1:1" x14ac:dyDescent="0.3">
      <c r="A421" s="7">
        <v>0</v>
      </c>
    </row>
    <row r="422" spans="1:1" x14ac:dyDescent="0.3">
      <c r="A422" s="7">
        <v>0</v>
      </c>
    </row>
    <row r="423" spans="1:1" x14ac:dyDescent="0.3">
      <c r="A423" s="7">
        <v>0</v>
      </c>
    </row>
    <row r="424" spans="1:1" x14ac:dyDescent="0.3">
      <c r="A424" s="7">
        <v>0</v>
      </c>
    </row>
    <row r="425" spans="1:1" x14ac:dyDescent="0.3">
      <c r="A425" s="7">
        <v>0</v>
      </c>
    </row>
    <row r="426" spans="1:1" x14ac:dyDescent="0.3">
      <c r="A426" s="7">
        <v>0</v>
      </c>
    </row>
    <row r="427" spans="1:1" x14ac:dyDescent="0.3">
      <c r="A427" s="7">
        <v>0</v>
      </c>
    </row>
    <row r="428" spans="1:1" x14ac:dyDescent="0.3">
      <c r="A428" s="7">
        <v>0</v>
      </c>
    </row>
    <row r="429" spans="1:1" x14ac:dyDescent="0.3">
      <c r="A429" s="7">
        <v>0</v>
      </c>
    </row>
    <row r="430" spans="1:1" x14ac:dyDescent="0.3">
      <c r="A430" s="7">
        <v>0</v>
      </c>
    </row>
    <row r="431" spans="1:1" x14ac:dyDescent="0.3">
      <c r="A431" s="7">
        <v>0</v>
      </c>
    </row>
    <row r="432" spans="1:1" x14ac:dyDescent="0.3">
      <c r="A432" s="7">
        <v>0</v>
      </c>
    </row>
    <row r="433" spans="1:1" x14ac:dyDescent="0.3">
      <c r="A433" s="7">
        <v>0</v>
      </c>
    </row>
    <row r="434" spans="1:1" x14ac:dyDescent="0.3">
      <c r="A434" s="7">
        <v>0</v>
      </c>
    </row>
    <row r="435" spans="1:1" x14ac:dyDescent="0.3">
      <c r="A435" s="7">
        <v>0</v>
      </c>
    </row>
    <row r="436" spans="1:1" x14ac:dyDescent="0.3">
      <c r="A436" s="7">
        <v>0</v>
      </c>
    </row>
    <row r="437" spans="1:1" x14ac:dyDescent="0.3">
      <c r="A437" s="7">
        <v>0</v>
      </c>
    </row>
    <row r="438" spans="1:1" x14ac:dyDescent="0.3">
      <c r="A438" s="7">
        <v>0</v>
      </c>
    </row>
    <row r="439" spans="1:1" x14ac:dyDescent="0.3">
      <c r="A439" s="7">
        <v>0</v>
      </c>
    </row>
    <row r="440" spans="1:1" x14ac:dyDescent="0.3">
      <c r="A440" s="7">
        <v>0</v>
      </c>
    </row>
    <row r="441" spans="1:1" x14ac:dyDescent="0.3">
      <c r="A441" s="7">
        <v>0</v>
      </c>
    </row>
    <row r="442" spans="1:1" x14ac:dyDescent="0.3">
      <c r="A442" s="7">
        <v>0</v>
      </c>
    </row>
    <row r="443" spans="1:1" x14ac:dyDescent="0.3">
      <c r="A443" s="7">
        <v>0</v>
      </c>
    </row>
    <row r="444" spans="1:1" x14ac:dyDescent="0.3">
      <c r="A444" s="7">
        <v>0</v>
      </c>
    </row>
    <row r="445" spans="1:1" x14ac:dyDescent="0.3">
      <c r="A445" s="7">
        <v>0</v>
      </c>
    </row>
    <row r="446" spans="1:1" x14ac:dyDescent="0.3">
      <c r="A446" s="7">
        <v>0</v>
      </c>
    </row>
    <row r="447" spans="1:1" x14ac:dyDescent="0.3">
      <c r="A447" s="7">
        <v>0</v>
      </c>
    </row>
    <row r="448" spans="1:1" x14ac:dyDescent="0.3">
      <c r="A448" s="7">
        <v>0</v>
      </c>
    </row>
    <row r="449" spans="1:1" x14ac:dyDescent="0.3">
      <c r="A449" s="7">
        <v>0</v>
      </c>
    </row>
    <row r="450" spans="1:1" x14ac:dyDescent="0.3">
      <c r="A450" s="7">
        <v>0</v>
      </c>
    </row>
    <row r="451" spans="1:1" x14ac:dyDescent="0.3">
      <c r="A451" s="7">
        <v>0</v>
      </c>
    </row>
    <row r="452" spans="1:1" x14ac:dyDescent="0.3">
      <c r="A452" s="7">
        <v>0</v>
      </c>
    </row>
    <row r="453" spans="1:1" x14ac:dyDescent="0.3">
      <c r="A453" s="7">
        <v>0</v>
      </c>
    </row>
    <row r="454" spans="1:1" x14ac:dyDescent="0.3">
      <c r="A454" s="7">
        <v>0</v>
      </c>
    </row>
    <row r="455" spans="1:1" x14ac:dyDescent="0.3">
      <c r="A455" s="7">
        <v>0</v>
      </c>
    </row>
    <row r="456" spans="1:1" x14ac:dyDescent="0.3">
      <c r="A456" s="7">
        <v>0</v>
      </c>
    </row>
    <row r="457" spans="1:1" x14ac:dyDescent="0.3">
      <c r="A457" s="7">
        <v>0</v>
      </c>
    </row>
    <row r="458" spans="1:1" x14ac:dyDescent="0.3">
      <c r="A458" s="7">
        <v>0</v>
      </c>
    </row>
    <row r="459" spans="1:1" x14ac:dyDescent="0.3">
      <c r="A459" s="7">
        <v>0</v>
      </c>
    </row>
    <row r="460" spans="1:1" x14ac:dyDescent="0.3">
      <c r="A460" s="7">
        <v>0</v>
      </c>
    </row>
    <row r="461" spans="1:1" x14ac:dyDescent="0.3">
      <c r="A461" s="7">
        <v>0</v>
      </c>
    </row>
    <row r="462" spans="1:1" x14ac:dyDescent="0.3">
      <c r="A462" s="7">
        <v>0</v>
      </c>
    </row>
    <row r="463" spans="1:1" x14ac:dyDescent="0.3">
      <c r="A463" s="7">
        <v>0</v>
      </c>
    </row>
    <row r="464" spans="1:1" x14ac:dyDescent="0.3">
      <c r="A464" s="7">
        <v>0</v>
      </c>
    </row>
    <row r="465" spans="1:1" x14ac:dyDescent="0.3">
      <c r="A465" s="7">
        <v>0</v>
      </c>
    </row>
    <row r="466" spans="1:1" x14ac:dyDescent="0.3">
      <c r="A466" s="7">
        <v>0</v>
      </c>
    </row>
    <row r="467" spans="1:1" x14ac:dyDescent="0.3">
      <c r="A467" s="7">
        <v>0</v>
      </c>
    </row>
    <row r="468" spans="1:1" x14ac:dyDescent="0.3">
      <c r="A468" s="7">
        <v>0</v>
      </c>
    </row>
    <row r="469" spans="1:1" x14ac:dyDescent="0.3">
      <c r="A469" s="7">
        <v>0</v>
      </c>
    </row>
    <row r="470" spans="1:1" x14ac:dyDescent="0.3">
      <c r="A470" s="7">
        <v>0</v>
      </c>
    </row>
    <row r="471" spans="1:1" x14ac:dyDescent="0.3">
      <c r="A471" s="7">
        <v>0</v>
      </c>
    </row>
    <row r="472" spans="1:1" x14ac:dyDescent="0.3">
      <c r="A472" s="7">
        <v>0</v>
      </c>
    </row>
    <row r="473" spans="1:1" x14ac:dyDescent="0.3">
      <c r="A473" s="7">
        <v>0</v>
      </c>
    </row>
    <row r="474" spans="1:1" x14ac:dyDescent="0.3">
      <c r="A474" s="7">
        <v>0</v>
      </c>
    </row>
    <row r="475" spans="1:1" x14ac:dyDescent="0.3">
      <c r="A475" s="7">
        <v>0</v>
      </c>
    </row>
    <row r="476" spans="1:1" x14ac:dyDescent="0.3">
      <c r="A476" s="7">
        <v>0</v>
      </c>
    </row>
    <row r="477" spans="1:1" x14ac:dyDescent="0.3">
      <c r="A477" s="7">
        <v>0</v>
      </c>
    </row>
    <row r="478" spans="1:1" x14ac:dyDescent="0.3">
      <c r="A478" s="7">
        <v>0</v>
      </c>
    </row>
    <row r="479" spans="1:1" x14ac:dyDescent="0.3">
      <c r="A479" s="7">
        <v>0</v>
      </c>
    </row>
    <row r="480" spans="1:1" x14ac:dyDescent="0.3">
      <c r="A480" s="7">
        <v>0</v>
      </c>
    </row>
    <row r="481" spans="1:1" x14ac:dyDescent="0.3">
      <c r="A481" s="7">
        <v>0</v>
      </c>
    </row>
    <row r="482" spans="1:1" x14ac:dyDescent="0.3">
      <c r="A482" s="7">
        <v>0</v>
      </c>
    </row>
    <row r="483" spans="1:1" x14ac:dyDescent="0.3">
      <c r="A483" s="7">
        <v>0</v>
      </c>
    </row>
    <row r="484" spans="1:1" x14ac:dyDescent="0.3">
      <c r="A484" s="7">
        <v>0</v>
      </c>
    </row>
    <row r="485" spans="1:1" x14ac:dyDescent="0.3">
      <c r="A485" s="7">
        <v>0</v>
      </c>
    </row>
    <row r="486" spans="1:1" x14ac:dyDescent="0.3">
      <c r="A486" s="7">
        <v>0</v>
      </c>
    </row>
    <row r="487" spans="1:1" x14ac:dyDescent="0.3">
      <c r="A487" s="7">
        <v>0</v>
      </c>
    </row>
    <row r="488" spans="1:1" x14ac:dyDescent="0.3">
      <c r="A488" s="7">
        <v>0</v>
      </c>
    </row>
    <row r="489" spans="1:1" x14ac:dyDescent="0.3">
      <c r="A489" s="7">
        <v>0</v>
      </c>
    </row>
    <row r="490" spans="1:1" x14ac:dyDescent="0.3">
      <c r="A490" s="7">
        <v>0</v>
      </c>
    </row>
    <row r="491" spans="1:1" x14ac:dyDescent="0.3">
      <c r="A491" s="7">
        <v>0</v>
      </c>
    </row>
    <row r="492" spans="1:1" x14ac:dyDescent="0.3">
      <c r="A492" s="7">
        <v>0</v>
      </c>
    </row>
    <row r="493" spans="1:1" x14ac:dyDescent="0.3">
      <c r="A493" s="7">
        <v>0</v>
      </c>
    </row>
    <row r="494" spans="1:1" x14ac:dyDescent="0.3">
      <c r="A494" s="7">
        <v>0</v>
      </c>
    </row>
    <row r="495" spans="1:1" x14ac:dyDescent="0.3">
      <c r="A495" s="7">
        <v>0</v>
      </c>
    </row>
    <row r="496" spans="1:1" x14ac:dyDescent="0.3">
      <c r="A496" s="7">
        <v>0</v>
      </c>
    </row>
    <row r="497" spans="1:1" x14ac:dyDescent="0.3">
      <c r="A497" s="7">
        <v>0</v>
      </c>
    </row>
    <row r="498" spans="1:1" x14ac:dyDescent="0.3">
      <c r="A498" s="7">
        <v>0</v>
      </c>
    </row>
    <row r="499" spans="1:1" x14ac:dyDescent="0.3">
      <c r="A499" s="7">
        <v>0</v>
      </c>
    </row>
    <row r="500" spans="1:1" x14ac:dyDescent="0.3">
      <c r="A500" s="7">
        <v>0</v>
      </c>
    </row>
    <row r="501" spans="1:1" x14ac:dyDescent="0.3">
      <c r="A501" s="7">
        <v>0</v>
      </c>
    </row>
    <row r="502" spans="1:1" x14ac:dyDescent="0.3">
      <c r="A502" s="7">
        <v>0</v>
      </c>
    </row>
    <row r="503" spans="1:1" x14ac:dyDescent="0.3">
      <c r="A503" s="7">
        <v>0</v>
      </c>
    </row>
    <row r="504" spans="1:1" x14ac:dyDescent="0.3">
      <c r="A504" s="7">
        <v>0</v>
      </c>
    </row>
    <row r="505" spans="1:1" x14ac:dyDescent="0.3">
      <c r="A505" s="7">
        <v>0</v>
      </c>
    </row>
    <row r="506" spans="1:1" x14ac:dyDescent="0.3">
      <c r="A506" s="7">
        <v>0</v>
      </c>
    </row>
    <row r="507" spans="1:1" x14ac:dyDescent="0.3">
      <c r="A507" s="7">
        <v>0</v>
      </c>
    </row>
    <row r="508" spans="1:1" x14ac:dyDescent="0.3">
      <c r="A508" s="7">
        <v>0</v>
      </c>
    </row>
    <row r="509" spans="1:1" x14ac:dyDescent="0.3">
      <c r="A509" s="7">
        <v>0</v>
      </c>
    </row>
    <row r="510" spans="1:1" x14ac:dyDescent="0.3">
      <c r="A510" s="7">
        <v>0</v>
      </c>
    </row>
    <row r="511" spans="1:1" x14ac:dyDescent="0.3">
      <c r="A511" s="7">
        <v>0</v>
      </c>
    </row>
    <row r="512" spans="1:1" x14ac:dyDescent="0.3">
      <c r="A512" s="7">
        <v>0</v>
      </c>
    </row>
    <row r="513" spans="1:1" x14ac:dyDescent="0.3">
      <c r="A513" s="7">
        <v>0</v>
      </c>
    </row>
    <row r="514" spans="1:1" x14ac:dyDescent="0.3">
      <c r="A514" s="7">
        <v>0</v>
      </c>
    </row>
    <row r="515" spans="1:1" x14ac:dyDescent="0.3">
      <c r="A515" s="7">
        <v>0</v>
      </c>
    </row>
    <row r="516" spans="1:1" x14ac:dyDescent="0.3">
      <c r="A516" s="7">
        <v>0</v>
      </c>
    </row>
    <row r="517" spans="1:1" x14ac:dyDescent="0.3">
      <c r="A517" s="7">
        <v>0</v>
      </c>
    </row>
    <row r="518" spans="1:1" x14ac:dyDescent="0.3">
      <c r="A518" s="7">
        <v>0</v>
      </c>
    </row>
    <row r="519" spans="1:1" x14ac:dyDescent="0.3">
      <c r="A519" s="7">
        <v>0</v>
      </c>
    </row>
    <row r="520" spans="1:1" x14ac:dyDescent="0.3">
      <c r="A520" s="7">
        <v>0</v>
      </c>
    </row>
    <row r="521" spans="1:1" x14ac:dyDescent="0.3">
      <c r="A521" s="7">
        <v>0</v>
      </c>
    </row>
    <row r="522" spans="1:1" x14ac:dyDescent="0.3">
      <c r="A522" s="7">
        <v>0</v>
      </c>
    </row>
    <row r="523" spans="1:1" x14ac:dyDescent="0.3">
      <c r="A523" s="7">
        <v>0</v>
      </c>
    </row>
    <row r="524" spans="1:1" x14ac:dyDescent="0.3">
      <c r="A524" s="7">
        <v>0</v>
      </c>
    </row>
    <row r="525" spans="1:1" x14ac:dyDescent="0.3">
      <c r="A525" s="7">
        <v>0</v>
      </c>
    </row>
    <row r="526" spans="1:1" x14ac:dyDescent="0.3">
      <c r="A526" s="7">
        <v>0</v>
      </c>
    </row>
    <row r="527" spans="1:1" x14ac:dyDescent="0.3">
      <c r="A527" s="7">
        <v>0</v>
      </c>
    </row>
    <row r="528" spans="1:1" x14ac:dyDescent="0.3">
      <c r="A528" s="7">
        <v>0</v>
      </c>
    </row>
    <row r="529" spans="1:1" x14ac:dyDescent="0.3">
      <c r="A529" s="7">
        <v>0</v>
      </c>
    </row>
    <row r="530" spans="1:1" x14ac:dyDescent="0.3">
      <c r="A530" s="7">
        <v>0</v>
      </c>
    </row>
    <row r="531" spans="1:1" x14ac:dyDescent="0.3">
      <c r="A531" s="7">
        <v>0</v>
      </c>
    </row>
    <row r="532" spans="1:1" x14ac:dyDescent="0.3">
      <c r="A532" s="7">
        <v>0</v>
      </c>
    </row>
    <row r="533" spans="1:1" x14ac:dyDescent="0.3">
      <c r="A533" s="7">
        <v>0</v>
      </c>
    </row>
    <row r="534" spans="1:1" x14ac:dyDescent="0.3">
      <c r="A534" s="7">
        <v>0</v>
      </c>
    </row>
    <row r="535" spans="1:1" x14ac:dyDescent="0.3">
      <c r="A535" s="7">
        <v>0</v>
      </c>
    </row>
    <row r="536" spans="1:1" x14ac:dyDescent="0.3">
      <c r="A536" s="7">
        <v>0</v>
      </c>
    </row>
    <row r="537" spans="1:1" x14ac:dyDescent="0.3">
      <c r="A537" s="7">
        <v>0</v>
      </c>
    </row>
    <row r="538" spans="1:1" x14ac:dyDescent="0.3">
      <c r="A538" s="7">
        <v>0</v>
      </c>
    </row>
    <row r="539" spans="1:1" x14ac:dyDescent="0.3">
      <c r="A539" s="7">
        <v>0</v>
      </c>
    </row>
    <row r="540" spans="1:1" x14ac:dyDescent="0.3">
      <c r="A540" s="7">
        <v>0</v>
      </c>
    </row>
    <row r="541" spans="1:1" x14ac:dyDescent="0.3">
      <c r="A541" s="7">
        <v>0</v>
      </c>
    </row>
    <row r="542" spans="1:1" x14ac:dyDescent="0.3">
      <c r="A542" s="7">
        <v>0</v>
      </c>
    </row>
    <row r="543" spans="1:1" x14ac:dyDescent="0.3">
      <c r="A543" s="7">
        <v>0</v>
      </c>
    </row>
    <row r="544" spans="1:1" x14ac:dyDescent="0.3">
      <c r="A544" s="7">
        <v>0</v>
      </c>
    </row>
    <row r="545" spans="1:1" x14ac:dyDescent="0.3">
      <c r="A545" s="7">
        <v>0</v>
      </c>
    </row>
    <row r="546" spans="1:1" x14ac:dyDescent="0.3">
      <c r="A546" s="7">
        <v>0</v>
      </c>
    </row>
    <row r="547" spans="1:1" x14ac:dyDescent="0.3">
      <c r="A547" s="7">
        <v>0</v>
      </c>
    </row>
    <row r="548" spans="1:1" x14ac:dyDescent="0.3">
      <c r="A548" s="7">
        <v>0</v>
      </c>
    </row>
    <row r="549" spans="1:1" x14ac:dyDescent="0.3">
      <c r="A549" s="7">
        <v>0</v>
      </c>
    </row>
    <row r="550" spans="1:1" x14ac:dyDescent="0.3">
      <c r="A550" s="7">
        <v>0</v>
      </c>
    </row>
    <row r="551" spans="1:1" x14ac:dyDescent="0.3">
      <c r="A551" s="7">
        <v>0</v>
      </c>
    </row>
    <row r="552" spans="1:1" x14ac:dyDescent="0.3">
      <c r="A552" s="7">
        <v>0</v>
      </c>
    </row>
    <row r="553" spans="1:1" x14ac:dyDescent="0.3">
      <c r="A553" s="7">
        <v>0</v>
      </c>
    </row>
    <row r="554" spans="1:1" x14ac:dyDescent="0.3">
      <c r="A554" s="7">
        <v>0</v>
      </c>
    </row>
    <row r="555" spans="1:1" x14ac:dyDescent="0.3">
      <c r="A555" s="7">
        <v>0</v>
      </c>
    </row>
    <row r="556" spans="1:1" x14ac:dyDescent="0.3">
      <c r="A556" s="7">
        <v>0</v>
      </c>
    </row>
    <row r="557" spans="1:1" x14ac:dyDescent="0.3">
      <c r="A557" s="7">
        <v>0</v>
      </c>
    </row>
    <row r="558" spans="1:1" x14ac:dyDescent="0.3">
      <c r="A558" s="7">
        <v>0</v>
      </c>
    </row>
    <row r="559" spans="1:1" x14ac:dyDescent="0.3">
      <c r="A559" s="7">
        <v>0</v>
      </c>
    </row>
    <row r="560" spans="1:1" x14ac:dyDescent="0.3">
      <c r="A560" s="7">
        <v>0</v>
      </c>
    </row>
    <row r="561" spans="1:1" x14ac:dyDescent="0.3">
      <c r="A561" s="7">
        <v>0</v>
      </c>
    </row>
    <row r="562" spans="1:1" x14ac:dyDescent="0.3">
      <c r="A562" s="7">
        <v>0</v>
      </c>
    </row>
    <row r="563" spans="1:1" x14ac:dyDescent="0.3">
      <c r="A563" s="7">
        <v>0</v>
      </c>
    </row>
    <row r="564" spans="1:1" x14ac:dyDescent="0.3">
      <c r="A564" s="7">
        <v>0</v>
      </c>
    </row>
    <row r="565" spans="1:1" x14ac:dyDescent="0.3">
      <c r="A565" s="7">
        <v>0</v>
      </c>
    </row>
    <row r="566" spans="1:1" x14ac:dyDescent="0.3">
      <c r="A566" s="7">
        <v>0</v>
      </c>
    </row>
    <row r="567" spans="1:1" x14ac:dyDescent="0.3">
      <c r="A567" s="7">
        <v>0</v>
      </c>
    </row>
    <row r="568" spans="1:1" x14ac:dyDescent="0.3">
      <c r="A568" s="7">
        <v>0</v>
      </c>
    </row>
    <row r="569" spans="1:1" x14ac:dyDescent="0.3">
      <c r="A569" s="7">
        <v>0</v>
      </c>
    </row>
    <row r="570" spans="1:1" x14ac:dyDescent="0.3">
      <c r="A570" s="7">
        <v>0</v>
      </c>
    </row>
    <row r="571" spans="1:1" x14ac:dyDescent="0.3">
      <c r="A571" s="7">
        <v>0</v>
      </c>
    </row>
    <row r="572" spans="1:1" x14ac:dyDescent="0.3">
      <c r="A572" s="7">
        <v>0</v>
      </c>
    </row>
    <row r="573" spans="1:1" x14ac:dyDescent="0.3">
      <c r="A573" s="7">
        <v>0</v>
      </c>
    </row>
    <row r="574" spans="1:1" x14ac:dyDescent="0.3">
      <c r="A574" s="7">
        <v>0</v>
      </c>
    </row>
    <row r="575" spans="1:1" x14ac:dyDescent="0.3">
      <c r="A575" s="7">
        <v>0</v>
      </c>
    </row>
    <row r="576" spans="1:1" x14ac:dyDescent="0.3">
      <c r="A576" s="7">
        <v>0</v>
      </c>
    </row>
    <row r="577" spans="1:1" x14ac:dyDescent="0.3">
      <c r="A577" s="7">
        <v>0</v>
      </c>
    </row>
    <row r="578" spans="1:1" x14ac:dyDescent="0.3">
      <c r="A578" s="7">
        <v>0</v>
      </c>
    </row>
    <row r="579" spans="1:1" x14ac:dyDescent="0.3">
      <c r="A579" s="7">
        <v>0</v>
      </c>
    </row>
    <row r="580" spans="1:1" x14ac:dyDescent="0.3">
      <c r="A580" s="7">
        <v>0</v>
      </c>
    </row>
    <row r="581" spans="1:1" x14ac:dyDescent="0.3">
      <c r="A581" s="7">
        <v>0</v>
      </c>
    </row>
    <row r="582" spans="1:1" x14ac:dyDescent="0.3">
      <c r="A582" s="7">
        <v>0</v>
      </c>
    </row>
    <row r="583" spans="1:1" x14ac:dyDescent="0.3">
      <c r="A583" s="7">
        <v>0</v>
      </c>
    </row>
    <row r="584" spans="1:1" x14ac:dyDescent="0.3">
      <c r="A584" s="7">
        <v>0</v>
      </c>
    </row>
    <row r="585" spans="1:1" x14ac:dyDescent="0.3">
      <c r="A585" s="7">
        <v>0</v>
      </c>
    </row>
    <row r="586" spans="1:1" x14ac:dyDescent="0.3">
      <c r="A586" s="7">
        <v>0</v>
      </c>
    </row>
    <row r="587" spans="1:1" x14ac:dyDescent="0.3">
      <c r="A587" s="7">
        <v>0</v>
      </c>
    </row>
    <row r="588" spans="1:1" x14ac:dyDescent="0.3">
      <c r="A588" s="7">
        <v>0</v>
      </c>
    </row>
    <row r="589" spans="1:1" x14ac:dyDescent="0.3">
      <c r="A589" s="7">
        <v>0</v>
      </c>
    </row>
    <row r="590" spans="1:1" x14ac:dyDescent="0.3">
      <c r="A590" s="7">
        <v>0</v>
      </c>
    </row>
    <row r="591" spans="1:1" x14ac:dyDescent="0.3">
      <c r="A591" s="7">
        <v>0</v>
      </c>
    </row>
    <row r="592" spans="1:1" x14ac:dyDescent="0.3">
      <c r="A592" s="7">
        <v>0</v>
      </c>
    </row>
    <row r="593" spans="1:1" x14ac:dyDescent="0.3">
      <c r="A593" s="7">
        <v>0</v>
      </c>
    </row>
    <row r="594" spans="1:1" x14ac:dyDescent="0.3">
      <c r="A594" s="7">
        <v>0</v>
      </c>
    </row>
    <row r="595" spans="1:1" x14ac:dyDescent="0.3">
      <c r="A595" s="7">
        <v>0</v>
      </c>
    </row>
    <row r="596" spans="1:1" x14ac:dyDescent="0.3">
      <c r="A596" s="7">
        <v>0</v>
      </c>
    </row>
    <row r="597" spans="1:1" x14ac:dyDescent="0.3">
      <c r="A597" s="7">
        <v>0</v>
      </c>
    </row>
    <row r="598" spans="1:1" x14ac:dyDescent="0.3">
      <c r="A598" s="7">
        <v>0</v>
      </c>
    </row>
    <row r="599" spans="1:1" x14ac:dyDescent="0.3">
      <c r="A599" s="7">
        <v>0</v>
      </c>
    </row>
    <row r="600" spans="1:1" x14ac:dyDescent="0.3">
      <c r="A600" s="7">
        <v>0</v>
      </c>
    </row>
    <row r="601" spans="1:1" x14ac:dyDescent="0.3">
      <c r="A601" s="7">
        <v>0</v>
      </c>
    </row>
    <row r="602" spans="1:1" x14ac:dyDescent="0.3">
      <c r="A602" s="7">
        <v>0</v>
      </c>
    </row>
    <row r="603" spans="1:1" x14ac:dyDescent="0.3">
      <c r="A603" s="7">
        <v>0</v>
      </c>
    </row>
    <row r="604" spans="1:1" x14ac:dyDescent="0.3">
      <c r="A604" s="7">
        <v>0</v>
      </c>
    </row>
    <row r="605" spans="1:1" x14ac:dyDescent="0.3">
      <c r="A605" s="7">
        <v>0</v>
      </c>
    </row>
    <row r="606" spans="1:1" x14ac:dyDescent="0.3">
      <c r="A606" s="7">
        <v>0</v>
      </c>
    </row>
    <row r="607" spans="1:1" x14ac:dyDescent="0.3">
      <c r="A607" s="7">
        <v>0</v>
      </c>
    </row>
    <row r="608" spans="1:1" x14ac:dyDescent="0.3">
      <c r="A608" s="7">
        <v>0</v>
      </c>
    </row>
    <row r="609" spans="1:1" x14ac:dyDescent="0.3">
      <c r="A609" s="7">
        <v>0</v>
      </c>
    </row>
    <row r="610" spans="1:1" x14ac:dyDescent="0.3">
      <c r="A610" s="7">
        <v>0</v>
      </c>
    </row>
    <row r="611" spans="1:1" x14ac:dyDescent="0.3">
      <c r="A611" s="7">
        <v>0</v>
      </c>
    </row>
    <row r="612" spans="1:1" x14ac:dyDescent="0.3">
      <c r="A612" s="7">
        <v>0</v>
      </c>
    </row>
    <row r="613" spans="1:1" x14ac:dyDescent="0.3">
      <c r="A613" s="7">
        <v>0</v>
      </c>
    </row>
    <row r="614" spans="1:1" x14ac:dyDescent="0.3">
      <c r="A614" s="7">
        <v>0</v>
      </c>
    </row>
    <row r="615" spans="1:1" x14ac:dyDescent="0.3">
      <c r="A615" s="7">
        <v>0</v>
      </c>
    </row>
    <row r="616" spans="1:1" x14ac:dyDescent="0.3">
      <c r="A616" s="7">
        <v>0</v>
      </c>
    </row>
    <row r="617" spans="1:1" x14ac:dyDescent="0.3">
      <c r="A617" s="7">
        <v>0</v>
      </c>
    </row>
    <row r="618" spans="1:1" x14ac:dyDescent="0.3">
      <c r="A618" s="7">
        <v>0</v>
      </c>
    </row>
    <row r="619" spans="1:1" x14ac:dyDescent="0.3">
      <c r="A619" s="7">
        <v>0</v>
      </c>
    </row>
    <row r="620" spans="1:1" x14ac:dyDescent="0.3">
      <c r="A620" s="7">
        <v>0</v>
      </c>
    </row>
    <row r="621" spans="1:1" x14ac:dyDescent="0.3">
      <c r="A621" s="7">
        <v>0</v>
      </c>
    </row>
    <row r="622" spans="1:1" x14ac:dyDescent="0.3">
      <c r="A622" s="7">
        <v>0</v>
      </c>
    </row>
    <row r="623" spans="1:1" x14ac:dyDescent="0.3">
      <c r="A623" s="7">
        <v>0</v>
      </c>
    </row>
    <row r="624" spans="1:1" x14ac:dyDescent="0.3">
      <c r="A624" s="7">
        <v>0</v>
      </c>
    </row>
    <row r="625" spans="1:1" x14ac:dyDescent="0.3">
      <c r="A625" s="7">
        <v>0</v>
      </c>
    </row>
    <row r="626" spans="1:1" x14ac:dyDescent="0.3">
      <c r="A626" s="7">
        <v>0</v>
      </c>
    </row>
    <row r="627" spans="1:1" x14ac:dyDescent="0.3">
      <c r="A627" s="7">
        <v>0</v>
      </c>
    </row>
    <row r="628" spans="1:1" x14ac:dyDescent="0.3">
      <c r="A628" s="7">
        <v>0</v>
      </c>
    </row>
    <row r="629" spans="1:1" x14ac:dyDescent="0.3">
      <c r="A629" s="7">
        <v>0</v>
      </c>
    </row>
    <row r="630" spans="1:1" x14ac:dyDescent="0.3">
      <c r="A630" s="7">
        <v>0</v>
      </c>
    </row>
    <row r="631" spans="1:1" x14ac:dyDescent="0.3">
      <c r="A631" s="7">
        <v>0</v>
      </c>
    </row>
    <row r="632" spans="1:1" x14ac:dyDescent="0.3">
      <c r="A632" s="7">
        <v>0</v>
      </c>
    </row>
    <row r="633" spans="1:1" x14ac:dyDescent="0.3">
      <c r="A633" s="7">
        <v>0</v>
      </c>
    </row>
    <row r="634" spans="1:1" x14ac:dyDescent="0.3">
      <c r="A634" s="7">
        <v>0</v>
      </c>
    </row>
    <row r="635" spans="1:1" x14ac:dyDescent="0.3">
      <c r="A635" s="7">
        <v>0</v>
      </c>
    </row>
    <row r="636" spans="1:1" x14ac:dyDescent="0.3">
      <c r="A636" s="7">
        <v>0</v>
      </c>
    </row>
    <row r="637" spans="1:1" x14ac:dyDescent="0.3">
      <c r="A637" s="7">
        <v>0</v>
      </c>
    </row>
    <row r="638" spans="1:1" x14ac:dyDescent="0.3">
      <c r="A638" s="7">
        <v>0</v>
      </c>
    </row>
    <row r="639" spans="1:1" x14ac:dyDescent="0.3">
      <c r="A639" s="7">
        <v>0</v>
      </c>
    </row>
    <row r="640" spans="1:1" x14ac:dyDescent="0.3">
      <c r="A640" s="7">
        <v>0</v>
      </c>
    </row>
    <row r="641" spans="1:1" x14ac:dyDescent="0.3">
      <c r="A641" s="7">
        <v>0</v>
      </c>
    </row>
    <row r="642" spans="1:1" x14ac:dyDescent="0.3">
      <c r="A642" s="7">
        <v>0</v>
      </c>
    </row>
    <row r="643" spans="1:1" x14ac:dyDescent="0.3">
      <c r="A643" s="7">
        <v>0</v>
      </c>
    </row>
    <row r="644" spans="1:1" x14ac:dyDescent="0.3">
      <c r="A644" s="7">
        <v>0</v>
      </c>
    </row>
    <row r="645" spans="1:1" x14ac:dyDescent="0.3">
      <c r="A645" s="7">
        <v>0</v>
      </c>
    </row>
    <row r="646" spans="1:1" x14ac:dyDescent="0.3">
      <c r="A646" s="7">
        <v>0</v>
      </c>
    </row>
    <row r="647" spans="1:1" x14ac:dyDescent="0.3">
      <c r="A647" s="7">
        <v>0</v>
      </c>
    </row>
    <row r="648" spans="1:1" x14ac:dyDescent="0.3">
      <c r="A648" s="7">
        <v>0</v>
      </c>
    </row>
    <row r="649" spans="1:1" x14ac:dyDescent="0.3">
      <c r="A649" s="7">
        <v>0</v>
      </c>
    </row>
    <row r="650" spans="1:1" x14ac:dyDescent="0.3">
      <c r="A650" s="7">
        <v>0</v>
      </c>
    </row>
    <row r="651" spans="1:1" x14ac:dyDescent="0.3">
      <c r="A651" s="7">
        <v>0</v>
      </c>
    </row>
    <row r="652" spans="1:1" x14ac:dyDescent="0.3">
      <c r="A652" s="7">
        <v>0</v>
      </c>
    </row>
    <row r="653" spans="1:1" x14ac:dyDescent="0.3">
      <c r="A653" s="7">
        <v>0</v>
      </c>
    </row>
    <row r="654" spans="1:1" x14ac:dyDescent="0.3">
      <c r="A654" s="7">
        <v>0</v>
      </c>
    </row>
    <row r="655" spans="1:1" x14ac:dyDescent="0.3">
      <c r="A655" s="7">
        <v>0</v>
      </c>
    </row>
    <row r="656" spans="1:1" x14ac:dyDescent="0.3">
      <c r="A656" s="7">
        <v>0</v>
      </c>
    </row>
    <row r="657" spans="1:1" x14ac:dyDescent="0.3">
      <c r="A657" s="7">
        <v>0</v>
      </c>
    </row>
    <row r="658" spans="1:1" x14ac:dyDescent="0.3">
      <c r="A658" s="7">
        <v>0</v>
      </c>
    </row>
    <row r="659" spans="1:1" x14ac:dyDescent="0.3">
      <c r="A659" s="7">
        <v>0</v>
      </c>
    </row>
    <row r="660" spans="1:1" x14ac:dyDescent="0.3">
      <c r="A660" s="7">
        <v>0</v>
      </c>
    </row>
    <row r="661" spans="1:1" x14ac:dyDescent="0.3">
      <c r="A661" s="7">
        <v>0</v>
      </c>
    </row>
    <row r="662" spans="1:1" x14ac:dyDescent="0.3">
      <c r="A662" s="7">
        <v>0</v>
      </c>
    </row>
    <row r="663" spans="1:1" x14ac:dyDescent="0.3">
      <c r="A663" s="7">
        <v>0</v>
      </c>
    </row>
    <row r="664" spans="1:1" x14ac:dyDescent="0.3">
      <c r="A664" s="7">
        <v>0</v>
      </c>
    </row>
    <row r="665" spans="1:1" x14ac:dyDescent="0.3">
      <c r="A665" s="7">
        <v>0</v>
      </c>
    </row>
    <row r="666" spans="1:1" x14ac:dyDescent="0.3">
      <c r="A666" s="7">
        <v>0</v>
      </c>
    </row>
    <row r="667" spans="1:1" x14ac:dyDescent="0.3">
      <c r="A667" s="7">
        <v>0</v>
      </c>
    </row>
    <row r="668" spans="1:1" x14ac:dyDescent="0.3">
      <c r="A668" s="7">
        <v>0</v>
      </c>
    </row>
    <row r="669" spans="1:1" x14ac:dyDescent="0.3">
      <c r="A669" s="7">
        <v>0</v>
      </c>
    </row>
    <row r="670" spans="1:1" x14ac:dyDescent="0.3">
      <c r="A670" s="7">
        <v>0</v>
      </c>
    </row>
    <row r="671" spans="1:1" x14ac:dyDescent="0.3">
      <c r="A671" s="7">
        <v>0</v>
      </c>
    </row>
    <row r="672" spans="1:1" x14ac:dyDescent="0.3">
      <c r="A672" s="7">
        <v>0</v>
      </c>
    </row>
    <row r="673" spans="1:1" x14ac:dyDescent="0.3">
      <c r="A673" s="7">
        <v>0</v>
      </c>
    </row>
    <row r="674" spans="1:1" x14ac:dyDescent="0.3">
      <c r="A674" s="7">
        <v>0</v>
      </c>
    </row>
    <row r="675" spans="1:1" x14ac:dyDescent="0.3">
      <c r="A675" s="7">
        <v>0</v>
      </c>
    </row>
    <row r="676" spans="1:1" x14ac:dyDescent="0.3">
      <c r="A676" s="7">
        <v>0</v>
      </c>
    </row>
    <row r="677" spans="1:1" x14ac:dyDescent="0.3">
      <c r="A677" s="7">
        <v>0</v>
      </c>
    </row>
    <row r="678" spans="1:1" x14ac:dyDescent="0.3">
      <c r="A678" s="7">
        <v>0</v>
      </c>
    </row>
    <row r="679" spans="1:1" x14ac:dyDescent="0.3">
      <c r="A679" s="7">
        <v>0</v>
      </c>
    </row>
    <row r="680" spans="1:1" x14ac:dyDescent="0.3">
      <c r="A680" s="7">
        <v>0</v>
      </c>
    </row>
    <row r="681" spans="1:1" x14ac:dyDescent="0.3">
      <c r="A681" s="7">
        <v>0</v>
      </c>
    </row>
    <row r="682" spans="1:1" x14ac:dyDescent="0.3">
      <c r="A682" s="7">
        <v>0</v>
      </c>
    </row>
    <row r="683" spans="1:1" x14ac:dyDescent="0.3">
      <c r="A683" s="7">
        <v>0</v>
      </c>
    </row>
    <row r="684" spans="1:1" x14ac:dyDescent="0.3">
      <c r="A684" s="7">
        <v>0</v>
      </c>
    </row>
    <row r="685" spans="1:1" x14ac:dyDescent="0.3">
      <c r="A685" s="7">
        <v>0</v>
      </c>
    </row>
    <row r="686" spans="1:1" x14ac:dyDescent="0.3">
      <c r="A686" s="7">
        <v>0</v>
      </c>
    </row>
    <row r="687" spans="1:1" x14ac:dyDescent="0.3">
      <c r="A687" s="7">
        <v>0</v>
      </c>
    </row>
    <row r="688" spans="1:1" x14ac:dyDescent="0.3">
      <c r="A688" s="7">
        <v>0</v>
      </c>
    </row>
    <row r="689" spans="1:1" x14ac:dyDescent="0.3">
      <c r="A689" s="7">
        <v>0</v>
      </c>
    </row>
    <row r="690" spans="1:1" x14ac:dyDescent="0.3">
      <c r="A690" s="7">
        <v>0</v>
      </c>
    </row>
    <row r="691" spans="1:1" x14ac:dyDescent="0.3">
      <c r="A691" s="7">
        <v>0</v>
      </c>
    </row>
    <row r="692" spans="1:1" x14ac:dyDescent="0.3">
      <c r="A692" s="7">
        <v>0</v>
      </c>
    </row>
    <row r="693" spans="1:1" x14ac:dyDescent="0.3">
      <c r="A693" s="7">
        <v>0</v>
      </c>
    </row>
    <row r="694" spans="1:1" x14ac:dyDescent="0.3">
      <c r="A694" s="7">
        <v>0</v>
      </c>
    </row>
    <row r="695" spans="1:1" x14ac:dyDescent="0.3">
      <c r="A695" s="7">
        <v>0</v>
      </c>
    </row>
    <row r="696" spans="1:1" x14ac:dyDescent="0.3">
      <c r="A696" s="7">
        <v>0</v>
      </c>
    </row>
    <row r="697" spans="1:1" x14ac:dyDescent="0.3">
      <c r="A697" s="7">
        <v>0</v>
      </c>
    </row>
    <row r="698" spans="1:1" x14ac:dyDescent="0.3">
      <c r="A698" s="7">
        <v>0</v>
      </c>
    </row>
    <row r="699" spans="1:1" x14ac:dyDescent="0.3">
      <c r="A699" s="7">
        <v>0</v>
      </c>
    </row>
    <row r="700" spans="1:1" x14ac:dyDescent="0.3">
      <c r="A700" s="7">
        <v>0</v>
      </c>
    </row>
    <row r="701" spans="1:1" x14ac:dyDescent="0.3">
      <c r="A701" s="7">
        <v>0</v>
      </c>
    </row>
    <row r="702" spans="1:1" x14ac:dyDescent="0.3">
      <c r="A702" s="7">
        <v>0</v>
      </c>
    </row>
    <row r="703" spans="1:1" x14ac:dyDescent="0.3">
      <c r="A703" s="7">
        <v>0</v>
      </c>
    </row>
    <row r="704" spans="1:1" x14ac:dyDescent="0.3">
      <c r="A704" s="7">
        <v>0</v>
      </c>
    </row>
    <row r="705" spans="1:1" x14ac:dyDescent="0.3">
      <c r="A705" s="7">
        <v>0</v>
      </c>
    </row>
    <row r="706" spans="1:1" x14ac:dyDescent="0.3">
      <c r="A706" s="7">
        <v>0</v>
      </c>
    </row>
    <row r="707" spans="1:1" x14ac:dyDescent="0.3">
      <c r="A707" s="7">
        <v>0</v>
      </c>
    </row>
    <row r="708" spans="1:1" x14ac:dyDescent="0.3">
      <c r="A708" s="7">
        <v>0</v>
      </c>
    </row>
    <row r="709" spans="1:1" x14ac:dyDescent="0.3">
      <c r="A709" s="7">
        <v>0</v>
      </c>
    </row>
    <row r="710" spans="1:1" x14ac:dyDescent="0.3">
      <c r="A710" s="7">
        <v>0</v>
      </c>
    </row>
    <row r="711" spans="1:1" x14ac:dyDescent="0.3">
      <c r="A711" s="7">
        <v>0</v>
      </c>
    </row>
    <row r="712" spans="1:1" x14ac:dyDescent="0.3">
      <c r="A712" s="7">
        <v>0</v>
      </c>
    </row>
    <row r="713" spans="1:1" x14ac:dyDescent="0.3">
      <c r="A713" s="7">
        <v>0</v>
      </c>
    </row>
    <row r="714" spans="1:1" x14ac:dyDescent="0.3">
      <c r="A714" s="7">
        <v>0</v>
      </c>
    </row>
    <row r="715" spans="1:1" x14ac:dyDescent="0.3">
      <c r="A715" s="7">
        <v>0</v>
      </c>
    </row>
    <row r="716" spans="1:1" x14ac:dyDescent="0.3">
      <c r="A716" s="7">
        <v>0</v>
      </c>
    </row>
    <row r="717" spans="1:1" x14ac:dyDescent="0.3">
      <c r="A717" s="7">
        <v>0</v>
      </c>
    </row>
    <row r="718" spans="1:1" x14ac:dyDescent="0.3">
      <c r="A718" s="7">
        <v>0</v>
      </c>
    </row>
    <row r="719" spans="1:1" x14ac:dyDescent="0.3">
      <c r="A719" s="7">
        <v>0</v>
      </c>
    </row>
    <row r="720" spans="1:1" x14ac:dyDescent="0.3">
      <c r="A720" s="7">
        <v>0</v>
      </c>
    </row>
    <row r="721" spans="1:1" x14ac:dyDescent="0.3">
      <c r="A721" s="7">
        <v>0</v>
      </c>
    </row>
    <row r="722" spans="1:1" x14ac:dyDescent="0.3">
      <c r="A722" s="7">
        <v>0</v>
      </c>
    </row>
    <row r="723" spans="1:1" x14ac:dyDescent="0.3">
      <c r="A723" s="7">
        <v>0</v>
      </c>
    </row>
    <row r="724" spans="1:1" x14ac:dyDescent="0.3">
      <c r="A724" s="7">
        <v>0</v>
      </c>
    </row>
    <row r="725" spans="1:1" x14ac:dyDescent="0.3">
      <c r="A725" s="7">
        <v>0</v>
      </c>
    </row>
    <row r="726" spans="1:1" x14ac:dyDescent="0.3">
      <c r="A726" s="7">
        <v>0</v>
      </c>
    </row>
    <row r="727" spans="1:1" x14ac:dyDescent="0.3">
      <c r="A727" s="7">
        <v>0</v>
      </c>
    </row>
    <row r="728" spans="1:1" x14ac:dyDescent="0.3">
      <c r="A728" s="7">
        <v>0</v>
      </c>
    </row>
    <row r="729" spans="1:1" x14ac:dyDescent="0.3">
      <c r="A729" s="7">
        <v>0</v>
      </c>
    </row>
    <row r="730" spans="1:1" x14ac:dyDescent="0.3">
      <c r="A730" s="7">
        <v>0</v>
      </c>
    </row>
    <row r="731" spans="1:1" x14ac:dyDescent="0.3">
      <c r="A731" s="7">
        <v>0</v>
      </c>
    </row>
    <row r="732" spans="1:1" x14ac:dyDescent="0.3">
      <c r="A732" s="7">
        <v>0</v>
      </c>
    </row>
    <row r="733" spans="1:1" x14ac:dyDescent="0.3">
      <c r="A733" s="7">
        <v>0</v>
      </c>
    </row>
    <row r="734" spans="1:1" x14ac:dyDescent="0.3">
      <c r="A734" s="7">
        <v>0</v>
      </c>
    </row>
    <row r="735" spans="1:1" x14ac:dyDescent="0.3">
      <c r="A735" s="7">
        <v>0</v>
      </c>
    </row>
    <row r="736" spans="1:1" x14ac:dyDescent="0.3">
      <c r="A736" s="7">
        <v>0</v>
      </c>
    </row>
    <row r="737" spans="1:1" x14ac:dyDescent="0.3">
      <c r="A737" s="7">
        <v>0</v>
      </c>
    </row>
    <row r="738" spans="1:1" x14ac:dyDescent="0.3">
      <c r="A738" s="7">
        <v>0</v>
      </c>
    </row>
    <row r="739" spans="1:1" x14ac:dyDescent="0.3">
      <c r="A739" s="7">
        <v>0</v>
      </c>
    </row>
    <row r="740" spans="1:1" x14ac:dyDescent="0.3">
      <c r="A740" s="7">
        <v>0</v>
      </c>
    </row>
    <row r="741" spans="1:1" x14ac:dyDescent="0.3">
      <c r="A741" s="7">
        <v>0</v>
      </c>
    </row>
    <row r="742" spans="1:1" x14ac:dyDescent="0.3">
      <c r="A742" s="7">
        <v>0</v>
      </c>
    </row>
    <row r="743" spans="1:1" x14ac:dyDescent="0.3">
      <c r="A743" s="7">
        <v>0</v>
      </c>
    </row>
    <row r="744" spans="1:1" x14ac:dyDescent="0.3">
      <c r="A744" s="7">
        <v>0</v>
      </c>
    </row>
    <row r="745" spans="1:1" x14ac:dyDescent="0.3">
      <c r="A745" s="7">
        <v>0</v>
      </c>
    </row>
    <row r="746" spans="1:1" x14ac:dyDescent="0.3">
      <c r="A746" s="7">
        <v>0</v>
      </c>
    </row>
    <row r="747" spans="1:1" x14ac:dyDescent="0.3">
      <c r="A747" s="7">
        <v>0</v>
      </c>
    </row>
    <row r="748" spans="1:1" x14ac:dyDescent="0.3">
      <c r="A748" s="7">
        <v>0</v>
      </c>
    </row>
    <row r="749" spans="1:1" x14ac:dyDescent="0.3">
      <c r="A749" s="7">
        <v>0</v>
      </c>
    </row>
    <row r="750" spans="1:1" x14ac:dyDescent="0.3">
      <c r="A750" s="7">
        <v>0</v>
      </c>
    </row>
    <row r="751" spans="1:1" x14ac:dyDescent="0.3">
      <c r="A751" s="7">
        <v>0</v>
      </c>
    </row>
    <row r="752" spans="1:1" x14ac:dyDescent="0.3">
      <c r="A752" s="7">
        <v>0</v>
      </c>
    </row>
    <row r="753" spans="1:1" x14ac:dyDescent="0.3">
      <c r="A753" s="7">
        <v>0</v>
      </c>
    </row>
    <row r="754" spans="1:1" x14ac:dyDescent="0.3">
      <c r="A754" s="7">
        <v>0</v>
      </c>
    </row>
    <row r="755" spans="1:1" x14ac:dyDescent="0.3">
      <c r="A755" s="7">
        <v>0</v>
      </c>
    </row>
    <row r="756" spans="1:1" x14ac:dyDescent="0.3">
      <c r="A756" s="7">
        <v>0</v>
      </c>
    </row>
    <row r="757" spans="1:1" x14ac:dyDescent="0.3">
      <c r="A757" s="7">
        <v>0</v>
      </c>
    </row>
    <row r="758" spans="1:1" x14ac:dyDescent="0.3">
      <c r="A758" s="7">
        <v>0</v>
      </c>
    </row>
    <row r="759" spans="1:1" x14ac:dyDescent="0.3">
      <c r="A759" s="7">
        <v>0</v>
      </c>
    </row>
    <row r="760" spans="1:1" x14ac:dyDescent="0.3">
      <c r="A760" s="7">
        <v>0</v>
      </c>
    </row>
    <row r="761" spans="1:1" x14ac:dyDescent="0.3">
      <c r="A761" s="7">
        <v>0</v>
      </c>
    </row>
    <row r="762" spans="1:1" x14ac:dyDescent="0.3">
      <c r="A762" s="7">
        <v>0</v>
      </c>
    </row>
    <row r="763" spans="1:1" x14ac:dyDescent="0.3">
      <c r="A763" s="7">
        <v>0</v>
      </c>
    </row>
    <row r="764" spans="1:1" x14ac:dyDescent="0.3">
      <c r="A764" s="7">
        <v>0</v>
      </c>
    </row>
    <row r="765" spans="1:1" x14ac:dyDescent="0.3">
      <c r="A765" s="7">
        <v>0</v>
      </c>
    </row>
    <row r="766" spans="1:1" x14ac:dyDescent="0.3">
      <c r="A766" s="7">
        <v>0</v>
      </c>
    </row>
    <row r="767" spans="1:1" x14ac:dyDescent="0.3">
      <c r="A767" s="7">
        <v>0</v>
      </c>
    </row>
    <row r="768" spans="1:1" x14ac:dyDescent="0.3">
      <c r="A768" s="7">
        <v>0</v>
      </c>
    </row>
    <row r="769" spans="1:1" x14ac:dyDescent="0.3">
      <c r="A769" s="7">
        <v>0</v>
      </c>
    </row>
    <row r="770" spans="1:1" x14ac:dyDescent="0.3">
      <c r="A770" s="7">
        <v>0</v>
      </c>
    </row>
    <row r="771" spans="1:1" x14ac:dyDescent="0.3">
      <c r="A771" s="7">
        <v>0</v>
      </c>
    </row>
    <row r="772" spans="1:1" x14ac:dyDescent="0.3">
      <c r="A772" s="7">
        <v>0</v>
      </c>
    </row>
    <row r="773" spans="1:1" x14ac:dyDescent="0.3">
      <c r="A773" s="7">
        <v>0</v>
      </c>
    </row>
    <row r="774" spans="1:1" x14ac:dyDescent="0.3">
      <c r="A774" s="7">
        <v>0</v>
      </c>
    </row>
    <row r="775" spans="1:1" x14ac:dyDescent="0.3">
      <c r="A775" s="7">
        <v>0</v>
      </c>
    </row>
    <row r="776" spans="1:1" x14ac:dyDescent="0.3">
      <c r="A776" s="7">
        <v>0</v>
      </c>
    </row>
    <row r="777" spans="1:1" x14ac:dyDescent="0.3">
      <c r="A777" s="7">
        <v>0</v>
      </c>
    </row>
    <row r="778" spans="1:1" x14ac:dyDescent="0.3">
      <c r="A778" s="7">
        <v>0</v>
      </c>
    </row>
    <row r="779" spans="1:1" x14ac:dyDescent="0.3">
      <c r="A779" s="7">
        <v>0</v>
      </c>
    </row>
    <row r="780" spans="1:1" x14ac:dyDescent="0.3">
      <c r="A780" s="7">
        <v>0</v>
      </c>
    </row>
    <row r="781" spans="1:1" x14ac:dyDescent="0.3">
      <c r="A781" s="7">
        <v>0</v>
      </c>
    </row>
    <row r="782" spans="1:1" x14ac:dyDescent="0.3">
      <c r="A782" s="7">
        <v>0</v>
      </c>
    </row>
    <row r="783" spans="1:1" x14ac:dyDescent="0.3">
      <c r="A783" s="7">
        <v>0</v>
      </c>
    </row>
    <row r="784" spans="1:1" x14ac:dyDescent="0.3">
      <c r="A784" s="7">
        <v>0</v>
      </c>
    </row>
    <row r="785" spans="1:1" x14ac:dyDescent="0.3">
      <c r="A785" s="7">
        <v>0</v>
      </c>
    </row>
    <row r="786" spans="1:1" x14ac:dyDescent="0.3">
      <c r="A786" s="7">
        <v>0</v>
      </c>
    </row>
    <row r="787" spans="1:1" x14ac:dyDescent="0.3">
      <c r="A787" s="7">
        <v>0</v>
      </c>
    </row>
    <row r="788" spans="1:1" x14ac:dyDescent="0.3">
      <c r="A788" s="7">
        <v>0</v>
      </c>
    </row>
    <row r="789" spans="1:1" x14ac:dyDescent="0.3">
      <c r="A789" s="7">
        <v>0</v>
      </c>
    </row>
    <row r="790" spans="1:1" x14ac:dyDescent="0.3">
      <c r="A790" s="7">
        <v>0</v>
      </c>
    </row>
    <row r="791" spans="1:1" x14ac:dyDescent="0.3">
      <c r="A791" s="7">
        <v>0</v>
      </c>
    </row>
    <row r="792" spans="1:1" x14ac:dyDescent="0.3">
      <c r="A792" s="7">
        <v>0</v>
      </c>
    </row>
    <row r="793" spans="1:1" x14ac:dyDescent="0.3">
      <c r="A793" s="7">
        <v>0</v>
      </c>
    </row>
    <row r="794" spans="1:1" x14ac:dyDescent="0.3">
      <c r="A794" s="7">
        <v>0</v>
      </c>
    </row>
    <row r="795" spans="1:1" x14ac:dyDescent="0.3">
      <c r="A795" s="7">
        <v>0</v>
      </c>
    </row>
    <row r="796" spans="1:1" x14ac:dyDescent="0.3">
      <c r="A796" s="7">
        <v>0</v>
      </c>
    </row>
    <row r="797" spans="1:1" x14ac:dyDescent="0.3">
      <c r="A797" s="7">
        <v>0</v>
      </c>
    </row>
    <row r="798" spans="1:1" x14ac:dyDescent="0.3">
      <c r="A798" s="7">
        <v>0</v>
      </c>
    </row>
    <row r="799" spans="1:1" x14ac:dyDescent="0.3">
      <c r="A799" s="7">
        <v>0</v>
      </c>
    </row>
    <row r="800" spans="1:1" x14ac:dyDescent="0.3">
      <c r="A800" s="7">
        <v>0</v>
      </c>
    </row>
    <row r="801" spans="1:1" x14ac:dyDescent="0.3">
      <c r="A801" s="7">
        <v>0</v>
      </c>
    </row>
    <row r="802" spans="1:1" x14ac:dyDescent="0.3">
      <c r="A802" s="7">
        <v>0</v>
      </c>
    </row>
    <row r="803" spans="1:1" x14ac:dyDescent="0.3">
      <c r="A803" s="7">
        <v>0</v>
      </c>
    </row>
    <row r="804" spans="1:1" x14ac:dyDescent="0.3">
      <c r="A804" s="7">
        <v>0</v>
      </c>
    </row>
    <row r="805" spans="1:1" x14ac:dyDescent="0.3">
      <c r="A805" s="7">
        <v>0</v>
      </c>
    </row>
    <row r="806" spans="1:1" x14ac:dyDescent="0.3">
      <c r="A806" s="7">
        <v>0</v>
      </c>
    </row>
    <row r="807" spans="1:1" x14ac:dyDescent="0.3">
      <c r="A807" s="7">
        <v>0</v>
      </c>
    </row>
    <row r="808" spans="1:1" x14ac:dyDescent="0.3">
      <c r="A808" s="7">
        <v>0</v>
      </c>
    </row>
    <row r="809" spans="1:1" x14ac:dyDescent="0.3">
      <c r="A809" s="7">
        <v>0</v>
      </c>
    </row>
    <row r="810" spans="1:1" x14ac:dyDescent="0.3">
      <c r="A810" s="7">
        <v>0</v>
      </c>
    </row>
    <row r="811" spans="1:1" x14ac:dyDescent="0.3">
      <c r="A811" s="7">
        <v>0</v>
      </c>
    </row>
    <row r="812" spans="1:1" x14ac:dyDescent="0.3">
      <c r="A812" s="7">
        <v>0</v>
      </c>
    </row>
    <row r="813" spans="1:1" x14ac:dyDescent="0.3">
      <c r="A813" s="7">
        <v>0</v>
      </c>
    </row>
    <row r="814" spans="1:1" x14ac:dyDescent="0.3">
      <c r="A814" s="7">
        <v>0</v>
      </c>
    </row>
    <row r="815" spans="1:1" x14ac:dyDescent="0.3">
      <c r="A815" s="7">
        <v>0</v>
      </c>
    </row>
    <row r="816" spans="1:1" x14ac:dyDescent="0.3">
      <c r="A816" s="7">
        <v>0</v>
      </c>
    </row>
    <row r="817" spans="1:1" x14ac:dyDescent="0.3">
      <c r="A817" s="7">
        <v>0</v>
      </c>
    </row>
    <row r="818" spans="1:1" x14ac:dyDescent="0.3">
      <c r="A818" s="7">
        <v>0</v>
      </c>
    </row>
    <row r="819" spans="1:1" x14ac:dyDescent="0.3">
      <c r="A819" s="7">
        <v>0</v>
      </c>
    </row>
    <row r="820" spans="1:1" x14ac:dyDescent="0.3">
      <c r="A820" s="7">
        <v>0</v>
      </c>
    </row>
    <row r="821" spans="1:1" x14ac:dyDescent="0.3">
      <c r="A821" s="7">
        <v>0</v>
      </c>
    </row>
    <row r="822" spans="1:1" x14ac:dyDescent="0.3">
      <c r="A822" s="7">
        <v>0</v>
      </c>
    </row>
    <row r="823" spans="1:1" x14ac:dyDescent="0.3">
      <c r="A823" s="7">
        <v>0</v>
      </c>
    </row>
    <row r="824" spans="1:1" x14ac:dyDescent="0.3">
      <c r="A824" s="7">
        <v>0</v>
      </c>
    </row>
    <row r="825" spans="1:1" x14ac:dyDescent="0.3">
      <c r="A825" s="7">
        <v>0</v>
      </c>
    </row>
    <row r="826" spans="1:1" x14ac:dyDescent="0.3">
      <c r="A826" s="7">
        <v>0</v>
      </c>
    </row>
    <row r="827" spans="1:1" x14ac:dyDescent="0.3">
      <c r="A827" s="7">
        <v>0</v>
      </c>
    </row>
    <row r="828" spans="1:1" x14ac:dyDescent="0.3">
      <c r="A828" s="7">
        <v>0</v>
      </c>
    </row>
    <row r="829" spans="1:1" x14ac:dyDescent="0.3">
      <c r="A829" s="7">
        <v>0</v>
      </c>
    </row>
    <row r="830" spans="1:1" x14ac:dyDescent="0.3">
      <c r="A830" s="7">
        <v>0</v>
      </c>
    </row>
    <row r="831" spans="1:1" x14ac:dyDescent="0.3">
      <c r="A831" s="7">
        <v>0</v>
      </c>
    </row>
    <row r="832" spans="1:1" x14ac:dyDescent="0.3">
      <c r="A832" s="7">
        <v>0</v>
      </c>
    </row>
    <row r="833" spans="1:1" x14ac:dyDescent="0.3">
      <c r="A833" s="7">
        <v>0</v>
      </c>
    </row>
    <row r="834" spans="1:1" x14ac:dyDescent="0.3">
      <c r="A834" s="7">
        <v>0</v>
      </c>
    </row>
    <row r="835" spans="1:1" x14ac:dyDescent="0.3">
      <c r="A835" s="7">
        <v>0</v>
      </c>
    </row>
    <row r="836" spans="1:1" x14ac:dyDescent="0.3">
      <c r="A836" s="7">
        <v>0</v>
      </c>
    </row>
    <row r="837" spans="1:1" x14ac:dyDescent="0.3">
      <c r="A837" s="7">
        <v>0</v>
      </c>
    </row>
    <row r="838" spans="1:1" x14ac:dyDescent="0.3">
      <c r="A838" s="7">
        <v>0</v>
      </c>
    </row>
    <row r="839" spans="1:1" x14ac:dyDescent="0.3">
      <c r="A839" s="7">
        <v>0</v>
      </c>
    </row>
    <row r="840" spans="1:1" x14ac:dyDescent="0.3">
      <c r="A840" s="7">
        <v>0</v>
      </c>
    </row>
    <row r="841" spans="1:1" x14ac:dyDescent="0.3">
      <c r="A841" s="7">
        <v>0</v>
      </c>
    </row>
    <row r="842" spans="1:1" x14ac:dyDescent="0.3">
      <c r="A842" s="7">
        <v>0</v>
      </c>
    </row>
    <row r="843" spans="1:1" x14ac:dyDescent="0.3">
      <c r="A843" s="7">
        <v>0</v>
      </c>
    </row>
    <row r="844" spans="1:1" x14ac:dyDescent="0.3">
      <c r="A844" s="7">
        <v>0</v>
      </c>
    </row>
    <row r="845" spans="1:1" x14ac:dyDescent="0.3">
      <c r="A845" s="7">
        <v>0</v>
      </c>
    </row>
    <row r="846" spans="1:1" x14ac:dyDescent="0.3">
      <c r="A846" s="7">
        <v>0</v>
      </c>
    </row>
    <row r="847" spans="1:1" x14ac:dyDescent="0.3">
      <c r="A847" s="7">
        <v>0</v>
      </c>
    </row>
    <row r="848" spans="1:1" x14ac:dyDescent="0.3">
      <c r="A848" s="7">
        <v>0</v>
      </c>
    </row>
    <row r="849" spans="1:1" x14ac:dyDescent="0.3">
      <c r="A849" s="7">
        <v>0</v>
      </c>
    </row>
    <row r="850" spans="1:1" x14ac:dyDescent="0.3">
      <c r="A850" s="7">
        <v>0</v>
      </c>
    </row>
    <row r="851" spans="1:1" x14ac:dyDescent="0.3">
      <c r="A851" s="7">
        <v>0</v>
      </c>
    </row>
    <row r="852" spans="1:1" x14ac:dyDescent="0.3">
      <c r="A852" s="7">
        <v>0</v>
      </c>
    </row>
    <row r="853" spans="1:1" x14ac:dyDescent="0.3">
      <c r="A853" s="7">
        <v>0</v>
      </c>
    </row>
    <row r="854" spans="1:1" x14ac:dyDescent="0.3">
      <c r="A854" s="7">
        <v>0</v>
      </c>
    </row>
    <row r="855" spans="1:1" x14ac:dyDescent="0.3">
      <c r="A855" s="7">
        <v>0</v>
      </c>
    </row>
    <row r="856" spans="1:1" x14ac:dyDescent="0.3">
      <c r="A856" s="7">
        <v>0</v>
      </c>
    </row>
    <row r="857" spans="1:1" x14ac:dyDescent="0.3">
      <c r="A857" s="7">
        <v>0</v>
      </c>
    </row>
    <row r="858" spans="1:1" x14ac:dyDescent="0.3">
      <c r="A858" s="7">
        <v>0</v>
      </c>
    </row>
    <row r="859" spans="1:1" x14ac:dyDescent="0.3">
      <c r="A859" s="7">
        <v>0</v>
      </c>
    </row>
    <row r="860" spans="1:1" x14ac:dyDescent="0.3">
      <c r="A860" s="7">
        <v>0</v>
      </c>
    </row>
    <row r="861" spans="1:1" x14ac:dyDescent="0.3">
      <c r="A861" s="7">
        <v>0</v>
      </c>
    </row>
    <row r="862" spans="1:1" x14ac:dyDescent="0.3">
      <c r="A862" s="7">
        <v>0</v>
      </c>
    </row>
    <row r="863" spans="1:1" x14ac:dyDescent="0.3">
      <c r="A863" s="7">
        <v>0</v>
      </c>
    </row>
    <row r="864" spans="1:1" x14ac:dyDescent="0.3">
      <c r="A864" s="7">
        <v>0</v>
      </c>
    </row>
    <row r="865" spans="1:1" x14ac:dyDescent="0.3">
      <c r="A865" s="7">
        <v>0</v>
      </c>
    </row>
    <row r="866" spans="1:1" x14ac:dyDescent="0.3">
      <c r="A866" s="7">
        <v>0</v>
      </c>
    </row>
    <row r="867" spans="1:1" x14ac:dyDescent="0.3">
      <c r="A867" s="7">
        <v>0</v>
      </c>
    </row>
    <row r="868" spans="1:1" x14ac:dyDescent="0.3">
      <c r="A868" s="7">
        <v>0</v>
      </c>
    </row>
    <row r="869" spans="1:1" x14ac:dyDescent="0.3">
      <c r="A869" s="7">
        <v>0</v>
      </c>
    </row>
    <row r="870" spans="1:1" x14ac:dyDescent="0.3">
      <c r="A870" s="7">
        <v>0</v>
      </c>
    </row>
    <row r="871" spans="1:1" x14ac:dyDescent="0.3">
      <c r="A871" s="7">
        <v>0</v>
      </c>
    </row>
    <row r="872" spans="1:1" x14ac:dyDescent="0.3">
      <c r="A872" s="7">
        <v>0</v>
      </c>
    </row>
    <row r="873" spans="1:1" x14ac:dyDescent="0.3">
      <c r="A873" s="7">
        <v>0</v>
      </c>
    </row>
    <row r="874" spans="1:1" x14ac:dyDescent="0.3">
      <c r="A874" s="7">
        <v>0</v>
      </c>
    </row>
    <row r="875" spans="1:1" x14ac:dyDescent="0.3">
      <c r="A875" s="7">
        <v>0</v>
      </c>
    </row>
    <row r="876" spans="1:1" x14ac:dyDescent="0.3">
      <c r="A876" s="7">
        <v>0</v>
      </c>
    </row>
    <row r="877" spans="1:1" x14ac:dyDescent="0.3">
      <c r="A877" s="7">
        <v>0</v>
      </c>
    </row>
    <row r="878" spans="1:1" x14ac:dyDescent="0.3">
      <c r="A878" s="7">
        <v>0</v>
      </c>
    </row>
    <row r="879" spans="1:1" x14ac:dyDescent="0.3">
      <c r="A879" s="7">
        <v>0</v>
      </c>
    </row>
    <row r="880" spans="1:1" x14ac:dyDescent="0.3">
      <c r="A880" s="7">
        <v>0</v>
      </c>
    </row>
    <row r="881" spans="1:1" x14ac:dyDescent="0.3">
      <c r="A881" s="7">
        <v>0</v>
      </c>
    </row>
    <row r="882" spans="1:1" x14ac:dyDescent="0.3">
      <c r="A882" s="7">
        <v>0</v>
      </c>
    </row>
    <row r="883" spans="1:1" x14ac:dyDescent="0.3">
      <c r="A883" s="7">
        <v>0</v>
      </c>
    </row>
    <row r="884" spans="1:1" x14ac:dyDescent="0.3">
      <c r="A884" s="7">
        <v>0</v>
      </c>
    </row>
    <row r="885" spans="1:1" x14ac:dyDescent="0.3">
      <c r="A885" s="7">
        <v>0</v>
      </c>
    </row>
    <row r="886" spans="1:1" x14ac:dyDescent="0.3">
      <c r="A886" s="7">
        <v>0</v>
      </c>
    </row>
    <row r="887" spans="1:1" x14ac:dyDescent="0.3">
      <c r="A887" s="7">
        <v>0</v>
      </c>
    </row>
    <row r="888" spans="1:1" x14ac:dyDescent="0.3">
      <c r="A888" s="7">
        <v>0</v>
      </c>
    </row>
    <row r="889" spans="1:1" x14ac:dyDescent="0.3">
      <c r="A889" s="7">
        <v>0</v>
      </c>
    </row>
    <row r="890" spans="1:1" x14ac:dyDescent="0.3">
      <c r="A890" s="7">
        <v>0</v>
      </c>
    </row>
    <row r="891" spans="1:1" x14ac:dyDescent="0.3">
      <c r="A891" s="7">
        <v>0</v>
      </c>
    </row>
    <row r="892" spans="1:1" x14ac:dyDescent="0.3">
      <c r="A892" s="7">
        <v>0</v>
      </c>
    </row>
    <row r="893" spans="1:1" x14ac:dyDescent="0.3">
      <c r="A893" s="7">
        <v>0</v>
      </c>
    </row>
    <row r="894" spans="1:1" x14ac:dyDescent="0.3">
      <c r="A894" s="7">
        <v>0</v>
      </c>
    </row>
    <row r="895" spans="1:1" x14ac:dyDescent="0.3">
      <c r="A895" s="7">
        <v>0</v>
      </c>
    </row>
    <row r="896" spans="1:1" x14ac:dyDescent="0.3">
      <c r="A896" s="7">
        <v>0</v>
      </c>
    </row>
    <row r="897" spans="1:1" x14ac:dyDescent="0.3">
      <c r="A897" s="7">
        <v>0</v>
      </c>
    </row>
    <row r="898" spans="1:1" x14ac:dyDescent="0.3">
      <c r="A898" s="7">
        <v>0</v>
      </c>
    </row>
    <row r="899" spans="1:1" x14ac:dyDescent="0.3">
      <c r="A899" s="7">
        <v>0</v>
      </c>
    </row>
    <row r="900" spans="1:1" x14ac:dyDescent="0.3">
      <c r="A900" s="7">
        <v>0</v>
      </c>
    </row>
    <row r="901" spans="1:1" x14ac:dyDescent="0.3">
      <c r="A901" s="7">
        <v>0</v>
      </c>
    </row>
    <row r="902" spans="1:1" x14ac:dyDescent="0.3">
      <c r="A902" s="7">
        <v>0</v>
      </c>
    </row>
    <row r="903" spans="1:1" x14ac:dyDescent="0.3">
      <c r="A903" s="7">
        <v>0</v>
      </c>
    </row>
    <row r="904" spans="1:1" x14ac:dyDescent="0.3">
      <c r="A904" s="7">
        <v>0</v>
      </c>
    </row>
    <row r="905" spans="1:1" x14ac:dyDescent="0.3">
      <c r="A905" s="7">
        <v>0</v>
      </c>
    </row>
    <row r="906" spans="1:1" x14ac:dyDescent="0.3">
      <c r="A906" s="7">
        <v>0</v>
      </c>
    </row>
    <row r="907" spans="1:1" x14ac:dyDescent="0.3">
      <c r="A907" s="7">
        <v>0</v>
      </c>
    </row>
    <row r="908" spans="1:1" x14ac:dyDescent="0.3">
      <c r="A908" s="7">
        <v>0</v>
      </c>
    </row>
    <row r="909" spans="1:1" x14ac:dyDescent="0.3">
      <c r="A909" s="7">
        <v>0</v>
      </c>
    </row>
    <row r="910" spans="1:1" x14ac:dyDescent="0.3">
      <c r="A910" s="7">
        <v>0</v>
      </c>
    </row>
    <row r="911" spans="1:1" x14ac:dyDescent="0.3">
      <c r="A911" s="7">
        <v>0</v>
      </c>
    </row>
    <row r="912" spans="1:1" x14ac:dyDescent="0.3">
      <c r="A912" s="7">
        <v>0</v>
      </c>
    </row>
    <row r="913" spans="1:1" x14ac:dyDescent="0.3">
      <c r="A913" s="7">
        <v>0</v>
      </c>
    </row>
    <row r="914" spans="1:1" x14ac:dyDescent="0.3">
      <c r="A914" s="7">
        <v>0</v>
      </c>
    </row>
    <row r="915" spans="1:1" x14ac:dyDescent="0.3">
      <c r="A915" s="7">
        <v>0</v>
      </c>
    </row>
    <row r="916" spans="1:1" x14ac:dyDescent="0.3">
      <c r="A916" s="7">
        <v>0</v>
      </c>
    </row>
    <row r="917" spans="1:1" x14ac:dyDescent="0.3">
      <c r="A917" s="7">
        <v>0</v>
      </c>
    </row>
    <row r="918" spans="1:1" x14ac:dyDescent="0.3">
      <c r="A918" s="7">
        <v>0</v>
      </c>
    </row>
    <row r="919" spans="1:1" x14ac:dyDescent="0.3">
      <c r="A919" s="7">
        <v>0</v>
      </c>
    </row>
    <row r="920" spans="1:1" x14ac:dyDescent="0.3">
      <c r="A920" s="7">
        <v>0</v>
      </c>
    </row>
    <row r="921" spans="1:1" x14ac:dyDescent="0.3">
      <c r="A921" s="7">
        <v>0</v>
      </c>
    </row>
    <row r="922" spans="1:1" x14ac:dyDescent="0.3">
      <c r="A922" s="7">
        <v>0</v>
      </c>
    </row>
    <row r="923" spans="1:1" x14ac:dyDescent="0.3">
      <c r="A923" s="7">
        <v>0</v>
      </c>
    </row>
    <row r="924" spans="1:1" x14ac:dyDescent="0.3">
      <c r="A924" s="7">
        <v>0</v>
      </c>
    </row>
    <row r="925" spans="1:1" x14ac:dyDescent="0.3">
      <c r="A925" s="7">
        <v>0</v>
      </c>
    </row>
    <row r="926" spans="1:1" x14ac:dyDescent="0.3">
      <c r="A926" s="7">
        <v>0</v>
      </c>
    </row>
    <row r="927" spans="1:1" x14ac:dyDescent="0.3">
      <c r="A927" s="7">
        <v>0</v>
      </c>
    </row>
    <row r="928" spans="1:1" x14ac:dyDescent="0.3">
      <c r="A928" s="7">
        <v>0</v>
      </c>
    </row>
    <row r="929" spans="1:1" x14ac:dyDescent="0.3">
      <c r="A929" s="7">
        <v>0</v>
      </c>
    </row>
    <row r="930" spans="1:1" x14ac:dyDescent="0.3">
      <c r="A930" s="7">
        <v>0</v>
      </c>
    </row>
    <row r="931" spans="1:1" x14ac:dyDescent="0.3">
      <c r="A931" s="7">
        <v>0</v>
      </c>
    </row>
    <row r="932" spans="1:1" x14ac:dyDescent="0.3">
      <c r="A932" s="7">
        <v>0</v>
      </c>
    </row>
    <row r="933" spans="1:1" x14ac:dyDescent="0.3">
      <c r="A933" s="7">
        <v>0</v>
      </c>
    </row>
    <row r="934" spans="1:1" x14ac:dyDescent="0.3">
      <c r="A934" s="7">
        <v>0</v>
      </c>
    </row>
    <row r="935" spans="1:1" x14ac:dyDescent="0.3">
      <c r="A935" s="7">
        <v>0</v>
      </c>
    </row>
    <row r="936" spans="1:1" x14ac:dyDescent="0.3">
      <c r="A936" s="7">
        <v>0</v>
      </c>
    </row>
    <row r="937" spans="1:1" x14ac:dyDescent="0.3">
      <c r="A937" s="7">
        <v>0</v>
      </c>
    </row>
    <row r="938" spans="1:1" x14ac:dyDescent="0.3">
      <c r="A938" s="7">
        <v>0</v>
      </c>
    </row>
    <row r="939" spans="1:1" x14ac:dyDescent="0.3">
      <c r="A939" s="7">
        <v>0</v>
      </c>
    </row>
    <row r="940" spans="1:1" x14ac:dyDescent="0.3">
      <c r="A940" s="7">
        <v>0</v>
      </c>
    </row>
    <row r="941" spans="1:1" x14ac:dyDescent="0.3">
      <c r="A941" s="7">
        <v>0</v>
      </c>
    </row>
    <row r="942" spans="1:1" x14ac:dyDescent="0.3">
      <c r="A942" s="7">
        <v>0</v>
      </c>
    </row>
    <row r="943" spans="1:1" x14ac:dyDescent="0.3">
      <c r="A943" s="7">
        <v>0</v>
      </c>
    </row>
    <row r="944" spans="1:1" x14ac:dyDescent="0.3">
      <c r="A944" s="7">
        <v>0</v>
      </c>
    </row>
    <row r="945" spans="1:1" x14ac:dyDescent="0.3">
      <c r="A945" s="7">
        <v>0</v>
      </c>
    </row>
    <row r="946" spans="1:1" x14ac:dyDescent="0.3">
      <c r="A946" s="7">
        <v>0</v>
      </c>
    </row>
    <row r="947" spans="1:1" x14ac:dyDescent="0.3">
      <c r="A947" s="7">
        <v>0</v>
      </c>
    </row>
    <row r="948" spans="1:1" x14ac:dyDescent="0.3">
      <c r="A948" s="7">
        <v>0</v>
      </c>
    </row>
    <row r="949" spans="1:1" x14ac:dyDescent="0.3">
      <c r="A949" s="7">
        <v>0</v>
      </c>
    </row>
    <row r="950" spans="1:1" x14ac:dyDescent="0.3">
      <c r="A950" s="7">
        <v>0</v>
      </c>
    </row>
    <row r="951" spans="1:1" x14ac:dyDescent="0.3">
      <c r="A951" s="7">
        <v>0</v>
      </c>
    </row>
    <row r="952" spans="1:1" x14ac:dyDescent="0.3">
      <c r="A952" s="7">
        <v>0</v>
      </c>
    </row>
    <row r="953" spans="1:1" x14ac:dyDescent="0.3">
      <c r="A953" s="7">
        <v>0</v>
      </c>
    </row>
    <row r="954" spans="1:1" x14ac:dyDescent="0.3">
      <c r="A954" s="7">
        <v>0</v>
      </c>
    </row>
    <row r="955" spans="1:1" x14ac:dyDescent="0.3">
      <c r="A955" s="7">
        <v>0</v>
      </c>
    </row>
    <row r="956" spans="1:1" x14ac:dyDescent="0.3">
      <c r="A956" s="7">
        <v>0</v>
      </c>
    </row>
    <row r="957" spans="1:1" x14ac:dyDescent="0.3">
      <c r="A957" s="7">
        <v>0</v>
      </c>
    </row>
    <row r="958" spans="1:1" x14ac:dyDescent="0.3">
      <c r="A958" s="7">
        <v>0</v>
      </c>
    </row>
    <row r="959" spans="1:1" x14ac:dyDescent="0.3">
      <c r="A959" s="7">
        <v>0</v>
      </c>
    </row>
    <row r="960" spans="1:1" x14ac:dyDescent="0.3">
      <c r="A960" s="7">
        <v>0</v>
      </c>
    </row>
    <row r="961" spans="1:1" x14ac:dyDescent="0.3">
      <c r="A961" s="7">
        <v>0</v>
      </c>
    </row>
    <row r="962" spans="1:1" x14ac:dyDescent="0.3">
      <c r="A962" s="7">
        <v>0</v>
      </c>
    </row>
    <row r="963" spans="1:1" x14ac:dyDescent="0.3">
      <c r="A963" s="7">
        <v>0</v>
      </c>
    </row>
    <row r="964" spans="1:1" x14ac:dyDescent="0.3">
      <c r="A964" s="7">
        <v>0</v>
      </c>
    </row>
    <row r="965" spans="1:1" x14ac:dyDescent="0.3">
      <c r="A965" s="7">
        <v>0</v>
      </c>
    </row>
    <row r="966" spans="1:1" x14ac:dyDescent="0.3">
      <c r="A966" s="7">
        <v>0</v>
      </c>
    </row>
    <row r="967" spans="1:1" x14ac:dyDescent="0.3">
      <c r="A967" s="7">
        <v>0</v>
      </c>
    </row>
    <row r="968" spans="1:1" x14ac:dyDescent="0.3">
      <c r="A968" s="7">
        <v>0</v>
      </c>
    </row>
    <row r="969" spans="1:1" x14ac:dyDescent="0.3">
      <c r="A969" s="7">
        <v>0</v>
      </c>
    </row>
    <row r="970" spans="1:1" x14ac:dyDescent="0.3">
      <c r="A970" s="7">
        <v>0</v>
      </c>
    </row>
    <row r="971" spans="1:1" x14ac:dyDescent="0.3">
      <c r="A971" s="7">
        <v>0</v>
      </c>
    </row>
    <row r="972" spans="1:1" x14ac:dyDescent="0.3">
      <c r="A972" s="7">
        <v>0</v>
      </c>
    </row>
    <row r="973" spans="1:1" x14ac:dyDescent="0.3">
      <c r="A973" s="7">
        <v>0</v>
      </c>
    </row>
    <row r="974" spans="1:1" x14ac:dyDescent="0.3">
      <c r="A974" s="7">
        <v>0</v>
      </c>
    </row>
    <row r="975" spans="1:1" x14ac:dyDescent="0.3">
      <c r="A975" s="7">
        <v>0</v>
      </c>
    </row>
    <row r="976" spans="1:1" x14ac:dyDescent="0.3">
      <c r="A976" s="7">
        <v>0</v>
      </c>
    </row>
    <row r="977" spans="1:1" x14ac:dyDescent="0.3">
      <c r="A977" s="7">
        <v>0</v>
      </c>
    </row>
    <row r="978" spans="1:1" x14ac:dyDescent="0.3">
      <c r="A978" s="7">
        <v>0</v>
      </c>
    </row>
    <row r="979" spans="1:1" x14ac:dyDescent="0.3">
      <c r="A979" s="7">
        <v>0</v>
      </c>
    </row>
    <row r="980" spans="1:1" x14ac:dyDescent="0.3">
      <c r="A980" s="7">
        <v>0</v>
      </c>
    </row>
    <row r="981" spans="1:1" x14ac:dyDescent="0.3">
      <c r="A981" s="7">
        <v>0</v>
      </c>
    </row>
    <row r="982" spans="1:1" x14ac:dyDescent="0.3">
      <c r="A982" s="7">
        <v>0</v>
      </c>
    </row>
    <row r="983" spans="1:1" x14ac:dyDescent="0.3">
      <c r="A983" s="7">
        <v>0</v>
      </c>
    </row>
    <row r="984" spans="1:1" x14ac:dyDescent="0.3">
      <c r="A984" s="7">
        <v>0</v>
      </c>
    </row>
    <row r="985" spans="1:1" x14ac:dyDescent="0.3">
      <c r="A985" s="7">
        <v>0</v>
      </c>
    </row>
    <row r="986" spans="1:1" x14ac:dyDescent="0.3">
      <c r="A986" s="7">
        <v>0</v>
      </c>
    </row>
    <row r="987" spans="1:1" x14ac:dyDescent="0.3">
      <c r="A987" s="7">
        <v>0</v>
      </c>
    </row>
    <row r="988" spans="1:1" x14ac:dyDescent="0.3">
      <c r="A988" s="7">
        <v>0</v>
      </c>
    </row>
    <row r="989" spans="1:1" x14ac:dyDescent="0.3">
      <c r="A989" s="7">
        <v>0</v>
      </c>
    </row>
    <row r="990" spans="1:1" x14ac:dyDescent="0.3">
      <c r="A990" s="7">
        <v>0</v>
      </c>
    </row>
    <row r="991" spans="1:1" x14ac:dyDescent="0.3">
      <c r="A991" s="7">
        <v>0</v>
      </c>
    </row>
    <row r="992" spans="1:1" x14ac:dyDescent="0.3">
      <c r="A992" s="7">
        <v>0</v>
      </c>
    </row>
    <row r="993" spans="1:1" x14ac:dyDescent="0.3">
      <c r="A993" s="7">
        <v>0</v>
      </c>
    </row>
    <row r="994" spans="1:1" x14ac:dyDescent="0.3">
      <c r="A994" s="7">
        <v>0</v>
      </c>
    </row>
    <row r="995" spans="1:1" x14ac:dyDescent="0.3">
      <c r="A995" s="7">
        <v>0</v>
      </c>
    </row>
    <row r="996" spans="1:1" x14ac:dyDescent="0.3">
      <c r="A996" s="7">
        <v>0</v>
      </c>
    </row>
    <row r="997" spans="1:1" x14ac:dyDescent="0.3">
      <c r="A997" s="7">
        <v>0</v>
      </c>
    </row>
    <row r="998" spans="1:1" x14ac:dyDescent="0.3">
      <c r="A998" s="7">
        <v>0</v>
      </c>
    </row>
    <row r="999" spans="1:1" x14ac:dyDescent="0.3">
      <c r="A999" s="7">
        <v>0</v>
      </c>
    </row>
    <row r="1000" spans="1:1" x14ac:dyDescent="0.3">
      <c r="A1000" s="7">
        <v>0</v>
      </c>
    </row>
    <row r="1001" spans="1:1" x14ac:dyDescent="0.3">
      <c r="A1001" s="7">
        <v>0</v>
      </c>
    </row>
    <row r="1002" spans="1:1" x14ac:dyDescent="0.3">
      <c r="A1002" s="7">
        <v>0</v>
      </c>
    </row>
  </sheetData>
  <mergeCells count="16">
    <mergeCell ref="P2:Q2"/>
    <mergeCell ref="P3:Q3"/>
    <mergeCell ref="R3:V3"/>
    <mergeCell ref="P4:Q4"/>
    <mergeCell ref="R4:V4"/>
    <mergeCell ref="A3:A4"/>
    <mergeCell ref="A2:B2"/>
    <mergeCell ref="B3:B4"/>
    <mergeCell ref="A1:N1"/>
    <mergeCell ref="E3:E4"/>
    <mergeCell ref="C2:G2"/>
    <mergeCell ref="I2:J2"/>
    <mergeCell ref="K2:L2"/>
    <mergeCell ref="M2:N2"/>
    <mergeCell ref="C3:D3"/>
    <mergeCell ref="F3:G3"/>
  </mergeCells>
  <conditionalFormatting sqref="M4:N4">
    <cfRule type="cellIs" dxfId="14" priority="3" operator="greaterThanOrEqual">
      <formula>100%</formula>
    </cfRule>
  </conditionalFormatting>
  <conditionalFormatting sqref="D5:D9999">
    <cfRule type="expression" dxfId="13" priority="4">
      <formula>AND($D5&lt;&gt;"",$G5&lt;&gt;"",$D5&gt;$G5)</formula>
    </cfRule>
    <cfRule type="expression" dxfId="12" priority="5">
      <formula>AND($D5&lt;&gt;"",$G5&lt;&gt;"",$D5&lt;$G5)</formula>
    </cfRule>
  </conditionalFormatting>
  <conditionalFormatting sqref="C5:C9999">
    <cfRule type="expression" dxfId="11" priority="6">
      <formula>AND($C5&lt;&gt;"",$F5&lt;&gt;"",$C5&gt;$F5)</formula>
    </cfRule>
    <cfRule type="expression" dxfId="10" priority="7">
      <formula>AND($C5&lt;&gt;"",$F5&lt;&gt;"",$C5&lt;$F5)</formula>
    </cfRule>
  </conditionalFormatting>
  <conditionalFormatting sqref="E5:E9999">
    <cfRule type="colorScale" priority="1">
      <colorScale>
        <cfvo type="min"/>
        <cfvo type="max"/>
        <color rgb="FFFF7128"/>
        <color rgb="FFFFEF9C"/>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1">
        <x14:dataValidation type="list" xr:uid="{00000000-0002-0000-0400-000000000000}">
          <x14:formula1>
            <xm:f>'Data-Lists'!$A$3:$A$20</xm:f>
          </x14:formula1>
          <x14:formula2>
            <xm:f>0</xm:f>
          </x14:formula2>
          <xm:sqref>C2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6" tint="0.59999389629810485"/>
  </sheetPr>
  <dimension ref="A1:M60"/>
  <sheetViews>
    <sheetView zoomScaleNormal="85" workbookViewId="0">
      <pane ySplit="3" topLeftCell="A4" activePane="bottomLeft" state="frozen"/>
      <selection activeCell="B1" sqref="B1:C1"/>
      <selection pane="bottomLeft" activeCell="L22" sqref="L22"/>
    </sheetView>
  </sheetViews>
  <sheetFormatPr defaultColWidth="8.6640625" defaultRowHeight="14.4" x14ac:dyDescent="0.3"/>
  <cols>
    <col min="1" max="1" width="21.88671875" style="7" customWidth="1"/>
    <col min="2" max="3" width="15.77734375" style="7" customWidth="1"/>
    <col min="4" max="5" width="17.33203125" style="7" customWidth="1"/>
    <col min="6" max="7" width="17.33203125" style="7" hidden="1" customWidth="1"/>
    <col min="8" max="9" width="17.33203125" style="7" customWidth="1"/>
    <col min="10" max="10" width="34.5546875" hidden="1" customWidth="1"/>
    <col min="11" max="11" width="10.5546875" bestFit="1" customWidth="1"/>
    <col min="12" max="13" width="25.88671875" customWidth="1"/>
  </cols>
  <sheetData>
    <row r="1" spans="1:13" s="55" customFormat="1" x14ac:dyDescent="0.3">
      <c r="A1" s="122" t="s">
        <v>13</v>
      </c>
      <c r="B1" s="124" t="s">
        <v>66</v>
      </c>
      <c r="C1" s="124"/>
      <c r="D1" s="124" t="s">
        <v>65</v>
      </c>
      <c r="E1" s="124"/>
      <c r="F1" s="124" t="s">
        <v>64</v>
      </c>
      <c r="G1" s="124"/>
      <c r="H1" s="124" t="s">
        <v>63</v>
      </c>
      <c r="I1" s="124"/>
      <c r="L1" s="129" t="s">
        <v>55</v>
      </c>
      <c r="M1" s="130"/>
    </row>
    <row r="2" spans="1:13" x14ac:dyDescent="0.3">
      <c r="A2" s="122"/>
      <c r="B2" s="127" t="s">
        <v>53</v>
      </c>
      <c r="C2" s="128"/>
      <c r="D2" s="120" t="s">
        <v>61</v>
      </c>
      <c r="E2" s="120"/>
      <c r="F2" s="125" t="s">
        <v>60</v>
      </c>
      <c r="G2" s="125"/>
      <c r="H2" s="126" t="s">
        <v>62</v>
      </c>
      <c r="I2" s="126"/>
      <c r="J2" s="131" t="s">
        <v>45</v>
      </c>
      <c r="L2" s="35" t="s">
        <v>33</v>
      </c>
      <c r="M2" s="35" t="s">
        <v>34</v>
      </c>
    </row>
    <row r="3" spans="1:13" x14ac:dyDescent="0.3">
      <c r="A3" s="123"/>
      <c r="B3" s="56" t="s">
        <v>33</v>
      </c>
      <c r="C3" s="57" t="s">
        <v>34</v>
      </c>
      <c r="D3" s="58" t="s">
        <v>33</v>
      </c>
      <c r="E3" s="59" t="s">
        <v>34</v>
      </c>
      <c r="F3" s="60" t="s">
        <v>33</v>
      </c>
      <c r="G3" s="60" t="s">
        <v>34</v>
      </c>
      <c r="H3" s="61" t="s">
        <v>33</v>
      </c>
      <c r="I3" s="61" t="s">
        <v>34</v>
      </c>
      <c r="J3" s="132"/>
      <c r="L3" s="39">
        <f>AVERAGE(B4:B21)</f>
        <v>0.39072401111111116</v>
      </c>
      <c r="M3" s="39">
        <f>AVERAGE(C4:C21)</f>
        <v>9.3435377098765426E-2</v>
      </c>
    </row>
    <row r="4" spans="1:13" x14ac:dyDescent="0.3">
      <c r="A4" s="29" t="s">
        <v>14</v>
      </c>
      <c r="B4" s="40">
        <f>_xlfn.LET(
  _xlpm.cam, $A4,
  _xlpm.errSum, SUMIFS(ArchivedLog!$D:$D, ArchivedLog!$B:$B, _xlpm.cam, ArchivedLog!$D:$D, "&lt;&gt;"),
  _xlpm.errCount, COUNTIFS(ArchivedLog!$B:$B, _xlpm.cam, ArchivedLog!$D:$D, "&lt;&gt;"),
  IF(_xlpm.errCount=0, "", _xlpm.errSum/_xlpm.errCount)
)</f>
        <v>0.34435570000000004</v>
      </c>
      <c r="C4" s="41">
        <f>_xlfn.LET(
  _xlpm.cam, $A4,
  _xlpm.errSum, SUMIFS(ArchivedLog!$E:$E, ArchivedLog!$B:$B, _xlpm.cam, ArchivedLog!$E:$E, "&lt;&gt;"),
  _xlpm.errCount, COUNTIFS(ArchivedLog!$B:$B, _xlpm.cam, ArchivedLog!$E:$E, "&lt;&gt;"),
  IF(_xlpm.errCount=0, "", _xlpm.errSum/_xlpm.errCount)
)</f>
        <v>9.752145999999999E-2</v>
      </c>
      <c r="D4" s="22">
        <f>COUNTIFS(ArchivedLog!$B:$B, $A4, ArchivedLog!$H:$H, "Yes")</f>
        <v>6</v>
      </c>
      <c r="E4" s="23">
        <f>COUNTIFS(ArchivedLog!$B:$B, $A4, ArchivedLog!$I:$I, "Yes")</f>
        <v>5</v>
      </c>
      <c r="F4" s="20">
        <f>COUNTIFS(ArchivedLog!$B:$B, $A4, ArchivedLog!$H:$H, "No")</f>
        <v>4</v>
      </c>
      <c r="G4" s="21">
        <f>COUNTIFS(ArchivedLog!$B:$B, $A4, ArchivedLog!$I:$I, "No")</f>
        <v>5</v>
      </c>
      <c r="H4" s="53">
        <f>D4/COUNT(_xlfn.UNIQUE(ArchivedLog!$A$4:$A$282))</f>
        <v>0.6</v>
      </c>
      <c r="I4" s="53">
        <f>E4/COUNT(_xlfn.UNIQUE(ArchivedLog!$A$4:$A$282))</f>
        <v>0.5</v>
      </c>
      <c r="J4" s="33"/>
      <c r="K4" s="54"/>
      <c r="L4" s="54"/>
      <c r="M4" s="54"/>
    </row>
    <row r="5" spans="1:13" x14ac:dyDescent="0.3">
      <c r="A5" s="30" t="s">
        <v>15</v>
      </c>
      <c r="B5" s="40">
        <f>_xlfn.LET(
  _xlpm.cam, $A5,
  _xlpm.errSum, SUMIFS(ArchivedLog!$D:$D, ArchivedLog!$B:$B, _xlpm.cam, ArchivedLog!$D:$D, "&lt;&gt;"),
  _xlpm.errCount, COUNTIFS(ArchivedLog!$B:$B, _xlpm.cam, ArchivedLog!$D:$D, "&lt;&gt;"),
  IF(_xlpm.errCount=0, "", _xlpm.errSum/_xlpm.errCount)
)</f>
        <v>0.43255879999999997</v>
      </c>
      <c r="C5" s="41">
        <f>_xlfn.LET(
  _xlpm.cam, $A5,
  _xlpm.errSum, SUMIFS(ArchivedLog!$E:$E, ArchivedLog!$B:$B, _xlpm.cam, ArchivedLog!$E:$E, "&lt;&gt;"),
  _xlpm.errCount, COUNTIFS(ArchivedLog!$B:$B, _xlpm.cam, ArchivedLog!$E:$E, "&lt;&gt;"),
  IF(_xlpm.errCount=0, "", _xlpm.errSum/_xlpm.errCount)
)</f>
        <v>0.11479949999999998</v>
      </c>
      <c r="D5" s="22">
        <f>COUNTIFS(ArchivedLog!$B:$B, $A5, ArchivedLog!$H:$H, "Yes")</f>
        <v>1</v>
      </c>
      <c r="E5" s="23">
        <f>COUNTIFS(ArchivedLog!$B:$B, $A5, ArchivedLog!$I:$I, "Yes")</f>
        <v>0</v>
      </c>
      <c r="F5" s="20">
        <f>COUNTIFS(ArchivedLog!$B:$B, $A5, ArchivedLog!$H:$H, "No")</f>
        <v>9</v>
      </c>
      <c r="G5" s="21">
        <f>COUNTIFS(ArchivedLog!$B:$B, $A5, ArchivedLog!$I:$I, "No")</f>
        <v>10</v>
      </c>
      <c r="H5" s="53">
        <f>D5/COUNT(_xlfn.UNIQUE(ArchivedLog!$A$4:$A$282))</f>
        <v>0.1</v>
      </c>
      <c r="I5" s="53">
        <f>E5/COUNT(_xlfn.UNIQUE(ArchivedLog!$A$4:$A$282))</f>
        <v>0</v>
      </c>
      <c r="J5" s="33"/>
    </row>
    <row r="6" spans="1:13" x14ac:dyDescent="0.3">
      <c r="A6" s="29" t="s">
        <v>16</v>
      </c>
      <c r="B6" s="40">
        <f>_xlfn.LET(
  _xlpm.cam, $A6,
  _xlpm.errSum, SUMIFS(ArchivedLog!$D:$D, ArchivedLog!$B:$B, _xlpm.cam, ArchivedLog!$D:$D, "&lt;&gt;"),
  _xlpm.errCount, COUNTIFS(ArchivedLog!$B:$B, _xlpm.cam, ArchivedLog!$D:$D, "&lt;&gt;"),
  IF(_xlpm.errCount=0, "", _xlpm.errSum/_xlpm.errCount)
)</f>
        <v>0.44802700000000001</v>
      </c>
      <c r="C6" s="41">
        <f>_xlfn.LET(
  _xlpm.cam, $A6,
  _xlpm.errSum, SUMIFS(ArchivedLog!$E:$E, ArchivedLog!$B:$B, _xlpm.cam, ArchivedLog!$E:$E, "&lt;&gt;"),
  _xlpm.errCount, COUNTIFS(ArchivedLog!$B:$B, _xlpm.cam, ArchivedLog!$E:$E, "&lt;&gt;"),
  IF(_xlpm.errCount=0, "", _xlpm.errSum/_xlpm.errCount)
)</f>
        <v>0.10578369000000001</v>
      </c>
      <c r="D6" s="22">
        <f>COUNTIFS(ArchivedLog!$B:$B, $A6, ArchivedLog!$H:$H, "Yes")</f>
        <v>2</v>
      </c>
      <c r="E6" s="23">
        <f>COUNTIFS(ArchivedLog!$B:$B, $A6, ArchivedLog!$I:$I, "Yes")</f>
        <v>2</v>
      </c>
      <c r="F6" s="20">
        <f>COUNTIFS(ArchivedLog!$B:$B, $A6, ArchivedLog!$H:$H, "No")</f>
        <v>8</v>
      </c>
      <c r="G6" s="21">
        <f>COUNTIFS(ArchivedLog!$B:$B, $A6, ArchivedLog!$I:$I, "No")</f>
        <v>8</v>
      </c>
      <c r="H6" s="53">
        <f>D6/COUNT(_xlfn.UNIQUE(ArchivedLog!$A$4:$A$282))</f>
        <v>0.2</v>
      </c>
      <c r="I6" s="53">
        <f>E6/COUNT(_xlfn.UNIQUE(ArchivedLog!$A$4:$A$282))</f>
        <v>0.2</v>
      </c>
      <c r="J6" s="33"/>
    </row>
    <row r="7" spans="1:13" x14ac:dyDescent="0.3">
      <c r="A7" s="30" t="s">
        <v>17</v>
      </c>
      <c r="B7" s="40">
        <f>_xlfn.LET(
  _xlpm.cam, $A7,
  _xlpm.errSum, SUMIFS(ArchivedLog!$D:$D, ArchivedLog!$B:$B, _xlpm.cam, ArchivedLog!$D:$D, "&lt;&gt;"),
  _xlpm.errCount, COUNTIFS(ArchivedLog!$B:$B, _xlpm.cam, ArchivedLog!$D:$D, "&lt;&gt;"),
  IF(_xlpm.errCount=0, "", _xlpm.errSum/_xlpm.errCount)
)</f>
        <v>0.54221069999999993</v>
      </c>
      <c r="C7" s="41">
        <f>_xlfn.LET(
  _xlpm.cam, $A7,
  _xlpm.errSum, SUMIFS(ArchivedLog!$E:$E, ArchivedLog!$B:$B, _xlpm.cam, ArchivedLog!$E:$E, "&lt;&gt;"),
  _xlpm.errCount, COUNTIFS(ArchivedLog!$B:$B, _xlpm.cam, ArchivedLog!$E:$E, "&lt;&gt;"),
  IF(_xlpm.errCount=0, "", _xlpm.errSum/_xlpm.errCount)
)</f>
        <v>0.10746894</v>
      </c>
      <c r="D7" s="22">
        <f>COUNTIFS(ArchivedLog!$B:$B, $A7, ArchivedLog!$H:$H, "Yes")</f>
        <v>1</v>
      </c>
      <c r="E7" s="23">
        <f>COUNTIFS(ArchivedLog!$B:$B, $A7, ArchivedLog!$I:$I, "Yes")</f>
        <v>1</v>
      </c>
      <c r="F7" s="20">
        <f>COUNTIFS(ArchivedLog!$B:$B, $A7, ArchivedLog!$H:$H, "No")</f>
        <v>9</v>
      </c>
      <c r="G7" s="21">
        <f>COUNTIFS(ArchivedLog!$B:$B, $A7, ArchivedLog!$I:$I, "No")</f>
        <v>9</v>
      </c>
      <c r="H7" s="53">
        <f>D7/COUNT(_xlfn.UNIQUE(ArchivedLog!$A$4:$A$282))</f>
        <v>0.1</v>
      </c>
      <c r="I7" s="53">
        <f>E7/COUNT(_xlfn.UNIQUE(ArchivedLog!$A$4:$A$282))</f>
        <v>0.1</v>
      </c>
      <c r="J7" s="33"/>
    </row>
    <row r="8" spans="1:13" x14ac:dyDescent="0.3">
      <c r="A8" s="29" t="s">
        <v>18</v>
      </c>
      <c r="B8" s="40">
        <f>_xlfn.LET(
  _xlpm.cam, $A8,
  _xlpm.errSum, SUMIFS(ArchivedLog!$D:$D, ArchivedLog!$B:$B, _xlpm.cam, ArchivedLog!$D:$D, "&lt;&gt;"),
  _xlpm.errCount, COUNTIFS(ArchivedLog!$B:$B, _xlpm.cam, ArchivedLog!$D:$D, "&lt;&gt;"),
  IF(_xlpm.errCount=0, "", _xlpm.errSum/_xlpm.errCount)
)</f>
        <v>0.27887899999999999</v>
      </c>
      <c r="C8" s="41">
        <f>_xlfn.LET(
  _xlpm.cam, $A8,
  _xlpm.errSum, SUMIFS(ArchivedLog!$E:$E, ArchivedLog!$B:$B, _xlpm.cam, ArchivedLog!$E:$E, "&lt;&gt;"),
  _xlpm.errCount, COUNTIFS(ArchivedLog!$B:$B, _xlpm.cam, ArchivedLog!$E:$E, "&lt;&gt;"),
  IF(_xlpm.errCount=0, "", _xlpm.errSum/_xlpm.errCount)
)</f>
        <v>6.6560270000000005E-2</v>
      </c>
      <c r="D8" s="22">
        <f>COUNTIFS(ArchivedLog!$B:$B, $A8, ArchivedLog!$H:$H, "Yes")</f>
        <v>10</v>
      </c>
      <c r="E8" s="23">
        <f>COUNTIFS(ArchivedLog!$B:$B, $A8, ArchivedLog!$I:$I, "Yes")</f>
        <v>10</v>
      </c>
      <c r="F8" s="20">
        <f>COUNTIFS(ArchivedLog!$B:$B, $A8, ArchivedLog!$H:$H, "No")</f>
        <v>0</v>
      </c>
      <c r="G8" s="21">
        <f>COUNTIFS(ArchivedLog!$B:$B, $A8, ArchivedLog!$I:$I, "No")</f>
        <v>0</v>
      </c>
      <c r="H8" s="53">
        <f>D8/COUNT(_xlfn.UNIQUE(ArchivedLog!$A$4:$A$282))</f>
        <v>1</v>
      </c>
      <c r="I8" s="53">
        <f>E8/COUNT(_xlfn.UNIQUE(ArchivedLog!$A$4:$A$282))</f>
        <v>1</v>
      </c>
      <c r="J8" s="33"/>
    </row>
    <row r="9" spans="1:13" x14ac:dyDescent="0.3">
      <c r="A9" s="30" t="s">
        <v>19</v>
      </c>
      <c r="B9" s="40">
        <f>_xlfn.LET(
  _xlpm.cam, $A9,
  _xlpm.errSum, SUMIFS(ArchivedLog!$D:$D, ArchivedLog!$B:$B, _xlpm.cam, ArchivedLog!$D:$D, "&lt;&gt;"),
  _xlpm.errCount, COUNTIFS(ArchivedLog!$B:$B, _xlpm.cam, ArchivedLog!$D:$D, "&lt;&gt;"),
  IF(_xlpm.errCount=0, "", _xlpm.errSum/_xlpm.errCount)
)</f>
        <v>0.5141599</v>
      </c>
      <c r="C9" s="41">
        <f>_xlfn.LET(
  _xlpm.cam, $A9,
  _xlpm.errSum, SUMIFS(ArchivedLog!$E:$E, ArchivedLog!$B:$B, _xlpm.cam, ArchivedLog!$E:$E, "&lt;&gt;"),
  _xlpm.errCount, COUNTIFS(ArchivedLog!$B:$B, _xlpm.cam, ArchivedLog!$E:$E, "&lt;&gt;"),
  IF(_xlpm.errCount=0, "", _xlpm.errSum/_xlpm.errCount)
)</f>
        <v>0.10813032</v>
      </c>
      <c r="D9" s="22">
        <f>COUNTIFS(ArchivedLog!$B:$B, $A9, ArchivedLog!$H:$H, "Yes")</f>
        <v>2</v>
      </c>
      <c r="E9" s="23">
        <f>COUNTIFS(ArchivedLog!$B:$B, $A9, ArchivedLog!$I:$I, "Yes")</f>
        <v>6</v>
      </c>
      <c r="F9" s="20">
        <f>COUNTIFS(ArchivedLog!$B:$B, $A9, ArchivedLog!$H:$H, "No")</f>
        <v>8</v>
      </c>
      <c r="G9" s="21">
        <f>COUNTIFS(ArchivedLog!$B:$B, $A9, ArchivedLog!$I:$I, "No")</f>
        <v>4</v>
      </c>
      <c r="H9" s="53">
        <f>D9/COUNT(_xlfn.UNIQUE(ArchivedLog!$A$4:$A$282))</f>
        <v>0.2</v>
      </c>
      <c r="I9" s="53">
        <f>E9/COUNT(_xlfn.UNIQUE(ArchivedLog!$A$4:$A$282))</f>
        <v>0.6</v>
      </c>
      <c r="J9" s="33"/>
    </row>
    <row r="10" spans="1:13" x14ac:dyDescent="0.3">
      <c r="A10" s="29" t="s">
        <v>20</v>
      </c>
      <c r="B10" s="40">
        <f>_xlfn.LET(
  _xlpm.cam, $A10,
  _xlpm.errSum, SUMIFS(ArchivedLog!$D:$D, ArchivedLog!$B:$B, _xlpm.cam, ArchivedLog!$D:$D, "&lt;&gt;"),
  _xlpm.errCount, COUNTIFS(ArchivedLog!$B:$B, _xlpm.cam, ArchivedLog!$D:$D, "&lt;&gt;"),
  IF(_xlpm.errCount=0, "", _xlpm.errSum/_xlpm.errCount)
)</f>
        <v>0.47069259999999991</v>
      </c>
      <c r="C10" s="41">
        <f>_xlfn.LET(
  _xlpm.cam, $A10,
  _xlpm.errSum, SUMIFS(ArchivedLog!$E:$E, ArchivedLog!$B:$B, _xlpm.cam, ArchivedLog!$E:$E, "&lt;&gt;"),
  _xlpm.errCount, COUNTIFS(ArchivedLog!$B:$B, _xlpm.cam, ArchivedLog!$E:$E, "&lt;&gt;"),
  IF(_xlpm.errCount=0, "", _xlpm.errSum/_xlpm.errCount)
)</f>
        <v>9.8197589999999987E-2</v>
      </c>
      <c r="D10" s="22">
        <f>COUNTIFS(ArchivedLog!$B:$B, $A10, ArchivedLog!$H:$H, "Yes")</f>
        <v>2</v>
      </c>
      <c r="E10" s="23">
        <f>COUNTIFS(ArchivedLog!$B:$B, $A10, ArchivedLog!$I:$I, "Yes")</f>
        <v>3</v>
      </c>
      <c r="F10" s="20">
        <f>COUNTIFS(ArchivedLog!$B:$B, $A10, ArchivedLog!$H:$H, "No")</f>
        <v>8</v>
      </c>
      <c r="G10" s="21">
        <f>COUNTIFS(ArchivedLog!$B:$B, $A10, ArchivedLog!$I:$I, "No")</f>
        <v>7</v>
      </c>
      <c r="H10" s="53">
        <f>D10/COUNT(_xlfn.UNIQUE(ArchivedLog!$A$4:$A$282))</f>
        <v>0.2</v>
      </c>
      <c r="I10" s="53">
        <f>E10/COUNT(_xlfn.UNIQUE(ArchivedLog!$A$4:$A$282))</f>
        <v>0.3</v>
      </c>
      <c r="J10" s="33"/>
    </row>
    <row r="11" spans="1:13" x14ac:dyDescent="0.3">
      <c r="A11" s="31" t="s">
        <v>44</v>
      </c>
      <c r="B11" s="40">
        <f>_xlfn.LET(
  _xlpm.cam, $A11,
  _xlpm.errSum, SUMIFS(ArchivedLog!$D:$D, ArchivedLog!$B:$B, _xlpm.cam, ArchivedLog!$D:$D, "&lt;&gt;"),
  _xlpm.errCount, COUNTIFS(ArchivedLog!$B:$B, _xlpm.cam, ArchivedLog!$D:$D, "&lt;&gt;"),
  IF(_xlpm.errCount=0, "", _xlpm.errSum/_xlpm.errCount)
)</f>
        <v>0.22279000000000002</v>
      </c>
      <c r="C11" s="41">
        <f>_xlfn.LET(
  _xlpm.cam, $A11,
  _xlpm.errSum, SUMIFS(ArchivedLog!$E:$E, ArchivedLog!$B:$B, _xlpm.cam, ArchivedLog!$E:$E, "&lt;&gt;"),
  _xlpm.errCount, COUNTIFS(ArchivedLog!$B:$B, _xlpm.cam, ArchivedLog!$E:$E, "&lt;&gt;"),
  IF(_xlpm.errCount=0, "", _xlpm.errSum/_xlpm.errCount)
)</f>
        <v>6.7323477777777779E-2</v>
      </c>
      <c r="D11" s="22">
        <f>COUNTIFS(ArchivedLog!$B:$B, $A11, ArchivedLog!$H:$H, "Yes")</f>
        <v>9</v>
      </c>
      <c r="E11" s="23">
        <f>COUNTIFS(ArchivedLog!$B:$B, $A11, ArchivedLog!$I:$I, "Yes")</f>
        <v>9</v>
      </c>
      <c r="F11" s="20">
        <f>COUNTIFS(ArchivedLog!$B:$B, $A11, ArchivedLog!$H:$H, "No")</f>
        <v>0</v>
      </c>
      <c r="G11" s="21">
        <f>COUNTIFS(ArchivedLog!$B:$B, $A11, ArchivedLog!$I:$I, "No")</f>
        <v>0</v>
      </c>
      <c r="H11" s="53">
        <f>D11/COUNT(_xlfn.UNIQUE(ArchivedLog!$A$4:$A$282))</f>
        <v>0.9</v>
      </c>
      <c r="I11" s="53">
        <f>E11/COUNT(_xlfn.UNIQUE(ArchivedLog!$A$4:$A$282))</f>
        <v>0.9</v>
      </c>
      <c r="J11" s="33"/>
      <c r="L11" s="62" t="s">
        <v>68</v>
      </c>
    </row>
    <row r="12" spans="1:13" x14ac:dyDescent="0.3">
      <c r="A12" s="29" t="s">
        <v>21</v>
      </c>
      <c r="B12" s="40">
        <f>_xlfn.LET(
  _xlpm.cam, $A12,
  _xlpm.errSum, SUMIFS(ArchivedLog!$D:$D, ArchivedLog!$B:$B, _xlpm.cam, ArchivedLog!$D:$D, "&lt;&gt;"),
  _xlpm.errCount, COUNTIFS(ArchivedLog!$B:$B, _xlpm.cam, ArchivedLog!$D:$D, "&lt;&gt;"),
  IF(_xlpm.errCount=0, "", _xlpm.errSum/_xlpm.errCount)
)</f>
        <v>0.50948850000000001</v>
      </c>
      <c r="C12" s="41">
        <f>_xlfn.LET(
  _xlpm.cam, $A12,
  _xlpm.errSum, SUMIFS(ArchivedLog!$E:$E, ArchivedLog!$B:$B, _xlpm.cam, ArchivedLog!$E:$E, "&lt;&gt;"),
  _xlpm.errCount, COUNTIFS(ArchivedLog!$B:$B, _xlpm.cam, ArchivedLog!$E:$E, "&lt;&gt;"),
  IF(_xlpm.errCount=0, "", _xlpm.errSum/_xlpm.errCount)
)</f>
        <v>9.9234269999999999E-2</v>
      </c>
      <c r="D12" s="22">
        <f>COUNTIFS(ArchivedLog!$B:$B, $A12, ArchivedLog!$H:$H, "Yes")</f>
        <v>0</v>
      </c>
      <c r="E12" s="23">
        <f>COUNTIFS(ArchivedLog!$B:$B, $A12, ArchivedLog!$I:$I, "Yes")</f>
        <v>7</v>
      </c>
      <c r="F12" s="20">
        <f>COUNTIFS(ArchivedLog!$B:$B, $A12, ArchivedLog!$H:$H, "No")</f>
        <v>10</v>
      </c>
      <c r="G12" s="21">
        <f>COUNTIFS(ArchivedLog!$B:$B, $A12, ArchivedLog!$I:$I, "No")</f>
        <v>3</v>
      </c>
      <c r="H12" s="53">
        <f>D12/COUNT(_xlfn.UNIQUE(ArchivedLog!$A$4:$A$282))</f>
        <v>0</v>
      </c>
      <c r="I12" s="53">
        <f>E12/COUNT(_xlfn.UNIQUE(ArchivedLog!$A$4:$A$282))</f>
        <v>0.7</v>
      </c>
      <c r="J12" s="33"/>
    </row>
    <row r="13" spans="1:13" x14ac:dyDescent="0.3">
      <c r="A13" s="30" t="s">
        <v>22</v>
      </c>
      <c r="B13" s="40">
        <f>_xlfn.LET(
  _xlpm.cam, $A13,
  _xlpm.errSum, SUMIFS(ArchivedLog!$D:$D, ArchivedLog!$B:$B, _xlpm.cam, ArchivedLog!$D:$D, "&lt;&gt;"),
  _xlpm.errCount, COUNTIFS(ArchivedLog!$B:$B, _xlpm.cam, ArchivedLog!$D:$D, "&lt;&gt;"),
  IF(_xlpm.errCount=0, "", _xlpm.errSum/_xlpm.errCount)
)</f>
        <v>0.42218619999999996</v>
      </c>
      <c r="C13" s="41">
        <f>_xlfn.LET(
  _xlpm.cam, $A13,
  _xlpm.errSum, SUMIFS(ArchivedLog!$E:$E, ArchivedLog!$B:$B, _xlpm.cam, ArchivedLog!$E:$E, "&lt;&gt;"),
  _xlpm.errCount, COUNTIFS(ArchivedLog!$B:$B, _xlpm.cam, ArchivedLog!$E:$E, "&lt;&gt;"),
  IF(_xlpm.errCount=0, "", _xlpm.errSum/_xlpm.errCount)
)</f>
        <v>0.11370376</v>
      </c>
      <c r="D13" s="22">
        <f>COUNTIFS(ArchivedLog!$B:$B, $A13, ArchivedLog!$H:$H, "Yes")</f>
        <v>4</v>
      </c>
      <c r="E13" s="23">
        <f>COUNTIFS(ArchivedLog!$B:$B, $A13, ArchivedLog!$I:$I, "Yes")</f>
        <v>3</v>
      </c>
      <c r="F13" s="20">
        <f>COUNTIFS(ArchivedLog!$B:$B, $A13, ArchivedLog!$H:$H, "No")</f>
        <v>6</v>
      </c>
      <c r="G13" s="21">
        <f>COUNTIFS(ArchivedLog!$B:$B, $A13, ArchivedLog!$I:$I, "No")</f>
        <v>7</v>
      </c>
      <c r="H13" s="53">
        <f>D13/COUNT(_xlfn.UNIQUE(ArchivedLog!$A$4:$A$282))</f>
        <v>0.4</v>
      </c>
      <c r="I13" s="53">
        <f>E13/COUNT(_xlfn.UNIQUE(ArchivedLog!$A$4:$A$282))</f>
        <v>0.3</v>
      </c>
      <c r="J13" s="33"/>
    </row>
    <row r="14" spans="1:13" x14ac:dyDescent="0.3">
      <c r="A14" s="29" t="s">
        <v>23</v>
      </c>
      <c r="B14" s="40">
        <f>_xlfn.LET(
  _xlpm.cam, $A14,
  _xlpm.errSum, SUMIFS(ArchivedLog!$D:$D, ArchivedLog!$B:$B, _xlpm.cam, ArchivedLog!$D:$D, "&lt;&gt;"),
  _xlpm.errCount, COUNTIFS(ArchivedLog!$B:$B, _xlpm.cam, ArchivedLog!$D:$D, "&lt;&gt;"),
  IF(_xlpm.errCount=0, "", _xlpm.errSum/_xlpm.errCount)
)</f>
        <v>0.35101250000000001</v>
      </c>
      <c r="C14" s="41">
        <f>_xlfn.LET(
  _xlpm.cam, $A14,
  _xlpm.errSum, SUMIFS(ArchivedLog!$E:$E, ArchivedLog!$B:$B, _xlpm.cam, ArchivedLog!$E:$E, "&lt;&gt;"),
  _xlpm.errCount, COUNTIFS(ArchivedLog!$B:$B, _xlpm.cam, ArchivedLog!$E:$E, "&lt;&gt;"),
  IF(_xlpm.errCount=0, "", _xlpm.errSum/_xlpm.errCount)
)</f>
        <v>0.11616456</v>
      </c>
      <c r="D14" s="22">
        <f>COUNTIFS(ArchivedLog!$B:$B, $A14, ArchivedLog!$H:$H, "Yes")</f>
        <v>5</v>
      </c>
      <c r="E14" s="23">
        <f>COUNTIFS(ArchivedLog!$B:$B, $A14, ArchivedLog!$I:$I, "Yes")</f>
        <v>2</v>
      </c>
      <c r="F14" s="20">
        <f>COUNTIFS(ArchivedLog!$B:$B, $A14, ArchivedLog!$H:$H, "No")</f>
        <v>5</v>
      </c>
      <c r="G14" s="21">
        <f>COUNTIFS(ArchivedLog!$B:$B, $A14, ArchivedLog!$I:$I, "No")</f>
        <v>8</v>
      </c>
      <c r="H14" s="53">
        <f>D14/COUNT(_xlfn.UNIQUE(ArchivedLog!$A$4:$A$282))</f>
        <v>0.5</v>
      </c>
      <c r="I14" s="53">
        <f>E14/COUNT(_xlfn.UNIQUE(ArchivedLog!$A$4:$A$282))</f>
        <v>0.2</v>
      </c>
      <c r="J14" s="33"/>
    </row>
    <row r="15" spans="1:13" x14ac:dyDescent="0.3">
      <c r="A15" s="30" t="s">
        <v>24</v>
      </c>
      <c r="B15" s="40">
        <f>_xlfn.LET(
  _xlpm.cam, $A15,
  _xlpm.errSum, SUMIFS(ArchivedLog!$D:$D, ArchivedLog!$B:$B, _xlpm.cam, ArchivedLog!$D:$D, "&lt;&gt;"),
  _xlpm.errCount, COUNTIFS(ArchivedLog!$B:$B, _xlpm.cam, ArchivedLog!$D:$D, "&lt;&gt;"),
  IF(_xlpm.errCount=0, "", _xlpm.errSum/_xlpm.errCount)
)</f>
        <v>0.26838030000000002</v>
      </c>
      <c r="C15" s="41">
        <f>_xlfn.LET(
  _xlpm.cam, $A15,
  _xlpm.errSum, SUMIFS(ArchivedLog!$E:$E, ArchivedLog!$B:$B, _xlpm.cam, ArchivedLog!$E:$E, "&lt;&gt;"),
  _xlpm.errCount, COUNTIFS(ArchivedLog!$B:$B, _xlpm.cam, ArchivedLog!$E:$E, "&lt;&gt;"),
  IF(_xlpm.errCount=0, "", _xlpm.errSum/_xlpm.errCount)
)</f>
        <v>8.3842380000000022E-2</v>
      </c>
      <c r="D15" s="22">
        <f>COUNTIFS(ArchivedLog!$B:$B, $A15, ArchivedLog!$H:$H, "Yes")</f>
        <v>8</v>
      </c>
      <c r="E15" s="23">
        <f>COUNTIFS(ArchivedLog!$B:$B, $A15, ArchivedLog!$I:$I, "Yes")</f>
        <v>6</v>
      </c>
      <c r="F15" s="20">
        <f>COUNTIFS(ArchivedLog!$B:$B, $A15, ArchivedLog!$H:$H, "No")</f>
        <v>2</v>
      </c>
      <c r="G15" s="21">
        <f>COUNTIFS(ArchivedLog!$B:$B, $A15, ArchivedLog!$I:$I, "No")</f>
        <v>4</v>
      </c>
      <c r="H15" s="53">
        <f>D15/COUNT(_xlfn.UNIQUE(ArchivedLog!$A$4:$A$282))</f>
        <v>0.8</v>
      </c>
      <c r="I15" s="53">
        <f>E15/COUNT(_xlfn.UNIQUE(ArchivedLog!$A$4:$A$282))</f>
        <v>0.6</v>
      </c>
      <c r="J15" s="33"/>
    </row>
    <row r="16" spans="1:13" x14ac:dyDescent="0.3">
      <c r="A16" s="29" t="s">
        <v>25</v>
      </c>
      <c r="B16" s="40">
        <f>_xlfn.LET(
  _xlpm.cam, $A16,
  _xlpm.errSum, SUMIFS(ArchivedLog!$D:$D, ArchivedLog!$B:$B, _xlpm.cam, ArchivedLog!$D:$D, "&lt;&gt;"),
  _xlpm.errCount, COUNTIFS(ArchivedLog!$B:$B, _xlpm.cam, ArchivedLog!$D:$D, "&lt;&gt;"),
  IF(_xlpm.errCount=0, "", _xlpm.errSum/_xlpm.errCount)
)</f>
        <v>0.21604109999999999</v>
      </c>
      <c r="C16" s="41">
        <f>_xlfn.LET(
  _xlpm.cam, $A16,
  _xlpm.errSum, SUMIFS(ArchivedLog!$E:$E, ArchivedLog!$B:$B, _xlpm.cam, ArchivedLog!$E:$E, "&lt;&gt;"),
  _xlpm.errCount, COUNTIFS(ArchivedLog!$B:$B, _xlpm.cam, ArchivedLog!$E:$E, "&lt;&gt;"),
  IF(_xlpm.errCount=0, "", _xlpm.errSum/_xlpm.errCount)
)</f>
        <v>5.2125029999999996E-2</v>
      </c>
      <c r="D16" s="22">
        <f>COUNTIFS(ArchivedLog!$B:$B, $A16, ArchivedLog!$H:$H, "Yes")</f>
        <v>10</v>
      </c>
      <c r="E16" s="23">
        <f>COUNTIFS(ArchivedLog!$B:$B, $A16, ArchivedLog!$I:$I, "Yes")</f>
        <v>10</v>
      </c>
      <c r="F16" s="20">
        <f>COUNTIFS(ArchivedLog!$B:$B, $A16, ArchivedLog!$H:$H, "No")</f>
        <v>0</v>
      </c>
      <c r="G16" s="21">
        <f>COUNTIFS(ArchivedLog!$B:$B, $A16, ArchivedLog!$I:$I, "No")</f>
        <v>0</v>
      </c>
      <c r="H16" s="53">
        <f>D16/COUNT(_xlfn.UNIQUE(ArchivedLog!$A$4:$A$282))</f>
        <v>1</v>
      </c>
      <c r="I16" s="53">
        <f>E16/COUNT(_xlfn.UNIQUE(ArchivedLog!$A$4:$A$282))</f>
        <v>1</v>
      </c>
      <c r="J16" s="33"/>
    </row>
    <row r="17" spans="1:10" x14ac:dyDescent="0.3">
      <c r="A17" s="30" t="s">
        <v>26</v>
      </c>
      <c r="B17" s="40">
        <f>_xlfn.LET(
  _xlpm.cam, $A17,
  _xlpm.errSum, SUMIFS(ArchivedLog!$D:$D, ArchivedLog!$B:$B, _xlpm.cam, ArchivedLog!$D:$D, "&lt;&gt;"),
  _xlpm.errCount, COUNTIFS(ArchivedLog!$B:$B, _xlpm.cam, ArchivedLog!$D:$D, "&lt;&gt;"),
  IF(_xlpm.errCount=0, "", _xlpm.errSum/_xlpm.errCount)
)</f>
        <v>0.20359980000000003</v>
      </c>
      <c r="C17" s="41">
        <f>_xlfn.LET(
  _xlpm.cam, $A17,
  _xlpm.errSum, SUMIFS(ArchivedLog!$E:$E, ArchivedLog!$B:$B, _xlpm.cam, ArchivedLog!$E:$E, "&lt;&gt;"),
  _xlpm.errCount, COUNTIFS(ArchivedLog!$B:$B, _xlpm.cam, ArchivedLog!$E:$E, "&lt;&gt;"),
  IF(_xlpm.errCount=0, "", _xlpm.errSum/_xlpm.errCount)
)</f>
        <v>6.4743510000000004E-2</v>
      </c>
      <c r="D17" s="22">
        <f>COUNTIFS(ArchivedLog!$B:$B, $A17, ArchivedLog!$H:$H, "Yes")</f>
        <v>10</v>
      </c>
      <c r="E17" s="23">
        <f>COUNTIFS(ArchivedLog!$B:$B, $A17, ArchivedLog!$I:$I, "Yes")</f>
        <v>10</v>
      </c>
      <c r="F17" s="20">
        <f>COUNTIFS(ArchivedLog!$B:$B, $A17, ArchivedLog!$H:$H, "No")</f>
        <v>0</v>
      </c>
      <c r="G17" s="21">
        <f>COUNTIFS(ArchivedLog!$B:$B, $A17, ArchivedLog!$I:$I, "No")</f>
        <v>0</v>
      </c>
      <c r="H17" s="53">
        <f>D17/COUNT(_xlfn.UNIQUE(ArchivedLog!$A$4:$A$282))</f>
        <v>1</v>
      </c>
      <c r="I17" s="53">
        <f>E17/COUNT(_xlfn.UNIQUE(ArchivedLog!$A$4:$A$282))</f>
        <v>1</v>
      </c>
      <c r="J17" s="33"/>
    </row>
    <row r="18" spans="1:10" x14ac:dyDescent="0.3">
      <c r="A18" s="29" t="s">
        <v>27</v>
      </c>
      <c r="B18" s="40">
        <f>_xlfn.LET(
  _xlpm.cam, $A18,
  _xlpm.errSum, SUMIFS(ArchivedLog!$D:$D, ArchivedLog!$B:$B, _xlpm.cam, ArchivedLog!$D:$D, "&lt;&gt;"),
  _xlpm.errCount, COUNTIFS(ArchivedLog!$B:$B, _xlpm.cam, ArchivedLog!$D:$D, "&lt;&gt;"),
  IF(_xlpm.errCount=0, "", _xlpm.errSum/_xlpm.errCount)
)</f>
        <v>0.43357409999999996</v>
      </c>
      <c r="C18" s="41">
        <f>_xlfn.LET(
  _xlpm.cam, $A18,
  _xlpm.errSum, SUMIFS(ArchivedLog!$E:$E, ArchivedLog!$B:$B, _xlpm.cam, ArchivedLog!$E:$E, "&lt;&gt;"),
  _xlpm.errCount, COUNTIFS(ArchivedLog!$B:$B, _xlpm.cam, ArchivedLog!$E:$E, "&lt;&gt;"),
  IF(_xlpm.errCount=0, "", _xlpm.errSum/_xlpm.errCount)
)</f>
        <v>9.8345910000000009E-2</v>
      </c>
      <c r="D18" s="22">
        <f>COUNTIFS(ArchivedLog!$B:$B, $A18, ArchivedLog!$H:$H, "Yes")</f>
        <v>2</v>
      </c>
      <c r="E18" s="23">
        <f>COUNTIFS(ArchivedLog!$B:$B, $A18, ArchivedLog!$I:$I, "Yes")</f>
        <v>5</v>
      </c>
      <c r="F18" s="20">
        <f>COUNTIFS(ArchivedLog!$B:$B, $A18, ArchivedLog!$H:$H, "No")</f>
        <v>8</v>
      </c>
      <c r="G18" s="21">
        <f>COUNTIFS(ArchivedLog!$B:$B, $A18, ArchivedLog!$I:$I, "No")</f>
        <v>5</v>
      </c>
      <c r="H18" s="53">
        <f>D18/COUNT(_xlfn.UNIQUE(ArchivedLog!$A$4:$A$282))</f>
        <v>0.2</v>
      </c>
      <c r="I18" s="53">
        <f>E18/COUNT(_xlfn.UNIQUE(ArchivedLog!$A$4:$A$282))</f>
        <v>0.5</v>
      </c>
      <c r="J18" s="33"/>
    </row>
    <row r="19" spans="1:10" x14ac:dyDescent="0.3">
      <c r="A19" s="30" t="s">
        <v>28</v>
      </c>
      <c r="B19" s="40">
        <f>_xlfn.LET(
  _xlpm.cam, $A19,
  _xlpm.errSum, SUMIFS(ArchivedLog!$D:$D, ArchivedLog!$B:$B, _xlpm.cam, ArchivedLog!$D:$D, "&lt;&gt;"),
  _xlpm.errCount, COUNTIFS(ArchivedLog!$B:$B, _xlpm.cam, ArchivedLog!$D:$D, "&lt;&gt;"),
  IF(_xlpm.errCount=0, "", _xlpm.errSum/_xlpm.errCount)
)</f>
        <v>0.40037579999999995</v>
      </c>
      <c r="C19" s="41">
        <f>_xlfn.LET(
  _xlpm.cam, $A19,
  _xlpm.errSum, SUMIFS(ArchivedLog!$E:$E, ArchivedLog!$B:$B, _xlpm.cam, ArchivedLog!$E:$E, "&lt;&gt;"),
  _xlpm.errCount, COUNTIFS(ArchivedLog!$B:$B, _xlpm.cam, ArchivedLog!$E:$E, "&lt;&gt;"),
  IF(_xlpm.errCount=0, "", _xlpm.errSum/_xlpm.errCount)
)</f>
        <v>8.9526259999999996E-2</v>
      </c>
      <c r="D19" s="22">
        <f>COUNTIFS(ArchivedLog!$B:$B, $A19, ArchivedLog!$H:$H, "Yes")</f>
        <v>5</v>
      </c>
      <c r="E19" s="23">
        <f>COUNTIFS(ArchivedLog!$B:$B, $A19, ArchivedLog!$I:$I, "Yes")</f>
        <v>6</v>
      </c>
      <c r="F19" s="20">
        <f>COUNTIFS(ArchivedLog!$B:$B, $A19, ArchivedLog!$H:$H, "No")</f>
        <v>5</v>
      </c>
      <c r="G19" s="21">
        <f>COUNTIFS(ArchivedLog!$B:$B, $A19, ArchivedLog!$I:$I, "No")</f>
        <v>4</v>
      </c>
      <c r="H19" s="53">
        <f>D19/COUNT(_xlfn.UNIQUE(ArchivedLog!$A$4:$A$282))</f>
        <v>0.5</v>
      </c>
      <c r="I19" s="53">
        <f>E19/COUNT(_xlfn.UNIQUE(ArchivedLog!$A$4:$A$282))</f>
        <v>0.6</v>
      </c>
      <c r="J19" s="33"/>
    </row>
    <row r="20" spans="1:10" x14ac:dyDescent="0.3">
      <c r="A20" s="29" t="s">
        <v>29</v>
      </c>
      <c r="B20" s="40">
        <f>_xlfn.LET(
  _xlpm.cam, $A20,
  _xlpm.errSum, SUMIFS(ArchivedLog!$D:$D, ArchivedLog!$B:$B, _xlpm.cam, ArchivedLog!$D:$D, "&lt;&gt;"),
  _xlpm.errCount, COUNTIFS(ArchivedLog!$B:$B, _xlpm.cam, ArchivedLog!$D:$D, "&lt;&gt;"),
  IF(_xlpm.errCount=0, "", _xlpm.errSum/_xlpm.errCount)
)</f>
        <v>0.42576989999999998</v>
      </c>
      <c r="C20" s="41">
        <f>_xlfn.LET(
  _xlpm.cam, $A20,
  _xlpm.errSum, SUMIFS(ArchivedLog!$E:$E, ArchivedLog!$B:$B, _xlpm.cam, ArchivedLog!$E:$E, "&lt;&gt;"),
  _xlpm.errCount, COUNTIFS(ArchivedLog!$B:$B, _xlpm.cam, ArchivedLog!$E:$E, "&lt;&gt;"),
  IF(_xlpm.errCount=0, "", _xlpm.errSum/_xlpm.errCount)
)</f>
        <v>8.8799589999999998E-2</v>
      </c>
      <c r="D20" s="22">
        <f>COUNTIFS(ArchivedLog!$B:$B, $A20, ArchivedLog!$H:$H, "Yes")</f>
        <v>7</v>
      </c>
      <c r="E20" s="23">
        <f>COUNTIFS(ArchivedLog!$B:$B, $A20, ArchivedLog!$I:$I, "Yes")</f>
        <v>9</v>
      </c>
      <c r="F20" s="20">
        <f>COUNTIFS(ArchivedLog!$B:$B, $A20, ArchivedLog!$H:$H, "No")</f>
        <v>3</v>
      </c>
      <c r="G20" s="21">
        <f>COUNTIFS(ArchivedLog!$B:$B, $A20, ArchivedLog!$I:$I, "No")</f>
        <v>1</v>
      </c>
      <c r="H20" s="53">
        <f>D20/COUNT(_xlfn.UNIQUE(ArchivedLog!$A$4:$A$282))</f>
        <v>0.7</v>
      </c>
      <c r="I20" s="53">
        <f>E20/COUNT(_xlfn.UNIQUE(ArchivedLog!$A$4:$A$282))</f>
        <v>0.9</v>
      </c>
      <c r="J20" s="33"/>
    </row>
    <row r="21" spans="1:10" x14ac:dyDescent="0.3">
      <c r="A21" s="32" t="s">
        <v>30</v>
      </c>
      <c r="B21" s="42">
        <f>_xlfn.LET(
  _xlpm.cam, $A21,
  _xlpm.errSum, SUMIFS(ArchivedLog!$D:$D, ArchivedLog!$B:$B, _xlpm.cam, ArchivedLog!$D:$D, "&lt;&gt;"),
  _xlpm.errCount, COUNTIFS(ArchivedLog!$B:$B, _xlpm.cam, ArchivedLog!$D:$D, "&lt;&gt;"),
  IF(_xlpm.errCount=0, "", _xlpm.errSum/_xlpm.errCount)
)</f>
        <v>0.54893029999999998</v>
      </c>
      <c r="C21" s="43">
        <f>_xlfn.LET(
  _xlpm.cam, $A21,
  _xlpm.errSum, SUMIFS(ArchivedLog!$E:$E, ArchivedLog!$B:$B, _xlpm.cam, ArchivedLog!$E:$E, "&lt;&gt;"),
  _xlpm.errCount, COUNTIFS(ArchivedLog!$B:$B, _xlpm.cam, ArchivedLog!$E:$E, "&lt;&gt;"),
  IF(_xlpm.errCount=0, "", _xlpm.errSum/_xlpm.errCount)
)</f>
        <v>0.10956627000000001</v>
      </c>
      <c r="D21" s="24">
        <f>COUNTIFS(ArchivedLog!$B:$B, $A21, ArchivedLog!$H:$H, "Yes")</f>
        <v>1</v>
      </c>
      <c r="E21" s="25">
        <f>COUNTIFS(ArchivedLog!$B:$B, $A21, ArchivedLog!$I:$I, "Yes")</f>
        <v>1</v>
      </c>
      <c r="F21" s="26">
        <f>COUNTIFS(ArchivedLog!$B:$B, $A21, ArchivedLog!$H:$H, "No")</f>
        <v>9</v>
      </c>
      <c r="G21" s="27">
        <f>COUNTIFS(ArchivedLog!$B:$B, $A21, ArchivedLog!$I:$I, "No")</f>
        <v>9</v>
      </c>
      <c r="H21" s="53">
        <f>D21/COUNT(_xlfn.UNIQUE(ArchivedLog!$A$4:$A$282))</f>
        <v>0.1</v>
      </c>
      <c r="I21" s="53">
        <f>E21/COUNT(_xlfn.UNIQUE(ArchivedLog!$A$4:$A$282))</f>
        <v>0.1</v>
      </c>
      <c r="J21" s="34"/>
    </row>
    <row r="22" spans="1:10" x14ac:dyDescent="0.3">
      <c r="A22" s="8"/>
      <c r="B22" s="8"/>
      <c r="C22" s="8"/>
      <c r="D22" s="9" t="str">
        <f>IFERROR(AVERAGEIFS(ArchivedLog!$D:$D,ArchivedLog!$A:$A,$A22,ArchivedLog!$B:$B,#REF!),"")</f>
        <v/>
      </c>
      <c r="E22" s="9" t="str">
        <f>IFERROR(AVERAGEIFS(ArchivedLog!$E:$E,ArchivedLog!$A:$A,$A22,ArchivedLog!$B:$B,#REF!),"")</f>
        <v/>
      </c>
      <c r="F22" s="7" t="str">
        <f>Daily!J20</f>
        <v/>
      </c>
      <c r="G22" s="7" t="str">
        <f>Daily!M20</f>
        <v/>
      </c>
    </row>
    <row r="23" spans="1:10" ht="14.4" customHeight="1" x14ac:dyDescent="0.3">
      <c r="A23" s="8"/>
      <c r="B23" s="156" t="s">
        <v>67</v>
      </c>
      <c r="C23" s="156"/>
      <c r="D23" s="156"/>
      <c r="E23" s="156"/>
      <c r="F23" s="156"/>
      <c r="G23" s="156"/>
      <c r="H23" s="156"/>
      <c r="I23" s="156"/>
    </row>
    <row r="24" spans="1:10" x14ac:dyDescent="0.3">
      <c r="A24" s="8"/>
      <c r="B24" s="156"/>
      <c r="C24" s="156"/>
      <c r="D24" s="156"/>
      <c r="E24" s="156"/>
      <c r="F24" s="156"/>
      <c r="G24" s="156"/>
      <c r="H24" s="156"/>
      <c r="I24" s="156"/>
    </row>
    <row r="25" spans="1:10" x14ac:dyDescent="0.3">
      <c r="A25" s="8"/>
      <c r="B25" s="8"/>
      <c r="C25" s="8"/>
      <c r="D25" s="9" t="str">
        <f>IFERROR(AVERAGEIFS(ArchivedLog!$D:$D,ArchivedLog!$A:$A,$A25,ArchivedLog!$B:$B,#REF!),"")</f>
        <v/>
      </c>
      <c r="E25" s="9" t="str">
        <f>IFERROR(AVERAGEIFS(ArchivedLog!$E:$E,ArchivedLog!$A:$A,$A25,ArchivedLog!$B:$B,#REF!),"")</f>
        <v/>
      </c>
      <c r="F25" s="7" t="str">
        <f>Daily!J23</f>
        <v/>
      </c>
      <c r="G25" s="7" t="str">
        <f>Daily!M23</f>
        <v/>
      </c>
    </row>
    <row r="26" spans="1:10" x14ac:dyDescent="0.3">
      <c r="A26" s="8"/>
      <c r="B26" s="155" t="s">
        <v>104</v>
      </c>
      <c r="C26" s="155"/>
      <c r="D26" s="155"/>
      <c r="E26" s="155"/>
      <c r="F26" s="155"/>
      <c r="G26" s="155"/>
      <c r="H26" s="155"/>
      <c r="I26" s="155"/>
    </row>
    <row r="27" spans="1:10" x14ac:dyDescent="0.3">
      <c r="A27" s="8"/>
      <c r="B27" s="155"/>
      <c r="C27" s="155"/>
      <c r="D27" s="155"/>
      <c r="E27" s="155"/>
      <c r="F27" s="155"/>
      <c r="G27" s="155"/>
      <c r="H27" s="155"/>
      <c r="I27" s="155"/>
    </row>
    <row r="28" spans="1:10" x14ac:dyDescent="0.3">
      <c r="A28" s="8"/>
      <c r="B28" s="8"/>
      <c r="C28" s="8"/>
      <c r="D28" s="9" t="str">
        <f>IFERROR(AVERAGEIFS(ArchivedLog!$D:$D,ArchivedLog!$A:$A,$A28,ArchivedLog!$B:$B,#REF!),"")</f>
        <v/>
      </c>
      <c r="E28" s="9" t="str">
        <f>IFERROR(AVERAGEIFS(ArchivedLog!$E:$E,ArchivedLog!$A:$A,$A28,ArchivedLog!$B:$B,#REF!),"")</f>
        <v/>
      </c>
      <c r="F28" s="7" t="str">
        <f>Daily!J26</f>
        <v/>
      </c>
      <c r="G28" s="7" t="str">
        <f>Daily!M26</f>
        <v/>
      </c>
    </row>
    <row r="29" spans="1:10" x14ac:dyDescent="0.3">
      <c r="A29" s="8"/>
      <c r="B29" s="8"/>
      <c r="C29" s="8"/>
      <c r="D29" s="9" t="str">
        <f>IFERROR(AVERAGEIFS(ArchivedLog!$D:$D,ArchivedLog!$A:$A,$A29,ArchivedLog!$B:$B,#REF!),"")</f>
        <v/>
      </c>
      <c r="E29" s="9" t="str">
        <f>IFERROR(AVERAGEIFS(ArchivedLog!$E:$E,ArchivedLog!$A:$A,$A29,ArchivedLog!$B:$B,#REF!),"")</f>
        <v/>
      </c>
      <c r="F29" s="7" t="str">
        <f>Daily!J27</f>
        <v/>
      </c>
      <c r="G29" s="7" t="str">
        <f>Daily!M27</f>
        <v/>
      </c>
    </row>
    <row r="30" spans="1:10" x14ac:dyDescent="0.3">
      <c r="A30" s="8"/>
      <c r="B30" s="8"/>
      <c r="C30" s="8"/>
      <c r="D30" s="9" t="str">
        <f>IFERROR(AVERAGEIFS(ArchivedLog!$D:$D,ArchivedLog!$A:$A,$A30,ArchivedLog!$B:$B,#REF!),"")</f>
        <v/>
      </c>
      <c r="E30" s="9" t="str">
        <f>IFERROR(AVERAGEIFS(ArchivedLog!$E:$E,ArchivedLog!$A:$A,$A30,ArchivedLog!$B:$B,#REF!),"")</f>
        <v/>
      </c>
      <c r="F30" s="7" t="str">
        <f>Daily!J28</f>
        <v/>
      </c>
      <c r="G30" s="7" t="str">
        <f>Daily!M28</f>
        <v/>
      </c>
    </row>
    <row r="31" spans="1:10" x14ac:dyDescent="0.3">
      <c r="A31" s="8"/>
      <c r="B31" s="8"/>
      <c r="C31" s="8"/>
      <c r="D31" s="9" t="str">
        <f>IFERROR(AVERAGEIFS(ArchivedLog!$D:$D,ArchivedLog!$A:$A,$A31,ArchivedLog!$B:$B,#REF!),"")</f>
        <v/>
      </c>
      <c r="E31" s="37" t="s">
        <v>52</v>
      </c>
      <c r="F31" s="7" t="str">
        <f>Daily!J29</f>
        <v/>
      </c>
      <c r="G31" s="7" t="str">
        <f>Daily!M29</f>
        <v/>
      </c>
    </row>
    <row r="32" spans="1:10" x14ac:dyDescent="0.3">
      <c r="A32" s="8"/>
      <c r="B32" s="8"/>
      <c r="C32" s="8"/>
      <c r="D32" s="9" t="str">
        <f>IFERROR(AVERAGEIFS(ArchivedLog!$D:$D,ArchivedLog!$A:$A,$A32,ArchivedLog!$B:$B,#REF!),"")</f>
        <v/>
      </c>
      <c r="E32" s="9" t="str">
        <f>IFERROR(AVERAGEIFS(ArchivedLog!$E:$E,ArchivedLog!$A:$A,$A32,ArchivedLog!$B:$B,#REF!),"")</f>
        <v/>
      </c>
      <c r="F32" s="7" t="str">
        <f>Daily!J30</f>
        <v/>
      </c>
      <c r="G32" s="7" t="str">
        <f>Daily!M30</f>
        <v/>
      </c>
    </row>
    <row r="33" spans="1:7" x14ac:dyDescent="0.3">
      <c r="A33" s="8"/>
      <c r="B33" s="8"/>
      <c r="C33" s="8"/>
      <c r="D33" s="9" t="str">
        <f>IFERROR(AVERAGEIFS(ArchivedLog!$D:$D,ArchivedLog!$A:$A,$A33,ArchivedLog!$B:$B,#REF!),"")</f>
        <v/>
      </c>
      <c r="E33" s="9" t="str">
        <f>IFERROR(AVERAGEIFS(ArchivedLog!$E:$E,ArchivedLog!$A:$A,$A33,ArchivedLog!$B:$B,#REF!),"")</f>
        <v/>
      </c>
      <c r="F33" s="7" t="str">
        <f>Daily!J31</f>
        <v/>
      </c>
      <c r="G33" s="7" t="str">
        <f>Daily!M31</f>
        <v/>
      </c>
    </row>
    <row r="34" spans="1:7" x14ac:dyDescent="0.3">
      <c r="A34" s="8"/>
      <c r="B34" s="8"/>
      <c r="C34" s="8"/>
      <c r="D34" s="9" t="str">
        <f>IFERROR(AVERAGEIFS(ArchivedLog!$D:$D,ArchivedLog!$A:$A,$A34,ArchivedLog!$B:$B,#REF!),"")</f>
        <v/>
      </c>
      <c r="E34" s="9" t="str">
        <f>IFERROR(AVERAGEIFS(ArchivedLog!$E:$E,ArchivedLog!$A:$A,$A34,ArchivedLog!$B:$B,#REF!),"")</f>
        <v/>
      </c>
      <c r="F34" s="7" t="str">
        <f>Daily!J32</f>
        <v/>
      </c>
      <c r="G34" s="7" t="str">
        <f>Daily!M32</f>
        <v/>
      </c>
    </row>
    <row r="35" spans="1:7" x14ac:dyDescent="0.3">
      <c r="A35" s="8"/>
      <c r="B35" s="8"/>
      <c r="C35" s="8"/>
      <c r="D35" s="9" t="str">
        <f>IFERROR(AVERAGEIFS(ArchivedLog!$D:$D,ArchivedLog!$A:$A,$A35,ArchivedLog!$B:$B,#REF!),"")</f>
        <v/>
      </c>
      <c r="E35" s="9" t="str">
        <f>IFERROR(AVERAGEIFS(ArchivedLog!$E:$E,ArchivedLog!$A:$A,$A35,ArchivedLog!$B:$B,#REF!),"")</f>
        <v/>
      </c>
      <c r="F35" s="7" t="str">
        <f>Daily!J33</f>
        <v/>
      </c>
      <c r="G35" s="7" t="str">
        <f>Daily!M33</f>
        <v/>
      </c>
    </row>
    <row r="36" spans="1:7" x14ac:dyDescent="0.3">
      <c r="A36" s="8"/>
      <c r="B36" s="8"/>
      <c r="C36" s="8"/>
      <c r="D36" s="9" t="str">
        <f>IFERROR(AVERAGEIFS(ArchivedLog!$D:$D,ArchivedLog!$A:$A,$A36,ArchivedLog!$B:$B,#REF!),"")</f>
        <v/>
      </c>
      <c r="E36" s="9" t="str">
        <f>IFERROR(AVERAGEIFS(ArchivedLog!$E:$E,ArchivedLog!$A:$A,$A36,ArchivedLog!$B:$B,#REF!),"")</f>
        <v/>
      </c>
      <c r="F36" s="7" t="str">
        <f>Daily!J34</f>
        <v/>
      </c>
      <c r="G36" s="7" t="str">
        <f>Daily!M34</f>
        <v/>
      </c>
    </row>
    <row r="37" spans="1:7" x14ac:dyDescent="0.3">
      <c r="A37" s="8"/>
      <c r="B37" s="8"/>
      <c r="C37" s="8"/>
      <c r="D37" s="9" t="str">
        <f>IFERROR(AVERAGEIFS(ArchivedLog!$D:$D,ArchivedLog!$A:$A,$A37,ArchivedLog!$B:$B,#REF!),"")</f>
        <v/>
      </c>
      <c r="E37" s="9" t="str">
        <f>IFERROR(AVERAGEIFS(ArchivedLog!$E:$E,ArchivedLog!$A:$A,$A37,ArchivedLog!$B:$B,#REF!),"")</f>
        <v/>
      </c>
      <c r="F37" s="7" t="str">
        <f>Daily!J35</f>
        <v/>
      </c>
      <c r="G37" s="7" t="str">
        <f>Daily!M35</f>
        <v/>
      </c>
    </row>
    <row r="38" spans="1:7" x14ac:dyDescent="0.3">
      <c r="A38" s="8"/>
      <c r="B38" s="8"/>
      <c r="C38" s="8"/>
      <c r="D38" s="9" t="str">
        <f>IFERROR(AVERAGEIFS(ArchivedLog!$D:$D,ArchivedLog!$A:$A,$A38,ArchivedLog!$B:$B,#REF!),"")</f>
        <v/>
      </c>
      <c r="E38" s="9" t="str">
        <f>IFERROR(AVERAGEIFS(ArchivedLog!$E:$E,ArchivedLog!$A:$A,$A38,ArchivedLog!$B:$B,#REF!),"")</f>
        <v/>
      </c>
      <c r="F38" s="7" t="str">
        <f>Daily!J36</f>
        <v/>
      </c>
      <c r="G38" s="7" t="str">
        <f>Daily!M36</f>
        <v/>
      </c>
    </row>
    <row r="39" spans="1:7" x14ac:dyDescent="0.3">
      <c r="A39" s="8"/>
      <c r="B39" s="8"/>
      <c r="C39" s="8"/>
      <c r="D39" s="9" t="str">
        <f>IFERROR(AVERAGEIFS(ArchivedLog!$D:$D,ArchivedLog!$A:$A,$A39,ArchivedLog!$B:$B,#REF!),"")</f>
        <v/>
      </c>
      <c r="E39" s="9" t="str">
        <f>IFERROR(AVERAGEIFS(ArchivedLog!$E:$E,ArchivedLog!$A:$A,$A39,ArchivedLog!$B:$B,#REF!),"")</f>
        <v/>
      </c>
      <c r="F39" s="7" t="str">
        <f>Daily!J37</f>
        <v/>
      </c>
      <c r="G39" s="7" t="str">
        <f>Daily!M37</f>
        <v/>
      </c>
    </row>
    <row r="40" spans="1:7" x14ac:dyDescent="0.3">
      <c r="A40" s="8"/>
      <c r="B40" s="8"/>
      <c r="C40" s="8"/>
      <c r="D40" s="9" t="str">
        <f>IFERROR(AVERAGEIFS(ArchivedLog!$D:$D,ArchivedLog!$A:$A,$A40,ArchivedLog!$B:$B,#REF!),"")</f>
        <v/>
      </c>
      <c r="E40" s="9" t="str">
        <f>IFERROR(AVERAGEIFS(ArchivedLog!$E:$E,ArchivedLog!$A:$A,$A40,ArchivedLog!$B:$B,#REF!),"")</f>
        <v/>
      </c>
      <c r="F40" s="7" t="str">
        <f>Daily!J38</f>
        <v/>
      </c>
      <c r="G40" s="7" t="str">
        <f>Daily!M38</f>
        <v/>
      </c>
    </row>
    <row r="41" spans="1:7" x14ac:dyDescent="0.3">
      <c r="A41" s="8"/>
      <c r="B41" s="8"/>
      <c r="C41" s="8"/>
      <c r="D41" s="9" t="str">
        <f>IFERROR(AVERAGEIFS(ArchivedLog!$D:$D,ArchivedLog!$A:$A,$A41,ArchivedLog!$B:$B,#REF!),"")</f>
        <v/>
      </c>
      <c r="E41" s="9" t="str">
        <f>IFERROR(AVERAGEIFS(ArchivedLog!$E:$E,ArchivedLog!$A:$A,$A41,ArchivedLog!$B:$B,#REF!),"")</f>
        <v/>
      </c>
      <c r="F41" s="7" t="str">
        <f>Daily!J39</f>
        <v/>
      </c>
      <c r="G41" s="7" t="str">
        <f>Daily!M39</f>
        <v/>
      </c>
    </row>
    <row r="42" spans="1:7" x14ac:dyDescent="0.3">
      <c r="A42" s="8"/>
      <c r="B42" s="8"/>
      <c r="C42" s="8"/>
      <c r="D42" s="9" t="str">
        <f>IFERROR(AVERAGEIFS(ArchivedLog!$D:$D,ArchivedLog!$A:$A,$A42,ArchivedLog!$B:$B,#REF!),"")</f>
        <v/>
      </c>
      <c r="E42" s="9" t="str">
        <f>IFERROR(AVERAGEIFS(ArchivedLog!$E:$E,ArchivedLog!$A:$A,$A42,ArchivedLog!$B:$B,#REF!),"")</f>
        <v/>
      </c>
      <c r="F42" s="7" t="str">
        <f>Daily!J40</f>
        <v/>
      </c>
      <c r="G42" s="7" t="str">
        <f>Daily!M40</f>
        <v/>
      </c>
    </row>
    <row r="43" spans="1:7" x14ac:dyDescent="0.3">
      <c r="A43" s="8"/>
      <c r="B43" s="8"/>
      <c r="C43" s="8"/>
      <c r="D43" s="9" t="str">
        <f>IFERROR(AVERAGEIFS(ArchivedLog!$D:$D,ArchivedLog!$A:$A,$A43,ArchivedLog!$B:$B,#REF!),"")</f>
        <v/>
      </c>
      <c r="E43" s="9" t="str">
        <f>IFERROR(AVERAGEIFS(ArchivedLog!$E:$E,ArchivedLog!$A:$A,$A43,ArchivedLog!$B:$B,#REF!),"")</f>
        <v/>
      </c>
      <c r="F43" s="7" t="str">
        <f>Daily!J41</f>
        <v/>
      </c>
      <c r="G43" s="7" t="str">
        <f>Daily!M41</f>
        <v/>
      </c>
    </row>
    <row r="44" spans="1:7" x14ac:dyDescent="0.3">
      <c r="A44" s="8"/>
      <c r="B44" s="8"/>
      <c r="C44" s="8"/>
      <c r="D44" s="9" t="str">
        <f>IFERROR(AVERAGEIFS(ArchivedLog!$D:$D,ArchivedLog!$A:$A,$A44,ArchivedLog!$B:$B,#REF!),"")</f>
        <v/>
      </c>
      <c r="E44" s="9" t="str">
        <f>IFERROR(AVERAGEIFS(ArchivedLog!$E:$E,ArchivedLog!$A:$A,$A44,ArchivedLog!$B:$B,#REF!),"")</f>
        <v/>
      </c>
      <c r="F44" s="7" t="str">
        <f>Daily!J42</f>
        <v/>
      </c>
      <c r="G44" s="7" t="str">
        <f>Daily!M42</f>
        <v/>
      </c>
    </row>
    <row r="45" spans="1:7" x14ac:dyDescent="0.3">
      <c r="A45" s="8"/>
      <c r="B45" s="8"/>
      <c r="C45" s="8"/>
      <c r="D45" s="9" t="str">
        <f>IFERROR(AVERAGEIFS(ArchivedLog!$D:$D,ArchivedLog!$A:$A,$A45,ArchivedLog!$B:$B,#REF!),"")</f>
        <v/>
      </c>
      <c r="E45" s="9" t="str">
        <f>IFERROR(AVERAGEIFS(ArchivedLog!$E:$E,ArchivedLog!$A:$A,$A45,ArchivedLog!$B:$B,#REF!),"")</f>
        <v/>
      </c>
      <c r="F45" s="7" t="str">
        <f>Daily!J43</f>
        <v/>
      </c>
      <c r="G45" s="7" t="str">
        <f>Daily!M43</f>
        <v/>
      </c>
    </row>
    <row r="46" spans="1:7" x14ac:dyDescent="0.3">
      <c r="A46" s="8"/>
      <c r="B46" s="8"/>
      <c r="C46" s="8"/>
      <c r="D46" s="9" t="str">
        <f>IFERROR(AVERAGEIFS(ArchivedLog!$D:$D,ArchivedLog!$A:$A,$A46,ArchivedLog!$B:$B,#REF!),"")</f>
        <v/>
      </c>
      <c r="E46" s="9" t="str">
        <f>IFERROR(AVERAGEIFS(ArchivedLog!$E:$E,ArchivedLog!$A:$A,$A46,ArchivedLog!$B:$B,#REF!),"")</f>
        <v/>
      </c>
      <c r="F46" s="7" t="str">
        <f>Daily!J44</f>
        <v/>
      </c>
      <c r="G46" s="7" t="str">
        <f>Daily!M44</f>
        <v/>
      </c>
    </row>
    <row r="47" spans="1:7" x14ac:dyDescent="0.3">
      <c r="A47" s="8"/>
      <c r="B47" s="8"/>
      <c r="C47" s="8"/>
      <c r="D47" s="9" t="str">
        <f>IFERROR(AVERAGEIFS(ArchivedLog!$D:$D,ArchivedLog!$A:$A,$A47,ArchivedLog!$B:$B,#REF!),"")</f>
        <v/>
      </c>
      <c r="E47" s="9" t="str">
        <f>IFERROR(AVERAGEIFS(ArchivedLog!$E:$E,ArchivedLog!$A:$A,$A47,ArchivedLog!$B:$B,#REF!),"")</f>
        <v/>
      </c>
      <c r="F47" s="7" t="str">
        <f>Daily!J45</f>
        <v/>
      </c>
      <c r="G47" s="7" t="str">
        <f>Daily!M45</f>
        <v/>
      </c>
    </row>
    <row r="48" spans="1:7" x14ac:dyDescent="0.3">
      <c r="A48" s="8"/>
      <c r="B48" s="8"/>
      <c r="C48" s="8"/>
      <c r="D48" s="9" t="str">
        <f>IFERROR(AVERAGEIFS(ArchivedLog!$D:$D,ArchivedLog!$A:$A,$A48,ArchivedLog!$B:$B,#REF!),"")</f>
        <v/>
      </c>
      <c r="E48" s="9" t="str">
        <f>IFERROR(AVERAGEIFS(ArchivedLog!$E:$E,ArchivedLog!$A:$A,$A48,ArchivedLog!$B:$B,#REF!),"")</f>
        <v/>
      </c>
      <c r="F48" s="7" t="str">
        <f>Daily!J46</f>
        <v/>
      </c>
      <c r="G48" s="7" t="str">
        <f>Daily!M46</f>
        <v/>
      </c>
    </row>
    <row r="49" spans="1:7" x14ac:dyDescent="0.3">
      <c r="A49" s="8"/>
      <c r="B49" s="8"/>
      <c r="C49" s="8"/>
      <c r="D49" s="9" t="str">
        <f>IFERROR(AVERAGEIFS(ArchivedLog!$D:$D,ArchivedLog!$A:$A,$A49,ArchivedLog!$B:$B,#REF!),"")</f>
        <v/>
      </c>
      <c r="E49" s="9" t="str">
        <f>IFERROR(AVERAGEIFS(ArchivedLog!$E:$E,ArchivedLog!$A:$A,$A49,ArchivedLog!$B:$B,#REF!),"")</f>
        <v/>
      </c>
      <c r="F49" s="7" t="str">
        <f>Daily!J47</f>
        <v/>
      </c>
      <c r="G49" s="7" t="str">
        <f>Daily!M47</f>
        <v/>
      </c>
    </row>
    <row r="50" spans="1:7" x14ac:dyDescent="0.3">
      <c r="A50" s="8"/>
      <c r="B50" s="8"/>
      <c r="C50" s="8"/>
      <c r="D50" s="9" t="str">
        <f>IFERROR(AVERAGEIFS(ArchivedLog!$D:$D,ArchivedLog!$A:$A,$A50,ArchivedLog!$B:$B,#REF!),"")</f>
        <v/>
      </c>
      <c r="E50" s="9" t="str">
        <f>IFERROR(AVERAGEIFS(ArchivedLog!$E:$E,ArchivedLog!$A:$A,$A50,ArchivedLog!$B:$B,#REF!),"")</f>
        <v/>
      </c>
      <c r="F50" s="7" t="str">
        <f>Daily!J48</f>
        <v/>
      </c>
      <c r="G50" s="7" t="str">
        <f>Daily!M48</f>
        <v/>
      </c>
    </row>
    <row r="51" spans="1:7" x14ac:dyDescent="0.3">
      <c r="A51" s="8"/>
      <c r="B51" s="8"/>
      <c r="C51" s="8"/>
      <c r="D51" s="9" t="str">
        <f>IFERROR(AVERAGEIFS(ArchivedLog!$D:$D,ArchivedLog!$A:$A,$A51,ArchivedLog!$B:$B,#REF!),"")</f>
        <v/>
      </c>
      <c r="E51" s="9" t="str">
        <f>IFERROR(AVERAGEIFS(ArchivedLog!$E:$E,ArchivedLog!$A:$A,$A51,ArchivedLog!$B:$B,#REF!),"")</f>
        <v/>
      </c>
      <c r="F51" s="7" t="str">
        <f>Daily!J49</f>
        <v/>
      </c>
      <c r="G51" s="7" t="str">
        <f>Daily!M49</f>
        <v/>
      </c>
    </row>
    <row r="52" spans="1:7" x14ac:dyDescent="0.3">
      <c r="A52" s="8"/>
      <c r="B52" s="8"/>
      <c r="C52" s="8"/>
      <c r="D52" s="9" t="str">
        <f>IFERROR(AVERAGEIFS(ArchivedLog!$D:$D,ArchivedLog!$A:$A,$A52,ArchivedLog!$B:$B,#REF!),"")</f>
        <v/>
      </c>
      <c r="E52" s="9" t="str">
        <f>IFERROR(AVERAGEIFS(ArchivedLog!$E:$E,ArchivedLog!$A:$A,$A52,ArchivedLog!$B:$B,#REF!),"")</f>
        <v/>
      </c>
      <c r="F52" s="7" t="str">
        <f>Daily!J50</f>
        <v/>
      </c>
      <c r="G52" s="7" t="str">
        <f>Daily!M50</f>
        <v/>
      </c>
    </row>
    <row r="53" spans="1:7" x14ac:dyDescent="0.3">
      <c r="A53" s="8"/>
      <c r="B53" s="8"/>
      <c r="C53" s="8"/>
      <c r="D53" s="9" t="str">
        <f>IFERROR(AVERAGEIFS(ArchivedLog!$D:$D,ArchivedLog!$A:$A,$A53,ArchivedLog!$B:$B,#REF!),"")</f>
        <v/>
      </c>
      <c r="E53" s="9" t="str">
        <f>IFERROR(AVERAGEIFS(ArchivedLog!$E:$E,ArchivedLog!$A:$A,$A53,ArchivedLog!$B:$B,#REF!),"")</f>
        <v/>
      </c>
      <c r="F53" s="7" t="str">
        <f>Daily!J51</f>
        <v/>
      </c>
      <c r="G53" s="7" t="str">
        <f>Daily!M51</f>
        <v/>
      </c>
    </row>
    <row r="54" spans="1:7" x14ac:dyDescent="0.3">
      <c r="A54" s="8"/>
      <c r="B54" s="8"/>
      <c r="C54" s="8"/>
      <c r="D54" s="9" t="str">
        <f>IFERROR(AVERAGEIFS(ArchivedLog!$D:$D,ArchivedLog!$A:$A,$A54,ArchivedLog!$B:$B,#REF!),"")</f>
        <v/>
      </c>
      <c r="E54" s="9" t="str">
        <f>IFERROR(AVERAGEIFS(ArchivedLog!$E:$E,ArchivedLog!$A:$A,$A54,ArchivedLog!$B:$B,#REF!),"")</f>
        <v/>
      </c>
      <c r="F54" s="7" t="str">
        <f>Daily!J52</f>
        <v/>
      </c>
      <c r="G54" s="7" t="str">
        <f>Daily!M52</f>
        <v/>
      </c>
    </row>
    <row r="55" spans="1:7" x14ac:dyDescent="0.3">
      <c r="A55" s="8"/>
      <c r="B55" s="8"/>
      <c r="C55" s="8"/>
      <c r="D55" s="9" t="str">
        <f>IFERROR(AVERAGEIFS(ArchivedLog!$D:$D,ArchivedLog!$A:$A,$A55,ArchivedLog!$B:$B,#REF!),"")</f>
        <v/>
      </c>
      <c r="E55" s="9" t="str">
        <f>IFERROR(AVERAGEIFS(ArchivedLog!$E:$E,ArchivedLog!$A:$A,$A55,ArchivedLog!$B:$B,#REF!),"")</f>
        <v/>
      </c>
      <c r="F55" s="7" t="str">
        <f>Daily!J53</f>
        <v/>
      </c>
      <c r="G55" s="7" t="str">
        <f>Daily!M53</f>
        <v/>
      </c>
    </row>
    <row r="56" spans="1:7" x14ac:dyDescent="0.3">
      <c r="A56" s="8"/>
      <c r="B56" s="8"/>
      <c r="C56" s="8"/>
      <c r="D56" s="9" t="str">
        <f>IFERROR(AVERAGEIFS(ArchivedLog!$D:$D,ArchivedLog!$A:$A,$A56,ArchivedLog!$B:$B,#REF!),"")</f>
        <v/>
      </c>
      <c r="E56" s="9" t="str">
        <f>IFERROR(AVERAGEIFS(ArchivedLog!$E:$E,ArchivedLog!$A:$A,$A56,ArchivedLog!$B:$B,#REF!),"")</f>
        <v/>
      </c>
      <c r="F56" s="7" t="str">
        <f>Daily!J54</f>
        <v/>
      </c>
      <c r="G56" s="7" t="str">
        <f>Daily!M54</f>
        <v/>
      </c>
    </row>
    <row r="57" spans="1:7" x14ac:dyDescent="0.3">
      <c r="A57" s="8"/>
      <c r="B57" s="8"/>
      <c r="C57" s="8"/>
      <c r="D57" s="9" t="str">
        <f>IFERROR(AVERAGEIFS(ArchivedLog!$D:$D,ArchivedLog!$A:$A,$A57,ArchivedLog!$B:$B,#REF!),"")</f>
        <v/>
      </c>
      <c r="E57" s="9" t="str">
        <f>IFERROR(AVERAGEIFS(ArchivedLog!$E:$E,ArchivedLog!$A:$A,$A57,ArchivedLog!$B:$B,#REF!),"")</f>
        <v/>
      </c>
      <c r="F57" s="7" t="str">
        <f>Daily!J55</f>
        <v/>
      </c>
      <c r="G57" s="7" t="str">
        <f>Daily!M55</f>
        <v/>
      </c>
    </row>
    <row r="58" spans="1:7" x14ac:dyDescent="0.3">
      <c r="A58" s="8"/>
      <c r="B58" s="8"/>
      <c r="C58" s="8"/>
      <c r="D58" s="9" t="str">
        <f>IFERROR(AVERAGEIFS(ArchivedLog!$D:$D,ArchivedLog!$A:$A,$A58,ArchivedLog!$B:$B,#REF!),"")</f>
        <v/>
      </c>
      <c r="E58" s="9" t="str">
        <f>IFERROR(AVERAGEIFS(ArchivedLog!$E:$E,ArchivedLog!$A:$A,$A58,ArchivedLog!$B:$B,#REF!),"")</f>
        <v/>
      </c>
      <c r="F58" s="7" t="str">
        <f>Daily!J56</f>
        <v/>
      </c>
      <c r="G58" s="7" t="str">
        <f>Daily!M56</f>
        <v/>
      </c>
    </row>
    <row r="59" spans="1:7" x14ac:dyDescent="0.3">
      <c r="A59" s="8"/>
      <c r="B59" s="8"/>
      <c r="C59" s="8"/>
      <c r="D59" s="9" t="str">
        <f>IFERROR(AVERAGEIFS(ArchivedLog!$D:$D,ArchivedLog!$A:$A,$A59,ArchivedLog!$B:$B,#REF!),"")</f>
        <v/>
      </c>
      <c r="E59" s="9" t="str">
        <f>IFERROR(AVERAGEIFS(ArchivedLog!$E:$E,ArchivedLog!$A:$A,$A59,ArchivedLog!$B:$B,#REF!),"")</f>
        <v/>
      </c>
      <c r="F59" s="7" t="str">
        <f>Daily!J57</f>
        <v/>
      </c>
      <c r="G59" s="7" t="str">
        <f>Daily!M57</f>
        <v/>
      </c>
    </row>
    <row r="60" spans="1:7" x14ac:dyDescent="0.3">
      <c r="A60" s="8"/>
      <c r="B60" s="8"/>
      <c r="C60" s="8"/>
      <c r="D60" s="9" t="str">
        <f>IFERROR(AVERAGEIFS(ArchivedLog!$D:$D,ArchivedLog!$A:$A,$A60,ArchivedLog!$B:$B,#REF!),"")</f>
        <v/>
      </c>
      <c r="E60" s="9" t="str">
        <f>IFERROR(AVERAGEIFS(ArchivedLog!$E:$E,ArchivedLog!$A:$A,$A60,ArchivedLog!$B:$B,#REF!),"")</f>
        <v/>
      </c>
      <c r="F60" s="7" t="str">
        <f>Daily!J58</f>
        <v/>
      </c>
      <c r="G60" s="7" t="str">
        <f>Daily!M58</f>
        <v/>
      </c>
    </row>
  </sheetData>
  <sheetProtection sheet="1" objects="1" scenarios="1" selectLockedCells="1" sort="0" autoFilter="0" selectUnlockedCells="1"/>
  <autoFilter ref="A3:J60" xr:uid="{2412001A-36AA-43BD-AE26-2C8108444E03}"/>
  <mergeCells count="13">
    <mergeCell ref="B26:I27"/>
    <mergeCell ref="B23:I24"/>
    <mergeCell ref="L1:M1"/>
    <mergeCell ref="H1:I1"/>
    <mergeCell ref="F1:G1"/>
    <mergeCell ref="D1:E1"/>
    <mergeCell ref="J2:J3"/>
    <mergeCell ref="A1:A3"/>
    <mergeCell ref="B1:C1"/>
    <mergeCell ref="D2:E2"/>
    <mergeCell ref="F2:G2"/>
    <mergeCell ref="H2:I2"/>
    <mergeCell ref="B2:C2"/>
  </mergeCells>
  <conditionalFormatting sqref="B4:B21">
    <cfRule type="expression" dxfId="9" priority="2">
      <formula>B4&gt;$L$3</formula>
    </cfRule>
  </conditionalFormatting>
  <conditionalFormatting sqref="C4:C21">
    <cfRule type="expression" dxfId="8" priority="1">
      <formula>C4&gt;$M$3</formula>
    </cfRule>
  </conditionalFormatting>
  <conditionalFormatting sqref="H4:I21">
    <cfRule type="colorScale" priority="3">
      <colorScale>
        <cfvo type="min"/>
        <cfvo type="max"/>
        <color rgb="FFFF7128"/>
        <color rgb="FFFFEF9C"/>
      </colorScale>
    </cfRule>
  </conditionalFormatting>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39997558519241921"/>
  </sheetPr>
  <dimension ref="A1:W1003"/>
  <sheetViews>
    <sheetView showZeros="0" workbookViewId="0">
      <selection activeCell="H22" sqref="H22"/>
    </sheetView>
  </sheetViews>
  <sheetFormatPr defaultRowHeight="14.4" x14ac:dyDescent="0.3"/>
  <cols>
    <col min="1" max="1" width="15.77734375" style="108" customWidth="1"/>
    <col min="2" max="19" width="6.77734375" style="99" customWidth="1"/>
    <col min="20" max="20" width="2.77734375" customWidth="1"/>
    <col min="21" max="21" width="5.77734375" customWidth="1"/>
    <col min="22" max="22" width="25.77734375" customWidth="1"/>
    <col min="23" max="23" width="20.77734375" customWidth="1"/>
  </cols>
  <sheetData>
    <row r="1" spans="1:23" x14ac:dyDescent="0.3">
      <c r="A1" s="110" t="s">
        <v>91</v>
      </c>
      <c r="B1" s="110"/>
      <c r="C1" s="110"/>
      <c r="D1" s="110"/>
      <c r="E1" s="110"/>
      <c r="F1" s="110"/>
      <c r="G1" s="110"/>
      <c r="H1" s="110"/>
      <c r="I1" s="110"/>
      <c r="J1" s="110"/>
      <c r="K1" s="110"/>
      <c r="L1" s="110"/>
      <c r="M1" s="110"/>
      <c r="N1" s="110"/>
      <c r="O1" s="110"/>
      <c r="P1" s="110"/>
      <c r="Q1" s="110"/>
      <c r="R1" s="110"/>
      <c r="S1" s="110"/>
    </row>
    <row r="2" spans="1:23" x14ac:dyDescent="0.3">
      <c r="A2" s="150" t="s">
        <v>95</v>
      </c>
      <c r="B2" s="157">
        <f>IFERROR(100*(1-((COUNTA($A$3:$A$9925)-COUNTIF(B$3:B$9925,"&gt;0"))/COUNTA($A$3:$A$9925))),"error")</f>
        <v>0.60060060060059817</v>
      </c>
      <c r="C2" s="157">
        <f t="shared" ref="C2:S2" si="0">IFERROR(100*(1-((COUNTA($A$3:$A$9925)-COUNTIF(C$3:C$9925,"&gt;0"))/COUNTA($A$3:$A$9925))),"error")</f>
        <v>0.10010010010009784</v>
      </c>
      <c r="D2" s="157">
        <f t="shared" si="0"/>
        <v>0.30030030030030463</v>
      </c>
      <c r="E2" s="157">
        <f t="shared" si="0"/>
        <v>0.10010010010009784</v>
      </c>
      <c r="F2" s="157">
        <f t="shared" si="0"/>
        <v>1.0010010010010006</v>
      </c>
      <c r="G2" s="157">
        <f t="shared" si="0"/>
        <v>0.60060060060059817</v>
      </c>
      <c r="H2" s="157">
        <f t="shared" si="0"/>
        <v>0.30030030030030463</v>
      </c>
      <c r="I2" s="157">
        <f t="shared" si="0"/>
        <v>0.9009009009009028</v>
      </c>
      <c r="J2" s="157">
        <f t="shared" si="0"/>
        <v>0.70070070070069601</v>
      </c>
      <c r="K2" s="157">
        <f t="shared" si="0"/>
        <v>0.40040040040040248</v>
      </c>
      <c r="L2" s="157">
        <f t="shared" si="0"/>
        <v>0.50050050050050032</v>
      </c>
      <c r="M2" s="157">
        <f t="shared" si="0"/>
        <v>0.80080080080080496</v>
      </c>
      <c r="N2" s="157">
        <f t="shared" si="0"/>
        <v>1.0010010010010006</v>
      </c>
      <c r="O2" s="157">
        <f t="shared" si="0"/>
        <v>1.0010010010010006</v>
      </c>
      <c r="P2" s="157">
        <f t="shared" si="0"/>
        <v>0.50050050050050032</v>
      </c>
      <c r="Q2" s="157">
        <f t="shared" si="0"/>
        <v>0.60060060060059817</v>
      </c>
      <c r="R2" s="157">
        <f t="shared" si="0"/>
        <v>0.9009009009009028</v>
      </c>
      <c r="S2" s="157">
        <f t="shared" si="0"/>
        <v>0.10010010010009784</v>
      </c>
    </row>
    <row r="3" spans="1:23" ht="43.2" hidden="1" customHeight="1" x14ac:dyDescent="0.3">
      <c r="A3" s="149" t="s">
        <v>31</v>
      </c>
      <c r="B3" s="101" t="str" cm="1">
        <f t="array" ref="B3:S3">TRANSPOSE('Data-Lists'!A3:A20)</f>
        <v>#1 (Vero v2.2)</v>
      </c>
      <c r="C3" s="102" t="str">
        <v>#2 (Vero v2.2)</v>
      </c>
      <c r="D3" s="102" t="str">
        <v>#3 (Vero v2.2)</v>
      </c>
      <c r="E3" s="102" t="str">
        <v>#4 (Vero v2.2)</v>
      </c>
      <c r="F3" s="102" t="str">
        <v>#5 (Vero v2.2)</v>
      </c>
      <c r="G3" s="102" t="str">
        <v>#6 (Vero v2.2)</v>
      </c>
      <c r="H3" s="102" t="str">
        <v>#7 (Vero v2.2)</v>
      </c>
      <c r="I3" s="102" t="str">
        <v>#8 (Vero v2.2)</v>
      </c>
      <c r="J3" s="102" t="str">
        <v>#9 (Vero v2.2)</v>
      </c>
      <c r="K3" s="102" t="str">
        <v>#10 (Vero v2.2)</v>
      </c>
      <c r="L3" s="102" t="str">
        <v>#11 (Vero v2.2)</v>
      </c>
      <c r="M3" s="102" t="str">
        <v>#12 (Vero v2.2)</v>
      </c>
      <c r="N3" s="102" t="str">
        <v>#13 (Vero v2.2)</v>
      </c>
      <c r="O3" s="102" t="str">
        <v>#14 (Vero v2.2)</v>
      </c>
      <c r="P3" s="102" t="str">
        <v>#15 (Vero v2.2)</v>
      </c>
      <c r="Q3" s="102" t="str">
        <v>#16 (Vero v2.2)</v>
      </c>
      <c r="R3" s="102" t="str">
        <v>#17 (Vero v2.2)</v>
      </c>
      <c r="S3" s="102" t="str">
        <v>#18 (Vero v2.2)</v>
      </c>
    </row>
    <row r="4" spans="1:23" ht="15.6" x14ac:dyDescent="0.3">
      <c r="A4" s="149"/>
      <c r="B4" s="148" t="s">
        <v>84</v>
      </c>
      <c r="C4" s="148"/>
      <c r="D4" s="148"/>
      <c r="E4" s="148"/>
      <c r="F4" s="148"/>
      <c r="G4" s="148"/>
      <c r="H4" s="148"/>
      <c r="I4" s="148"/>
      <c r="J4" s="148"/>
      <c r="K4" s="148"/>
      <c r="L4" s="148"/>
      <c r="M4" s="148"/>
      <c r="N4" s="148"/>
      <c r="O4" s="148"/>
      <c r="P4" s="148"/>
      <c r="Q4" s="148"/>
      <c r="R4" s="148"/>
      <c r="S4" s="148"/>
    </row>
    <row r="5" spans="1:23" x14ac:dyDescent="0.3">
      <c r="A5" s="149"/>
      <c r="B5" s="81" t="str">
        <f t="shared" ref="B5:U5" si="1">LEFT(B3, 3)</f>
        <v xml:space="preserve">#1 </v>
      </c>
      <c r="C5" s="81" t="str">
        <f t="shared" si="1"/>
        <v xml:space="preserve">#2 </v>
      </c>
      <c r="D5" s="81" t="str">
        <f t="shared" si="1"/>
        <v xml:space="preserve">#3 </v>
      </c>
      <c r="E5" s="81" t="str">
        <f t="shared" si="1"/>
        <v xml:space="preserve">#4 </v>
      </c>
      <c r="F5" s="81" t="str">
        <f t="shared" si="1"/>
        <v xml:space="preserve">#5 </v>
      </c>
      <c r="G5" s="81" t="str">
        <f t="shared" si="1"/>
        <v xml:space="preserve">#6 </v>
      </c>
      <c r="H5" s="81" t="str">
        <f t="shared" si="1"/>
        <v xml:space="preserve">#7 </v>
      </c>
      <c r="I5" s="81" t="str">
        <f t="shared" si="1"/>
        <v xml:space="preserve">#8 </v>
      </c>
      <c r="J5" s="81" t="str">
        <f t="shared" si="1"/>
        <v xml:space="preserve">#9 </v>
      </c>
      <c r="K5" s="81" t="str">
        <f t="shared" si="1"/>
        <v>#10</v>
      </c>
      <c r="L5" s="81" t="str">
        <f t="shared" si="1"/>
        <v>#11</v>
      </c>
      <c r="M5" s="81" t="str">
        <f t="shared" si="1"/>
        <v>#12</v>
      </c>
      <c r="N5" s="81" t="str">
        <f t="shared" si="1"/>
        <v>#13</v>
      </c>
      <c r="O5" s="81" t="str">
        <f t="shared" si="1"/>
        <v>#14</v>
      </c>
      <c r="P5" s="81" t="str">
        <f t="shared" si="1"/>
        <v>#15</v>
      </c>
      <c r="Q5" s="81" t="str">
        <f t="shared" si="1"/>
        <v>#16</v>
      </c>
      <c r="R5" s="81" t="str">
        <f t="shared" si="1"/>
        <v>#17</v>
      </c>
      <c r="S5" s="81" t="str">
        <f t="shared" si="1"/>
        <v>#18</v>
      </c>
      <c r="U5" s="159" t="s">
        <v>105</v>
      </c>
      <c r="V5" s="159"/>
      <c r="W5" s="159"/>
    </row>
    <row r="6" spans="1:23" x14ac:dyDescent="0.3">
      <c r="A6" s="106" cm="1">
        <f t="array" ref="A6:A1003">'Data-Lists'!B3:B1000</f>
        <v>46228</v>
      </c>
      <c r="B6" s="100">
        <f>IFERROR(
    _xlfn.LET(
        _xlpm.is_data_present, $A6&lt;&gt;0,
        _xlpm.is_camera_present, COUNTIFS(ArchivedLog!$A:$A, $A6, ArchivedLog!$B:$B, B$3),
        _xlpm.we_camera_on_date, IFERROR(AVERAGEIFS(ArchivedLog!$D:$D, ArchivedLog!$B:$B,B$3, ArchivedLog!$A:$A, $A6), ""),
        _xlpm.ie_camera_on_date, IFERROR(AVERAGEIFS(ArchivedLog!$E:$E, ArchivedLog!$B:$B,B$3,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6" s="100">
        <f>IFERROR(
    _xlfn.LET(
        _xlpm.is_data_present, $A6&lt;&gt;0,
        _xlpm.is_camera_present, COUNTIFS(ArchivedLog!$A:$A, $A6, ArchivedLog!$B:$B, C$3),
        _xlpm.we_camera_on_date, IFERROR(AVERAGEIFS(ArchivedLog!$D:$D, ArchivedLog!$B:$B,C$3, ArchivedLog!$A:$A, $A6), ""),
        _xlpm.ie_camera_on_date, IFERROR(AVERAGEIFS(ArchivedLog!$E:$E, ArchivedLog!$B:$B,C$3,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6" s="100">
        <f>IFERROR(
    _xlfn.LET(
        _xlpm.is_data_present, $A6&lt;&gt;0,
        _xlpm.is_camera_present, COUNTIFS(ArchivedLog!$A:$A, $A6, ArchivedLog!$B:$B, D$3),
        _xlpm.we_camera_on_date, IFERROR(AVERAGEIFS(ArchivedLog!$D:$D, ArchivedLog!$B:$B,D$3, ArchivedLog!$A:$A, $A6), ""),
        _xlpm.ie_camera_on_date, IFERROR(AVERAGEIFS(ArchivedLog!$E:$E, ArchivedLog!$B:$B,D$3,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6" s="100">
        <f>IFERROR(
    _xlfn.LET(
        _xlpm.is_data_present, $A6&lt;&gt;0,
        _xlpm.is_camera_present, COUNTIFS(ArchivedLog!$A:$A, $A6, ArchivedLog!$B:$B, E$3),
        _xlpm.we_camera_on_date, IFERROR(AVERAGEIFS(ArchivedLog!$D:$D, ArchivedLog!$B:$B,E$3, ArchivedLog!$A:$A, $A6), ""),
        _xlpm.ie_camera_on_date, IFERROR(AVERAGEIFS(ArchivedLog!$E:$E, ArchivedLog!$B:$B,E$3,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6" s="100">
        <f>IFERROR(
    _xlfn.LET(
        _xlpm.is_data_present, $A6&lt;&gt;0,
        _xlpm.is_camera_present, COUNTIFS(ArchivedLog!$A:$A, $A6, ArchivedLog!$B:$B, F$3),
        _xlpm.we_camera_on_date, IFERROR(AVERAGEIFS(ArchivedLog!$D:$D, ArchivedLog!$B:$B,F$3, ArchivedLog!$A:$A, $A6), ""),
        _xlpm.ie_camera_on_date, IFERROR(AVERAGEIFS(ArchivedLog!$E:$E, ArchivedLog!$B:$B,F$3,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6" s="100">
        <f>IFERROR(
    _xlfn.LET(
        _xlpm.is_data_present, $A6&lt;&gt;0,
        _xlpm.is_camera_present, COUNTIFS(ArchivedLog!$A:$A, $A6, ArchivedLog!$B:$B, G$3),
        _xlpm.we_camera_on_date, IFERROR(AVERAGEIFS(ArchivedLog!$D:$D, ArchivedLog!$B:$B,G$3, ArchivedLog!$A:$A, $A6), ""),
        _xlpm.ie_camera_on_date, IFERROR(AVERAGEIFS(ArchivedLog!$E:$E, ArchivedLog!$B:$B,G$3,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H6" s="100">
        <f>IFERROR(
    _xlfn.LET(
        _xlpm.is_data_present, $A6&lt;&gt;0,
        _xlpm.is_camera_present, COUNTIFS(ArchivedLog!$A:$A, $A6, ArchivedLog!$B:$B, H$3),
        _xlpm.we_camera_on_date, IFERROR(AVERAGEIFS(ArchivedLog!$D:$D, ArchivedLog!$B:$B,H$3, ArchivedLog!$A:$A, $A6), ""),
        _xlpm.ie_camera_on_date, IFERROR(AVERAGEIFS(ArchivedLog!$E:$E, ArchivedLog!$B:$B,H$3,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6" s="100" t="str">
        <f>IFERROR(
    _xlfn.LET(
        _xlpm.is_data_present, $A6&lt;&gt;0,
        _xlpm.is_camera_present, COUNTIFS(ArchivedLog!$A:$A, $A6, ArchivedLog!$B:$B, I$3),
        _xlpm.we_camera_on_date, IFERROR(AVERAGEIFS(ArchivedLog!$D:$D, ArchivedLog!$B:$B,I$3, ArchivedLog!$A:$A, $A6), ""),
        _xlpm.ie_camera_on_date, IFERROR(AVERAGEIFS(ArchivedLog!$E:$E, ArchivedLog!$B:$B,I$3,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J6" s="100">
        <f>IFERROR(
    _xlfn.LET(
        _xlpm.is_data_present, $A6&lt;&gt;0,
        _xlpm.is_camera_present, COUNTIFS(ArchivedLog!$A:$A, $A6, ArchivedLog!$B:$B, J$3),
        _xlpm.we_camera_on_date, IFERROR(AVERAGEIFS(ArchivedLog!$D:$D, ArchivedLog!$B:$B,J$3, ArchivedLog!$A:$A, $A6), ""),
        _xlpm.ie_camera_on_date, IFERROR(AVERAGEIFS(ArchivedLog!$E:$E, ArchivedLog!$B:$B,J$3,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6" s="100">
        <f>IFERROR(
    _xlfn.LET(
        _xlpm.is_data_present, $A6&lt;&gt;0,
        _xlpm.is_camera_present, COUNTIFS(ArchivedLog!$A:$A, $A6, ArchivedLog!$B:$B, K$3),
        _xlpm.we_camera_on_date, IFERROR(AVERAGEIFS(ArchivedLog!$D:$D, ArchivedLog!$B:$B,K$3, ArchivedLog!$A:$A, $A6), ""),
        _xlpm.ie_camera_on_date, IFERROR(AVERAGEIFS(ArchivedLog!$E:$E, ArchivedLog!$B:$B,K$3,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6" s="100">
        <f>IFERROR(
    _xlfn.LET(
        _xlpm.is_data_present, $A6&lt;&gt;0,
        _xlpm.is_camera_present, COUNTIFS(ArchivedLog!$A:$A, $A6, ArchivedLog!$B:$B, L$3),
        _xlpm.we_camera_on_date, IFERROR(AVERAGEIFS(ArchivedLog!$D:$D, ArchivedLog!$B:$B,L$3, ArchivedLog!$A:$A, $A6), ""),
        _xlpm.ie_camera_on_date, IFERROR(AVERAGEIFS(ArchivedLog!$E:$E, ArchivedLog!$B:$B,L$3,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M6" s="100">
        <f>IFERROR(
    _xlfn.LET(
        _xlpm.is_data_present, $A6&lt;&gt;0,
        _xlpm.is_camera_present, COUNTIFS(ArchivedLog!$A:$A, $A6, ArchivedLog!$B:$B, M$3),
        _xlpm.we_camera_on_date, IFERROR(AVERAGEIFS(ArchivedLog!$D:$D, ArchivedLog!$B:$B,M$3, ArchivedLog!$A:$A, $A6), ""),
        _xlpm.ie_camera_on_date, IFERROR(AVERAGEIFS(ArchivedLog!$E:$E, ArchivedLog!$B:$B,M$3,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N6" s="100">
        <f>IFERROR(
    _xlfn.LET(
        _xlpm.is_data_present, $A6&lt;&gt;0,
        _xlpm.is_camera_present, COUNTIFS(ArchivedLog!$A:$A, $A6, ArchivedLog!$B:$B, N$3),
        _xlpm.we_camera_on_date, IFERROR(AVERAGEIFS(ArchivedLog!$D:$D, ArchivedLog!$B:$B,N$3, ArchivedLog!$A:$A, $A6), ""),
        _xlpm.ie_camera_on_date, IFERROR(AVERAGEIFS(ArchivedLog!$E:$E, ArchivedLog!$B:$B,N$3,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6" s="100">
        <f>IFERROR(
    _xlfn.LET(
        _xlpm.is_data_present, $A6&lt;&gt;0,
        _xlpm.is_camera_present, COUNTIFS(ArchivedLog!$A:$A, $A6, ArchivedLog!$B:$B, O$3),
        _xlpm.we_camera_on_date, IFERROR(AVERAGEIFS(ArchivedLog!$D:$D, ArchivedLog!$B:$B,O$3, ArchivedLog!$A:$A, $A6), ""),
        _xlpm.ie_camera_on_date, IFERROR(AVERAGEIFS(ArchivedLog!$E:$E, ArchivedLog!$B:$B,O$3,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6" s="100">
        <f>IFERROR(
    _xlfn.LET(
        _xlpm.is_data_present, $A6&lt;&gt;0,
        _xlpm.is_camera_present, COUNTIFS(ArchivedLog!$A:$A, $A6, ArchivedLog!$B:$B, P$3),
        _xlpm.we_camera_on_date, IFERROR(AVERAGEIFS(ArchivedLog!$D:$D, ArchivedLog!$B:$B,P$3, ArchivedLog!$A:$A, $A6), ""),
        _xlpm.ie_camera_on_date, IFERROR(AVERAGEIFS(ArchivedLog!$E:$E, ArchivedLog!$B:$B,P$3,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6" s="100">
        <f>IFERROR(
    _xlfn.LET(
        _xlpm.is_data_present, $A6&lt;&gt;0,
        _xlpm.is_camera_present, COUNTIFS(ArchivedLog!$A:$A, $A6, ArchivedLog!$B:$B, Q$3),
        _xlpm.we_camera_on_date, IFERROR(AVERAGEIFS(ArchivedLog!$D:$D, ArchivedLog!$B:$B,Q$3, ArchivedLog!$A:$A, $A6), ""),
        _xlpm.ie_camera_on_date, IFERROR(AVERAGEIFS(ArchivedLog!$E:$E, ArchivedLog!$B:$B,Q$3,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6" s="100">
        <f>IFERROR(
    _xlfn.LET(
        _xlpm.is_data_present, $A6&lt;&gt;0,
        _xlpm.is_camera_present, COUNTIFS(ArchivedLog!$A:$A, $A6, ArchivedLog!$B:$B, R$3),
        _xlpm.we_camera_on_date, IFERROR(AVERAGEIFS(ArchivedLog!$D:$D, ArchivedLog!$B:$B,R$3, ArchivedLog!$A:$A, $A6), ""),
        _xlpm.ie_camera_on_date, IFERROR(AVERAGEIFS(ArchivedLog!$E:$E, ArchivedLog!$B:$B,R$3,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6" s="100">
        <f>IFERROR(
    _xlfn.LET(
        _xlpm.is_data_present, $A6&lt;&gt;0,
        _xlpm.is_camera_present, COUNTIFS(ArchivedLog!$A:$A, $A6, ArchivedLog!$B:$B, S$3),
        _xlpm.we_camera_on_date, IFERROR(AVERAGEIFS(ArchivedLog!$D:$D, ArchivedLog!$B:$B,S$3, ArchivedLog!$A:$A, $A6), ""),
        _xlpm.ie_camera_on_date, IFERROR(AVERAGEIFS(ArchivedLog!$E:$E, ArchivedLog!$B:$B,S$3, ArchivedLog!$A:$A, $A6), ""),
        _xlpm.we_avg, IFERROR(AVERAGEIFS(ArchivedLog!$D:$D,ArchivedLog!$A:$A,$A6),""),
        _xlpm.ie_avg, IFERROR(AVERAGEIFS(ArchivedLog!$E:$E,ArchivedLog!$A:$A,$A6),""),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6" s="158"/>
      <c r="V6" s="160">
        <f>'[1]Hours Tracker'!$C$2319</f>
        <v>0</v>
      </c>
      <c r="W6" s="161"/>
    </row>
    <row r="7" spans="1:23" x14ac:dyDescent="0.3">
      <c r="A7" s="107">
        <v>46230</v>
      </c>
      <c r="B7" s="100">
        <f>IFERROR(
    _xlfn.LET(
        _xlpm.is_data_present, $A7&lt;&gt;0,
        _xlpm.is_camera_present, COUNTIFS(ArchivedLog!$A:$A, $A7, ArchivedLog!$B:$B, B$3),
        _xlpm.we_camera_on_date, IFERROR(AVERAGEIFS(ArchivedLog!$D:$D, ArchivedLog!$B:$B,B$3, ArchivedLog!$A:$A, $A7), ""),
        _xlpm.ie_camera_on_date, IFERROR(AVERAGEIFS(ArchivedLog!$E:$E, ArchivedLog!$B:$B,B$3,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C7" s="100">
        <f>IFERROR(
    _xlfn.LET(
        _xlpm.is_data_present, $A7&lt;&gt;0,
        _xlpm.is_camera_present, COUNTIFS(ArchivedLog!$A:$A, $A7, ArchivedLog!$B:$B, C$3),
        _xlpm.we_camera_on_date, IFERROR(AVERAGEIFS(ArchivedLog!$D:$D, ArchivedLog!$B:$B,C$3, ArchivedLog!$A:$A, $A7), ""),
        _xlpm.ie_camera_on_date, IFERROR(AVERAGEIFS(ArchivedLog!$E:$E, ArchivedLog!$B:$B,C$3,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7" s="100">
        <f>IFERROR(
    _xlfn.LET(
        _xlpm.is_data_present, $A7&lt;&gt;0,
        _xlpm.is_camera_present, COUNTIFS(ArchivedLog!$A:$A, $A7, ArchivedLog!$B:$B, D$3),
        _xlpm.we_camera_on_date, IFERROR(AVERAGEIFS(ArchivedLog!$D:$D, ArchivedLog!$B:$B,D$3, ArchivedLog!$A:$A, $A7), ""),
        _xlpm.ie_camera_on_date, IFERROR(AVERAGEIFS(ArchivedLog!$E:$E, ArchivedLog!$B:$B,D$3,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7" s="100">
        <f>IFERROR(
    _xlfn.LET(
        _xlpm.is_data_present, $A7&lt;&gt;0,
        _xlpm.is_camera_present, COUNTIFS(ArchivedLog!$A:$A, $A7, ArchivedLog!$B:$B, E$3),
        _xlpm.we_camera_on_date, IFERROR(AVERAGEIFS(ArchivedLog!$D:$D, ArchivedLog!$B:$B,E$3, ArchivedLog!$A:$A, $A7), ""),
        _xlpm.ie_camera_on_date, IFERROR(AVERAGEIFS(ArchivedLog!$E:$E, ArchivedLog!$B:$B,E$3,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7" s="100">
        <f>IFERROR(
    _xlfn.LET(
        _xlpm.is_data_present, $A7&lt;&gt;0,
        _xlpm.is_camera_present, COUNTIFS(ArchivedLog!$A:$A, $A7, ArchivedLog!$B:$B, F$3),
        _xlpm.we_camera_on_date, IFERROR(AVERAGEIFS(ArchivedLog!$D:$D, ArchivedLog!$B:$B,F$3, ArchivedLog!$A:$A, $A7), ""),
        _xlpm.ie_camera_on_date, IFERROR(AVERAGEIFS(ArchivedLog!$E:$E, ArchivedLog!$B:$B,F$3,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7" s="100">
        <f>IFERROR(
    _xlfn.LET(
        _xlpm.is_data_present, $A7&lt;&gt;0,
        _xlpm.is_camera_present, COUNTIFS(ArchivedLog!$A:$A, $A7, ArchivedLog!$B:$B, G$3),
        _xlpm.we_camera_on_date, IFERROR(AVERAGEIFS(ArchivedLog!$D:$D, ArchivedLog!$B:$B,G$3, ArchivedLog!$A:$A, $A7), ""),
        _xlpm.ie_camera_on_date, IFERROR(AVERAGEIFS(ArchivedLog!$E:$E, ArchivedLog!$B:$B,G$3,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7" s="100">
        <f>IFERROR(
    _xlfn.LET(
        _xlpm.is_data_present, $A7&lt;&gt;0,
        _xlpm.is_camera_present, COUNTIFS(ArchivedLog!$A:$A, $A7, ArchivedLog!$B:$B, H$3),
        _xlpm.we_camera_on_date, IFERROR(AVERAGEIFS(ArchivedLog!$D:$D, ArchivedLog!$B:$B,H$3, ArchivedLog!$A:$A, $A7), ""),
        _xlpm.ie_camera_on_date, IFERROR(AVERAGEIFS(ArchivedLog!$E:$E, ArchivedLog!$B:$B,H$3,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I7" s="100">
        <f>IFERROR(
    _xlfn.LET(
        _xlpm.is_data_present, $A7&lt;&gt;0,
        _xlpm.is_camera_present, COUNTIFS(ArchivedLog!$A:$A, $A7, ArchivedLog!$B:$B, I$3),
        _xlpm.we_camera_on_date, IFERROR(AVERAGEIFS(ArchivedLog!$D:$D, ArchivedLog!$B:$B,I$3, ArchivedLog!$A:$A, $A7), ""),
        _xlpm.ie_camera_on_date, IFERROR(AVERAGEIFS(ArchivedLog!$E:$E, ArchivedLog!$B:$B,I$3,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7" s="100">
        <f>IFERROR(
    _xlfn.LET(
        _xlpm.is_data_present, $A7&lt;&gt;0,
        _xlpm.is_camera_present, COUNTIFS(ArchivedLog!$A:$A, $A7, ArchivedLog!$B:$B, J$3),
        _xlpm.we_camera_on_date, IFERROR(AVERAGEIFS(ArchivedLog!$D:$D, ArchivedLog!$B:$B,J$3, ArchivedLog!$A:$A, $A7), ""),
        _xlpm.ie_camera_on_date, IFERROR(AVERAGEIFS(ArchivedLog!$E:$E, ArchivedLog!$B:$B,J$3,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7" s="100">
        <f>IFERROR(
    _xlfn.LET(
        _xlpm.is_data_present, $A7&lt;&gt;0,
        _xlpm.is_camera_present, COUNTIFS(ArchivedLog!$A:$A, $A7, ArchivedLog!$B:$B, K$3),
        _xlpm.we_camera_on_date, IFERROR(AVERAGEIFS(ArchivedLog!$D:$D, ArchivedLog!$B:$B,K$3, ArchivedLog!$A:$A, $A7), ""),
        _xlpm.ie_camera_on_date, IFERROR(AVERAGEIFS(ArchivedLog!$E:$E, ArchivedLog!$B:$B,K$3,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7" s="100">
        <f>IFERROR(
    _xlfn.LET(
        _xlpm.is_data_present, $A7&lt;&gt;0,
        _xlpm.is_camera_present, COUNTIFS(ArchivedLog!$A:$A, $A7, ArchivedLog!$B:$B, L$3),
        _xlpm.we_camera_on_date, IFERROR(AVERAGEIFS(ArchivedLog!$D:$D, ArchivedLog!$B:$B,L$3, ArchivedLog!$A:$A, $A7), ""),
        _xlpm.ie_camera_on_date, IFERROR(AVERAGEIFS(ArchivedLog!$E:$E, ArchivedLog!$B:$B,L$3,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7" s="100">
        <f>IFERROR(
    _xlfn.LET(
        _xlpm.is_data_present, $A7&lt;&gt;0,
        _xlpm.is_camera_present, COUNTIFS(ArchivedLog!$A:$A, $A7, ArchivedLog!$B:$B, M$3),
        _xlpm.we_camera_on_date, IFERROR(AVERAGEIFS(ArchivedLog!$D:$D, ArchivedLog!$B:$B,M$3, ArchivedLog!$A:$A, $A7), ""),
        _xlpm.ie_camera_on_date, IFERROR(AVERAGEIFS(ArchivedLog!$E:$E, ArchivedLog!$B:$B,M$3,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N7" s="100">
        <f>IFERROR(
    _xlfn.LET(
        _xlpm.is_data_present, $A7&lt;&gt;0,
        _xlpm.is_camera_present, COUNTIFS(ArchivedLog!$A:$A, $A7, ArchivedLog!$B:$B, N$3),
        _xlpm.we_camera_on_date, IFERROR(AVERAGEIFS(ArchivedLog!$D:$D, ArchivedLog!$B:$B,N$3, ArchivedLog!$A:$A, $A7), ""),
        _xlpm.ie_camera_on_date, IFERROR(AVERAGEIFS(ArchivedLog!$E:$E, ArchivedLog!$B:$B,N$3,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7" s="100">
        <f>IFERROR(
    _xlfn.LET(
        _xlpm.is_data_present, $A7&lt;&gt;0,
        _xlpm.is_camera_present, COUNTIFS(ArchivedLog!$A:$A, $A7, ArchivedLog!$B:$B, O$3),
        _xlpm.we_camera_on_date, IFERROR(AVERAGEIFS(ArchivedLog!$D:$D, ArchivedLog!$B:$B,O$3, ArchivedLog!$A:$A, $A7), ""),
        _xlpm.ie_camera_on_date, IFERROR(AVERAGEIFS(ArchivedLog!$E:$E, ArchivedLog!$B:$B,O$3,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7" s="100">
        <f>IFERROR(
    _xlfn.LET(
        _xlpm.is_data_present, $A7&lt;&gt;0,
        _xlpm.is_camera_present, COUNTIFS(ArchivedLog!$A:$A, $A7, ArchivedLog!$B:$B, P$3),
        _xlpm.we_camera_on_date, IFERROR(AVERAGEIFS(ArchivedLog!$D:$D, ArchivedLog!$B:$B,P$3, ArchivedLog!$A:$A, $A7), ""),
        _xlpm.ie_camera_on_date, IFERROR(AVERAGEIFS(ArchivedLog!$E:$E, ArchivedLog!$B:$B,P$3,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7" s="100">
        <f>IFERROR(
    _xlfn.LET(
        _xlpm.is_data_present, $A7&lt;&gt;0,
        _xlpm.is_camera_present, COUNTIFS(ArchivedLog!$A:$A, $A7, ArchivedLog!$B:$B, Q$3),
        _xlpm.we_camera_on_date, IFERROR(AVERAGEIFS(ArchivedLog!$D:$D, ArchivedLog!$B:$B,Q$3, ArchivedLog!$A:$A, $A7), ""),
        _xlpm.ie_camera_on_date, IFERROR(AVERAGEIFS(ArchivedLog!$E:$E, ArchivedLog!$B:$B,Q$3,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7" s="100">
        <f>IFERROR(
    _xlfn.LET(
        _xlpm.is_data_present, $A7&lt;&gt;0,
        _xlpm.is_camera_present, COUNTIFS(ArchivedLog!$A:$A, $A7, ArchivedLog!$B:$B, R$3),
        _xlpm.we_camera_on_date, IFERROR(AVERAGEIFS(ArchivedLog!$D:$D, ArchivedLog!$B:$B,R$3, ArchivedLog!$A:$A, $A7), ""),
        _xlpm.ie_camera_on_date, IFERROR(AVERAGEIFS(ArchivedLog!$E:$E, ArchivedLog!$B:$B,R$3,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7" s="100">
        <f>IFERROR(
    _xlfn.LET(
        _xlpm.is_data_present, $A7&lt;&gt;0,
        _xlpm.is_camera_present, COUNTIFS(ArchivedLog!$A:$A, $A7, ArchivedLog!$B:$B, S$3),
        _xlpm.we_camera_on_date, IFERROR(AVERAGEIFS(ArchivedLog!$D:$D, ArchivedLog!$B:$B,S$3, ArchivedLog!$A:$A, $A7), ""),
        _xlpm.ie_camera_on_date, IFERROR(AVERAGEIFS(ArchivedLog!$E:$E, ArchivedLog!$B:$B,S$3, ArchivedLog!$A:$A, $A7), ""),
        _xlpm.we_avg, IFERROR(AVERAGEIFS(ArchivedLog!$D:$D,ArchivedLog!$A:$A,$A7),""),
        _xlpm.ie_avg, IFERROR(AVERAGEIFS(ArchivedLog!$E:$E,ArchivedLog!$A:$A,$A7),""),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7" s="98"/>
      <c r="V7" s="84"/>
    </row>
    <row r="8" spans="1:23" x14ac:dyDescent="0.3">
      <c r="A8" s="107">
        <v>46231</v>
      </c>
      <c r="B8" s="100">
        <f>IFERROR(
    _xlfn.LET(
        _xlpm.is_data_present, $A8&lt;&gt;0,
        _xlpm.is_camera_present, COUNTIFS(ArchivedLog!$A:$A, $A8, ArchivedLog!$B:$B, B$3),
        _xlpm.we_camera_on_date, IFERROR(AVERAGEIFS(ArchivedLog!$D:$D, ArchivedLog!$B:$B,B$3, ArchivedLog!$A:$A, $A8), ""),
        _xlpm.ie_camera_on_date, IFERROR(AVERAGEIFS(ArchivedLog!$E:$E, ArchivedLog!$B:$B,B$3,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C8" s="100">
        <f>IFERROR(
    _xlfn.LET(
        _xlpm.is_data_present, $A8&lt;&gt;0,
        _xlpm.is_camera_present, COUNTIFS(ArchivedLog!$A:$A, $A8, ArchivedLog!$B:$B, C$3),
        _xlpm.we_camera_on_date, IFERROR(AVERAGEIFS(ArchivedLog!$D:$D, ArchivedLog!$B:$B,C$3, ArchivedLog!$A:$A, $A8), ""),
        _xlpm.ie_camera_on_date, IFERROR(AVERAGEIFS(ArchivedLog!$E:$E, ArchivedLog!$B:$B,C$3,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8" s="100">
        <f>IFERROR(
    _xlfn.LET(
        _xlpm.is_data_present, $A8&lt;&gt;0,
        _xlpm.is_camera_present, COUNTIFS(ArchivedLog!$A:$A, $A8, ArchivedLog!$B:$B, D$3),
        _xlpm.we_camera_on_date, IFERROR(AVERAGEIFS(ArchivedLog!$D:$D, ArchivedLog!$B:$B,D$3, ArchivedLog!$A:$A, $A8), ""),
        _xlpm.ie_camera_on_date, IFERROR(AVERAGEIFS(ArchivedLog!$E:$E, ArchivedLog!$B:$B,D$3,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E8" s="100">
        <f>IFERROR(
    _xlfn.LET(
        _xlpm.is_data_present, $A8&lt;&gt;0,
        _xlpm.is_camera_present, COUNTIFS(ArchivedLog!$A:$A, $A8, ArchivedLog!$B:$B, E$3),
        _xlpm.we_camera_on_date, IFERROR(AVERAGEIFS(ArchivedLog!$D:$D, ArchivedLog!$B:$B,E$3, ArchivedLog!$A:$A, $A8), ""),
        _xlpm.ie_camera_on_date, IFERROR(AVERAGEIFS(ArchivedLog!$E:$E, ArchivedLog!$B:$B,E$3,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8" s="100">
        <f>IFERROR(
    _xlfn.LET(
        _xlpm.is_data_present, $A8&lt;&gt;0,
        _xlpm.is_camera_present, COUNTIFS(ArchivedLog!$A:$A, $A8, ArchivedLog!$B:$B, F$3),
        _xlpm.we_camera_on_date, IFERROR(AVERAGEIFS(ArchivedLog!$D:$D, ArchivedLog!$B:$B,F$3, ArchivedLog!$A:$A, $A8), ""),
        _xlpm.ie_camera_on_date, IFERROR(AVERAGEIFS(ArchivedLog!$E:$E, ArchivedLog!$B:$B,F$3,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8" s="100">
        <f>IFERROR(
    _xlfn.LET(
        _xlpm.is_data_present, $A8&lt;&gt;0,
        _xlpm.is_camera_present, COUNTIFS(ArchivedLog!$A:$A, $A8, ArchivedLog!$B:$B, G$3),
        _xlpm.we_camera_on_date, IFERROR(AVERAGEIFS(ArchivedLog!$D:$D, ArchivedLog!$B:$B,G$3, ArchivedLog!$A:$A, $A8), ""),
        _xlpm.ie_camera_on_date, IFERROR(AVERAGEIFS(ArchivedLog!$E:$E, ArchivedLog!$B:$B,G$3,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H8" s="100">
        <f>IFERROR(
    _xlfn.LET(
        _xlpm.is_data_present, $A8&lt;&gt;0,
        _xlpm.is_camera_present, COUNTIFS(ArchivedLog!$A:$A, $A8, ArchivedLog!$B:$B, H$3),
        _xlpm.we_camera_on_date, IFERROR(AVERAGEIFS(ArchivedLog!$D:$D, ArchivedLog!$B:$B,H$3, ArchivedLog!$A:$A, $A8), ""),
        _xlpm.ie_camera_on_date, IFERROR(AVERAGEIFS(ArchivedLog!$E:$E, ArchivedLog!$B:$B,H$3,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8" s="100">
        <f>IFERROR(
    _xlfn.LET(
        _xlpm.is_data_present, $A8&lt;&gt;0,
        _xlpm.is_camera_present, COUNTIFS(ArchivedLog!$A:$A, $A8, ArchivedLog!$B:$B, I$3),
        _xlpm.we_camera_on_date, IFERROR(AVERAGEIFS(ArchivedLog!$D:$D, ArchivedLog!$B:$B,I$3, ArchivedLog!$A:$A, $A8), ""),
        _xlpm.ie_camera_on_date, IFERROR(AVERAGEIFS(ArchivedLog!$E:$E, ArchivedLog!$B:$B,I$3,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8" s="100">
        <f>IFERROR(
    _xlfn.LET(
        _xlpm.is_data_present, $A8&lt;&gt;0,
        _xlpm.is_camera_present, COUNTIFS(ArchivedLog!$A:$A, $A8, ArchivedLog!$B:$B, J$3),
        _xlpm.we_camera_on_date, IFERROR(AVERAGEIFS(ArchivedLog!$D:$D, ArchivedLog!$B:$B,J$3, ArchivedLog!$A:$A, $A8), ""),
        _xlpm.ie_camera_on_date, IFERROR(AVERAGEIFS(ArchivedLog!$E:$E, ArchivedLog!$B:$B,J$3,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8" s="100">
        <f>IFERROR(
    _xlfn.LET(
        _xlpm.is_data_present, $A8&lt;&gt;0,
        _xlpm.is_camera_present, COUNTIFS(ArchivedLog!$A:$A, $A8, ArchivedLog!$B:$B, K$3),
        _xlpm.we_camera_on_date, IFERROR(AVERAGEIFS(ArchivedLog!$D:$D, ArchivedLog!$B:$B,K$3, ArchivedLog!$A:$A, $A8), ""),
        _xlpm.ie_camera_on_date, IFERROR(AVERAGEIFS(ArchivedLog!$E:$E, ArchivedLog!$B:$B,K$3,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8" s="100">
        <f>IFERROR(
    _xlfn.LET(
        _xlpm.is_data_present, $A8&lt;&gt;0,
        _xlpm.is_camera_present, COUNTIFS(ArchivedLog!$A:$A, $A8, ArchivedLog!$B:$B, L$3),
        _xlpm.we_camera_on_date, IFERROR(AVERAGEIFS(ArchivedLog!$D:$D, ArchivedLog!$B:$B,L$3, ArchivedLog!$A:$A, $A8), ""),
        _xlpm.ie_camera_on_date, IFERROR(AVERAGEIFS(ArchivedLog!$E:$E, ArchivedLog!$B:$B,L$3,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8" s="100">
        <f>IFERROR(
    _xlfn.LET(
        _xlpm.is_data_present, $A8&lt;&gt;0,
        _xlpm.is_camera_present, COUNTIFS(ArchivedLog!$A:$A, $A8, ArchivedLog!$B:$B, M$3),
        _xlpm.we_camera_on_date, IFERROR(AVERAGEIFS(ArchivedLog!$D:$D, ArchivedLog!$B:$B,M$3, ArchivedLog!$A:$A, $A8), ""),
        _xlpm.ie_camera_on_date, IFERROR(AVERAGEIFS(ArchivedLog!$E:$E, ArchivedLog!$B:$B,M$3,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8" s="100">
        <f>IFERROR(
    _xlfn.LET(
        _xlpm.is_data_present, $A8&lt;&gt;0,
        _xlpm.is_camera_present, COUNTIFS(ArchivedLog!$A:$A, $A8, ArchivedLog!$B:$B, N$3),
        _xlpm.we_camera_on_date, IFERROR(AVERAGEIFS(ArchivedLog!$D:$D, ArchivedLog!$B:$B,N$3, ArchivedLog!$A:$A, $A8), ""),
        _xlpm.ie_camera_on_date, IFERROR(AVERAGEIFS(ArchivedLog!$E:$E, ArchivedLog!$B:$B,N$3,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8" s="100">
        <f>IFERROR(
    _xlfn.LET(
        _xlpm.is_data_present, $A8&lt;&gt;0,
        _xlpm.is_camera_present, COUNTIFS(ArchivedLog!$A:$A, $A8, ArchivedLog!$B:$B, O$3),
        _xlpm.we_camera_on_date, IFERROR(AVERAGEIFS(ArchivedLog!$D:$D, ArchivedLog!$B:$B,O$3, ArchivedLog!$A:$A, $A8), ""),
        _xlpm.ie_camera_on_date, IFERROR(AVERAGEIFS(ArchivedLog!$E:$E, ArchivedLog!$B:$B,O$3,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8" s="100">
        <f>IFERROR(
    _xlfn.LET(
        _xlpm.is_data_present, $A8&lt;&gt;0,
        _xlpm.is_camera_present, COUNTIFS(ArchivedLog!$A:$A, $A8, ArchivedLog!$B:$B, P$3),
        _xlpm.we_camera_on_date, IFERROR(AVERAGEIFS(ArchivedLog!$D:$D, ArchivedLog!$B:$B,P$3, ArchivedLog!$A:$A, $A8), ""),
        _xlpm.ie_camera_on_date, IFERROR(AVERAGEIFS(ArchivedLog!$E:$E, ArchivedLog!$B:$B,P$3,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Q8" s="100">
        <f>IFERROR(
    _xlfn.LET(
        _xlpm.is_data_present, $A8&lt;&gt;0,
        _xlpm.is_camera_present, COUNTIFS(ArchivedLog!$A:$A, $A8, ArchivedLog!$B:$B, Q$3),
        _xlpm.we_camera_on_date, IFERROR(AVERAGEIFS(ArchivedLog!$D:$D, ArchivedLog!$B:$B,Q$3, ArchivedLog!$A:$A, $A8), ""),
        _xlpm.ie_camera_on_date, IFERROR(AVERAGEIFS(ArchivedLog!$E:$E, ArchivedLog!$B:$B,Q$3,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8" s="100">
        <f>IFERROR(
    _xlfn.LET(
        _xlpm.is_data_present, $A8&lt;&gt;0,
        _xlpm.is_camera_present, COUNTIFS(ArchivedLog!$A:$A, $A8, ArchivedLog!$B:$B, R$3),
        _xlpm.we_camera_on_date, IFERROR(AVERAGEIFS(ArchivedLog!$D:$D, ArchivedLog!$B:$B,R$3, ArchivedLog!$A:$A, $A8), ""),
        _xlpm.ie_camera_on_date, IFERROR(AVERAGEIFS(ArchivedLog!$E:$E, ArchivedLog!$B:$B,R$3,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8" s="100">
        <f>IFERROR(
    _xlfn.LET(
        _xlpm.is_data_present, $A8&lt;&gt;0,
        _xlpm.is_camera_present, COUNTIFS(ArchivedLog!$A:$A, $A8, ArchivedLog!$B:$B, S$3),
        _xlpm.we_camera_on_date, IFERROR(AVERAGEIFS(ArchivedLog!$D:$D, ArchivedLog!$B:$B,S$3, ArchivedLog!$A:$A, $A8), ""),
        _xlpm.ie_camera_on_date, IFERROR(AVERAGEIFS(ArchivedLog!$E:$E, ArchivedLog!$B:$B,S$3, ArchivedLog!$A:$A, $A8), ""),
        _xlpm.we_avg, IFERROR(AVERAGEIFS(ArchivedLog!$D:$D,ArchivedLog!$A:$A,$A8),""),
        _xlpm.ie_avg, IFERROR(AVERAGEIFS(ArchivedLog!$E:$E,ArchivedLog!$A:$A,$A8),""),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8" s="111" t="s">
        <v>74</v>
      </c>
      <c r="V8" s="111"/>
      <c r="W8" s="111"/>
    </row>
    <row r="9" spans="1:23" x14ac:dyDescent="0.3">
      <c r="A9" s="107">
        <v>46232</v>
      </c>
      <c r="B9" s="100">
        <f>IFERROR(
    _xlfn.LET(
        _xlpm.is_data_present, $A9&lt;&gt;0,
        _xlpm.is_camera_present, COUNTIFS(ArchivedLog!$A:$A, $A9, ArchivedLog!$B:$B, B$3),
        _xlpm.we_camera_on_date, IFERROR(AVERAGEIFS(ArchivedLog!$D:$D, ArchivedLog!$B:$B,B$3, ArchivedLog!$A:$A, $A9), ""),
        _xlpm.ie_camera_on_date, IFERROR(AVERAGEIFS(ArchivedLog!$E:$E, ArchivedLog!$B:$B,B$3,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9" s="100">
        <f>IFERROR(
    _xlfn.LET(
        _xlpm.is_data_present, $A9&lt;&gt;0,
        _xlpm.is_camera_present, COUNTIFS(ArchivedLog!$A:$A, $A9, ArchivedLog!$B:$B, C$3),
        _xlpm.we_camera_on_date, IFERROR(AVERAGEIFS(ArchivedLog!$D:$D, ArchivedLog!$B:$B,C$3, ArchivedLog!$A:$A, $A9), ""),
        _xlpm.ie_camera_on_date, IFERROR(AVERAGEIFS(ArchivedLog!$E:$E, ArchivedLog!$B:$B,C$3,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9" s="100">
        <f>IFERROR(
    _xlfn.LET(
        _xlpm.is_data_present, $A9&lt;&gt;0,
        _xlpm.is_camera_present, COUNTIFS(ArchivedLog!$A:$A, $A9, ArchivedLog!$B:$B, D$3),
        _xlpm.we_camera_on_date, IFERROR(AVERAGEIFS(ArchivedLog!$D:$D, ArchivedLog!$B:$B,D$3, ArchivedLog!$A:$A, $A9), ""),
        _xlpm.ie_camera_on_date, IFERROR(AVERAGEIFS(ArchivedLog!$E:$E, ArchivedLog!$B:$B,D$3,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9" s="100">
        <f>IFERROR(
    _xlfn.LET(
        _xlpm.is_data_present, $A9&lt;&gt;0,
        _xlpm.is_camera_present, COUNTIFS(ArchivedLog!$A:$A, $A9, ArchivedLog!$B:$B, E$3),
        _xlpm.we_camera_on_date, IFERROR(AVERAGEIFS(ArchivedLog!$D:$D, ArchivedLog!$B:$B,E$3, ArchivedLog!$A:$A, $A9), ""),
        _xlpm.ie_camera_on_date, IFERROR(AVERAGEIFS(ArchivedLog!$E:$E, ArchivedLog!$B:$B,E$3,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9" s="100">
        <f>IFERROR(
    _xlfn.LET(
        _xlpm.is_data_present, $A9&lt;&gt;0,
        _xlpm.is_camera_present, COUNTIFS(ArchivedLog!$A:$A, $A9, ArchivedLog!$B:$B, F$3),
        _xlpm.we_camera_on_date, IFERROR(AVERAGEIFS(ArchivedLog!$D:$D, ArchivedLog!$B:$B,F$3, ArchivedLog!$A:$A, $A9), ""),
        _xlpm.ie_camera_on_date, IFERROR(AVERAGEIFS(ArchivedLog!$E:$E, ArchivedLog!$B:$B,F$3,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9" s="100">
        <f>IFERROR(
    _xlfn.LET(
        _xlpm.is_data_present, $A9&lt;&gt;0,
        _xlpm.is_camera_present, COUNTIFS(ArchivedLog!$A:$A, $A9, ArchivedLog!$B:$B, G$3),
        _xlpm.we_camera_on_date, IFERROR(AVERAGEIFS(ArchivedLog!$D:$D, ArchivedLog!$B:$B,G$3, ArchivedLog!$A:$A, $A9), ""),
        _xlpm.ie_camera_on_date, IFERROR(AVERAGEIFS(ArchivedLog!$E:$E, ArchivedLog!$B:$B,G$3,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H9" s="100">
        <f>IFERROR(
    _xlfn.LET(
        _xlpm.is_data_present, $A9&lt;&gt;0,
        _xlpm.is_camera_present, COUNTIFS(ArchivedLog!$A:$A, $A9, ArchivedLog!$B:$B, H$3),
        _xlpm.we_camera_on_date, IFERROR(AVERAGEIFS(ArchivedLog!$D:$D, ArchivedLog!$B:$B,H$3, ArchivedLog!$A:$A, $A9), ""),
        _xlpm.ie_camera_on_date, IFERROR(AVERAGEIFS(ArchivedLog!$E:$E, ArchivedLog!$B:$B,H$3,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I9" s="100">
        <f>IFERROR(
    _xlfn.LET(
        _xlpm.is_data_present, $A9&lt;&gt;0,
        _xlpm.is_camera_present, COUNTIFS(ArchivedLog!$A:$A, $A9, ArchivedLog!$B:$B, I$3),
        _xlpm.we_camera_on_date, IFERROR(AVERAGEIFS(ArchivedLog!$D:$D, ArchivedLog!$B:$B,I$3, ArchivedLog!$A:$A, $A9), ""),
        _xlpm.ie_camera_on_date, IFERROR(AVERAGEIFS(ArchivedLog!$E:$E, ArchivedLog!$B:$B,I$3,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9" s="100">
        <f>IFERROR(
    _xlfn.LET(
        _xlpm.is_data_present, $A9&lt;&gt;0,
        _xlpm.is_camera_present, COUNTIFS(ArchivedLog!$A:$A, $A9, ArchivedLog!$B:$B, J$3),
        _xlpm.we_camera_on_date, IFERROR(AVERAGEIFS(ArchivedLog!$D:$D, ArchivedLog!$B:$B,J$3, ArchivedLog!$A:$A, $A9), ""),
        _xlpm.ie_camera_on_date, IFERROR(AVERAGEIFS(ArchivedLog!$E:$E, ArchivedLog!$B:$B,J$3,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9" s="100">
        <f>IFERROR(
    _xlfn.LET(
        _xlpm.is_data_present, $A9&lt;&gt;0,
        _xlpm.is_camera_present, COUNTIFS(ArchivedLog!$A:$A, $A9, ArchivedLog!$B:$B, K$3),
        _xlpm.we_camera_on_date, IFERROR(AVERAGEIFS(ArchivedLog!$D:$D, ArchivedLog!$B:$B,K$3, ArchivedLog!$A:$A, $A9), ""),
        _xlpm.ie_camera_on_date, IFERROR(AVERAGEIFS(ArchivedLog!$E:$E, ArchivedLog!$B:$B,K$3,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9" s="100">
        <f>IFERROR(
    _xlfn.LET(
        _xlpm.is_data_present, $A9&lt;&gt;0,
        _xlpm.is_camera_present, COUNTIFS(ArchivedLog!$A:$A, $A9, ArchivedLog!$B:$B, L$3),
        _xlpm.we_camera_on_date, IFERROR(AVERAGEIFS(ArchivedLog!$D:$D, ArchivedLog!$B:$B,L$3, ArchivedLog!$A:$A, $A9), ""),
        _xlpm.ie_camera_on_date, IFERROR(AVERAGEIFS(ArchivedLog!$E:$E, ArchivedLog!$B:$B,L$3,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9" s="100">
        <f>IFERROR(
    _xlfn.LET(
        _xlpm.is_data_present, $A9&lt;&gt;0,
        _xlpm.is_camera_present, COUNTIFS(ArchivedLog!$A:$A, $A9, ArchivedLog!$B:$B, M$3),
        _xlpm.we_camera_on_date, IFERROR(AVERAGEIFS(ArchivedLog!$D:$D, ArchivedLog!$B:$B,M$3, ArchivedLog!$A:$A, $A9), ""),
        _xlpm.ie_camera_on_date, IFERROR(AVERAGEIFS(ArchivedLog!$E:$E, ArchivedLog!$B:$B,M$3,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9" s="100">
        <f>IFERROR(
    _xlfn.LET(
        _xlpm.is_data_present, $A9&lt;&gt;0,
        _xlpm.is_camera_present, COUNTIFS(ArchivedLog!$A:$A, $A9, ArchivedLog!$B:$B, N$3),
        _xlpm.we_camera_on_date, IFERROR(AVERAGEIFS(ArchivedLog!$D:$D, ArchivedLog!$B:$B,N$3, ArchivedLog!$A:$A, $A9), ""),
        _xlpm.ie_camera_on_date, IFERROR(AVERAGEIFS(ArchivedLog!$E:$E, ArchivedLog!$B:$B,N$3,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9" s="100">
        <f>IFERROR(
    _xlfn.LET(
        _xlpm.is_data_present, $A9&lt;&gt;0,
        _xlpm.is_camera_present, COUNTIFS(ArchivedLog!$A:$A, $A9, ArchivedLog!$B:$B, O$3),
        _xlpm.we_camera_on_date, IFERROR(AVERAGEIFS(ArchivedLog!$D:$D, ArchivedLog!$B:$B,O$3, ArchivedLog!$A:$A, $A9), ""),
        _xlpm.ie_camera_on_date, IFERROR(AVERAGEIFS(ArchivedLog!$E:$E, ArchivedLog!$B:$B,O$3,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9" s="100">
        <f>IFERROR(
    _xlfn.LET(
        _xlpm.is_data_present, $A9&lt;&gt;0,
        _xlpm.is_camera_present, COUNTIFS(ArchivedLog!$A:$A, $A9, ArchivedLog!$B:$B, P$3),
        _xlpm.we_camera_on_date, IFERROR(AVERAGEIFS(ArchivedLog!$D:$D, ArchivedLog!$B:$B,P$3, ArchivedLog!$A:$A, $A9), ""),
        _xlpm.ie_camera_on_date, IFERROR(AVERAGEIFS(ArchivedLog!$E:$E, ArchivedLog!$B:$B,P$3,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9" s="100">
        <f>IFERROR(
    _xlfn.LET(
        _xlpm.is_data_present, $A9&lt;&gt;0,
        _xlpm.is_camera_present, COUNTIFS(ArchivedLog!$A:$A, $A9, ArchivedLog!$B:$B, Q$3),
        _xlpm.we_camera_on_date, IFERROR(AVERAGEIFS(ArchivedLog!$D:$D, ArchivedLog!$B:$B,Q$3, ArchivedLog!$A:$A, $A9), ""),
        _xlpm.ie_camera_on_date, IFERROR(AVERAGEIFS(ArchivedLog!$E:$E, ArchivedLog!$B:$B,Q$3,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9" s="100">
        <f>IFERROR(
    _xlfn.LET(
        _xlpm.is_data_present, $A9&lt;&gt;0,
        _xlpm.is_camera_present, COUNTIFS(ArchivedLog!$A:$A, $A9, ArchivedLog!$B:$B, R$3),
        _xlpm.we_camera_on_date, IFERROR(AVERAGEIFS(ArchivedLog!$D:$D, ArchivedLog!$B:$B,R$3, ArchivedLog!$A:$A, $A9), ""),
        _xlpm.ie_camera_on_date, IFERROR(AVERAGEIFS(ArchivedLog!$E:$E, ArchivedLog!$B:$B,R$3,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9" s="100">
        <f>IFERROR(
    _xlfn.LET(
        _xlpm.is_data_present, $A9&lt;&gt;0,
        _xlpm.is_camera_present, COUNTIFS(ArchivedLog!$A:$A, $A9, ArchivedLog!$B:$B, S$3),
        _xlpm.we_camera_on_date, IFERROR(AVERAGEIFS(ArchivedLog!$D:$D, ArchivedLog!$B:$B,S$3, ArchivedLog!$A:$A, $A9), ""),
        _xlpm.ie_camera_on_date, IFERROR(AVERAGEIFS(ArchivedLog!$E:$E, ArchivedLog!$B:$B,S$3, ArchivedLog!$A:$A, $A9), ""),
        _xlpm.we_avg, IFERROR(AVERAGEIFS(ArchivedLog!$D:$D,ArchivedLog!$A:$A,$A9),""),
        _xlpm.ie_avg, IFERROR(AVERAGEIFS(ArchivedLog!$E:$E,ArchivedLog!$A:$A,$A9),""),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9" s="103"/>
      <c r="V9" s="109" t="s">
        <v>92</v>
      </c>
      <c r="W9" s="109"/>
    </row>
    <row r="10" spans="1:23" x14ac:dyDescent="0.3">
      <c r="A10" s="107">
        <v>46233</v>
      </c>
      <c r="B10" s="100">
        <f>IFERROR(
    _xlfn.LET(
        _xlpm.is_data_present, $A10&lt;&gt;0,
        _xlpm.is_camera_present, COUNTIFS(ArchivedLog!$A:$A, $A10, ArchivedLog!$B:$B, B$3),
        _xlpm.we_camera_on_date, IFERROR(AVERAGEIFS(ArchivedLog!$D:$D, ArchivedLog!$B:$B,B$3, ArchivedLog!$A:$A, $A10), ""),
        _xlpm.ie_camera_on_date, IFERROR(AVERAGEIFS(ArchivedLog!$E:$E, ArchivedLog!$B:$B,B$3,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10" s="100">
        <f>IFERROR(
    _xlfn.LET(
        _xlpm.is_data_present, $A10&lt;&gt;0,
        _xlpm.is_camera_present, COUNTIFS(ArchivedLog!$A:$A, $A10, ArchivedLog!$B:$B, C$3),
        _xlpm.we_camera_on_date, IFERROR(AVERAGEIFS(ArchivedLog!$D:$D, ArchivedLog!$B:$B,C$3, ArchivedLog!$A:$A, $A10), ""),
        _xlpm.ie_camera_on_date, IFERROR(AVERAGEIFS(ArchivedLog!$E:$E, ArchivedLog!$B:$B,C$3,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0" s="100">
        <f>IFERROR(
    _xlfn.LET(
        _xlpm.is_data_present, $A10&lt;&gt;0,
        _xlpm.is_camera_present, COUNTIFS(ArchivedLog!$A:$A, $A10, ArchivedLog!$B:$B, D$3),
        _xlpm.we_camera_on_date, IFERROR(AVERAGEIFS(ArchivedLog!$D:$D, ArchivedLog!$B:$B,D$3, ArchivedLog!$A:$A, $A10), ""),
        _xlpm.ie_camera_on_date, IFERROR(AVERAGEIFS(ArchivedLog!$E:$E, ArchivedLog!$B:$B,D$3,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0" s="100">
        <f>IFERROR(
    _xlfn.LET(
        _xlpm.is_data_present, $A10&lt;&gt;0,
        _xlpm.is_camera_present, COUNTIFS(ArchivedLog!$A:$A, $A10, ArchivedLog!$B:$B, E$3),
        _xlpm.we_camera_on_date, IFERROR(AVERAGEIFS(ArchivedLog!$D:$D, ArchivedLog!$B:$B,E$3, ArchivedLog!$A:$A, $A10), ""),
        _xlpm.ie_camera_on_date, IFERROR(AVERAGEIFS(ArchivedLog!$E:$E, ArchivedLog!$B:$B,E$3,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0" s="100">
        <f>IFERROR(
    _xlfn.LET(
        _xlpm.is_data_present, $A10&lt;&gt;0,
        _xlpm.is_camera_present, COUNTIFS(ArchivedLog!$A:$A, $A10, ArchivedLog!$B:$B, F$3),
        _xlpm.we_camera_on_date, IFERROR(AVERAGEIFS(ArchivedLog!$D:$D, ArchivedLog!$B:$B,F$3, ArchivedLog!$A:$A, $A10), ""),
        _xlpm.ie_camera_on_date, IFERROR(AVERAGEIFS(ArchivedLog!$E:$E, ArchivedLog!$B:$B,F$3,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0" s="100">
        <f>IFERROR(
    _xlfn.LET(
        _xlpm.is_data_present, $A10&lt;&gt;0,
        _xlpm.is_camera_present, COUNTIFS(ArchivedLog!$A:$A, $A10, ArchivedLog!$B:$B, G$3),
        _xlpm.we_camera_on_date, IFERROR(AVERAGEIFS(ArchivedLog!$D:$D, ArchivedLog!$B:$B,G$3, ArchivedLog!$A:$A, $A10), ""),
        _xlpm.ie_camera_on_date, IFERROR(AVERAGEIFS(ArchivedLog!$E:$E, ArchivedLog!$B:$B,G$3,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H10" s="100">
        <f>IFERROR(
    _xlfn.LET(
        _xlpm.is_data_present, $A10&lt;&gt;0,
        _xlpm.is_camera_present, COUNTIFS(ArchivedLog!$A:$A, $A10, ArchivedLog!$B:$B, H$3),
        _xlpm.we_camera_on_date, IFERROR(AVERAGEIFS(ArchivedLog!$D:$D, ArchivedLog!$B:$B,H$3, ArchivedLog!$A:$A, $A10), ""),
        _xlpm.ie_camera_on_date, IFERROR(AVERAGEIFS(ArchivedLog!$E:$E, ArchivedLog!$B:$B,H$3,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0" s="100">
        <f>IFERROR(
    _xlfn.LET(
        _xlpm.is_data_present, $A10&lt;&gt;0,
        _xlpm.is_camera_present, COUNTIFS(ArchivedLog!$A:$A, $A10, ArchivedLog!$B:$B, I$3),
        _xlpm.we_camera_on_date, IFERROR(AVERAGEIFS(ArchivedLog!$D:$D, ArchivedLog!$B:$B,I$3, ArchivedLog!$A:$A, $A10), ""),
        _xlpm.ie_camera_on_date, IFERROR(AVERAGEIFS(ArchivedLog!$E:$E, ArchivedLog!$B:$B,I$3,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0" s="100">
        <f>IFERROR(
    _xlfn.LET(
        _xlpm.is_data_present, $A10&lt;&gt;0,
        _xlpm.is_camera_present, COUNTIFS(ArchivedLog!$A:$A, $A10, ArchivedLog!$B:$B, J$3),
        _xlpm.we_camera_on_date, IFERROR(AVERAGEIFS(ArchivedLog!$D:$D, ArchivedLog!$B:$B,J$3, ArchivedLog!$A:$A, $A10), ""),
        _xlpm.ie_camera_on_date, IFERROR(AVERAGEIFS(ArchivedLog!$E:$E, ArchivedLog!$B:$B,J$3,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K10" s="100">
        <f>IFERROR(
    _xlfn.LET(
        _xlpm.is_data_present, $A10&lt;&gt;0,
        _xlpm.is_camera_present, COUNTIFS(ArchivedLog!$A:$A, $A10, ArchivedLog!$B:$B, K$3),
        _xlpm.we_camera_on_date, IFERROR(AVERAGEIFS(ArchivedLog!$D:$D, ArchivedLog!$B:$B,K$3, ArchivedLog!$A:$A, $A10), ""),
        _xlpm.ie_camera_on_date, IFERROR(AVERAGEIFS(ArchivedLog!$E:$E, ArchivedLog!$B:$B,K$3,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L10" s="100">
        <f>IFERROR(
    _xlfn.LET(
        _xlpm.is_data_present, $A10&lt;&gt;0,
        _xlpm.is_camera_present, COUNTIFS(ArchivedLog!$A:$A, $A10, ArchivedLog!$B:$B, L$3),
        _xlpm.we_camera_on_date, IFERROR(AVERAGEIFS(ArchivedLog!$D:$D, ArchivedLog!$B:$B,L$3, ArchivedLog!$A:$A, $A10), ""),
        _xlpm.ie_camera_on_date, IFERROR(AVERAGEIFS(ArchivedLog!$E:$E, ArchivedLog!$B:$B,L$3,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10" s="100">
        <f>IFERROR(
    _xlfn.LET(
        _xlpm.is_data_present, $A10&lt;&gt;0,
        _xlpm.is_camera_present, COUNTIFS(ArchivedLog!$A:$A, $A10, ArchivedLog!$B:$B, M$3),
        _xlpm.we_camera_on_date, IFERROR(AVERAGEIFS(ArchivedLog!$D:$D, ArchivedLog!$B:$B,M$3, ArchivedLog!$A:$A, $A10), ""),
        _xlpm.ie_camera_on_date, IFERROR(AVERAGEIFS(ArchivedLog!$E:$E, ArchivedLog!$B:$B,M$3,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N10" s="100">
        <f>IFERROR(
    _xlfn.LET(
        _xlpm.is_data_present, $A10&lt;&gt;0,
        _xlpm.is_camera_present, COUNTIFS(ArchivedLog!$A:$A, $A10, ArchivedLog!$B:$B, N$3),
        _xlpm.we_camera_on_date, IFERROR(AVERAGEIFS(ArchivedLog!$D:$D, ArchivedLog!$B:$B,N$3, ArchivedLog!$A:$A, $A10), ""),
        _xlpm.ie_camera_on_date, IFERROR(AVERAGEIFS(ArchivedLog!$E:$E, ArchivedLog!$B:$B,N$3,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0" s="100">
        <f>IFERROR(
    _xlfn.LET(
        _xlpm.is_data_present, $A10&lt;&gt;0,
        _xlpm.is_camera_present, COUNTIFS(ArchivedLog!$A:$A, $A10, ArchivedLog!$B:$B, O$3),
        _xlpm.we_camera_on_date, IFERROR(AVERAGEIFS(ArchivedLog!$D:$D, ArchivedLog!$B:$B,O$3, ArchivedLog!$A:$A, $A10), ""),
        _xlpm.ie_camera_on_date, IFERROR(AVERAGEIFS(ArchivedLog!$E:$E, ArchivedLog!$B:$B,O$3,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0" s="100">
        <f>IFERROR(
    _xlfn.LET(
        _xlpm.is_data_present, $A10&lt;&gt;0,
        _xlpm.is_camera_present, COUNTIFS(ArchivedLog!$A:$A, $A10, ArchivedLog!$B:$B, P$3),
        _xlpm.we_camera_on_date, IFERROR(AVERAGEIFS(ArchivedLog!$D:$D, ArchivedLog!$B:$B,P$3, ArchivedLog!$A:$A, $A10), ""),
        _xlpm.ie_camera_on_date, IFERROR(AVERAGEIFS(ArchivedLog!$E:$E, ArchivedLog!$B:$B,P$3,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Q10" s="100">
        <f>IFERROR(
    _xlfn.LET(
        _xlpm.is_data_present, $A10&lt;&gt;0,
        _xlpm.is_camera_present, COUNTIFS(ArchivedLog!$A:$A, $A10, ArchivedLog!$B:$B, Q$3),
        _xlpm.we_camera_on_date, IFERROR(AVERAGEIFS(ArchivedLog!$D:$D, ArchivedLog!$B:$B,Q$3, ArchivedLog!$A:$A, $A10), ""),
        _xlpm.ie_camera_on_date, IFERROR(AVERAGEIFS(ArchivedLog!$E:$E, ArchivedLog!$B:$B,Q$3,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R10" s="100">
        <f>IFERROR(
    _xlfn.LET(
        _xlpm.is_data_present, $A10&lt;&gt;0,
        _xlpm.is_camera_present, COUNTIFS(ArchivedLog!$A:$A, $A10, ArchivedLog!$B:$B, R$3),
        _xlpm.we_camera_on_date, IFERROR(AVERAGEIFS(ArchivedLog!$D:$D, ArchivedLog!$B:$B,R$3, ArchivedLog!$A:$A, $A10), ""),
        _xlpm.ie_camera_on_date, IFERROR(AVERAGEIFS(ArchivedLog!$E:$E, ArchivedLog!$B:$B,R$3,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S10" s="100">
        <f>IFERROR(
    _xlfn.LET(
        _xlpm.is_data_present, $A10&lt;&gt;0,
        _xlpm.is_camera_present, COUNTIFS(ArchivedLog!$A:$A, $A10, ArchivedLog!$B:$B, S$3),
        _xlpm.we_camera_on_date, IFERROR(AVERAGEIFS(ArchivedLog!$D:$D, ArchivedLog!$B:$B,S$3, ArchivedLog!$A:$A, $A10), ""),
        _xlpm.ie_camera_on_date, IFERROR(AVERAGEIFS(ArchivedLog!$E:$E, ArchivedLog!$B:$B,S$3, ArchivedLog!$A:$A, $A10), ""),
        _xlpm.we_avg, IFERROR(AVERAGEIFS(ArchivedLog!$D:$D,ArchivedLog!$A:$A,$A10),""),
        _xlpm.ie_avg, IFERROR(AVERAGEIFS(ArchivedLog!$E:$E,ArchivedLog!$A:$A,$A10),""),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0" s="104"/>
      <c r="V10" s="109" t="s">
        <v>93</v>
      </c>
      <c r="W10" s="109"/>
    </row>
    <row r="11" spans="1:23" x14ac:dyDescent="0.3">
      <c r="A11" s="107">
        <v>46234</v>
      </c>
      <c r="B11" s="100">
        <f>IFERROR(
    _xlfn.LET(
        _xlpm.is_data_present, $A11&lt;&gt;0,
        _xlpm.is_camera_present, COUNTIFS(ArchivedLog!$A:$A, $A11, ArchivedLog!$B:$B, B$3),
        _xlpm.we_camera_on_date, IFERROR(AVERAGEIFS(ArchivedLog!$D:$D, ArchivedLog!$B:$B,B$3, ArchivedLog!$A:$A, $A11), ""),
        _xlpm.ie_camera_on_date, IFERROR(AVERAGEIFS(ArchivedLog!$E:$E, ArchivedLog!$B:$B,B$3,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C11" s="100">
        <f>IFERROR(
    _xlfn.LET(
        _xlpm.is_data_present, $A11&lt;&gt;0,
        _xlpm.is_camera_present, COUNTIFS(ArchivedLog!$A:$A, $A11, ArchivedLog!$B:$B, C$3),
        _xlpm.we_camera_on_date, IFERROR(AVERAGEIFS(ArchivedLog!$D:$D, ArchivedLog!$B:$B,C$3, ArchivedLog!$A:$A, $A11), ""),
        _xlpm.ie_camera_on_date, IFERROR(AVERAGEIFS(ArchivedLog!$E:$E, ArchivedLog!$B:$B,C$3,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1" s="100">
        <f>IFERROR(
    _xlfn.LET(
        _xlpm.is_data_present, $A11&lt;&gt;0,
        _xlpm.is_camera_present, COUNTIFS(ArchivedLog!$A:$A, $A11, ArchivedLog!$B:$B, D$3),
        _xlpm.we_camera_on_date, IFERROR(AVERAGEIFS(ArchivedLog!$D:$D, ArchivedLog!$B:$B,D$3, ArchivedLog!$A:$A, $A11), ""),
        _xlpm.ie_camera_on_date, IFERROR(AVERAGEIFS(ArchivedLog!$E:$E, ArchivedLog!$B:$B,D$3,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E11" s="100">
        <f>IFERROR(
    _xlfn.LET(
        _xlpm.is_data_present, $A11&lt;&gt;0,
        _xlpm.is_camera_present, COUNTIFS(ArchivedLog!$A:$A, $A11, ArchivedLog!$B:$B, E$3),
        _xlpm.we_camera_on_date, IFERROR(AVERAGEIFS(ArchivedLog!$D:$D, ArchivedLog!$B:$B,E$3, ArchivedLog!$A:$A, $A11), ""),
        _xlpm.ie_camera_on_date, IFERROR(AVERAGEIFS(ArchivedLog!$E:$E, ArchivedLog!$B:$B,E$3,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1" s="100">
        <f>IFERROR(
    _xlfn.LET(
        _xlpm.is_data_present, $A11&lt;&gt;0,
        _xlpm.is_camera_present, COUNTIFS(ArchivedLog!$A:$A, $A11, ArchivedLog!$B:$B, F$3),
        _xlpm.we_camera_on_date, IFERROR(AVERAGEIFS(ArchivedLog!$D:$D, ArchivedLog!$B:$B,F$3, ArchivedLog!$A:$A, $A11), ""),
        _xlpm.ie_camera_on_date, IFERROR(AVERAGEIFS(ArchivedLog!$E:$E, ArchivedLog!$B:$B,F$3,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1" s="100">
        <f>IFERROR(
    _xlfn.LET(
        _xlpm.is_data_present, $A11&lt;&gt;0,
        _xlpm.is_camera_present, COUNTIFS(ArchivedLog!$A:$A, $A11, ArchivedLog!$B:$B, G$3),
        _xlpm.we_camera_on_date, IFERROR(AVERAGEIFS(ArchivedLog!$D:$D, ArchivedLog!$B:$B,G$3, ArchivedLog!$A:$A, $A11), ""),
        _xlpm.ie_camera_on_date, IFERROR(AVERAGEIFS(ArchivedLog!$E:$E, ArchivedLog!$B:$B,G$3,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11" s="100">
        <f>IFERROR(
    _xlfn.LET(
        _xlpm.is_data_present, $A11&lt;&gt;0,
        _xlpm.is_camera_present, COUNTIFS(ArchivedLog!$A:$A, $A11, ArchivedLog!$B:$B, H$3),
        _xlpm.we_camera_on_date, IFERROR(AVERAGEIFS(ArchivedLog!$D:$D, ArchivedLog!$B:$B,H$3, ArchivedLog!$A:$A, $A11), ""),
        _xlpm.ie_camera_on_date, IFERROR(AVERAGEIFS(ArchivedLog!$E:$E, ArchivedLog!$B:$B,H$3,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I11" s="100">
        <f>IFERROR(
    _xlfn.LET(
        _xlpm.is_data_present, $A11&lt;&gt;0,
        _xlpm.is_camera_present, COUNTIFS(ArchivedLog!$A:$A, $A11, ArchivedLog!$B:$B, I$3),
        _xlpm.we_camera_on_date, IFERROR(AVERAGEIFS(ArchivedLog!$D:$D, ArchivedLog!$B:$B,I$3, ArchivedLog!$A:$A, $A11), ""),
        _xlpm.ie_camera_on_date, IFERROR(AVERAGEIFS(ArchivedLog!$E:$E, ArchivedLog!$B:$B,I$3,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1" s="100">
        <f>IFERROR(
    _xlfn.LET(
        _xlpm.is_data_present, $A11&lt;&gt;0,
        _xlpm.is_camera_present, COUNTIFS(ArchivedLog!$A:$A, $A11, ArchivedLog!$B:$B, J$3),
        _xlpm.we_camera_on_date, IFERROR(AVERAGEIFS(ArchivedLog!$D:$D, ArchivedLog!$B:$B,J$3, ArchivedLog!$A:$A, $A11), ""),
        _xlpm.ie_camera_on_date, IFERROR(AVERAGEIFS(ArchivedLog!$E:$E, ArchivedLog!$B:$B,J$3,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11" s="100">
        <f>IFERROR(
    _xlfn.LET(
        _xlpm.is_data_present, $A11&lt;&gt;0,
        _xlpm.is_camera_present, COUNTIFS(ArchivedLog!$A:$A, $A11, ArchivedLog!$B:$B, K$3),
        _xlpm.we_camera_on_date, IFERROR(AVERAGEIFS(ArchivedLog!$D:$D, ArchivedLog!$B:$B,K$3, ArchivedLog!$A:$A, $A11), ""),
        _xlpm.ie_camera_on_date, IFERROR(AVERAGEIFS(ArchivedLog!$E:$E, ArchivedLog!$B:$B,K$3,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11" s="100">
        <f>IFERROR(
    _xlfn.LET(
        _xlpm.is_data_present, $A11&lt;&gt;0,
        _xlpm.is_camera_present, COUNTIFS(ArchivedLog!$A:$A, $A11, ArchivedLog!$B:$B, L$3),
        _xlpm.we_camera_on_date, IFERROR(AVERAGEIFS(ArchivedLog!$D:$D, ArchivedLog!$B:$B,L$3, ArchivedLog!$A:$A, $A11), ""),
        _xlpm.ie_camera_on_date, IFERROR(AVERAGEIFS(ArchivedLog!$E:$E, ArchivedLog!$B:$B,L$3,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11" s="100">
        <f>IFERROR(
    _xlfn.LET(
        _xlpm.is_data_present, $A11&lt;&gt;0,
        _xlpm.is_camera_present, COUNTIFS(ArchivedLog!$A:$A, $A11, ArchivedLog!$B:$B, M$3),
        _xlpm.we_camera_on_date, IFERROR(AVERAGEIFS(ArchivedLog!$D:$D, ArchivedLog!$B:$B,M$3, ArchivedLog!$A:$A, $A11), ""),
        _xlpm.ie_camera_on_date, IFERROR(AVERAGEIFS(ArchivedLog!$E:$E, ArchivedLog!$B:$B,M$3,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11" s="100">
        <f>IFERROR(
    _xlfn.LET(
        _xlpm.is_data_present, $A11&lt;&gt;0,
        _xlpm.is_camera_present, COUNTIFS(ArchivedLog!$A:$A, $A11, ArchivedLog!$B:$B, N$3),
        _xlpm.we_camera_on_date, IFERROR(AVERAGEIFS(ArchivedLog!$D:$D, ArchivedLog!$B:$B,N$3, ArchivedLog!$A:$A, $A11), ""),
        _xlpm.ie_camera_on_date, IFERROR(AVERAGEIFS(ArchivedLog!$E:$E, ArchivedLog!$B:$B,N$3,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1" s="100">
        <f>IFERROR(
    _xlfn.LET(
        _xlpm.is_data_present, $A11&lt;&gt;0,
        _xlpm.is_camera_present, COUNTIFS(ArchivedLog!$A:$A, $A11, ArchivedLog!$B:$B, O$3),
        _xlpm.we_camera_on_date, IFERROR(AVERAGEIFS(ArchivedLog!$D:$D, ArchivedLog!$B:$B,O$3, ArchivedLog!$A:$A, $A11), ""),
        _xlpm.ie_camera_on_date, IFERROR(AVERAGEIFS(ArchivedLog!$E:$E, ArchivedLog!$B:$B,O$3,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1" s="100">
        <f>IFERROR(
    _xlfn.LET(
        _xlpm.is_data_present, $A11&lt;&gt;0,
        _xlpm.is_camera_present, COUNTIFS(ArchivedLog!$A:$A, $A11, ArchivedLog!$B:$B, P$3),
        _xlpm.we_camera_on_date, IFERROR(AVERAGEIFS(ArchivedLog!$D:$D, ArchivedLog!$B:$B,P$3, ArchivedLog!$A:$A, $A11), ""),
        _xlpm.ie_camera_on_date, IFERROR(AVERAGEIFS(ArchivedLog!$E:$E, ArchivedLog!$B:$B,P$3,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Q11" s="100">
        <f>IFERROR(
    _xlfn.LET(
        _xlpm.is_data_present, $A11&lt;&gt;0,
        _xlpm.is_camera_present, COUNTIFS(ArchivedLog!$A:$A, $A11, ArchivedLog!$B:$B, Q$3),
        _xlpm.we_camera_on_date, IFERROR(AVERAGEIFS(ArchivedLog!$D:$D, ArchivedLog!$B:$B,Q$3, ArchivedLog!$A:$A, $A11), ""),
        _xlpm.ie_camera_on_date, IFERROR(AVERAGEIFS(ArchivedLog!$E:$E, ArchivedLog!$B:$B,Q$3,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11" s="100">
        <f>IFERROR(
    _xlfn.LET(
        _xlpm.is_data_present, $A11&lt;&gt;0,
        _xlpm.is_camera_present, COUNTIFS(ArchivedLog!$A:$A, $A11, ArchivedLog!$B:$B, R$3),
        _xlpm.we_camera_on_date, IFERROR(AVERAGEIFS(ArchivedLog!$D:$D, ArchivedLog!$B:$B,R$3, ArchivedLog!$A:$A, $A11), ""),
        _xlpm.ie_camera_on_date, IFERROR(AVERAGEIFS(ArchivedLog!$E:$E, ArchivedLog!$B:$B,R$3,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11" s="100">
        <f>IFERROR(
    _xlfn.LET(
        _xlpm.is_data_present, $A11&lt;&gt;0,
        _xlpm.is_camera_present, COUNTIFS(ArchivedLog!$A:$A, $A11, ArchivedLog!$B:$B, S$3),
        _xlpm.we_camera_on_date, IFERROR(AVERAGEIFS(ArchivedLog!$D:$D, ArchivedLog!$B:$B,S$3, ArchivedLog!$A:$A, $A11), ""),
        _xlpm.ie_camera_on_date, IFERROR(AVERAGEIFS(ArchivedLog!$E:$E, ArchivedLog!$B:$B,S$3, ArchivedLog!$A:$A, $A11), ""),
        _xlpm.we_avg, IFERROR(AVERAGEIFS(ArchivedLog!$D:$D,ArchivedLog!$A:$A,$A11),""),
        _xlpm.ie_avg, IFERROR(AVERAGEIFS(ArchivedLog!$E:$E,ArchivedLog!$A:$A,$A11),""),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1" s="105"/>
      <c r="V11" s="109" t="s">
        <v>94</v>
      </c>
      <c r="W11" s="109"/>
    </row>
    <row r="12" spans="1:23" x14ac:dyDescent="0.3">
      <c r="A12" s="107">
        <v>46235</v>
      </c>
      <c r="B12" s="100">
        <f>IFERROR(
    _xlfn.LET(
        _xlpm.is_data_present, $A12&lt;&gt;0,
        _xlpm.is_camera_present, COUNTIFS(ArchivedLog!$A:$A, $A12, ArchivedLog!$B:$B, B$3),
        _xlpm.we_camera_on_date, IFERROR(AVERAGEIFS(ArchivedLog!$D:$D, ArchivedLog!$B:$B,B$3, ArchivedLog!$A:$A, $A12), ""),
        _xlpm.ie_camera_on_date, IFERROR(AVERAGEIFS(ArchivedLog!$E:$E, ArchivedLog!$B:$B,B$3,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12" s="100">
        <f>IFERROR(
    _xlfn.LET(
        _xlpm.is_data_present, $A12&lt;&gt;0,
        _xlpm.is_camera_present, COUNTIFS(ArchivedLog!$A:$A, $A12, ArchivedLog!$B:$B, C$3),
        _xlpm.we_camera_on_date, IFERROR(AVERAGEIFS(ArchivedLog!$D:$D, ArchivedLog!$B:$B,C$3, ArchivedLog!$A:$A, $A12), ""),
        _xlpm.ie_camera_on_date, IFERROR(AVERAGEIFS(ArchivedLog!$E:$E, ArchivedLog!$B:$B,C$3,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D12" s="100">
        <f>IFERROR(
    _xlfn.LET(
        _xlpm.is_data_present, $A12&lt;&gt;0,
        _xlpm.is_camera_present, COUNTIFS(ArchivedLog!$A:$A, $A12, ArchivedLog!$B:$B, D$3),
        _xlpm.we_camera_on_date, IFERROR(AVERAGEIFS(ArchivedLog!$D:$D, ArchivedLog!$B:$B,D$3, ArchivedLog!$A:$A, $A12), ""),
        _xlpm.ie_camera_on_date, IFERROR(AVERAGEIFS(ArchivedLog!$E:$E, ArchivedLog!$B:$B,D$3,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E12" s="100">
        <f>IFERROR(
    _xlfn.LET(
        _xlpm.is_data_present, $A12&lt;&gt;0,
        _xlpm.is_camera_present, COUNTIFS(ArchivedLog!$A:$A, $A12, ArchivedLog!$B:$B, E$3),
        _xlpm.we_camera_on_date, IFERROR(AVERAGEIFS(ArchivedLog!$D:$D, ArchivedLog!$B:$B,E$3, ArchivedLog!$A:$A, $A12), ""),
        _xlpm.ie_camera_on_date, IFERROR(AVERAGEIFS(ArchivedLog!$E:$E, ArchivedLog!$B:$B,E$3,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F12" s="100">
        <f>IFERROR(
    _xlfn.LET(
        _xlpm.is_data_present, $A12&lt;&gt;0,
        _xlpm.is_camera_present, COUNTIFS(ArchivedLog!$A:$A, $A12, ArchivedLog!$B:$B, F$3),
        _xlpm.we_camera_on_date, IFERROR(AVERAGEIFS(ArchivedLog!$D:$D, ArchivedLog!$B:$B,F$3, ArchivedLog!$A:$A, $A12), ""),
        _xlpm.ie_camera_on_date, IFERROR(AVERAGEIFS(ArchivedLog!$E:$E, ArchivedLog!$B:$B,F$3,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2" s="100">
        <f>IFERROR(
    _xlfn.LET(
        _xlpm.is_data_present, $A12&lt;&gt;0,
        _xlpm.is_camera_present, COUNTIFS(ArchivedLog!$A:$A, $A12, ArchivedLog!$B:$B, G$3),
        _xlpm.we_camera_on_date, IFERROR(AVERAGEIFS(ArchivedLog!$D:$D, ArchivedLog!$B:$B,G$3, ArchivedLog!$A:$A, $A12), ""),
        _xlpm.ie_camera_on_date, IFERROR(AVERAGEIFS(ArchivedLog!$E:$E, ArchivedLog!$B:$B,G$3,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H12" s="100">
        <f>IFERROR(
    _xlfn.LET(
        _xlpm.is_data_present, $A12&lt;&gt;0,
        _xlpm.is_camera_present, COUNTIFS(ArchivedLog!$A:$A, $A12, ArchivedLog!$B:$B, H$3),
        _xlpm.we_camera_on_date, IFERROR(AVERAGEIFS(ArchivedLog!$D:$D, ArchivedLog!$B:$B,H$3, ArchivedLog!$A:$A, $A12), ""),
        _xlpm.ie_camera_on_date, IFERROR(AVERAGEIFS(ArchivedLog!$E:$E, ArchivedLog!$B:$B,H$3,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2" s="100">
        <f>IFERROR(
    _xlfn.LET(
        _xlpm.is_data_present, $A12&lt;&gt;0,
        _xlpm.is_camera_present, COUNTIFS(ArchivedLog!$A:$A, $A12, ArchivedLog!$B:$B, I$3),
        _xlpm.we_camera_on_date, IFERROR(AVERAGEIFS(ArchivedLog!$D:$D, ArchivedLog!$B:$B,I$3, ArchivedLog!$A:$A, $A12), ""),
        _xlpm.ie_camera_on_date, IFERROR(AVERAGEIFS(ArchivedLog!$E:$E, ArchivedLog!$B:$B,I$3,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2" s="100">
        <f>IFERROR(
    _xlfn.LET(
        _xlpm.is_data_present, $A12&lt;&gt;0,
        _xlpm.is_camera_present, COUNTIFS(ArchivedLog!$A:$A, $A12, ArchivedLog!$B:$B, J$3),
        _xlpm.we_camera_on_date, IFERROR(AVERAGEIFS(ArchivedLog!$D:$D, ArchivedLog!$B:$B,J$3, ArchivedLog!$A:$A, $A12), ""),
        _xlpm.ie_camera_on_date, IFERROR(AVERAGEIFS(ArchivedLog!$E:$E, ArchivedLog!$B:$B,J$3,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K12" s="100">
        <f>IFERROR(
    _xlfn.LET(
        _xlpm.is_data_present, $A12&lt;&gt;0,
        _xlpm.is_camera_present, COUNTIFS(ArchivedLog!$A:$A, $A12, ArchivedLog!$B:$B, K$3),
        _xlpm.we_camera_on_date, IFERROR(AVERAGEIFS(ArchivedLog!$D:$D, ArchivedLog!$B:$B,K$3, ArchivedLog!$A:$A, $A12), ""),
        _xlpm.ie_camera_on_date, IFERROR(AVERAGEIFS(ArchivedLog!$E:$E, ArchivedLog!$B:$B,K$3,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L12" s="100">
        <f>IFERROR(
    _xlfn.LET(
        _xlpm.is_data_present, $A12&lt;&gt;0,
        _xlpm.is_camera_present, COUNTIFS(ArchivedLog!$A:$A, $A12, ArchivedLog!$B:$B, L$3),
        _xlpm.we_camera_on_date, IFERROR(AVERAGEIFS(ArchivedLog!$D:$D, ArchivedLog!$B:$B,L$3, ArchivedLog!$A:$A, $A12), ""),
        _xlpm.ie_camera_on_date, IFERROR(AVERAGEIFS(ArchivedLog!$E:$E, ArchivedLog!$B:$B,L$3,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M12" s="100">
        <f>IFERROR(
    _xlfn.LET(
        _xlpm.is_data_present, $A12&lt;&gt;0,
        _xlpm.is_camera_present, COUNTIFS(ArchivedLog!$A:$A, $A12, ArchivedLog!$B:$B, M$3),
        _xlpm.we_camera_on_date, IFERROR(AVERAGEIFS(ArchivedLog!$D:$D, ArchivedLog!$B:$B,M$3, ArchivedLog!$A:$A, $A12), ""),
        _xlpm.ie_camera_on_date, IFERROR(AVERAGEIFS(ArchivedLog!$E:$E, ArchivedLog!$B:$B,M$3,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12" s="100">
        <f>IFERROR(
    _xlfn.LET(
        _xlpm.is_data_present, $A12&lt;&gt;0,
        _xlpm.is_camera_present, COUNTIFS(ArchivedLog!$A:$A, $A12, ArchivedLog!$B:$B, N$3),
        _xlpm.we_camera_on_date, IFERROR(AVERAGEIFS(ArchivedLog!$D:$D, ArchivedLog!$B:$B,N$3, ArchivedLog!$A:$A, $A12), ""),
        _xlpm.ie_camera_on_date, IFERROR(AVERAGEIFS(ArchivedLog!$E:$E, ArchivedLog!$B:$B,N$3,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2" s="100">
        <f>IFERROR(
    _xlfn.LET(
        _xlpm.is_data_present, $A12&lt;&gt;0,
        _xlpm.is_camera_present, COUNTIFS(ArchivedLog!$A:$A, $A12, ArchivedLog!$B:$B, O$3),
        _xlpm.we_camera_on_date, IFERROR(AVERAGEIFS(ArchivedLog!$D:$D, ArchivedLog!$B:$B,O$3, ArchivedLog!$A:$A, $A12), ""),
        _xlpm.ie_camera_on_date, IFERROR(AVERAGEIFS(ArchivedLog!$E:$E, ArchivedLog!$B:$B,O$3,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2" s="100">
        <f>IFERROR(
    _xlfn.LET(
        _xlpm.is_data_present, $A12&lt;&gt;0,
        _xlpm.is_camera_present, COUNTIFS(ArchivedLog!$A:$A, $A12, ArchivedLog!$B:$B, P$3),
        _xlpm.we_camera_on_date, IFERROR(AVERAGEIFS(ArchivedLog!$D:$D, ArchivedLog!$B:$B,P$3, ArchivedLog!$A:$A, $A12), ""),
        _xlpm.ie_camera_on_date, IFERROR(AVERAGEIFS(ArchivedLog!$E:$E, ArchivedLog!$B:$B,P$3,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12" s="100">
        <f>IFERROR(
    _xlfn.LET(
        _xlpm.is_data_present, $A12&lt;&gt;0,
        _xlpm.is_camera_present, COUNTIFS(ArchivedLog!$A:$A, $A12, ArchivedLog!$B:$B, Q$3),
        _xlpm.we_camera_on_date, IFERROR(AVERAGEIFS(ArchivedLog!$D:$D, ArchivedLog!$B:$B,Q$3, ArchivedLog!$A:$A, $A12), ""),
        _xlpm.ie_camera_on_date, IFERROR(AVERAGEIFS(ArchivedLog!$E:$E, ArchivedLog!$B:$B,Q$3,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12" s="100">
        <f>IFERROR(
    _xlfn.LET(
        _xlpm.is_data_present, $A12&lt;&gt;0,
        _xlpm.is_camera_present, COUNTIFS(ArchivedLog!$A:$A, $A12, ArchivedLog!$B:$B, R$3),
        _xlpm.we_camera_on_date, IFERROR(AVERAGEIFS(ArchivedLog!$D:$D, ArchivedLog!$B:$B,R$3, ArchivedLog!$A:$A, $A12), ""),
        _xlpm.ie_camera_on_date, IFERROR(AVERAGEIFS(ArchivedLog!$E:$E, ArchivedLog!$B:$B,R$3,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S12" s="100">
        <f>IFERROR(
    _xlfn.LET(
        _xlpm.is_data_present, $A12&lt;&gt;0,
        _xlpm.is_camera_present, COUNTIFS(ArchivedLog!$A:$A, $A12, ArchivedLog!$B:$B, S$3),
        _xlpm.we_camera_on_date, IFERROR(AVERAGEIFS(ArchivedLog!$D:$D, ArchivedLog!$B:$B,S$3, ArchivedLog!$A:$A, $A12), ""),
        _xlpm.ie_camera_on_date, IFERROR(AVERAGEIFS(ArchivedLog!$E:$E, ArchivedLog!$B:$B,S$3, ArchivedLog!$A:$A, $A12), ""),
        _xlpm.we_avg, IFERROR(AVERAGEIFS(ArchivedLog!$D:$D,ArchivedLog!$A:$A,$A12),""),
        _xlpm.ie_avg, IFERROR(AVERAGEIFS(ArchivedLog!$E:$E,ArchivedLog!$A:$A,$A12),""),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U12" s="84"/>
      <c r="V12" s="84"/>
    </row>
    <row r="13" spans="1:23" x14ac:dyDescent="0.3">
      <c r="A13" s="107">
        <v>46237</v>
      </c>
      <c r="B13" s="100">
        <f>IFERROR(
    _xlfn.LET(
        _xlpm.is_data_present, $A13&lt;&gt;0,
        _xlpm.is_camera_present, COUNTIFS(ArchivedLog!$A:$A, $A13, ArchivedLog!$B:$B, B$3),
        _xlpm.we_camera_on_date, IFERROR(AVERAGEIFS(ArchivedLog!$D:$D, ArchivedLog!$B:$B,B$3, ArchivedLog!$A:$A, $A13), ""),
        _xlpm.ie_camera_on_date, IFERROR(AVERAGEIFS(ArchivedLog!$E:$E, ArchivedLog!$B:$B,B$3,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13" s="100">
        <f>IFERROR(
    _xlfn.LET(
        _xlpm.is_data_present, $A13&lt;&gt;0,
        _xlpm.is_camera_present, COUNTIFS(ArchivedLog!$A:$A, $A13, ArchivedLog!$B:$B, C$3),
        _xlpm.we_camera_on_date, IFERROR(AVERAGEIFS(ArchivedLog!$D:$D, ArchivedLog!$B:$B,C$3, ArchivedLog!$A:$A, $A13), ""),
        _xlpm.ie_camera_on_date, IFERROR(AVERAGEIFS(ArchivedLog!$E:$E, ArchivedLog!$B:$B,C$3,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3" s="100">
        <f>IFERROR(
    _xlfn.LET(
        _xlpm.is_data_present, $A13&lt;&gt;0,
        _xlpm.is_camera_present, COUNTIFS(ArchivedLog!$A:$A, $A13, ArchivedLog!$B:$B, D$3),
        _xlpm.we_camera_on_date, IFERROR(AVERAGEIFS(ArchivedLog!$D:$D, ArchivedLog!$B:$B,D$3, ArchivedLog!$A:$A, $A13), ""),
        _xlpm.ie_camera_on_date, IFERROR(AVERAGEIFS(ArchivedLog!$E:$E, ArchivedLog!$B:$B,D$3,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3" s="100">
        <f>IFERROR(
    _xlfn.LET(
        _xlpm.is_data_present, $A13&lt;&gt;0,
        _xlpm.is_camera_present, COUNTIFS(ArchivedLog!$A:$A, $A13, ArchivedLog!$B:$B, E$3),
        _xlpm.we_camera_on_date, IFERROR(AVERAGEIFS(ArchivedLog!$D:$D, ArchivedLog!$B:$B,E$3, ArchivedLog!$A:$A, $A13), ""),
        _xlpm.ie_camera_on_date, IFERROR(AVERAGEIFS(ArchivedLog!$E:$E, ArchivedLog!$B:$B,E$3,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3" s="100">
        <f>IFERROR(
    _xlfn.LET(
        _xlpm.is_data_present, $A13&lt;&gt;0,
        _xlpm.is_camera_present, COUNTIFS(ArchivedLog!$A:$A, $A13, ArchivedLog!$B:$B, F$3),
        _xlpm.we_camera_on_date, IFERROR(AVERAGEIFS(ArchivedLog!$D:$D, ArchivedLog!$B:$B,F$3, ArchivedLog!$A:$A, $A13), ""),
        _xlpm.ie_camera_on_date, IFERROR(AVERAGEIFS(ArchivedLog!$E:$E, ArchivedLog!$B:$B,F$3,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3" s="100">
        <f>IFERROR(
    _xlfn.LET(
        _xlpm.is_data_present, $A13&lt;&gt;0,
        _xlpm.is_camera_present, COUNTIFS(ArchivedLog!$A:$A, $A13, ArchivedLog!$B:$B, G$3),
        _xlpm.we_camera_on_date, IFERROR(AVERAGEIFS(ArchivedLog!$D:$D, ArchivedLog!$B:$B,G$3, ArchivedLog!$A:$A, $A13), ""),
        _xlpm.ie_camera_on_date, IFERROR(AVERAGEIFS(ArchivedLog!$E:$E, ArchivedLog!$B:$B,G$3,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H13" s="100">
        <f>IFERROR(
    _xlfn.LET(
        _xlpm.is_data_present, $A13&lt;&gt;0,
        _xlpm.is_camera_present, COUNTIFS(ArchivedLog!$A:$A, $A13, ArchivedLog!$B:$B, H$3),
        _xlpm.we_camera_on_date, IFERROR(AVERAGEIFS(ArchivedLog!$D:$D, ArchivedLog!$B:$B,H$3, ArchivedLog!$A:$A, $A13), ""),
        _xlpm.ie_camera_on_date, IFERROR(AVERAGEIFS(ArchivedLog!$E:$E, ArchivedLog!$B:$B,H$3,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3" s="100">
        <f>IFERROR(
    _xlfn.LET(
        _xlpm.is_data_present, $A13&lt;&gt;0,
        _xlpm.is_camera_present, COUNTIFS(ArchivedLog!$A:$A, $A13, ArchivedLog!$B:$B, I$3),
        _xlpm.we_camera_on_date, IFERROR(AVERAGEIFS(ArchivedLog!$D:$D, ArchivedLog!$B:$B,I$3, ArchivedLog!$A:$A, $A13), ""),
        _xlpm.ie_camera_on_date, IFERROR(AVERAGEIFS(ArchivedLog!$E:$E, ArchivedLog!$B:$B,I$3,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3" s="100">
        <f>IFERROR(
    _xlfn.LET(
        _xlpm.is_data_present, $A13&lt;&gt;0,
        _xlpm.is_camera_present, COUNTIFS(ArchivedLog!$A:$A, $A13, ArchivedLog!$B:$B, J$3),
        _xlpm.we_camera_on_date, IFERROR(AVERAGEIFS(ArchivedLog!$D:$D, ArchivedLog!$B:$B,J$3, ArchivedLog!$A:$A, $A13), ""),
        _xlpm.ie_camera_on_date, IFERROR(AVERAGEIFS(ArchivedLog!$E:$E, ArchivedLog!$B:$B,J$3,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13" s="100">
        <f>IFERROR(
    _xlfn.LET(
        _xlpm.is_data_present, $A13&lt;&gt;0,
        _xlpm.is_camera_present, COUNTIFS(ArchivedLog!$A:$A, $A13, ArchivedLog!$B:$B, K$3),
        _xlpm.we_camera_on_date, IFERROR(AVERAGEIFS(ArchivedLog!$D:$D, ArchivedLog!$B:$B,K$3, ArchivedLog!$A:$A, $A13), ""),
        _xlpm.ie_camera_on_date, IFERROR(AVERAGEIFS(ArchivedLog!$E:$E, ArchivedLog!$B:$B,K$3,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L13" s="100">
        <f>IFERROR(
    _xlfn.LET(
        _xlpm.is_data_present, $A13&lt;&gt;0,
        _xlpm.is_camera_present, COUNTIFS(ArchivedLog!$A:$A, $A13, ArchivedLog!$B:$B, L$3),
        _xlpm.we_camera_on_date, IFERROR(AVERAGEIFS(ArchivedLog!$D:$D, ArchivedLog!$B:$B,L$3, ArchivedLog!$A:$A, $A13), ""),
        _xlpm.ie_camera_on_date, IFERROR(AVERAGEIFS(ArchivedLog!$E:$E, ArchivedLog!$B:$B,L$3,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M13" s="100">
        <f>IFERROR(
    _xlfn.LET(
        _xlpm.is_data_present, $A13&lt;&gt;0,
        _xlpm.is_camera_present, COUNTIFS(ArchivedLog!$A:$A, $A13, ArchivedLog!$B:$B, M$3),
        _xlpm.we_camera_on_date, IFERROR(AVERAGEIFS(ArchivedLog!$D:$D, ArchivedLog!$B:$B,M$3, ArchivedLog!$A:$A, $A13), ""),
        _xlpm.ie_camera_on_date, IFERROR(AVERAGEIFS(ArchivedLog!$E:$E, ArchivedLog!$B:$B,M$3,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N13" s="100">
        <f>IFERROR(
    _xlfn.LET(
        _xlpm.is_data_present, $A13&lt;&gt;0,
        _xlpm.is_camera_present, COUNTIFS(ArchivedLog!$A:$A, $A13, ArchivedLog!$B:$B, N$3),
        _xlpm.we_camera_on_date, IFERROR(AVERAGEIFS(ArchivedLog!$D:$D, ArchivedLog!$B:$B,N$3, ArchivedLog!$A:$A, $A13), ""),
        _xlpm.ie_camera_on_date, IFERROR(AVERAGEIFS(ArchivedLog!$E:$E, ArchivedLog!$B:$B,N$3,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3" s="100">
        <f>IFERROR(
    _xlfn.LET(
        _xlpm.is_data_present, $A13&lt;&gt;0,
        _xlpm.is_camera_present, COUNTIFS(ArchivedLog!$A:$A, $A13, ArchivedLog!$B:$B, O$3),
        _xlpm.we_camera_on_date, IFERROR(AVERAGEIFS(ArchivedLog!$D:$D, ArchivedLog!$B:$B,O$3, ArchivedLog!$A:$A, $A13), ""),
        _xlpm.ie_camera_on_date, IFERROR(AVERAGEIFS(ArchivedLog!$E:$E, ArchivedLog!$B:$B,O$3,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3" s="100">
        <f>IFERROR(
    _xlfn.LET(
        _xlpm.is_data_present, $A13&lt;&gt;0,
        _xlpm.is_camera_present, COUNTIFS(ArchivedLog!$A:$A, $A13, ArchivedLog!$B:$B, P$3),
        _xlpm.we_camera_on_date, IFERROR(AVERAGEIFS(ArchivedLog!$D:$D, ArchivedLog!$B:$B,P$3, ArchivedLog!$A:$A, $A13), ""),
        _xlpm.ie_camera_on_date, IFERROR(AVERAGEIFS(ArchivedLog!$E:$E, ArchivedLog!$B:$B,P$3,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Q13" s="100">
        <f>IFERROR(
    _xlfn.LET(
        _xlpm.is_data_present, $A13&lt;&gt;0,
        _xlpm.is_camera_present, COUNTIFS(ArchivedLog!$A:$A, $A13, ArchivedLog!$B:$B, Q$3),
        _xlpm.we_camera_on_date, IFERROR(AVERAGEIFS(ArchivedLog!$D:$D, ArchivedLog!$B:$B,Q$3, ArchivedLog!$A:$A, $A13), ""),
        _xlpm.ie_camera_on_date, IFERROR(AVERAGEIFS(ArchivedLog!$E:$E, ArchivedLog!$B:$B,Q$3,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13" s="100">
        <f>IFERROR(
    _xlfn.LET(
        _xlpm.is_data_present, $A13&lt;&gt;0,
        _xlpm.is_camera_present, COUNTIFS(ArchivedLog!$A:$A, $A13, ArchivedLog!$B:$B, R$3),
        _xlpm.we_camera_on_date, IFERROR(AVERAGEIFS(ArchivedLog!$D:$D, ArchivedLog!$B:$B,R$3, ArchivedLog!$A:$A, $A13), ""),
        _xlpm.ie_camera_on_date, IFERROR(AVERAGEIFS(ArchivedLog!$E:$E, ArchivedLog!$B:$B,R$3,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13" s="100">
        <f>IFERROR(
    _xlfn.LET(
        _xlpm.is_data_present, $A13&lt;&gt;0,
        _xlpm.is_camera_present, COUNTIFS(ArchivedLog!$A:$A, $A13, ArchivedLog!$B:$B, S$3),
        _xlpm.we_camera_on_date, IFERROR(AVERAGEIFS(ArchivedLog!$D:$D, ArchivedLog!$B:$B,S$3, ArchivedLog!$A:$A, $A13), ""),
        _xlpm.ie_camera_on_date, IFERROR(AVERAGEIFS(ArchivedLog!$E:$E, ArchivedLog!$B:$B,S$3, ArchivedLog!$A:$A, $A13), ""),
        _xlpm.we_avg, IFERROR(AVERAGEIFS(ArchivedLog!$D:$D,ArchivedLog!$A:$A,$A13),""),
        _xlpm.ie_avg, IFERROR(AVERAGEIFS(ArchivedLog!$E:$E,ArchivedLog!$A:$A,$A13),""),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3" s="84"/>
      <c r="V13" s="84"/>
    </row>
    <row r="14" spans="1:23" x14ac:dyDescent="0.3">
      <c r="A14" s="107">
        <v>46238</v>
      </c>
      <c r="B14" s="100">
        <f>IFERROR(
    _xlfn.LET(
        _xlpm.is_data_present, $A14&lt;&gt;0,
        _xlpm.is_camera_present, COUNTIFS(ArchivedLog!$A:$A, $A14, ArchivedLog!$B:$B, B$3),
        _xlpm.we_camera_on_date, IFERROR(AVERAGEIFS(ArchivedLog!$D:$D, ArchivedLog!$B:$B,B$3, ArchivedLog!$A:$A, $A14), ""),
        _xlpm.ie_camera_on_date, IFERROR(AVERAGEIFS(ArchivedLog!$E:$E, ArchivedLog!$B:$B,B$3,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C14" s="100">
        <f>IFERROR(
    _xlfn.LET(
        _xlpm.is_data_present, $A14&lt;&gt;0,
        _xlpm.is_camera_present, COUNTIFS(ArchivedLog!$A:$A, $A14, ArchivedLog!$B:$B, C$3),
        _xlpm.we_camera_on_date, IFERROR(AVERAGEIFS(ArchivedLog!$D:$D, ArchivedLog!$B:$B,C$3, ArchivedLog!$A:$A, $A14), ""),
        _xlpm.ie_camera_on_date, IFERROR(AVERAGEIFS(ArchivedLog!$E:$E, ArchivedLog!$B:$B,C$3,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4" s="100">
        <f>IFERROR(
    _xlfn.LET(
        _xlpm.is_data_present, $A14&lt;&gt;0,
        _xlpm.is_camera_present, COUNTIFS(ArchivedLog!$A:$A, $A14, ArchivedLog!$B:$B, D$3),
        _xlpm.we_camera_on_date, IFERROR(AVERAGEIFS(ArchivedLog!$D:$D, ArchivedLog!$B:$B,D$3, ArchivedLog!$A:$A, $A14), ""),
        _xlpm.ie_camera_on_date, IFERROR(AVERAGEIFS(ArchivedLog!$E:$E, ArchivedLog!$B:$B,D$3,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4" s="100">
        <f>IFERROR(
    _xlfn.LET(
        _xlpm.is_data_present, $A14&lt;&gt;0,
        _xlpm.is_camera_present, COUNTIFS(ArchivedLog!$A:$A, $A14, ArchivedLog!$B:$B, E$3),
        _xlpm.we_camera_on_date, IFERROR(AVERAGEIFS(ArchivedLog!$D:$D, ArchivedLog!$B:$B,E$3, ArchivedLog!$A:$A, $A14), ""),
        _xlpm.ie_camera_on_date, IFERROR(AVERAGEIFS(ArchivedLog!$E:$E, ArchivedLog!$B:$B,E$3,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4" s="100">
        <f>IFERROR(
    _xlfn.LET(
        _xlpm.is_data_present, $A14&lt;&gt;0,
        _xlpm.is_camera_present, COUNTIFS(ArchivedLog!$A:$A, $A14, ArchivedLog!$B:$B, F$3),
        _xlpm.we_camera_on_date, IFERROR(AVERAGEIFS(ArchivedLog!$D:$D, ArchivedLog!$B:$B,F$3, ArchivedLog!$A:$A, $A14), ""),
        _xlpm.ie_camera_on_date, IFERROR(AVERAGEIFS(ArchivedLog!$E:$E, ArchivedLog!$B:$B,F$3,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4" s="100">
        <f>IFERROR(
    _xlfn.LET(
        _xlpm.is_data_present, $A14&lt;&gt;0,
        _xlpm.is_camera_present, COUNTIFS(ArchivedLog!$A:$A, $A14, ArchivedLog!$B:$B, G$3),
        _xlpm.we_camera_on_date, IFERROR(AVERAGEIFS(ArchivedLog!$D:$D, ArchivedLog!$B:$B,G$3, ArchivedLog!$A:$A, $A14), ""),
        _xlpm.ie_camera_on_date, IFERROR(AVERAGEIFS(ArchivedLog!$E:$E, ArchivedLog!$B:$B,G$3,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H14" s="100">
        <f>IFERROR(
    _xlfn.LET(
        _xlpm.is_data_present, $A14&lt;&gt;0,
        _xlpm.is_camera_present, COUNTIFS(ArchivedLog!$A:$A, $A14, ArchivedLog!$B:$B, H$3),
        _xlpm.we_camera_on_date, IFERROR(AVERAGEIFS(ArchivedLog!$D:$D, ArchivedLog!$B:$B,H$3, ArchivedLog!$A:$A, $A14), ""),
        _xlpm.ie_camera_on_date, IFERROR(AVERAGEIFS(ArchivedLog!$E:$E, ArchivedLog!$B:$B,H$3,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4" s="100">
        <f>IFERROR(
    _xlfn.LET(
        _xlpm.is_data_present, $A14&lt;&gt;0,
        _xlpm.is_camera_present, COUNTIFS(ArchivedLog!$A:$A, $A14, ArchivedLog!$B:$B, I$3),
        _xlpm.we_camera_on_date, IFERROR(AVERAGEIFS(ArchivedLog!$D:$D, ArchivedLog!$B:$B,I$3, ArchivedLog!$A:$A, $A14), ""),
        _xlpm.ie_camera_on_date, IFERROR(AVERAGEIFS(ArchivedLog!$E:$E, ArchivedLog!$B:$B,I$3,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4" s="100">
        <f>IFERROR(
    _xlfn.LET(
        _xlpm.is_data_present, $A14&lt;&gt;0,
        _xlpm.is_camera_present, COUNTIFS(ArchivedLog!$A:$A, $A14, ArchivedLog!$B:$B, J$3),
        _xlpm.we_camera_on_date, IFERROR(AVERAGEIFS(ArchivedLog!$D:$D, ArchivedLog!$B:$B,J$3, ArchivedLog!$A:$A, $A14), ""),
        _xlpm.ie_camera_on_date, IFERROR(AVERAGEIFS(ArchivedLog!$E:$E, ArchivedLog!$B:$B,J$3,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K14" s="100">
        <f>IFERROR(
    _xlfn.LET(
        _xlpm.is_data_present, $A14&lt;&gt;0,
        _xlpm.is_camera_present, COUNTIFS(ArchivedLog!$A:$A, $A14, ArchivedLog!$B:$B, K$3),
        _xlpm.we_camera_on_date, IFERROR(AVERAGEIFS(ArchivedLog!$D:$D, ArchivedLog!$B:$B,K$3, ArchivedLog!$A:$A, $A14), ""),
        _xlpm.ie_camera_on_date, IFERROR(AVERAGEIFS(ArchivedLog!$E:$E, ArchivedLog!$B:$B,K$3,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L14" s="100">
        <f>IFERROR(
    _xlfn.LET(
        _xlpm.is_data_present, $A14&lt;&gt;0,
        _xlpm.is_camera_present, COUNTIFS(ArchivedLog!$A:$A, $A14, ArchivedLog!$B:$B, L$3),
        _xlpm.we_camera_on_date, IFERROR(AVERAGEIFS(ArchivedLog!$D:$D, ArchivedLog!$B:$B,L$3, ArchivedLog!$A:$A, $A14), ""),
        _xlpm.ie_camera_on_date, IFERROR(AVERAGEIFS(ArchivedLog!$E:$E, ArchivedLog!$B:$B,L$3,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M14" s="100">
        <f>IFERROR(
    _xlfn.LET(
        _xlpm.is_data_present, $A14&lt;&gt;0,
        _xlpm.is_camera_present, COUNTIFS(ArchivedLog!$A:$A, $A14, ArchivedLog!$B:$B, M$3),
        _xlpm.we_camera_on_date, IFERROR(AVERAGEIFS(ArchivedLog!$D:$D, ArchivedLog!$B:$B,M$3, ArchivedLog!$A:$A, $A14), ""),
        _xlpm.ie_camera_on_date, IFERROR(AVERAGEIFS(ArchivedLog!$E:$E, ArchivedLog!$B:$B,M$3,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14" s="100">
        <f>IFERROR(
    _xlfn.LET(
        _xlpm.is_data_present, $A14&lt;&gt;0,
        _xlpm.is_camera_present, COUNTIFS(ArchivedLog!$A:$A, $A14, ArchivedLog!$B:$B, N$3),
        _xlpm.we_camera_on_date, IFERROR(AVERAGEIFS(ArchivedLog!$D:$D, ArchivedLog!$B:$B,N$3, ArchivedLog!$A:$A, $A14), ""),
        _xlpm.ie_camera_on_date, IFERROR(AVERAGEIFS(ArchivedLog!$E:$E, ArchivedLog!$B:$B,N$3,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4" s="100">
        <f>IFERROR(
    _xlfn.LET(
        _xlpm.is_data_present, $A14&lt;&gt;0,
        _xlpm.is_camera_present, COUNTIFS(ArchivedLog!$A:$A, $A14, ArchivedLog!$B:$B, O$3),
        _xlpm.we_camera_on_date, IFERROR(AVERAGEIFS(ArchivedLog!$D:$D, ArchivedLog!$B:$B,O$3, ArchivedLog!$A:$A, $A14), ""),
        _xlpm.ie_camera_on_date, IFERROR(AVERAGEIFS(ArchivedLog!$E:$E, ArchivedLog!$B:$B,O$3,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4" s="100">
        <f>IFERROR(
    _xlfn.LET(
        _xlpm.is_data_present, $A14&lt;&gt;0,
        _xlpm.is_camera_present, COUNTIFS(ArchivedLog!$A:$A, $A14, ArchivedLog!$B:$B, P$3),
        _xlpm.we_camera_on_date, IFERROR(AVERAGEIFS(ArchivedLog!$D:$D, ArchivedLog!$B:$B,P$3, ArchivedLog!$A:$A, $A14), ""),
        _xlpm.ie_camera_on_date, IFERROR(AVERAGEIFS(ArchivedLog!$E:$E, ArchivedLog!$B:$B,P$3,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14" s="100">
        <f>IFERROR(
    _xlfn.LET(
        _xlpm.is_data_present, $A14&lt;&gt;0,
        _xlpm.is_camera_present, COUNTIFS(ArchivedLog!$A:$A, $A14, ArchivedLog!$B:$B, Q$3),
        _xlpm.we_camera_on_date, IFERROR(AVERAGEIFS(ArchivedLog!$D:$D, ArchivedLog!$B:$B,Q$3, ArchivedLog!$A:$A, $A14), ""),
        _xlpm.ie_camera_on_date, IFERROR(AVERAGEIFS(ArchivedLog!$E:$E, ArchivedLog!$B:$B,Q$3,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14" s="100">
        <f>IFERROR(
    _xlfn.LET(
        _xlpm.is_data_present, $A14&lt;&gt;0,
        _xlpm.is_camera_present, COUNTIFS(ArchivedLog!$A:$A, $A14, ArchivedLog!$B:$B, R$3),
        _xlpm.we_camera_on_date, IFERROR(AVERAGEIFS(ArchivedLog!$D:$D, ArchivedLog!$B:$B,R$3, ArchivedLog!$A:$A, $A14), ""),
        _xlpm.ie_camera_on_date, IFERROR(AVERAGEIFS(ArchivedLog!$E:$E, ArchivedLog!$B:$B,R$3,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S14" s="100">
        <f>IFERROR(
    _xlfn.LET(
        _xlpm.is_data_present, $A14&lt;&gt;0,
        _xlpm.is_camera_present, COUNTIFS(ArchivedLog!$A:$A, $A14, ArchivedLog!$B:$B, S$3),
        _xlpm.we_camera_on_date, IFERROR(AVERAGEIFS(ArchivedLog!$D:$D, ArchivedLog!$B:$B,S$3, ArchivedLog!$A:$A, $A14), ""),
        _xlpm.ie_camera_on_date, IFERROR(AVERAGEIFS(ArchivedLog!$E:$E, ArchivedLog!$B:$B,S$3, ArchivedLog!$A:$A, $A14), ""),
        _xlpm.we_avg, IFERROR(AVERAGEIFS(ArchivedLog!$D:$D,ArchivedLog!$A:$A,$A14),""),
        _xlpm.ie_avg, IFERROR(AVERAGEIFS(ArchivedLog!$E:$E,ArchivedLog!$A:$A,$A14),""),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4" s="84"/>
      <c r="V14" s="84"/>
    </row>
    <row r="15" spans="1:23" x14ac:dyDescent="0.3">
      <c r="A15" s="108">
        <v>46239</v>
      </c>
      <c r="B15" s="100">
        <f>IFERROR(
    _xlfn.LET(
        _xlpm.is_data_present, $A15&lt;&gt;0,
        _xlpm.is_camera_present, COUNTIFS(ArchivedLog!$A:$A, $A15, ArchivedLog!$B:$B, B$3),
        _xlpm.we_camera_on_date, IFERROR(AVERAGEIFS(ArchivedLog!$D:$D, ArchivedLog!$B:$B,B$3, ArchivedLog!$A:$A, $A15), ""),
        _xlpm.ie_camera_on_date, IFERROR(AVERAGEIFS(ArchivedLog!$E:$E, ArchivedLog!$B:$B,B$3,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C15" s="100">
        <f>IFERROR(
    _xlfn.LET(
        _xlpm.is_data_present, $A15&lt;&gt;0,
        _xlpm.is_camera_present, COUNTIFS(ArchivedLog!$A:$A, $A15, ArchivedLog!$B:$B, C$3),
        _xlpm.we_camera_on_date, IFERROR(AVERAGEIFS(ArchivedLog!$D:$D, ArchivedLog!$B:$B,C$3, ArchivedLog!$A:$A, $A15), ""),
        _xlpm.ie_camera_on_date, IFERROR(AVERAGEIFS(ArchivedLog!$E:$E, ArchivedLog!$B:$B,C$3,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5" s="100">
        <f>IFERROR(
    _xlfn.LET(
        _xlpm.is_data_present, $A15&lt;&gt;0,
        _xlpm.is_camera_present, COUNTIFS(ArchivedLog!$A:$A, $A15, ArchivedLog!$B:$B, D$3),
        _xlpm.we_camera_on_date, IFERROR(AVERAGEIFS(ArchivedLog!$D:$D, ArchivedLog!$B:$B,D$3, ArchivedLog!$A:$A, $A15), ""),
        _xlpm.ie_camera_on_date, IFERROR(AVERAGEIFS(ArchivedLog!$E:$E, ArchivedLog!$B:$B,D$3,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5" s="100">
        <f>IFERROR(
    _xlfn.LET(
        _xlpm.is_data_present, $A15&lt;&gt;0,
        _xlpm.is_camera_present, COUNTIFS(ArchivedLog!$A:$A, $A15, ArchivedLog!$B:$B, E$3),
        _xlpm.we_camera_on_date, IFERROR(AVERAGEIFS(ArchivedLog!$D:$D, ArchivedLog!$B:$B,E$3, ArchivedLog!$A:$A, $A15), ""),
        _xlpm.ie_camera_on_date, IFERROR(AVERAGEIFS(ArchivedLog!$E:$E, ArchivedLog!$B:$B,E$3,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5" s="100">
        <f>IFERROR(
    _xlfn.LET(
        _xlpm.is_data_present, $A15&lt;&gt;0,
        _xlpm.is_camera_present, COUNTIFS(ArchivedLog!$A:$A, $A15, ArchivedLog!$B:$B, F$3),
        _xlpm.we_camera_on_date, IFERROR(AVERAGEIFS(ArchivedLog!$D:$D, ArchivedLog!$B:$B,F$3, ArchivedLog!$A:$A, $A15), ""),
        _xlpm.ie_camera_on_date, IFERROR(AVERAGEIFS(ArchivedLog!$E:$E, ArchivedLog!$B:$B,F$3,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5" s="100">
        <f>IFERROR(
    _xlfn.LET(
        _xlpm.is_data_present, $A15&lt;&gt;0,
        _xlpm.is_camera_present, COUNTIFS(ArchivedLog!$A:$A, $A15, ArchivedLog!$B:$B, G$3),
        _xlpm.we_camera_on_date, IFERROR(AVERAGEIFS(ArchivedLog!$D:$D, ArchivedLog!$B:$B,G$3, ArchivedLog!$A:$A, $A15), ""),
        _xlpm.ie_camera_on_date, IFERROR(AVERAGEIFS(ArchivedLog!$E:$E, ArchivedLog!$B:$B,G$3,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H15" s="100">
        <f>IFERROR(
    _xlfn.LET(
        _xlpm.is_data_present, $A15&lt;&gt;0,
        _xlpm.is_camera_present, COUNTIFS(ArchivedLog!$A:$A, $A15, ArchivedLog!$B:$B, H$3),
        _xlpm.we_camera_on_date, IFERROR(AVERAGEIFS(ArchivedLog!$D:$D, ArchivedLog!$B:$B,H$3, ArchivedLog!$A:$A, $A15), ""),
        _xlpm.ie_camera_on_date, IFERROR(AVERAGEIFS(ArchivedLog!$E:$E, ArchivedLog!$B:$B,H$3,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5" s="100">
        <f>IFERROR(
    _xlfn.LET(
        _xlpm.is_data_present, $A15&lt;&gt;0,
        _xlpm.is_camera_present, COUNTIFS(ArchivedLog!$A:$A, $A15, ArchivedLog!$B:$B, I$3),
        _xlpm.we_camera_on_date, IFERROR(AVERAGEIFS(ArchivedLog!$D:$D, ArchivedLog!$B:$B,I$3, ArchivedLog!$A:$A, $A15), ""),
        _xlpm.ie_camera_on_date, IFERROR(AVERAGEIFS(ArchivedLog!$E:$E, ArchivedLog!$B:$B,I$3,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5" s="100">
        <f>IFERROR(
    _xlfn.LET(
        _xlpm.is_data_present, $A15&lt;&gt;0,
        _xlpm.is_camera_present, COUNTIFS(ArchivedLog!$A:$A, $A15, ArchivedLog!$B:$B, J$3),
        _xlpm.we_camera_on_date, IFERROR(AVERAGEIFS(ArchivedLog!$D:$D, ArchivedLog!$B:$B,J$3, ArchivedLog!$A:$A, $A15), ""),
        _xlpm.ie_camera_on_date, IFERROR(AVERAGEIFS(ArchivedLog!$E:$E, ArchivedLog!$B:$B,J$3,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15" s="100">
        <f>IFERROR(
    _xlfn.LET(
        _xlpm.is_data_present, $A15&lt;&gt;0,
        _xlpm.is_camera_present, COUNTIFS(ArchivedLog!$A:$A, $A15, ArchivedLog!$B:$B, K$3),
        _xlpm.we_camera_on_date, IFERROR(AVERAGEIFS(ArchivedLog!$D:$D, ArchivedLog!$B:$B,K$3, ArchivedLog!$A:$A, $A15), ""),
        _xlpm.ie_camera_on_date, IFERROR(AVERAGEIFS(ArchivedLog!$E:$E, ArchivedLog!$B:$B,K$3,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15" s="100">
        <f>IFERROR(
    _xlfn.LET(
        _xlpm.is_data_present, $A15&lt;&gt;0,
        _xlpm.is_camera_present, COUNTIFS(ArchivedLog!$A:$A, $A15, ArchivedLog!$B:$B, L$3),
        _xlpm.we_camera_on_date, IFERROR(AVERAGEIFS(ArchivedLog!$D:$D, ArchivedLog!$B:$B,L$3, ArchivedLog!$A:$A, $A15), ""),
        _xlpm.ie_camera_on_date, IFERROR(AVERAGEIFS(ArchivedLog!$E:$E, ArchivedLog!$B:$B,L$3,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M15" s="100">
        <f>IFERROR(
    _xlfn.LET(
        _xlpm.is_data_present, $A15&lt;&gt;0,
        _xlpm.is_camera_present, COUNTIFS(ArchivedLog!$A:$A, $A15, ArchivedLog!$B:$B, M$3),
        _xlpm.we_camera_on_date, IFERROR(AVERAGEIFS(ArchivedLog!$D:$D, ArchivedLog!$B:$B,M$3, ArchivedLog!$A:$A, $A15), ""),
        _xlpm.ie_camera_on_date, IFERROR(AVERAGEIFS(ArchivedLog!$E:$E, ArchivedLog!$B:$B,M$3,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15" s="100">
        <f>IFERROR(
    _xlfn.LET(
        _xlpm.is_data_present, $A15&lt;&gt;0,
        _xlpm.is_camera_present, COUNTIFS(ArchivedLog!$A:$A, $A15, ArchivedLog!$B:$B, N$3),
        _xlpm.we_camera_on_date, IFERROR(AVERAGEIFS(ArchivedLog!$D:$D, ArchivedLog!$B:$B,N$3, ArchivedLog!$A:$A, $A15), ""),
        _xlpm.ie_camera_on_date, IFERROR(AVERAGEIFS(ArchivedLog!$E:$E, ArchivedLog!$B:$B,N$3,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5" s="100">
        <f>IFERROR(
    _xlfn.LET(
        _xlpm.is_data_present, $A15&lt;&gt;0,
        _xlpm.is_camera_present, COUNTIFS(ArchivedLog!$A:$A, $A15, ArchivedLog!$B:$B, O$3),
        _xlpm.we_camera_on_date, IFERROR(AVERAGEIFS(ArchivedLog!$D:$D, ArchivedLog!$B:$B,O$3, ArchivedLog!$A:$A, $A15), ""),
        _xlpm.ie_camera_on_date, IFERROR(AVERAGEIFS(ArchivedLog!$E:$E, ArchivedLog!$B:$B,O$3,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5" s="100">
        <f>IFERROR(
    _xlfn.LET(
        _xlpm.is_data_present, $A15&lt;&gt;0,
        _xlpm.is_camera_present, COUNTIFS(ArchivedLog!$A:$A, $A15, ArchivedLog!$B:$B, P$3),
        _xlpm.we_camera_on_date, IFERROR(AVERAGEIFS(ArchivedLog!$D:$D, ArchivedLog!$B:$B,P$3, ArchivedLog!$A:$A, $A15), ""),
        _xlpm.ie_camera_on_date, IFERROR(AVERAGEIFS(ArchivedLog!$E:$E, ArchivedLog!$B:$B,P$3,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Q15" s="100">
        <f>IFERROR(
    _xlfn.LET(
        _xlpm.is_data_present, $A15&lt;&gt;0,
        _xlpm.is_camera_present, COUNTIFS(ArchivedLog!$A:$A, $A15, ArchivedLog!$B:$B, Q$3),
        _xlpm.we_camera_on_date, IFERROR(AVERAGEIFS(ArchivedLog!$D:$D, ArchivedLog!$B:$B,Q$3, ArchivedLog!$A:$A, $A15), ""),
        _xlpm.ie_camera_on_date, IFERROR(AVERAGEIFS(ArchivedLog!$E:$E, ArchivedLog!$B:$B,Q$3,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15" s="100">
        <f>IFERROR(
    _xlfn.LET(
        _xlpm.is_data_present, $A15&lt;&gt;0,
        _xlpm.is_camera_present, COUNTIFS(ArchivedLog!$A:$A, $A15, ArchivedLog!$B:$B, R$3),
        _xlpm.we_camera_on_date, IFERROR(AVERAGEIFS(ArchivedLog!$D:$D, ArchivedLog!$B:$B,R$3, ArchivedLog!$A:$A, $A15), ""),
        _xlpm.ie_camera_on_date, IFERROR(AVERAGEIFS(ArchivedLog!$E:$E, ArchivedLog!$B:$B,R$3,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15" s="100">
        <f>IFERROR(
    _xlfn.LET(
        _xlpm.is_data_present, $A15&lt;&gt;0,
        _xlpm.is_camera_present, COUNTIFS(ArchivedLog!$A:$A, $A15, ArchivedLog!$B:$B, S$3),
        _xlpm.we_camera_on_date, IFERROR(AVERAGEIFS(ArchivedLog!$D:$D, ArchivedLog!$B:$B,S$3, ArchivedLog!$A:$A, $A15), ""),
        _xlpm.ie_camera_on_date, IFERROR(AVERAGEIFS(ArchivedLog!$E:$E, ArchivedLog!$B:$B,S$3, ArchivedLog!$A:$A, $A15), ""),
        _xlpm.we_avg, IFERROR(AVERAGEIFS(ArchivedLog!$D:$D,ArchivedLog!$A:$A,$A15),""),
        _xlpm.ie_avg, IFERROR(AVERAGEIFS(ArchivedLog!$E:$E,ArchivedLog!$A:$A,$A15),""),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row>
    <row r="16" spans="1:23" x14ac:dyDescent="0.3">
      <c r="A16" s="108">
        <v>46240</v>
      </c>
      <c r="B16" s="100" t="str">
        <f>IFERROR(
    _xlfn.LET(
        _xlpm.is_data_present, $A16&lt;&gt;0,
        _xlpm.is_camera_present, COUNTIFS(ArchivedLog!$A:$A, $A16, ArchivedLog!$B:$B, B$3),
        _xlpm.we_camera_on_date, IFERROR(AVERAGEIFS(ArchivedLog!$D:$D, ArchivedLog!$B:$B,B$3, ArchivedLog!$A:$A, $A16), ""),
        _xlpm.ie_camera_on_date, IFERROR(AVERAGEIFS(ArchivedLog!$E:$E, ArchivedLog!$B:$B,B$3,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C16" s="100" t="str">
        <f>IFERROR(
    _xlfn.LET(
        _xlpm.is_data_present, $A16&lt;&gt;0,
        _xlpm.is_camera_present, COUNTIFS(ArchivedLog!$A:$A, $A16, ArchivedLog!$B:$B, C$3),
        _xlpm.we_camera_on_date, IFERROR(AVERAGEIFS(ArchivedLog!$D:$D, ArchivedLog!$B:$B,C$3, ArchivedLog!$A:$A, $A16), ""),
        _xlpm.ie_camera_on_date, IFERROR(AVERAGEIFS(ArchivedLog!$E:$E, ArchivedLog!$B:$B,C$3,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D16" s="100" t="str">
        <f>IFERROR(
    _xlfn.LET(
        _xlpm.is_data_present, $A16&lt;&gt;0,
        _xlpm.is_camera_present, COUNTIFS(ArchivedLog!$A:$A, $A16, ArchivedLog!$B:$B, D$3),
        _xlpm.we_camera_on_date, IFERROR(AVERAGEIFS(ArchivedLog!$D:$D, ArchivedLog!$B:$B,D$3, ArchivedLog!$A:$A, $A16), ""),
        _xlpm.ie_camera_on_date, IFERROR(AVERAGEIFS(ArchivedLog!$E:$E, ArchivedLog!$B:$B,D$3,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E16" s="100" t="str">
        <f>IFERROR(
    _xlfn.LET(
        _xlpm.is_data_present, $A16&lt;&gt;0,
        _xlpm.is_camera_present, COUNTIFS(ArchivedLog!$A:$A, $A16, ArchivedLog!$B:$B, E$3),
        _xlpm.we_camera_on_date, IFERROR(AVERAGEIFS(ArchivedLog!$D:$D, ArchivedLog!$B:$B,E$3, ArchivedLog!$A:$A, $A16), ""),
        _xlpm.ie_camera_on_date, IFERROR(AVERAGEIFS(ArchivedLog!$E:$E, ArchivedLog!$B:$B,E$3,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F16" s="100" t="str">
        <f>IFERROR(
    _xlfn.LET(
        _xlpm.is_data_present, $A16&lt;&gt;0,
        _xlpm.is_camera_present, COUNTIFS(ArchivedLog!$A:$A, $A16, ArchivedLog!$B:$B, F$3),
        _xlpm.we_camera_on_date, IFERROR(AVERAGEIFS(ArchivedLog!$D:$D, ArchivedLog!$B:$B,F$3, ArchivedLog!$A:$A, $A16), ""),
        _xlpm.ie_camera_on_date, IFERROR(AVERAGEIFS(ArchivedLog!$E:$E, ArchivedLog!$B:$B,F$3,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G16" s="100" t="str">
        <f>IFERROR(
    _xlfn.LET(
        _xlpm.is_data_present, $A16&lt;&gt;0,
        _xlpm.is_camera_present, COUNTIFS(ArchivedLog!$A:$A, $A16, ArchivedLog!$B:$B, G$3),
        _xlpm.we_camera_on_date, IFERROR(AVERAGEIFS(ArchivedLog!$D:$D, ArchivedLog!$B:$B,G$3, ArchivedLog!$A:$A, $A16), ""),
        _xlpm.ie_camera_on_date, IFERROR(AVERAGEIFS(ArchivedLog!$E:$E, ArchivedLog!$B:$B,G$3,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H16" s="100" t="str">
        <f>IFERROR(
    _xlfn.LET(
        _xlpm.is_data_present, $A16&lt;&gt;0,
        _xlpm.is_camera_present, COUNTIFS(ArchivedLog!$A:$A, $A16, ArchivedLog!$B:$B, H$3),
        _xlpm.we_camera_on_date, IFERROR(AVERAGEIFS(ArchivedLog!$D:$D, ArchivedLog!$B:$B,H$3, ArchivedLog!$A:$A, $A16), ""),
        _xlpm.ie_camera_on_date, IFERROR(AVERAGEIFS(ArchivedLog!$E:$E, ArchivedLog!$B:$B,H$3,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I16" s="100" t="str">
        <f>IFERROR(
    _xlfn.LET(
        _xlpm.is_data_present, $A16&lt;&gt;0,
        _xlpm.is_camera_present, COUNTIFS(ArchivedLog!$A:$A, $A16, ArchivedLog!$B:$B, I$3),
        _xlpm.we_camera_on_date, IFERROR(AVERAGEIFS(ArchivedLog!$D:$D, ArchivedLog!$B:$B,I$3, ArchivedLog!$A:$A, $A16), ""),
        _xlpm.ie_camera_on_date, IFERROR(AVERAGEIFS(ArchivedLog!$E:$E, ArchivedLog!$B:$B,I$3,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J16" s="100" t="str">
        <f>IFERROR(
    _xlfn.LET(
        _xlpm.is_data_present, $A16&lt;&gt;0,
        _xlpm.is_camera_present, COUNTIFS(ArchivedLog!$A:$A, $A16, ArchivedLog!$B:$B, J$3),
        _xlpm.we_camera_on_date, IFERROR(AVERAGEIFS(ArchivedLog!$D:$D, ArchivedLog!$B:$B,J$3, ArchivedLog!$A:$A, $A16), ""),
        _xlpm.ie_camera_on_date, IFERROR(AVERAGEIFS(ArchivedLog!$E:$E, ArchivedLog!$B:$B,J$3,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K16" s="100" t="str">
        <f>IFERROR(
    _xlfn.LET(
        _xlpm.is_data_present, $A16&lt;&gt;0,
        _xlpm.is_camera_present, COUNTIFS(ArchivedLog!$A:$A, $A16, ArchivedLog!$B:$B, K$3),
        _xlpm.we_camera_on_date, IFERROR(AVERAGEIFS(ArchivedLog!$D:$D, ArchivedLog!$B:$B,K$3, ArchivedLog!$A:$A, $A16), ""),
        _xlpm.ie_camera_on_date, IFERROR(AVERAGEIFS(ArchivedLog!$E:$E, ArchivedLog!$B:$B,K$3,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L16" s="100" t="str">
        <f>IFERROR(
    _xlfn.LET(
        _xlpm.is_data_present, $A16&lt;&gt;0,
        _xlpm.is_camera_present, COUNTIFS(ArchivedLog!$A:$A, $A16, ArchivedLog!$B:$B, L$3),
        _xlpm.we_camera_on_date, IFERROR(AVERAGEIFS(ArchivedLog!$D:$D, ArchivedLog!$B:$B,L$3, ArchivedLog!$A:$A, $A16), ""),
        _xlpm.ie_camera_on_date, IFERROR(AVERAGEIFS(ArchivedLog!$E:$E, ArchivedLog!$B:$B,L$3,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M16" s="100" t="str">
        <f>IFERROR(
    _xlfn.LET(
        _xlpm.is_data_present, $A16&lt;&gt;0,
        _xlpm.is_camera_present, COUNTIFS(ArchivedLog!$A:$A, $A16, ArchivedLog!$B:$B, M$3),
        _xlpm.we_camera_on_date, IFERROR(AVERAGEIFS(ArchivedLog!$D:$D, ArchivedLog!$B:$B,M$3, ArchivedLog!$A:$A, $A16), ""),
        _xlpm.ie_camera_on_date, IFERROR(AVERAGEIFS(ArchivedLog!$E:$E, ArchivedLog!$B:$B,M$3,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N16" s="100" t="str">
        <f>IFERROR(
    _xlfn.LET(
        _xlpm.is_data_present, $A16&lt;&gt;0,
        _xlpm.is_camera_present, COUNTIFS(ArchivedLog!$A:$A, $A16, ArchivedLog!$B:$B, N$3),
        _xlpm.we_camera_on_date, IFERROR(AVERAGEIFS(ArchivedLog!$D:$D, ArchivedLog!$B:$B,N$3, ArchivedLog!$A:$A, $A16), ""),
        _xlpm.ie_camera_on_date, IFERROR(AVERAGEIFS(ArchivedLog!$E:$E, ArchivedLog!$B:$B,N$3,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O16" s="100" t="str">
        <f>IFERROR(
    _xlfn.LET(
        _xlpm.is_data_present, $A16&lt;&gt;0,
        _xlpm.is_camera_present, COUNTIFS(ArchivedLog!$A:$A, $A16, ArchivedLog!$B:$B, O$3),
        _xlpm.we_camera_on_date, IFERROR(AVERAGEIFS(ArchivedLog!$D:$D, ArchivedLog!$B:$B,O$3, ArchivedLog!$A:$A, $A16), ""),
        _xlpm.ie_camera_on_date, IFERROR(AVERAGEIFS(ArchivedLog!$E:$E, ArchivedLog!$B:$B,O$3,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P16" s="100" t="str">
        <f>IFERROR(
    _xlfn.LET(
        _xlpm.is_data_present, $A16&lt;&gt;0,
        _xlpm.is_camera_present, COUNTIFS(ArchivedLog!$A:$A, $A16, ArchivedLog!$B:$B, P$3),
        _xlpm.we_camera_on_date, IFERROR(AVERAGEIFS(ArchivedLog!$D:$D, ArchivedLog!$B:$B,P$3, ArchivedLog!$A:$A, $A16), ""),
        _xlpm.ie_camera_on_date, IFERROR(AVERAGEIFS(ArchivedLog!$E:$E, ArchivedLog!$B:$B,P$3,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Q16" s="100" t="str">
        <f>IFERROR(
    _xlfn.LET(
        _xlpm.is_data_present, $A16&lt;&gt;0,
        _xlpm.is_camera_present, COUNTIFS(ArchivedLog!$A:$A, $A16, ArchivedLog!$B:$B, Q$3),
        _xlpm.we_camera_on_date, IFERROR(AVERAGEIFS(ArchivedLog!$D:$D, ArchivedLog!$B:$B,Q$3, ArchivedLog!$A:$A, $A16), ""),
        _xlpm.ie_camera_on_date, IFERROR(AVERAGEIFS(ArchivedLog!$E:$E, ArchivedLog!$B:$B,Q$3,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R16" s="100" t="str">
        <f>IFERROR(
    _xlfn.LET(
        _xlpm.is_data_present, $A16&lt;&gt;0,
        _xlpm.is_camera_present, COUNTIFS(ArchivedLog!$A:$A, $A16, ArchivedLog!$B:$B, R$3),
        _xlpm.we_camera_on_date, IFERROR(AVERAGEIFS(ArchivedLog!$D:$D, ArchivedLog!$B:$B,R$3, ArchivedLog!$A:$A, $A16), ""),
        _xlpm.ie_camera_on_date, IFERROR(AVERAGEIFS(ArchivedLog!$E:$E, ArchivedLog!$B:$B,R$3,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S16" s="100" t="str">
        <f>IFERROR(
    _xlfn.LET(
        _xlpm.is_data_present, $A16&lt;&gt;0,
        _xlpm.is_camera_present, COUNTIFS(ArchivedLog!$A:$A, $A16, ArchivedLog!$B:$B, S$3),
        _xlpm.we_camera_on_date, IFERROR(AVERAGEIFS(ArchivedLog!$D:$D, ArchivedLog!$B:$B,S$3, ArchivedLog!$A:$A, $A16), ""),
        _xlpm.ie_camera_on_date, IFERROR(AVERAGEIFS(ArchivedLog!$E:$E, ArchivedLog!$B:$B,S$3, ArchivedLog!$A:$A, $A16), ""),
        _xlpm.we_avg, IFERROR(AVERAGEIFS(ArchivedLog!$D:$D,ArchivedLog!$A:$A,$A16),""),
        _xlpm.ie_avg, IFERROR(AVERAGEIFS(ArchivedLog!$E:$E,ArchivedLog!$A:$A,$A16),""),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row>
    <row r="17" spans="1:19" x14ac:dyDescent="0.3">
      <c r="A17" s="108">
        <v>46242</v>
      </c>
      <c r="B17" s="100" t="str">
        <f>IFERROR(
    _xlfn.LET(
        _xlpm.is_data_present, $A17&lt;&gt;0,
        _xlpm.is_camera_present, COUNTIFS(ArchivedLog!$A:$A, $A17, ArchivedLog!$B:$B, B$3),
        _xlpm.we_camera_on_date, IFERROR(AVERAGEIFS(ArchivedLog!$D:$D, ArchivedLog!$B:$B,B$3, ArchivedLog!$A:$A, $A17), ""),
        _xlpm.ie_camera_on_date, IFERROR(AVERAGEIFS(ArchivedLog!$E:$E, ArchivedLog!$B:$B,B$3,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C17" s="100" t="str">
        <f>IFERROR(
    _xlfn.LET(
        _xlpm.is_data_present, $A17&lt;&gt;0,
        _xlpm.is_camera_present, COUNTIFS(ArchivedLog!$A:$A, $A17, ArchivedLog!$B:$B, C$3),
        _xlpm.we_camera_on_date, IFERROR(AVERAGEIFS(ArchivedLog!$D:$D, ArchivedLog!$B:$B,C$3, ArchivedLog!$A:$A, $A17), ""),
        _xlpm.ie_camera_on_date, IFERROR(AVERAGEIFS(ArchivedLog!$E:$E, ArchivedLog!$B:$B,C$3,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D17" s="100" t="str">
        <f>IFERROR(
    _xlfn.LET(
        _xlpm.is_data_present, $A17&lt;&gt;0,
        _xlpm.is_camera_present, COUNTIFS(ArchivedLog!$A:$A, $A17, ArchivedLog!$B:$B, D$3),
        _xlpm.we_camera_on_date, IFERROR(AVERAGEIFS(ArchivedLog!$D:$D, ArchivedLog!$B:$B,D$3, ArchivedLog!$A:$A, $A17), ""),
        _xlpm.ie_camera_on_date, IFERROR(AVERAGEIFS(ArchivedLog!$E:$E, ArchivedLog!$B:$B,D$3,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E17" s="100" t="str">
        <f>IFERROR(
    _xlfn.LET(
        _xlpm.is_data_present, $A17&lt;&gt;0,
        _xlpm.is_camera_present, COUNTIFS(ArchivedLog!$A:$A, $A17, ArchivedLog!$B:$B, E$3),
        _xlpm.we_camera_on_date, IFERROR(AVERAGEIFS(ArchivedLog!$D:$D, ArchivedLog!$B:$B,E$3, ArchivedLog!$A:$A, $A17), ""),
        _xlpm.ie_camera_on_date, IFERROR(AVERAGEIFS(ArchivedLog!$E:$E, ArchivedLog!$B:$B,E$3,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F17" s="100" t="str">
        <f>IFERROR(
    _xlfn.LET(
        _xlpm.is_data_present, $A17&lt;&gt;0,
        _xlpm.is_camera_present, COUNTIFS(ArchivedLog!$A:$A, $A17, ArchivedLog!$B:$B, F$3),
        _xlpm.we_camera_on_date, IFERROR(AVERAGEIFS(ArchivedLog!$D:$D, ArchivedLog!$B:$B,F$3, ArchivedLog!$A:$A, $A17), ""),
        _xlpm.ie_camera_on_date, IFERROR(AVERAGEIFS(ArchivedLog!$E:$E, ArchivedLog!$B:$B,F$3,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G17" s="100" t="str">
        <f>IFERROR(
    _xlfn.LET(
        _xlpm.is_data_present, $A17&lt;&gt;0,
        _xlpm.is_camera_present, COUNTIFS(ArchivedLog!$A:$A, $A17, ArchivedLog!$B:$B, G$3),
        _xlpm.we_camera_on_date, IFERROR(AVERAGEIFS(ArchivedLog!$D:$D, ArchivedLog!$B:$B,G$3, ArchivedLog!$A:$A, $A17), ""),
        _xlpm.ie_camera_on_date, IFERROR(AVERAGEIFS(ArchivedLog!$E:$E, ArchivedLog!$B:$B,G$3,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H17" s="100" t="str">
        <f>IFERROR(
    _xlfn.LET(
        _xlpm.is_data_present, $A17&lt;&gt;0,
        _xlpm.is_camera_present, COUNTIFS(ArchivedLog!$A:$A, $A17, ArchivedLog!$B:$B, H$3),
        _xlpm.we_camera_on_date, IFERROR(AVERAGEIFS(ArchivedLog!$D:$D, ArchivedLog!$B:$B,H$3, ArchivedLog!$A:$A, $A17), ""),
        _xlpm.ie_camera_on_date, IFERROR(AVERAGEIFS(ArchivedLog!$E:$E, ArchivedLog!$B:$B,H$3,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I17" s="100" t="str">
        <f>IFERROR(
    _xlfn.LET(
        _xlpm.is_data_present, $A17&lt;&gt;0,
        _xlpm.is_camera_present, COUNTIFS(ArchivedLog!$A:$A, $A17, ArchivedLog!$B:$B, I$3),
        _xlpm.we_camera_on_date, IFERROR(AVERAGEIFS(ArchivedLog!$D:$D, ArchivedLog!$B:$B,I$3, ArchivedLog!$A:$A, $A17), ""),
        _xlpm.ie_camera_on_date, IFERROR(AVERAGEIFS(ArchivedLog!$E:$E, ArchivedLog!$B:$B,I$3,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J17" s="100" t="str">
        <f>IFERROR(
    _xlfn.LET(
        _xlpm.is_data_present, $A17&lt;&gt;0,
        _xlpm.is_camera_present, COUNTIFS(ArchivedLog!$A:$A, $A17, ArchivedLog!$B:$B, J$3),
        _xlpm.we_camera_on_date, IFERROR(AVERAGEIFS(ArchivedLog!$D:$D, ArchivedLog!$B:$B,J$3, ArchivedLog!$A:$A, $A17), ""),
        _xlpm.ie_camera_on_date, IFERROR(AVERAGEIFS(ArchivedLog!$E:$E, ArchivedLog!$B:$B,J$3,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K17" s="100" t="str">
        <f>IFERROR(
    _xlfn.LET(
        _xlpm.is_data_present, $A17&lt;&gt;0,
        _xlpm.is_camera_present, COUNTIFS(ArchivedLog!$A:$A, $A17, ArchivedLog!$B:$B, K$3),
        _xlpm.we_camera_on_date, IFERROR(AVERAGEIFS(ArchivedLog!$D:$D, ArchivedLog!$B:$B,K$3, ArchivedLog!$A:$A, $A17), ""),
        _xlpm.ie_camera_on_date, IFERROR(AVERAGEIFS(ArchivedLog!$E:$E, ArchivedLog!$B:$B,K$3,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L17" s="100" t="str">
        <f>IFERROR(
    _xlfn.LET(
        _xlpm.is_data_present, $A17&lt;&gt;0,
        _xlpm.is_camera_present, COUNTIFS(ArchivedLog!$A:$A, $A17, ArchivedLog!$B:$B, L$3),
        _xlpm.we_camera_on_date, IFERROR(AVERAGEIFS(ArchivedLog!$D:$D, ArchivedLog!$B:$B,L$3, ArchivedLog!$A:$A, $A17), ""),
        _xlpm.ie_camera_on_date, IFERROR(AVERAGEIFS(ArchivedLog!$E:$E, ArchivedLog!$B:$B,L$3,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M17" s="100" t="str">
        <f>IFERROR(
    _xlfn.LET(
        _xlpm.is_data_present, $A17&lt;&gt;0,
        _xlpm.is_camera_present, COUNTIFS(ArchivedLog!$A:$A, $A17, ArchivedLog!$B:$B, M$3),
        _xlpm.we_camera_on_date, IFERROR(AVERAGEIFS(ArchivedLog!$D:$D, ArchivedLog!$B:$B,M$3, ArchivedLog!$A:$A, $A17), ""),
        _xlpm.ie_camera_on_date, IFERROR(AVERAGEIFS(ArchivedLog!$E:$E, ArchivedLog!$B:$B,M$3,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N17" s="100" t="str">
        <f>IFERROR(
    _xlfn.LET(
        _xlpm.is_data_present, $A17&lt;&gt;0,
        _xlpm.is_camera_present, COUNTIFS(ArchivedLog!$A:$A, $A17, ArchivedLog!$B:$B, N$3),
        _xlpm.we_camera_on_date, IFERROR(AVERAGEIFS(ArchivedLog!$D:$D, ArchivedLog!$B:$B,N$3, ArchivedLog!$A:$A, $A17), ""),
        _xlpm.ie_camera_on_date, IFERROR(AVERAGEIFS(ArchivedLog!$E:$E, ArchivedLog!$B:$B,N$3,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O17" s="100" t="str">
        <f>IFERROR(
    _xlfn.LET(
        _xlpm.is_data_present, $A17&lt;&gt;0,
        _xlpm.is_camera_present, COUNTIFS(ArchivedLog!$A:$A, $A17, ArchivedLog!$B:$B, O$3),
        _xlpm.we_camera_on_date, IFERROR(AVERAGEIFS(ArchivedLog!$D:$D, ArchivedLog!$B:$B,O$3, ArchivedLog!$A:$A, $A17), ""),
        _xlpm.ie_camera_on_date, IFERROR(AVERAGEIFS(ArchivedLog!$E:$E, ArchivedLog!$B:$B,O$3,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P17" s="100" t="str">
        <f>IFERROR(
    _xlfn.LET(
        _xlpm.is_data_present, $A17&lt;&gt;0,
        _xlpm.is_camera_present, COUNTIFS(ArchivedLog!$A:$A, $A17, ArchivedLog!$B:$B, P$3),
        _xlpm.we_camera_on_date, IFERROR(AVERAGEIFS(ArchivedLog!$D:$D, ArchivedLog!$B:$B,P$3, ArchivedLog!$A:$A, $A17), ""),
        _xlpm.ie_camera_on_date, IFERROR(AVERAGEIFS(ArchivedLog!$E:$E, ArchivedLog!$B:$B,P$3,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Q17" s="100" t="str">
        <f>IFERROR(
    _xlfn.LET(
        _xlpm.is_data_present, $A17&lt;&gt;0,
        _xlpm.is_camera_present, COUNTIFS(ArchivedLog!$A:$A, $A17, ArchivedLog!$B:$B, Q$3),
        _xlpm.we_camera_on_date, IFERROR(AVERAGEIFS(ArchivedLog!$D:$D, ArchivedLog!$B:$B,Q$3, ArchivedLog!$A:$A, $A17), ""),
        _xlpm.ie_camera_on_date, IFERROR(AVERAGEIFS(ArchivedLog!$E:$E, ArchivedLog!$B:$B,Q$3,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R17" s="100" t="str">
        <f>IFERROR(
    _xlfn.LET(
        _xlpm.is_data_present, $A17&lt;&gt;0,
        _xlpm.is_camera_present, COUNTIFS(ArchivedLog!$A:$A, $A17, ArchivedLog!$B:$B, R$3),
        _xlpm.we_camera_on_date, IFERROR(AVERAGEIFS(ArchivedLog!$D:$D, ArchivedLog!$B:$B,R$3, ArchivedLog!$A:$A, $A17), ""),
        _xlpm.ie_camera_on_date, IFERROR(AVERAGEIFS(ArchivedLog!$E:$E, ArchivedLog!$B:$B,R$3,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S17" s="100" t="str">
        <f>IFERROR(
    _xlfn.LET(
        _xlpm.is_data_present, $A17&lt;&gt;0,
        _xlpm.is_camera_present, COUNTIFS(ArchivedLog!$A:$A, $A17, ArchivedLog!$B:$B, S$3),
        _xlpm.we_camera_on_date, IFERROR(AVERAGEIFS(ArchivedLog!$D:$D, ArchivedLog!$B:$B,S$3, ArchivedLog!$A:$A, $A17), ""),
        _xlpm.ie_camera_on_date, IFERROR(AVERAGEIFS(ArchivedLog!$E:$E, ArchivedLog!$B:$B,S$3, ArchivedLog!$A:$A, $A17), ""),
        _xlpm.we_avg, IFERROR(AVERAGEIFS(ArchivedLog!$D:$D,ArchivedLog!$A:$A,$A17),""),
        _xlpm.ie_avg, IFERROR(AVERAGEIFS(ArchivedLog!$E:$E,ArchivedLog!$A:$A,$A17),""),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row>
    <row r="18" spans="1:19" x14ac:dyDescent="0.3">
      <c r="A18" s="108">
        <v>0</v>
      </c>
      <c r="B18" s="100" t="str">
        <f>IFERROR(
    _xlfn.LET(
        _xlpm.is_data_present, $A18&lt;&gt;0,
        _xlpm.is_camera_present, COUNTIFS(ArchivedLog!$A:$A, $A18, ArchivedLog!$B:$B, B$3),
        _xlpm.we_camera_on_date, IFERROR(AVERAGEIFS(ArchivedLog!$D:$D, ArchivedLog!$B:$B,B$3, ArchivedLog!$A:$A, $A18), ""),
        _xlpm.ie_camera_on_date, IFERROR(AVERAGEIFS(ArchivedLog!$E:$E, ArchivedLog!$B:$B,B$3,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18" s="100" t="str">
        <f>IFERROR(
    _xlfn.LET(
        _xlpm.is_data_present, $A18&lt;&gt;0,
        _xlpm.is_camera_present, COUNTIFS(ArchivedLog!$A:$A, $A18, ArchivedLog!$B:$B, C$3),
        _xlpm.we_camera_on_date, IFERROR(AVERAGEIFS(ArchivedLog!$D:$D, ArchivedLog!$B:$B,C$3, ArchivedLog!$A:$A, $A18), ""),
        _xlpm.ie_camera_on_date, IFERROR(AVERAGEIFS(ArchivedLog!$E:$E, ArchivedLog!$B:$B,C$3,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8" s="100" t="str">
        <f>IFERROR(
    _xlfn.LET(
        _xlpm.is_data_present, $A18&lt;&gt;0,
        _xlpm.is_camera_present, COUNTIFS(ArchivedLog!$A:$A, $A18, ArchivedLog!$B:$B, D$3),
        _xlpm.we_camera_on_date, IFERROR(AVERAGEIFS(ArchivedLog!$D:$D, ArchivedLog!$B:$B,D$3, ArchivedLog!$A:$A, $A18), ""),
        _xlpm.ie_camera_on_date, IFERROR(AVERAGEIFS(ArchivedLog!$E:$E, ArchivedLog!$B:$B,D$3,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8" s="100" t="str">
        <f>IFERROR(
    _xlfn.LET(
        _xlpm.is_data_present, $A18&lt;&gt;0,
        _xlpm.is_camera_present, COUNTIFS(ArchivedLog!$A:$A, $A18, ArchivedLog!$B:$B, E$3),
        _xlpm.we_camera_on_date, IFERROR(AVERAGEIFS(ArchivedLog!$D:$D, ArchivedLog!$B:$B,E$3, ArchivedLog!$A:$A, $A18), ""),
        _xlpm.ie_camera_on_date, IFERROR(AVERAGEIFS(ArchivedLog!$E:$E, ArchivedLog!$B:$B,E$3,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8" s="100" t="str">
        <f>IFERROR(
    _xlfn.LET(
        _xlpm.is_data_present, $A18&lt;&gt;0,
        _xlpm.is_camera_present, COUNTIFS(ArchivedLog!$A:$A, $A18, ArchivedLog!$B:$B, F$3),
        _xlpm.we_camera_on_date, IFERROR(AVERAGEIFS(ArchivedLog!$D:$D, ArchivedLog!$B:$B,F$3, ArchivedLog!$A:$A, $A18), ""),
        _xlpm.ie_camera_on_date, IFERROR(AVERAGEIFS(ArchivedLog!$E:$E, ArchivedLog!$B:$B,F$3,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8" s="100" t="str">
        <f>IFERROR(
    _xlfn.LET(
        _xlpm.is_data_present, $A18&lt;&gt;0,
        _xlpm.is_camera_present, COUNTIFS(ArchivedLog!$A:$A, $A18, ArchivedLog!$B:$B, G$3),
        _xlpm.we_camera_on_date, IFERROR(AVERAGEIFS(ArchivedLog!$D:$D, ArchivedLog!$B:$B,G$3, ArchivedLog!$A:$A, $A18), ""),
        _xlpm.ie_camera_on_date, IFERROR(AVERAGEIFS(ArchivedLog!$E:$E, ArchivedLog!$B:$B,G$3,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8" s="100" t="str">
        <f>IFERROR(
    _xlfn.LET(
        _xlpm.is_data_present, $A18&lt;&gt;0,
        _xlpm.is_camera_present, COUNTIFS(ArchivedLog!$A:$A, $A18, ArchivedLog!$B:$B, H$3),
        _xlpm.we_camera_on_date, IFERROR(AVERAGEIFS(ArchivedLog!$D:$D, ArchivedLog!$B:$B,H$3, ArchivedLog!$A:$A, $A18), ""),
        _xlpm.ie_camera_on_date, IFERROR(AVERAGEIFS(ArchivedLog!$E:$E, ArchivedLog!$B:$B,H$3,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8" s="100" t="str">
        <f>IFERROR(
    _xlfn.LET(
        _xlpm.is_data_present, $A18&lt;&gt;0,
        _xlpm.is_camera_present, COUNTIFS(ArchivedLog!$A:$A, $A18, ArchivedLog!$B:$B, I$3),
        _xlpm.we_camera_on_date, IFERROR(AVERAGEIFS(ArchivedLog!$D:$D, ArchivedLog!$B:$B,I$3, ArchivedLog!$A:$A, $A18), ""),
        _xlpm.ie_camera_on_date, IFERROR(AVERAGEIFS(ArchivedLog!$E:$E, ArchivedLog!$B:$B,I$3,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8" s="100" t="str">
        <f>IFERROR(
    _xlfn.LET(
        _xlpm.is_data_present, $A18&lt;&gt;0,
        _xlpm.is_camera_present, COUNTIFS(ArchivedLog!$A:$A, $A18, ArchivedLog!$B:$B, J$3),
        _xlpm.we_camera_on_date, IFERROR(AVERAGEIFS(ArchivedLog!$D:$D, ArchivedLog!$B:$B,J$3, ArchivedLog!$A:$A, $A18), ""),
        _xlpm.ie_camera_on_date, IFERROR(AVERAGEIFS(ArchivedLog!$E:$E, ArchivedLog!$B:$B,J$3,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8" s="100" t="str">
        <f>IFERROR(
    _xlfn.LET(
        _xlpm.is_data_present, $A18&lt;&gt;0,
        _xlpm.is_camera_present, COUNTIFS(ArchivedLog!$A:$A, $A18, ArchivedLog!$B:$B, K$3),
        _xlpm.we_camera_on_date, IFERROR(AVERAGEIFS(ArchivedLog!$D:$D, ArchivedLog!$B:$B,K$3, ArchivedLog!$A:$A, $A18), ""),
        _xlpm.ie_camera_on_date, IFERROR(AVERAGEIFS(ArchivedLog!$E:$E, ArchivedLog!$B:$B,K$3,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8" s="100" t="str">
        <f>IFERROR(
    _xlfn.LET(
        _xlpm.is_data_present, $A18&lt;&gt;0,
        _xlpm.is_camera_present, COUNTIFS(ArchivedLog!$A:$A, $A18, ArchivedLog!$B:$B, L$3),
        _xlpm.we_camera_on_date, IFERROR(AVERAGEIFS(ArchivedLog!$D:$D, ArchivedLog!$B:$B,L$3, ArchivedLog!$A:$A, $A18), ""),
        _xlpm.ie_camera_on_date, IFERROR(AVERAGEIFS(ArchivedLog!$E:$E, ArchivedLog!$B:$B,L$3,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8" s="100" t="str">
        <f>IFERROR(
    _xlfn.LET(
        _xlpm.is_data_present, $A18&lt;&gt;0,
        _xlpm.is_camera_present, COUNTIFS(ArchivedLog!$A:$A, $A18, ArchivedLog!$B:$B, M$3),
        _xlpm.we_camera_on_date, IFERROR(AVERAGEIFS(ArchivedLog!$D:$D, ArchivedLog!$B:$B,M$3, ArchivedLog!$A:$A, $A18), ""),
        _xlpm.ie_camera_on_date, IFERROR(AVERAGEIFS(ArchivedLog!$E:$E, ArchivedLog!$B:$B,M$3,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8" s="100" t="str">
        <f>IFERROR(
    _xlfn.LET(
        _xlpm.is_data_present, $A18&lt;&gt;0,
        _xlpm.is_camera_present, COUNTIFS(ArchivedLog!$A:$A, $A18, ArchivedLog!$B:$B, N$3),
        _xlpm.we_camera_on_date, IFERROR(AVERAGEIFS(ArchivedLog!$D:$D, ArchivedLog!$B:$B,N$3, ArchivedLog!$A:$A, $A18), ""),
        _xlpm.ie_camera_on_date, IFERROR(AVERAGEIFS(ArchivedLog!$E:$E, ArchivedLog!$B:$B,N$3,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8" s="100" t="str">
        <f>IFERROR(
    _xlfn.LET(
        _xlpm.is_data_present, $A18&lt;&gt;0,
        _xlpm.is_camera_present, COUNTIFS(ArchivedLog!$A:$A, $A18, ArchivedLog!$B:$B, O$3),
        _xlpm.we_camera_on_date, IFERROR(AVERAGEIFS(ArchivedLog!$D:$D, ArchivedLog!$B:$B,O$3, ArchivedLog!$A:$A, $A18), ""),
        _xlpm.ie_camera_on_date, IFERROR(AVERAGEIFS(ArchivedLog!$E:$E, ArchivedLog!$B:$B,O$3,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8" s="100" t="str">
        <f>IFERROR(
    _xlfn.LET(
        _xlpm.is_data_present, $A18&lt;&gt;0,
        _xlpm.is_camera_present, COUNTIFS(ArchivedLog!$A:$A, $A18, ArchivedLog!$B:$B, P$3),
        _xlpm.we_camera_on_date, IFERROR(AVERAGEIFS(ArchivedLog!$D:$D, ArchivedLog!$B:$B,P$3, ArchivedLog!$A:$A, $A18), ""),
        _xlpm.ie_camera_on_date, IFERROR(AVERAGEIFS(ArchivedLog!$E:$E, ArchivedLog!$B:$B,P$3,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8" s="100" t="str">
        <f>IFERROR(
    _xlfn.LET(
        _xlpm.is_data_present, $A18&lt;&gt;0,
        _xlpm.is_camera_present, COUNTIFS(ArchivedLog!$A:$A, $A18, ArchivedLog!$B:$B, Q$3),
        _xlpm.we_camera_on_date, IFERROR(AVERAGEIFS(ArchivedLog!$D:$D, ArchivedLog!$B:$B,Q$3, ArchivedLog!$A:$A, $A18), ""),
        _xlpm.ie_camera_on_date, IFERROR(AVERAGEIFS(ArchivedLog!$E:$E, ArchivedLog!$B:$B,Q$3,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8" s="100" t="str">
        <f>IFERROR(
    _xlfn.LET(
        _xlpm.is_data_present, $A18&lt;&gt;0,
        _xlpm.is_camera_present, COUNTIFS(ArchivedLog!$A:$A, $A18, ArchivedLog!$B:$B, R$3),
        _xlpm.we_camera_on_date, IFERROR(AVERAGEIFS(ArchivedLog!$D:$D, ArchivedLog!$B:$B,R$3, ArchivedLog!$A:$A, $A18), ""),
        _xlpm.ie_camera_on_date, IFERROR(AVERAGEIFS(ArchivedLog!$E:$E, ArchivedLog!$B:$B,R$3,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8" s="100" t="str">
        <f>IFERROR(
    _xlfn.LET(
        _xlpm.is_data_present, $A18&lt;&gt;0,
        _xlpm.is_camera_present, COUNTIFS(ArchivedLog!$A:$A, $A18, ArchivedLog!$B:$B, S$3),
        _xlpm.we_camera_on_date, IFERROR(AVERAGEIFS(ArchivedLog!$D:$D, ArchivedLog!$B:$B,S$3, ArchivedLog!$A:$A, $A18), ""),
        _xlpm.ie_camera_on_date, IFERROR(AVERAGEIFS(ArchivedLog!$E:$E, ArchivedLog!$B:$B,S$3, ArchivedLog!$A:$A, $A18), ""),
        _xlpm.we_avg, IFERROR(AVERAGEIFS(ArchivedLog!$D:$D,ArchivedLog!$A:$A,$A18),""),
        _xlpm.ie_avg, IFERROR(AVERAGEIFS(ArchivedLog!$E:$E,ArchivedLog!$A:$A,$A18),""),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19" spans="1:19" x14ac:dyDescent="0.3">
      <c r="A19" s="108">
        <v>0</v>
      </c>
      <c r="B19" s="100" t="str">
        <f>IFERROR(
    _xlfn.LET(
        _xlpm.is_data_present, $A19&lt;&gt;0,
        _xlpm.is_camera_present, COUNTIFS(ArchivedLog!$A:$A, $A19, ArchivedLog!$B:$B, B$3),
        _xlpm.we_camera_on_date, IFERROR(AVERAGEIFS(ArchivedLog!$D:$D, ArchivedLog!$B:$B,B$3, ArchivedLog!$A:$A, $A19), ""),
        _xlpm.ie_camera_on_date, IFERROR(AVERAGEIFS(ArchivedLog!$E:$E, ArchivedLog!$B:$B,B$3,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19" s="100" t="str">
        <f>IFERROR(
    _xlfn.LET(
        _xlpm.is_data_present, $A19&lt;&gt;0,
        _xlpm.is_camera_present, COUNTIFS(ArchivedLog!$A:$A, $A19, ArchivedLog!$B:$B, C$3),
        _xlpm.we_camera_on_date, IFERROR(AVERAGEIFS(ArchivedLog!$D:$D, ArchivedLog!$B:$B,C$3, ArchivedLog!$A:$A, $A19), ""),
        _xlpm.ie_camera_on_date, IFERROR(AVERAGEIFS(ArchivedLog!$E:$E, ArchivedLog!$B:$B,C$3,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9" s="100" t="str">
        <f>IFERROR(
    _xlfn.LET(
        _xlpm.is_data_present, $A19&lt;&gt;0,
        _xlpm.is_camera_present, COUNTIFS(ArchivedLog!$A:$A, $A19, ArchivedLog!$B:$B, D$3),
        _xlpm.we_camera_on_date, IFERROR(AVERAGEIFS(ArchivedLog!$D:$D, ArchivedLog!$B:$B,D$3, ArchivedLog!$A:$A, $A19), ""),
        _xlpm.ie_camera_on_date, IFERROR(AVERAGEIFS(ArchivedLog!$E:$E, ArchivedLog!$B:$B,D$3,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9" s="100" t="str">
        <f>IFERROR(
    _xlfn.LET(
        _xlpm.is_data_present, $A19&lt;&gt;0,
        _xlpm.is_camera_present, COUNTIFS(ArchivedLog!$A:$A, $A19, ArchivedLog!$B:$B, E$3),
        _xlpm.we_camera_on_date, IFERROR(AVERAGEIFS(ArchivedLog!$D:$D, ArchivedLog!$B:$B,E$3, ArchivedLog!$A:$A, $A19), ""),
        _xlpm.ie_camera_on_date, IFERROR(AVERAGEIFS(ArchivedLog!$E:$E, ArchivedLog!$B:$B,E$3,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9" s="100" t="str">
        <f>IFERROR(
    _xlfn.LET(
        _xlpm.is_data_present, $A19&lt;&gt;0,
        _xlpm.is_camera_present, COUNTIFS(ArchivedLog!$A:$A, $A19, ArchivedLog!$B:$B, F$3),
        _xlpm.we_camera_on_date, IFERROR(AVERAGEIFS(ArchivedLog!$D:$D, ArchivedLog!$B:$B,F$3, ArchivedLog!$A:$A, $A19), ""),
        _xlpm.ie_camera_on_date, IFERROR(AVERAGEIFS(ArchivedLog!$E:$E, ArchivedLog!$B:$B,F$3,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9" s="100" t="str">
        <f>IFERROR(
    _xlfn.LET(
        _xlpm.is_data_present, $A19&lt;&gt;0,
        _xlpm.is_camera_present, COUNTIFS(ArchivedLog!$A:$A, $A19, ArchivedLog!$B:$B, G$3),
        _xlpm.we_camera_on_date, IFERROR(AVERAGEIFS(ArchivedLog!$D:$D, ArchivedLog!$B:$B,G$3, ArchivedLog!$A:$A, $A19), ""),
        _xlpm.ie_camera_on_date, IFERROR(AVERAGEIFS(ArchivedLog!$E:$E, ArchivedLog!$B:$B,G$3,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9" s="100" t="str">
        <f>IFERROR(
    _xlfn.LET(
        _xlpm.is_data_present, $A19&lt;&gt;0,
        _xlpm.is_camera_present, COUNTIFS(ArchivedLog!$A:$A, $A19, ArchivedLog!$B:$B, H$3),
        _xlpm.we_camera_on_date, IFERROR(AVERAGEIFS(ArchivedLog!$D:$D, ArchivedLog!$B:$B,H$3, ArchivedLog!$A:$A, $A19), ""),
        _xlpm.ie_camera_on_date, IFERROR(AVERAGEIFS(ArchivedLog!$E:$E, ArchivedLog!$B:$B,H$3,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9" s="100" t="str">
        <f>IFERROR(
    _xlfn.LET(
        _xlpm.is_data_present, $A19&lt;&gt;0,
        _xlpm.is_camera_present, COUNTIFS(ArchivedLog!$A:$A, $A19, ArchivedLog!$B:$B, I$3),
        _xlpm.we_camera_on_date, IFERROR(AVERAGEIFS(ArchivedLog!$D:$D, ArchivedLog!$B:$B,I$3, ArchivedLog!$A:$A, $A19), ""),
        _xlpm.ie_camera_on_date, IFERROR(AVERAGEIFS(ArchivedLog!$E:$E, ArchivedLog!$B:$B,I$3,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9" s="100" t="str">
        <f>IFERROR(
    _xlfn.LET(
        _xlpm.is_data_present, $A19&lt;&gt;0,
        _xlpm.is_camera_present, COUNTIFS(ArchivedLog!$A:$A, $A19, ArchivedLog!$B:$B, J$3),
        _xlpm.we_camera_on_date, IFERROR(AVERAGEIFS(ArchivedLog!$D:$D, ArchivedLog!$B:$B,J$3, ArchivedLog!$A:$A, $A19), ""),
        _xlpm.ie_camera_on_date, IFERROR(AVERAGEIFS(ArchivedLog!$E:$E, ArchivedLog!$B:$B,J$3,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9" s="100" t="str">
        <f>IFERROR(
    _xlfn.LET(
        _xlpm.is_data_present, $A19&lt;&gt;0,
        _xlpm.is_camera_present, COUNTIFS(ArchivedLog!$A:$A, $A19, ArchivedLog!$B:$B, K$3),
        _xlpm.we_camera_on_date, IFERROR(AVERAGEIFS(ArchivedLog!$D:$D, ArchivedLog!$B:$B,K$3, ArchivedLog!$A:$A, $A19), ""),
        _xlpm.ie_camera_on_date, IFERROR(AVERAGEIFS(ArchivedLog!$E:$E, ArchivedLog!$B:$B,K$3,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9" s="100" t="str">
        <f>IFERROR(
    _xlfn.LET(
        _xlpm.is_data_present, $A19&lt;&gt;0,
        _xlpm.is_camera_present, COUNTIFS(ArchivedLog!$A:$A, $A19, ArchivedLog!$B:$B, L$3),
        _xlpm.we_camera_on_date, IFERROR(AVERAGEIFS(ArchivedLog!$D:$D, ArchivedLog!$B:$B,L$3, ArchivedLog!$A:$A, $A19), ""),
        _xlpm.ie_camera_on_date, IFERROR(AVERAGEIFS(ArchivedLog!$E:$E, ArchivedLog!$B:$B,L$3,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9" s="100" t="str">
        <f>IFERROR(
    _xlfn.LET(
        _xlpm.is_data_present, $A19&lt;&gt;0,
        _xlpm.is_camera_present, COUNTIFS(ArchivedLog!$A:$A, $A19, ArchivedLog!$B:$B, M$3),
        _xlpm.we_camera_on_date, IFERROR(AVERAGEIFS(ArchivedLog!$D:$D, ArchivedLog!$B:$B,M$3, ArchivedLog!$A:$A, $A19), ""),
        _xlpm.ie_camera_on_date, IFERROR(AVERAGEIFS(ArchivedLog!$E:$E, ArchivedLog!$B:$B,M$3,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9" s="100" t="str">
        <f>IFERROR(
    _xlfn.LET(
        _xlpm.is_data_present, $A19&lt;&gt;0,
        _xlpm.is_camera_present, COUNTIFS(ArchivedLog!$A:$A, $A19, ArchivedLog!$B:$B, N$3),
        _xlpm.we_camera_on_date, IFERROR(AVERAGEIFS(ArchivedLog!$D:$D, ArchivedLog!$B:$B,N$3, ArchivedLog!$A:$A, $A19), ""),
        _xlpm.ie_camera_on_date, IFERROR(AVERAGEIFS(ArchivedLog!$E:$E, ArchivedLog!$B:$B,N$3,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9" s="100" t="str">
        <f>IFERROR(
    _xlfn.LET(
        _xlpm.is_data_present, $A19&lt;&gt;0,
        _xlpm.is_camera_present, COUNTIFS(ArchivedLog!$A:$A, $A19, ArchivedLog!$B:$B, O$3),
        _xlpm.we_camera_on_date, IFERROR(AVERAGEIFS(ArchivedLog!$D:$D, ArchivedLog!$B:$B,O$3, ArchivedLog!$A:$A, $A19), ""),
        _xlpm.ie_camera_on_date, IFERROR(AVERAGEIFS(ArchivedLog!$E:$E, ArchivedLog!$B:$B,O$3,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9" s="100" t="str">
        <f>IFERROR(
    _xlfn.LET(
        _xlpm.is_data_present, $A19&lt;&gt;0,
        _xlpm.is_camera_present, COUNTIFS(ArchivedLog!$A:$A, $A19, ArchivedLog!$B:$B, P$3),
        _xlpm.we_camera_on_date, IFERROR(AVERAGEIFS(ArchivedLog!$D:$D, ArchivedLog!$B:$B,P$3, ArchivedLog!$A:$A, $A19), ""),
        _xlpm.ie_camera_on_date, IFERROR(AVERAGEIFS(ArchivedLog!$E:$E, ArchivedLog!$B:$B,P$3,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9" s="100" t="str">
        <f>IFERROR(
    _xlfn.LET(
        _xlpm.is_data_present, $A19&lt;&gt;0,
        _xlpm.is_camera_present, COUNTIFS(ArchivedLog!$A:$A, $A19, ArchivedLog!$B:$B, Q$3),
        _xlpm.we_camera_on_date, IFERROR(AVERAGEIFS(ArchivedLog!$D:$D, ArchivedLog!$B:$B,Q$3, ArchivedLog!$A:$A, $A19), ""),
        _xlpm.ie_camera_on_date, IFERROR(AVERAGEIFS(ArchivedLog!$E:$E, ArchivedLog!$B:$B,Q$3,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9" s="100" t="str">
        <f>IFERROR(
    _xlfn.LET(
        _xlpm.is_data_present, $A19&lt;&gt;0,
        _xlpm.is_camera_present, COUNTIFS(ArchivedLog!$A:$A, $A19, ArchivedLog!$B:$B, R$3),
        _xlpm.we_camera_on_date, IFERROR(AVERAGEIFS(ArchivedLog!$D:$D, ArchivedLog!$B:$B,R$3, ArchivedLog!$A:$A, $A19), ""),
        _xlpm.ie_camera_on_date, IFERROR(AVERAGEIFS(ArchivedLog!$E:$E, ArchivedLog!$B:$B,R$3,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9" s="100" t="str">
        <f>IFERROR(
    _xlfn.LET(
        _xlpm.is_data_present, $A19&lt;&gt;0,
        _xlpm.is_camera_present, COUNTIFS(ArchivedLog!$A:$A, $A19, ArchivedLog!$B:$B, S$3),
        _xlpm.we_camera_on_date, IFERROR(AVERAGEIFS(ArchivedLog!$D:$D, ArchivedLog!$B:$B,S$3, ArchivedLog!$A:$A, $A19), ""),
        _xlpm.ie_camera_on_date, IFERROR(AVERAGEIFS(ArchivedLog!$E:$E, ArchivedLog!$B:$B,S$3, ArchivedLog!$A:$A, $A19), ""),
        _xlpm.we_avg, IFERROR(AVERAGEIFS(ArchivedLog!$D:$D,ArchivedLog!$A:$A,$A19),""),
        _xlpm.ie_avg, IFERROR(AVERAGEIFS(ArchivedLog!$E:$E,ArchivedLog!$A:$A,$A19),""),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0" spans="1:19" x14ac:dyDescent="0.3">
      <c r="A20" s="108">
        <v>0</v>
      </c>
      <c r="B20" s="100" t="str">
        <f>IFERROR(
    _xlfn.LET(
        _xlpm.is_data_present, $A20&lt;&gt;0,
        _xlpm.is_camera_present, COUNTIFS(ArchivedLog!$A:$A, $A20, ArchivedLog!$B:$B, B$3),
        _xlpm.we_camera_on_date, IFERROR(AVERAGEIFS(ArchivedLog!$D:$D, ArchivedLog!$B:$B,B$3, ArchivedLog!$A:$A, $A20), ""),
        _xlpm.ie_camera_on_date, IFERROR(AVERAGEIFS(ArchivedLog!$E:$E, ArchivedLog!$B:$B,B$3,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0" s="100" t="str">
        <f>IFERROR(
    _xlfn.LET(
        _xlpm.is_data_present, $A20&lt;&gt;0,
        _xlpm.is_camera_present, COUNTIFS(ArchivedLog!$A:$A, $A20, ArchivedLog!$B:$B, C$3),
        _xlpm.we_camera_on_date, IFERROR(AVERAGEIFS(ArchivedLog!$D:$D, ArchivedLog!$B:$B,C$3, ArchivedLog!$A:$A, $A20), ""),
        _xlpm.ie_camera_on_date, IFERROR(AVERAGEIFS(ArchivedLog!$E:$E, ArchivedLog!$B:$B,C$3,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0" s="100" t="str">
        <f>IFERROR(
    _xlfn.LET(
        _xlpm.is_data_present, $A20&lt;&gt;0,
        _xlpm.is_camera_present, COUNTIFS(ArchivedLog!$A:$A, $A20, ArchivedLog!$B:$B, D$3),
        _xlpm.we_camera_on_date, IFERROR(AVERAGEIFS(ArchivedLog!$D:$D, ArchivedLog!$B:$B,D$3, ArchivedLog!$A:$A, $A20), ""),
        _xlpm.ie_camera_on_date, IFERROR(AVERAGEIFS(ArchivedLog!$E:$E, ArchivedLog!$B:$B,D$3,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0" s="100" t="str">
        <f>IFERROR(
    _xlfn.LET(
        _xlpm.is_data_present, $A20&lt;&gt;0,
        _xlpm.is_camera_present, COUNTIFS(ArchivedLog!$A:$A, $A20, ArchivedLog!$B:$B, E$3),
        _xlpm.we_camera_on_date, IFERROR(AVERAGEIFS(ArchivedLog!$D:$D, ArchivedLog!$B:$B,E$3, ArchivedLog!$A:$A, $A20), ""),
        _xlpm.ie_camera_on_date, IFERROR(AVERAGEIFS(ArchivedLog!$E:$E, ArchivedLog!$B:$B,E$3,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0" s="100" t="str">
        <f>IFERROR(
    _xlfn.LET(
        _xlpm.is_data_present, $A20&lt;&gt;0,
        _xlpm.is_camera_present, COUNTIFS(ArchivedLog!$A:$A, $A20, ArchivedLog!$B:$B, F$3),
        _xlpm.we_camera_on_date, IFERROR(AVERAGEIFS(ArchivedLog!$D:$D, ArchivedLog!$B:$B,F$3, ArchivedLog!$A:$A, $A20), ""),
        _xlpm.ie_camera_on_date, IFERROR(AVERAGEIFS(ArchivedLog!$E:$E, ArchivedLog!$B:$B,F$3,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0" s="100" t="str">
        <f>IFERROR(
    _xlfn.LET(
        _xlpm.is_data_present, $A20&lt;&gt;0,
        _xlpm.is_camera_present, COUNTIFS(ArchivedLog!$A:$A, $A20, ArchivedLog!$B:$B, G$3),
        _xlpm.we_camera_on_date, IFERROR(AVERAGEIFS(ArchivedLog!$D:$D, ArchivedLog!$B:$B,G$3, ArchivedLog!$A:$A, $A20), ""),
        _xlpm.ie_camera_on_date, IFERROR(AVERAGEIFS(ArchivedLog!$E:$E, ArchivedLog!$B:$B,G$3,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0" s="100" t="str">
        <f>IFERROR(
    _xlfn.LET(
        _xlpm.is_data_present, $A20&lt;&gt;0,
        _xlpm.is_camera_present, COUNTIFS(ArchivedLog!$A:$A, $A20, ArchivedLog!$B:$B, H$3),
        _xlpm.we_camera_on_date, IFERROR(AVERAGEIFS(ArchivedLog!$D:$D, ArchivedLog!$B:$B,H$3, ArchivedLog!$A:$A, $A20), ""),
        _xlpm.ie_camera_on_date, IFERROR(AVERAGEIFS(ArchivedLog!$E:$E, ArchivedLog!$B:$B,H$3,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0" s="100" t="str">
        <f>IFERROR(
    _xlfn.LET(
        _xlpm.is_data_present, $A20&lt;&gt;0,
        _xlpm.is_camera_present, COUNTIFS(ArchivedLog!$A:$A, $A20, ArchivedLog!$B:$B, I$3),
        _xlpm.we_camera_on_date, IFERROR(AVERAGEIFS(ArchivedLog!$D:$D, ArchivedLog!$B:$B,I$3, ArchivedLog!$A:$A, $A20), ""),
        _xlpm.ie_camera_on_date, IFERROR(AVERAGEIFS(ArchivedLog!$E:$E, ArchivedLog!$B:$B,I$3,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0" s="100" t="str">
        <f>IFERROR(
    _xlfn.LET(
        _xlpm.is_data_present, $A20&lt;&gt;0,
        _xlpm.is_camera_present, COUNTIFS(ArchivedLog!$A:$A, $A20, ArchivedLog!$B:$B, J$3),
        _xlpm.we_camera_on_date, IFERROR(AVERAGEIFS(ArchivedLog!$D:$D, ArchivedLog!$B:$B,J$3, ArchivedLog!$A:$A, $A20), ""),
        _xlpm.ie_camera_on_date, IFERROR(AVERAGEIFS(ArchivedLog!$E:$E, ArchivedLog!$B:$B,J$3,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0" s="100" t="str">
        <f>IFERROR(
    _xlfn.LET(
        _xlpm.is_data_present, $A20&lt;&gt;0,
        _xlpm.is_camera_present, COUNTIFS(ArchivedLog!$A:$A, $A20, ArchivedLog!$B:$B, K$3),
        _xlpm.we_camera_on_date, IFERROR(AVERAGEIFS(ArchivedLog!$D:$D, ArchivedLog!$B:$B,K$3, ArchivedLog!$A:$A, $A20), ""),
        _xlpm.ie_camera_on_date, IFERROR(AVERAGEIFS(ArchivedLog!$E:$E, ArchivedLog!$B:$B,K$3,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0" s="100" t="str">
        <f>IFERROR(
    _xlfn.LET(
        _xlpm.is_data_present, $A20&lt;&gt;0,
        _xlpm.is_camera_present, COUNTIFS(ArchivedLog!$A:$A, $A20, ArchivedLog!$B:$B, L$3),
        _xlpm.we_camera_on_date, IFERROR(AVERAGEIFS(ArchivedLog!$D:$D, ArchivedLog!$B:$B,L$3, ArchivedLog!$A:$A, $A20), ""),
        _xlpm.ie_camera_on_date, IFERROR(AVERAGEIFS(ArchivedLog!$E:$E, ArchivedLog!$B:$B,L$3,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0" s="100" t="str">
        <f>IFERROR(
    _xlfn.LET(
        _xlpm.is_data_present, $A20&lt;&gt;0,
        _xlpm.is_camera_present, COUNTIFS(ArchivedLog!$A:$A, $A20, ArchivedLog!$B:$B, M$3),
        _xlpm.we_camera_on_date, IFERROR(AVERAGEIFS(ArchivedLog!$D:$D, ArchivedLog!$B:$B,M$3, ArchivedLog!$A:$A, $A20), ""),
        _xlpm.ie_camera_on_date, IFERROR(AVERAGEIFS(ArchivedLog!$E:$E, ArchivedLog!$B:$B,M$3,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0" s="100" t="str">
        <f>IFERROR(
    _xlfn.LET(
        _xlpm.is_data_present, $A20&lt;&gt;0,
        _xlpm.is_camera_present, COUNTIFS(ArchivedLog!$A:$A, $A20, ArchivedLog!$B:$B, N$3),
        _xlpm.we_camera_on_date, IFERROR(AVERAGEIFS(ArchivedLog!$D:$D, ArchivedLog!$B:$B,N$3, ArchivedLog!$A:$A, $A20), ""),
        _xlpm.ie_camera_on_date, IFERROR(AVERAGEIFS(ArchivedLog!$E:$E, ArchivedLog!$B:$B,N$3,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0" s="100" t="str">
        <f>IFERROR(
    _xlfn.LET(
        _xlpm.is_data_present, $A20&lt;&gt;0,
        _xlpm.is_camera_present, COUNTIFS(ArchivedLog!$A:$A, $A20, ArchivedLog!$B:$B, O$3),
        _xlpm.we_camera_on_date, IFERROR(AVERAGEIFS(ArchivedLog!$D:$D, ArchivedLog!$B:$B,O$3, ArchivedLog!$A:$A, $A20), ""),
        _xlpm.ie_camera_on_date, IFERROR(AVERAGEIFS(ArchivedLog!$E:$E, ArchivedLog!$B:$B,O$3,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0" s="100" t="str">
        <f>IFERROR(
    _xlfn.LET(
        _xlpm.is_data_present, $A20&lt;&gt;0,
        _xlpm.is_camera_present, COUNTIFS(ArchivedLog!$A:$A, $A20, ArchivedLog!$B:$B, P$3),
        _xlpm.we_camera_on_date, IFERROR(AVERAGEIFS(ArchivedLog!$D:$D, ArchivedLog!$B:$B,P$3, ArchivedLog!$A:$A, $A20), ""),
        _xlpm.ie_camera_on_date, IFERROR(AVERAGEIFS(ArchivedLog!$E:$E, ArchivedLog!$B:$B,P$3,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0" s="100" t="str">
        <f>IFERROR(
    _xlfn.LET(
        _xlpm.is_data_present, $A20&lt;&gt;0,
        _xlpm.is_camera_present, COUNTIFS(ArchivedLog!$A:$A, $A20, ArchivedLog!$B:$B, Q$3),
        _xlpm.we_camera_on_date, IFERROR(AVERAGEIFS(ArchivedLog!$D:$D, ArchivedLog!$B:$B,Q$3, ArchivedLog!$A:$A, $A20), ""),
        _xlpm.ie_camera_on_date, IFERROR(AVERAGEIFS(ArchivedLog!$E:$E, ArchivedLog!$B:$B,Q$3,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0" s="100" t="str">
        <f>IFERROR(
    _xlfn.LET(
        _xlpm.is_data_present, $A20&lt;&gt;0,
        _xlpm.is_camera_present, COUNTIFS(ArchivedLog!$A:$A, $A20, ArchivedLog!$B:$B, R$3),
        _xlpm.we_camera_on_date, IFERROR(AVERAGEIFS(ArchivedLog!$D:$D, ArchivedLog!$B:$B,R$3, ArchivedLog!$A:$A, $A20), ""),
        _xlpm.ie_camera_on_date, IFERROR(AVERAGEIFS(ArchivedLog!$E:$E, ArchivedLog!$B:$B,R$3,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0" s="100" t="str">
        <f>IFERROR(
    _xlfn.LET(
        _xlpm.is_data_present, $A20&lt;&gt;0,
        _xlpm.is_camera_present, COUNTIFS(ArchivedLog!$A:$A, $A20, ArchivedLog!$B:$B, S$3),
        _xlpm.we_camera_on_date, IFERROR(AVERAGEIFS(ArchivedLog!$D:$D, ArchivedLog!$B:$B,S$3, ArchivedLog!$A:$A, $A20), ""),
        _xlpm.ie_camera_on_date, IFERROR(AVERAGEIFS(ArchivedLog!$E:$E, ArchivedLog!$B:$B,S$3, ArchivedLog!$A:$A, $A20), ""),
        _xlpm.we_avg, IFERROR(AVERAGEIFS(ArchivedLog!$D:$D,ArchivedLog!$A:$A,$A20),""),
        _xlpm.ie_avg, IFERROR(AVERAGEIFS(ArchivedLog!$E:$E,ArchivedLog!$A:$A,$A20),""),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1" spans="1:19" x14ac:dyDescent="0.3">
      <c r="A21" s="108">
        <v>0</v>
      </c>
      <c r="B21" s="100" t="str">
        <f>IFERROR(
    _xlfn.LET(
        _xlpm.is_data_present, $A21&lt;&gt;0,
        _xlpm.is_camera_present, COUNTIFS(ArchivedLog!$A:$A, $A21, ArchivedLog!$B:$B, B$3),
        _xlpm.we_camera_on_date, IFERROR(AVERAGEIFS(ArchivedLog!$D:$D, ArchivedLog!$B:$B,B$3, ArchivedLog!$A:$A, $A21), ""),
        _xlpm.ie_camera_on_date, IFERROR(AVERAGEIFS(ArchivedLog!$E:$E, ArchivedLog!$B:$B,B$3,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1" s="100" t="str">
        <f>IFERROR(
    _xlfn.LET(
        _xlpm.is_data_present, $A21&lt;&gt;0,
        _xlpm.is_camera_present, COUNTIFS(ArchivedLog!$A:$A, $A21, ArchivedLog!$B:$B, C$3),
        _xlpm.we_camera_on_date, IFERROR(AVERAGEIFS(ArchivedLog!$D:$D, ArchivedLog!$B:$B,C$3, ArchivedLog!$A:$A, $A21), ""),
        _xlpm.ie_camera_on_date, IFERROR(AVERAGEIFS(ArchivedLog!$E:$E, ArchivedLog!$B:$B,C$3,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1" s="100" t="str">
        <f>IFERROR(
    _xlfn.LET(
        _xlpm.is_data_present, $A21&lt;&gt;0,
        _xlpm.is_camera_present, COUNTIFS(ArchivedLog!$A:$A, $A21, ArchivedLog!$B:$B, D$3),
        _xlpm.we_camera_on_date, IFERROR(AVERAGEIFS(ArchivedLog!$D:$D, ArchivedLog!$B:$B,D$3, ArchivedLog!$A:$A, $A21), ""),
        _xlpm.ie_camera_on_date, IFERROR(AVERAGEIFS(ArchivedLog!$E:$E, ArchivedLog!$B:$B,D$3,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1" s="100" t="str">
        <f>IFERROR(
    _xlfn.LET(
        _xlpm.is_data_present, $A21&lt;&gt;0,
        _xlpm.is_camera_present, COUNTIFS(ArchivedLog!$A:$A, $A21, ArchivedLog!$B:$B, E$3),
        _xlpm.we_camera_on_date, IFERROR(AVERAGEIFS(ArchivedLog!$D:$D, ArchivedLog!$B:$B,E$3, ArchivedLog!$A:$A, $A21), ""),
        _xlpm.ie_camera_on_date, IFERROR(AVERAGEIFS(ArchivedLog!$E:$E, ArchivedLog!$B:$B,E$3,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1" s="100" t="str">
        <f>IFERROR(
    _xlfn.LET(
        _xlpm.is_data_present, $A21&lt;&gt;0,
        _xlpm.is_camera_present, COUNTIFS(ArchivedLog!$A:$A, $A21, ArchivedLog!$B:$B, F$3),
        _xlpm.we_camera_on_date, IFERROR(AVERAGEIFS(ArchivedLog!$D:$D, ArchivedLog!$B:$B,F$3, ArchivedLog!$A:$A, $A21), ""),
        _xlpm.ie_camera_on_date, IFERROR(AVERAGEIFS(ArchivedLog!$E:$E, ArchivedLog!$B:$B,F$3,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1" s="100" t="str">
        <f>IFERROR(
    _xlfn.LET(
        _xlpm.is_data_present, $A21&lt;&gt;0,
        _xlpm.is_camera_present, COUNTIFS(ArchivedLog!$A:$A, $A21, ArchivedLog!$B:$B, G$3),
        _xlpm.we_camera_on_date, IFERROR(AVERAGEIFS(ArchivedLog!$D:$D, ArchivedLog!$B:$B,G$3, ArchivedLog!$A:$A, $A21), ""),
        _xlpm.ie_camera_on_date, IFERROR(AVERAGEIFS(ArchivedLog!$E:$E, ArchivedLog!$B:$B,G$3,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1" s="100" t="str">
        <f>IFERROR(
    _xlfn.LET(
        _xlpm.is_data_present, $A21&lt;&gt;0,
        _xlpm.is_camera_present, COUNTIFS(ArchivedLog!$A:$A, $A21, ArchivedLog!$B:$B, H$3),
        _xlpm.we_camera_on_date, IFERROR(AVERAGEIFS(ArchivedLog!$D:$D, ArchivedLog!$B:$B,H$3, ArchivedLog!$A:$A, $A21), ""),
        _xlpm.ie_camera_on_date, IFERROR(AVERAGEIFS(ArchivedLog!$E:$E, ArchivedLog!$B:$B,H$3,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1" s="100" t="str">
        <f>IFERROR(
    _xlfn.LET(
        _xlpm.is_data_present, $A21&lt;&gt;0,
        _xlpm.is_camera_present, COUNTIFS(ArchivedLog!$A:$A, $A21, ArchivedLog!$B:$B, I$3),
        _xlpm.we_camera_on_date, IFERROR(AVERAGEIFS(ArchivedLog!$D:$D, ArchivedLog!$B:$B,I$3, ArchivedLog!$A:$A, $A21), ""),
        _xlpm.ie_camera_on_date, IFERROR(AVERAGEIFS(ArchivedLog!$E:$E, ArchivedLog!$B:$B,I$3,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1" s="100" t="str">
        <f>IFERROR(
    _xlfn.LET(
        _xlpm.is_data_present, $A21&lt;&gt;0,
        _xlpm.is_camera_present, COUNTIFS(ArchivedLog!$A:$A, $A21, ArchivedLog!$B:$B, J$3),
        _xlpm.we_camera_on_date, IFERROR(AVERAGEIFS(ArchivedLog!$D:$D, ArchivedLog!$B:$B,J$3, ArchivedLog!$A:$A, $A21), ""),
        _xlpm.ie_camera_on_date, IFERROR(AVERAGEIFS(ArchivedLog!$E:$E, ArchivedLog!$B:$B,J$3,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1" s="100" t="str">
        <f>IFERROR(
    _xlfn.LET(
        _xlpm.is_data_present, $A21&lt;&gt;0,
        _xlpm.is_camera_present, COUNTIFS(ArchivedLog!$A:$A, $A21, ArchivedLog!$B:$B, K$3),
        _xlpm.we_camera_on_date, IFERROR(AVERAGEIFS(ArchivedLog!$D:$D, ArchivedLog!$B:$B,K$3, ArchivedLog!$A:$A, $A21), ""),
        _xlpm.ie_camera_on_date, IFERROR(AVERAGEIFS(ArchivedLog!$E:$E, ArchivedLog!$B:$B,K$3,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1" s="100" t="str">
        <f>IFERROR(
    _xlfn.LET(
        _xlpm.is_data_present, $A21&lt;&gt;0,
        _xlpm.is_camera_present, COUNTIFS(ArchivedLog!$A:$A, $A21, ArchivedLog!$B:$B, L$3),
        _xlpm.we_camera_on_date, IFERROR(AVERAGEIFS(ArchivedLog!$D:$D, ArchivedLog!$B:$B,L$3, ArchivedLog!$A:$A, $A21), ""),
        _xlpm.ie_camera_on_date, IFERROR(AVERAGEIFS(ArchivedLog!$E:$E, ArchivedLog!$B:$B,L$3,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1" s="100" t="str">
        <f>IFERROR(
    _xlfn.LET(
        _xlpm.is_data_present, $A21&lt;&gt;0,
        _xlpm.is_camera_present, COUNTIFS(ArchivedLog!$A:$A, $A21, ArchivedLog!$B:$B, M$3),
        _xlpm.we_camera_on_date, IFERROR(AVERAGEIFS(ArchivedLog!$D:$D, ArchivedLog!$B:$B,M$3, ArchivedLog!$A:$A, $A21), ""),
        _xlpm.ie_camera_on_date, IFERROR(AVERAGEIFS(ArchivedLog!$E:$E, ArchivedLog!$B:$B,M$3,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1" s="100" t="str">
        <f>IFERROR(
    _xlfn.LET(
        _xlpm.is_data_present, $A21&lt;&gt;0,
        _xlpm.is_camera_present, COUNTIFS(ArchivedLog!$A:$A, $A21, ArchivedLog!$B:$B, N$3),
        _xlpm.we_camera_on_date, IFERROR(AVERAGEIFS(ArchivedLog!$D:$D, ArchivedLog!$B:$B,N$3, ArchivedLog!$A:$A, $A21), ""),
        _xlpm.ie_camera_on_date, IFERROR(AVERAGEIFS(ArchivedLog!$E:$E, ArchivedLog!$B:$B,N$3,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1" s="100" t="str">
        <f>IFERROR(
    _xlfn.LET(
        _xlpm.is_data_present, $A21&lt;&gt;0,
        _xlpm.is_camera_present, COUNTIFS(ArchivedLog!$A:$A, $A21, ArchivedLog!$B:$B, O$3),
        _xlpm.we_camera_on_date, IFERROR(AVERAGEIFS(ArchivedLog!$D:$D, ArchivedLog!$B:$B,O$3, ArchivedLog!$A:$A, $A21), ""),
        _xlpm.ie_camera_on_date, IFERROR(AVERAGEIFS(ArchivedLog!$E:$E, ArchivedLog!$B:$B,O$3,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1" s="100" t="str">
        <f>IFERROR(
    _xlfn.LET(
        _xlpm.is_data_present, $A21&lt;&gt;0,
        _xlpm.is_camera_present, COUNTIFS(ArchivedLog!$A:$A, $A21, ArchivedLog!$B:$B, P$3),
        _xlpm.we_camera_on_date, IFERROR(AVERAGEIFS(ArchivedLog!$D:$D, ArchivedLog!$B:$B,P$3, ArchivedLog!$A:$A, $A21), ""),
        _xlpm.ie_camera_on_date, IFERROR(AVERAGEIFS(ArchivedLog!$E:$E, ArchivedLog!$B:$B,P$3,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1" s="100" t="str">
        <f>IFERROR(
    _xlfn.LET(
        _xlpm.is_data_present, $A21&lt;&gt;0,
        _xlpm.is_camera_present, COUNTIFS(ArchivedLog!$A:$A, $A21, ArchivedLog!$B:$B, Q$3),
        _xlpm.we_camera_on_date, IFERROR(AVERAGEIFS(ArchivedLog!$D:$D, ArchivedLog!$B:$B,Q$3, ArchivedLog!$A:$A, $A21), ""),
        _xlpm.ie_camera_on_date, IFERROR(AVERAGEIFS(ArchivedLog!$E:$E, ArchivedLog!$B:$B,Q$3,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1" s="100" t="str">
        <f>IFERROR(
    _xlfn.LET(
        _xlpm.is_data_present, $A21&lt;&gt;0,
        _xlpm.is_camera_present, COUNTIFS(ArchivedLog!$A:$A, $A21, ArchivedLog!$B:$B, R$3),
        _xlpm.we_camera_on_date, IFERROR(AVERAGEIFS(ArchivedLog!$D:$D, ArchivedLog!$B:$B,R$3, ArchivedLog!$A:$A, $A21), ""),
        _xlpm.ie_camera_on_date, IFERROR(AVERAGEIFS(ArchivedLog!$E:$E, ArchivedLog!$B:$B,R$3,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1" s="100" t="str">
        <f>IFERROR(
    _xlfn.LET(
        _xlpm.is_data_present, $A21&lt;&gt;0,
        _xlpm.is_camera_present, COUNTIFS(ArchivedLog!$A:$A, $A21, ArchivedLog!$B:$B, S$3),
        _xlpm.we_camera_on_date, IFERROR(AVERAGEIFS(ArchivedLog!$D:$D, ArchivedLog!$B:$B,S$3, ArchivedLog!$A:$A, $A21), ""),
        _xlpm.ie_camera_on_date, IFERROR(AVERAGEIFS(ArchivedLog!$E:$E, ArchivedLog!$B:$B,S$3, ArchivedLog!$A:$A, $A21), ""),
        _xlpm.we_avg, IFERROR(AVERAGEIFS(ArchivedLog!$D:$D,ArchivedLog!$A:$A,$A21),""),
        _xlpm.ie_avg, IFERROR(AVERAGEIFS(ArchivedLog!$E:$E,ArchivedLog!$A:$A,$A21),""),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2" spans="1:19" x14ac:dyDescent="0.3">
      <c r="A22" s="108">
        <v>0</v>
      </c>
      <c r="B22" s="100" t="str">
        <f>IFERROR(
    _xlfn.LET(
        _xlpm.is_data_present, $A22&lt;&gt;0,
        _xlpm.is_camera_present, COUNTIFS(ArchivedLog!$A:$A, $A22, ArchivedLog!$B:$B, B$3),
        _xlpm.we_camera_on_date, IFERROR(AVERAGEIFS(ArchivedLog!$D:$D, ArchivedLog!$B:$B,B$3, ArchivedLog!$A:$A, $A22), ""),
        _xlpm.ie_camera_on_date, IFERROR(AVERAGEIFS(ArchivedLog!$E:$E, ArchivedLog!$B:$B,B$3,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2" s="100" t="str">
        <f>IFERROR(
    _xlfn.LET(
        _xlpm.is_data_present, $A22&lt;&gt;0,
        _xlpm.is_camera_present, COUNTIFS(ArchivedLog!$A:$A, $A22, ArchivedLog!$B:$B, C$3),
        _xlpm.we_camera_on_date, IFERROR(AVERAGEIFS(ArchivedLog!$D:$D, ArchivedLog!$B:$B,C$3, ArchivedLog!$A:$A, $A22), ""),
        _xlpm.ie_camera_on_date, IFERROR(AVERAGEIFS(ArchivedLog!$E:$E, ArchivedLog!$B:$B,C$3,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2" s="100" t="str">
        <f>IFERROR(
    _xlfn.LET(
        _xlpm.is_data_present, $A22&lt;&gt;0,
        _xlpm.is_camera_present, COUNTIFS(ArchivedLog!$A:$A, $A22, ArchivedLog!$B:$B, D$3),
        _xlpm.we_camera_on_date, IFERROR(AVERAGEIFS(ArchivedLog!$D:$D, ArchivedLog!$B:$B,D$3, ArchivedLog!$A:$A, $A22), ""),
        _xlpm.ie_camera_on_date, IFERROR(AVERAGEIFS(ArchivedLog!$E:$E, ArchivedLog!$B:$B,D$3,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2" s="100" t="str">
        <f>IFERROR(
    _xlfn.LET(
        _xlpm.is_data_present, $A22&lt;&gt;0,
        _xlpm.is_camera_present, COUNTIFS(ArchivedLog!$A:$A, $A22, ArchivedLog!$B:$B, E$3),
        _xlpm.we_camera_on_date, IFERROR(AVERAGEIFS(ArchivedLog!$D:$D, ArchivedLog!$B:$B,E$3, ArchivedLog!$A:$A, $A22), ""),
        _xlpm.ie_camera_on_date, IFERROR(AVERAGEIFS(ArchivedLog!$E:$E, ArchivedLog!$B:$B,E$3,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2" s="100" t="str">
        <f>IFERROR(
    _xlfn.LET(
        _xlpm.is_data_present, $A22&lt;&gt;0,
        _xlpm.is_camera_present, COUNTIFS(ArchivedLog!$A:$A, $A22, ArchivedLog!$B:$B, F$3),
        _xlpm.we_camera_on_date, IFERROR(AVERAGEIFS(ArchivedLog!$D:$D, ArchivedLog!$B:$B,F$3, ArchivedLog!$A:$A, $A22), ""),
        _xlpm.ie_camera_on_date, IFERROR(AVERAGEIFS(ArchivedLog!$E:$E, ArchivedLog!$B:$B,F$3,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2" s="100" t="str">
        <f>IFERROR(
    _xlfn.LET(
        _xlpm.is_data_present, $A22&lt;&gt;0,
        _xlpm.is_camera_present, COUNTIFS(ArchivedLog!$A:$A, $A22, ArchivedLog!$B:$B, G$3),
        _xlpm.we_camera_on_date, IFERROR(AVERAGEIFS(ArchivedLog!$D:$D, ArchivedLog!$B:$B,G$3, ArchivedLog!$A:$A, $A22), ""),
        _xlpm.ie_camera_on_date, IFERROR(AVERAGEIFS(ArchivedLog!$E:$E, ArchivedLog!$B:$B,G$3,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2" s="100" t="str">
        <f>IFERROR(
    _xlfn.LET(
        _xlpm.is_data_present, $A22&lt;&gt;0,
        _xlpm.is_camera_present, COUNTIFS(ArchivedLog!$A:$A, $A22, ArchivedLog!$B:$B, H$3),
        _xlpm.we_camera_on_date, IFERROR(AVERAGEIFS(ArchivedLog!$D:$D, ArchivedLog!$B:$B,H$3, ArchivedLog!$A:$A, $A22), ""),
        _xlpm.ie_camera_on_date, IFERROR(AVERAGEIFS(ArchivedLog!$E:$E, ArchivedLog!$B:$B,H$3,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2" s="100" t="str">
        <f>IFERROR(
    _xlfn.LET(
        _xlpm.is_data_present, $A22&lt;&gt;0,
        _xlpm.is_camera_present, COUNTIFS(ArchivedLog!$A:$A, $A22, ArchivedLog!$B:$B, I$3),
        _xlpm.we_camera_on_date, IFERROR(AVERAGEIFS(ArchivedLog!$D:$D, ArchivedLog!$B:$B,I$3, ArchivedLog!$A:$A, $A22), ""),
        _xlpm.ie_camera_on_date, IFERROR(AVERAGEIFS(ArchivedLog!$E:$E, ArchivedLog!$B:$B,I$3,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2" s="100" t="str">
        <f>IFERROR(
    _xlfn.LET(
        _xlpm.is_data_present, $A22&lt;&gt;0,
        _xlpm.is_camera_present, COUNTIFS(ArchivedLog!$A:$A, $A22, ArchivedLog!$B:$B, J$3),
        _xlpm.we_camera_on_date, IFERROR(AVERAGEIFS(ArchivedLog!$D:$D, ArchivedLog!$B:$B,J$3, ArchivedLog!$A:$A, $A22), ""),
        _xlpm.ie_camera_on_date, IFERROR(AVERAGEIFS(ArchivedLog!$E:$E, ArchivedLog!$B:$B,J$3,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2" s="100" t="str">
        <f>IFERROR(
    _xlfn.LET(
        _xlpm.is_data_present, $A22&lt;&gt;0,
        _xlpm.is_camera_present, COUNTIFS(ArchivedLog!$A:$A, $A22, ArchivedLog!$B:$B, K$3),
        _xlpm.we_camera_on_date, IFERROR(AVERAGEIFS(ArchivedLog!$D:$D, ArchivedLog!$B:$B,K$3, ArchivedLog!$A:$A, $A22), ""),
        _xlpm.ie_camera_on_date, IFERROR(AVERAGEIFS(ArchivedLog!$E:$E, ArchivedLog!$B:$B,K$3,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2" s="100" t="str">
        <f>IFERROR(
    _xlfn.LET(
        _xlpm.is_data_present, $A22&lt;&gt;0,
        _xlpm.is_camera_present, COUNTIFS(ArchivedLog!$A:$A, $A22, ArchivedLog!$B:$B, L$3),
        _xlpm.we_camera_on_date, IFERROR(AVERAGEIFS(ArchivedLog!$D:$D, ArchivedLog!$B:$B,L$3, ArchivedLog!$A:$A, $A22), ""),
        _xlpm.ie_camera_on_date, IFERROR(AVERAGEIFS(ArchivedLog!$E:$E, ArchivedLog!$B:$B,L$3,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2" s="100" t="str">
        <f>IFERROR(
    _xlfn.LET(
        _xlpm.is_data_present, $A22&lt;&gt;0,
        _xlpm.is_camera_present, COUNTIFS(ArchivedLog!$A:$A, $A22, ArchivedLog!$B:$B, M$3),
        _xlpm.we_camera_on_date, IFERROR(AVERAGEIFS(ArchivedLog!$D:$D, ArchivedLog!$B:$B,M$3, ArchivedLog!$A:$A, $A22), ""),
        _xlpm.ie_camera_on_date, IFERROR(AVERAGEIFS(ArchivedLog!$E:$E, ArchivedLog!$B:$B,M$3,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2" s="100" t="str">
        <f>IFERROR(
    _xlfn.LET(
        _xlpm.is_data_present, $A22&lt;&gt;0,
        _xlpm.is_camera_present, COUNTIFS(ArchivedLog!$A:$A, $A22, ArchivedLog!$B:$B, N$3),
        _xlpm.we_camera_on_date, IFERROR(AVERAGEIFS(ArchivedLog!$D:$D, ArchivedLog!$B:$B,N$3, ArchivedLog!$A:$A, $A22), ""),
        _xlpm.ie_camera_on_date, IFERROR(AVERAGEIFS(ArchivedLog!$E:$E, ArchivedLog!$B:$B,N$3,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2" s="100" t="str">
        <f>IFERROR(
    _xlfn.LET(
        _xlpm.is_data_present, $A22&lt;&gt;0,
        _xlpm.is_camera_present, COUNTIFS(ArchivedLog!$A:$A, $A22, ArchivedLog!$B:$B, O$3),
        _xlpm.we_camera_on_date, IFERROR(AVERAGEIFS(ArchivedLog!$D:$D, ArchivedLog!$B:$B,O$3, ArchivedLog!$A:$A, $A22), ""),
        _xlpm.ie_camera_on_date, IFERROR(AVERAGEIFS(ArchivedLog!$E:$E, ArchivedLog!$B:$B,O$3,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2" s="100" t="str">
        <f>IFERROR(
    _xlfn.LET(
        _xlpm.is_data_present, $A22&lt;&gt;0,
        _xlpm.is_camera_present, COUNTIFS(ArchivedLog!$A:$A, $A22, ArchivedLog!$B:$B, P$3),
        _xlpm.we_camera_on_date, IFERROR(AVERAGEIFS(ArchivedLog!$D:$D, ArchivedLog!$B:$B,P$3, ArchivedLog!$A:$A, $A22), ""),
        _xlpm.ie_camera_on_date, IFERROR(AVERAGEIFS(ArchivedLog!$E:$E, ArchivedLog!$B:$B,P$3,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2" s="100" t="str">
        <f>IFERROR(
    _xlfn.LET(
        _xlpm.is_data_present, $A22&lt;&gt;0,
        _xlpm.is_camera_present, COUNTIFS(ArchivedLog!$A:$A, $A22, ArchivedLog!$B:$B, Q$3),
        _xlpm.we_camera_on_date, IFERROR(AVERAGEIFS(ArchivedLog!$D:$D, ArchivedLog!$B:$B,Q$3, ArchivedLog!$A:$A, $A22), ""),
        _xlpm.ie_camera_on_date, IFERROR(AVERAGEIFS(ArchivedLog!$E:$E, ArchivedLog!$B:$B,Q$3,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2" s="100" t="str">
        <f>IFERROR(
    _xlfn.LET(
        _xlpm.is_data_present, $A22&lt;&gt;0,
        _xlpm.is_camera_present, COUNTIFS(ArchivedLog!$A:$A, $A22, ArchivedLog!$B:$B, R$3),
        _xlpm.we_camera_on_date, IFERROR(AVERAGEIFS(ArchivedLog!$D:$D, ArchivedLog!$B:$B,R$3, ArchivedLog!$A:$A, $A22), ""),
        _xlpm.ie_camera_on_date, IFERROR(AVERAGEIFS(ArchivedLog!$E:$E, ArchivedLog!$B:$B,R$3,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2" s="100" t="str">
        <f>IFERROR(
    _xlfn.LET(
        _xlpm.is_data_present, $A22&lt;&gt;0,
        _xlpm.is_camera_present, COUNTIFS(ArchivedLog!$A:$A, $A22, ArchivedLog!$B:$B, S$3),
        _xlpm.we_camera_on_date, IFERROR(AVERAGEIFS(ArchivedLog!$D:$D, ArchivedLog!$B:$B,S$3, ArchivedLog!$A:$A, $A22), ""),
        _xlpm.ie_camera_on_date, IFERROR(AVERAGEIFS(ArchivedLog!$E:$E, ArchivedLog!$B:$B,S$3, ArchivedLog!$A:$A, $A22), ""),
        _xlpm.we_avg, IFERROR(AVERAGEIFS(ArchivedLog!$D:$D,ArchivedLog!$A:$A,$A22),""),
        _xlpm.ie_avg, IFERROR(AVERAGEIFS(ArchivedLog!$E:$E,ArchivedLog!$A:$A,$A22),""),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3" spans="1:19" x14ac:dyDescent="0.3">
      <c r="A23" s="108">
        <v>0</v>
      </c>
      <c r="B23" s="100" t="str">
        <f>IFERROR(
    _xlfn.LET(
        _xlpm.is_data_present, $A23&lt;&gt;0,
        _xlpm.is_camera_present, COUNTIFS(ArchivedLog!$A:$A, $A23, ArchivedLog!$B:$B, B$3),
        _xlpm.we_camera_on_date, IFERROR(AVERAGEIFS(ArchivedLog!$D:$D, ArchivedLog!$B:$B,B$3, ArchivedLog!$A:$A, $A23), ""),
        _xlpm.ie_camera_on_date, IFERROR(AVERAGEIFS(ArchivedLog!$E:$E, ArchivedLog!$B:$B,B$3,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3" s="100" t="str">
        <f>IFERROR(
    _xlfn.LET(
        _xlpm.is_data_present, $A23&lt;&gt;0,
        _xlpm.is_camera_present, COUNTIFS(ArchivedLog!$A:$A, $A23, ArchivedLog!$B:$B, C$3),
        _xlpm.we_camera_on_date, IFERROR(AVERAGEIFS(ArchivedLog!$D:$D, ArchivedLog!$B:$B,C$3, ArchivedLog!$A:$A, $A23), ""),
        _xlpm.ie_camera_on_date, IFERROR(AVERAGEIFS(ArchivedLog!$E:$E, ArchivedLog!$B:$B,C$3,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3" s="100" t="str">
        <f>IFERROR(
    _xlfn.LET(
        _xlpm.is_data_present, $A23&lt;&gt;0,
        _xlpm.is_camera_present, COUNTIFS(ArchivedLog!$A:$A, $A23, ArchivedLog!$B:$B, D$3),
        _xlpm.we_camera_on_date, IFERROR(AVERAGEIFS(ArchivedLog!$D:$D, ArchivedLog!$B:$B,D$3, ArchivedLog!$A:$A, $A23), ""),
        _xlpm.ie_camera_on_date, IFERROR(AVERAGEIFS(ArchivedLog!$E:$E, ArchivedLog!$B:$B,D$3,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3" s="100" t="str">
        <f>IFERROR(
    _xlfn.LET(
        _xlpm.is_data_present, $A23&lt;&gt;0,
        _xlpm.is_camera_present, COUNTIFS(ArchivedLog!$A:$A, $A23, ArchivedLog!$B:$B, E$3),
        _xlpm.we_camera_on_date, IFERROR(AVERAGEIFS(ArchivedLog!$D:$D, ArchivedLog!$B:$B,E$3, ArchivedLog!$A:$A, $A23), ""),
        _xlpm.ie_camera_on_date, IFERROR(AVERAGEIFS(ArchivedLog!$E:$E, ArchivedLog!$B:$B,E$3,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3" s="100" t="str">
        <f>IFERROR(
    _xlfn.LET(
        _xlpm.is_data_present, $A23&lt;&gt;0,
        _xlpm.is_camera_present, COUNTIFS(ArchivedLog!$A:$A, $A23, ArchivedLog!$B:$B, F$3),
        _xlpm.we_camera_on_date, IFERROR(AVERAGEIFS(ArchivedLog!$D:$D, ArchivedLog!$B:$B,F$3, ArchivedLog!$A:$A, $A23), ""),
        _xlpm.ie_camera_on_date, IFERROR(AVERAGEIFS(ArchivedLog!$E:$E, ArchivedLog!$B:$B,F$3,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3" s="100" t="str">
        <f>IFERROR(
    _xlfn.LET(
        _xlpm.is_data_present, $A23&lt;&gt;0,
        _xlpm.is_camera_present, COUNTIFS(ArchivedLog!$A:$A, $A23, ArchivedLog!$B:$B, G$3),
        _xlpm.we_camera_on_date, IFERROR(AVERAGEIFS(ArchivedLog!$D:$D, ArchivedLog!$B:$B,G$3, ArchivedLog!$A:$A, $A23), ""),
        _xlpm.ie_camera_on_date, IFERROR(AVERAGEIFS(ArchivedLog!$E:$E, ArchivedLog!$B:$B,G$3,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3" s="100" t="str">
        <f>IFERROR(
    _xlfn.LET(
        _xlpm.is_data_present, $A23&lt;&gt;0,
        _xlpm.is_camera_present, COUNTIFS(ArchivedLog!$A:$A, $A23, ArchivedLog!$B:$B, H$3),
        _xlpm.we_camera_on_date, IFERROR(AVERAGEIFS(ArchivedLog!$D:$D, ArchivedLog!$B:$B,H$3, ArchivedLog!$A:$A, $A23), ""),
        _xlpm.ie_camera_on_date, IFERROR(AVERAGEIFS(ArchivedLog!$E:$E, ArchivedLog!$B:$B,H$3,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3" s="100" t="str">
        <f>IFERROR(
    _xlfn.LET(
        _xlpm.is_data_present, $A23&lt;&gt;0,
        _xlpm.is_camera_present, COUNTIFS(ArchivedLog!$A:$A, $A23, ArchivedLog!$B:$B, I$3),
        _xlpm.we_camera_on_date, IFERROR(AVERAGEIFS(ArchivedLog!$D:$D, ArchivedLog!$B:$B,I$3, ArchivedLog!$A:$A, $A23), ""),
        _xlpm.ie_camera_on_date, IFERROR(AVERAGEIFS(ArchivedLog!$E:$E, ArchivedLog!$B:$B,I$3,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3" s="100" t="str">
        <f>IFERROR(
    _xlfn.LET(
        _xlpm.is_data_present, $A23&lt;&gt;0,
        _xlpm.is_camera_present, COUNTIFS(ArchivedLog!$A:$A, $A23, ArchivedLog!$B:$B, J$3),
        _xlpm.we_camera_on_date, IFERROR(AVERAGEIFS(ArchivedLog!$D:$D, ArchivedLog!$B:$B,J$3, ArchivedLog!$A:$A, $A23), ""),
        _xlpm.ie_camera_on_date, IFERROR(AVERAGEIFS(ArchivedLog!$E:$E, ArchivedLog!$B:$B,J$3,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3" s="100" t="str">
        <f>IFERROR(
    _xlfn.LET(
        _xlpm.is_data_present, $A23&lt;&gt;0,
        _xlpm.is_camera_present, COUNTIFS(ArchivedLog!$A:$A, $A23, ArchivedLog!$B:$B, K$3),
        _xlpm.we_camera_on_date, IFERROR(AVERAGEIFS(ArchivedLog!$D:$D, ArchivedLog!$B:$B,K$3, ArchivedLog!$A:$A, $A23), ""),
        _xlpm.ie_camera_on_date, IFERROR(AVERAGEIFS(ArchivedLog!$E:$E, ArchivedLog!$B:$B,K$3,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3" s="100" t="str">
        <f>IFERROR(
    _xlfn.LET(
        _xlpm.is_data_present, $A23&lt;&gt;0,
        _xlpm.is_camera_present, COUNTIFS(ArchivedLog!$A:$A, $A23, ArchivedLog!$B:$B, L$3),
        _xlpm.we_camera_on_date, IFERROR(AVERAGEIFS(ArchivedLog!$D:$D, ArchivedLog!$B:$B,L$3, ArchivedLog!$A:$A, $A23), ""),
        _xlpm.ie_camera_on_date, IFERROR(AVERAGEIFS(ArchivedLog!$E:$E, ArchivedLog!$B:$B,L$3,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3" s="100" t="str">
        <f>IFERROR(
    _xlfn.LET(
        _xlpm.is_data_present, $A23&lt;&gt;0,
        _xlpm.is_camera_present, COUNTIFS(ArchivedLog!$A:$A, $A23, ArchivedLog!$B:$B, M$3),
        _xlpm.we_camera_on_date, IFERROR(AVERAGEIFS(ArchivedLog!$D:$D, ArchivedLog!$B:$B,M$3, ArchivedLog!$A:$A, $A23), ""),
        _xlpm.ie_camera_on_date, IFERROR(AVERAGEIFS(ArchivedLog!$E:$E, ArchivedLog!$B:$B,M$3,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3" s="100" t="str">
        <f>IFERROR(
    _xlfn.LET(
        _xlpm.is_data_present, $A23&lt;&gt;0,
        _xlpm.is_camera_present, COUNTIFS(ArchivedLog!$A:$A, $A23, ArchivedLog!$B:$B, N$3),
        _xlpm.we_camera_on_date, IFERROR(AVERAGEIFS(ArchivedLog!$D:$D, ArchivedLog!$B:$B,N$3, ArchivedLog!$A:$A, $A23), ""),
        _xlpm.ie_camera_on_date, IFERROR(AVERAGEIFS(ArchivedLog!$E:$E, ArchivedLog!$B:$B,N$3,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3" s="100" t="str">
        <f>IFERROR(
    _xlfn.LET(
        _xlpm.is_data_present, $A23&lt;&gt;0,
        _xlpm.is_camera_present, COUNTIFS(ArchivedLog!$A:$A, $A23, ArchivedLog!$B:$B, O$3),
        _xlpm.we_camera_on_date, IFERROR(AVERAGEIFS(ArchivedLog!$D:$D, ArchivedLog!$B:$B,O$3, ArchivedLog!$A:$A, $A23), ""),
        _xlpm.ie_camera_on_date, IFERROR(AVERAGEIFS(ArchivedLog!$E:$E, ArchivedLog!$B:$B,O$3,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3" s="100" t="str">
        <f>IFERROR(
    _xlfn.LET(
        _xlpm.is_data_present, $A23&lt;&gt;0,
        _xlpm.is_camera_present, COUNTIFS(ArchivedLog!$A:$A, $A23, ArchivedLog!$B:$B, P$3),
        _xlpm.we_camera_on_date, IFERROR(AVERAGEIFS(ArchivedLog!$D:$D, ArchivedLog!$B:$B,P$3, ArchivedLog!$A:$A, $A23), ""),
        _xlpm.ie_camera_on_date, IFERROR(AVERAGEIFS(ArchivedLog!$E:$E, ArchivedLog!$B:$B,P$3,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3" s="100" t="str">
        <f>IFERROR(
    _xlfn.LET(
        _xlpm.is_data_present, $A23&lt;&gt;0,
        _xlpm.is_camera_present, COUNTIFS(ArchivedLog!$A:$A, $A23, ArchivedLog!$B:$B, Q$3),
        _xlpm.we_camera_on_date, IFERROR(AVERAGEIFS(ArchivedLog!$D:$D, ArchivedLog!$B:$B,Q$3, ArchivedLog!$A:$A, $A23), ""),
        _xlpm.ie_camera_on_date, IFERROR(AVERAGEIFS(ArchivedLog!$E:$E, ArchivedLog!$B:$B,Q$3,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3" s="100" t="str">
        <f>IFERROR(
    _xlfn.LET(
        _xlpm.is_data_present, $A23&lt;&gt;0,
        _xlpm.is_camera_present, COUNTIFS(ArchivedLog!$A:$A, $A23, ArchivedLog!$B:$B, R$3),
        _xlpm.we_camera_on_date, IFERROR(AVERAGEIFS(ArchivedLog!$D:$D, ArchivedLog!$B:$B,R$3, ArchivedLog!$A:$A, $A23), ""),
        _xlpm.ie_camera_on_date, IFERROR(AVERAGEIFS(ArchivedLog!$E:$E, ArchivedLog!$B:$B,R$3,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3" s="100" t="str">
        <f>IFERROR(
    _xlfn.LET(
        _xlpm.is_data_present, $A23&lt;&gt;0,
        _xlpm.is_camera_present, COUNTIFS(ArchivedLog!$A:$A, $A23, ArchivedLog!$B:$B, S$3),
        _xlpm.we_camera_on_date, IFERROR(AVERAGEIFS(ArchivedLog!$D:$D, ArchivedLog!$B:$B,S$3, ArchivedLog!$A:$A, $A23), ""),
        _xlpm.ie_camera_on_date, IFERROR(AVERAGEIFS(ArchivedLog!$E:$E, ArchivedLog!$B:$B,S$3, ArchivedLog!$A:$A, $A23), ""),
        _xlpm.we_avg, IFERROR(AVERAGEIFS(ArchivedLog!$D:$D,ArchivedLog!$A:$A,$A23),""),
        _xlpm.ie_avg, IFERROR(AVERAGEIFS(ArchivedLog!$E:$E,ArchivedLog!$A:$A,$A23),""),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4" spans="1:19" x14ac:dyDescent="0.3">
      <c r="A24" s="108">
        <v>0</v>
      </c>
      <c r="B24" s="100" t="str">
        <f>IFERROR(
    _xlfn.LET(
        _xlpm.is_data_present, $A24&lt;&gt;0,
        _xlpm.is_camera_present, COUNTIFS(ArchivedLog!$A:$A, $A24, ArchivedLog!$B:$B, B$3),
        _xlpm.we_camera_on_date, IFERROR(AVERAGEIFS(ArchivedLog!$D:$D, ArchivedLog!$B:$B,B$3, ArchivedLog!$A:$A, $A24), ""),
        _xlpm.ie_camera_on_date, IFERROR(AVERAGEIFS(ArchivedLog!$E:$E, ArchivedLog!$B:$B,B$3,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4" s="100" t="str">
        <f>IFERROR(
    _xlfn.LET(
        _xlpm.is_data_present, $A24&lt;&gt;0,
        _xlpm.is_camera_present, COUNTIFS(ArchivedLog!$A:$A, $A24, ArchivedLog!$B:$B, C$3),
        _xlpm.we_camera_on_date, IFERROR(AVERAGEIFS(ArchivedLog!$D:$D, ArchivedLog!$B:$B,C$3, ArchivedLog!$A:$A, $A24), ""),
        _xlpm.ie_camera_on_date, IFERROR(AVERAGEIFS(ArchivedLog!$E:$E, ArchivedLog!$B:$B,C$3,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4" s="100" t="str">
        <f>IFERROR(
    _xlfn.LET(
        _xlpm.is_data_present, $A24&lt;&gt;0,
        _xlpm.is_camera_present, COUNTIFS(ArchivedLog!$A:$A, $A24, ArchivedLog!$B:$B, D$3),
        _xlpm.we_camera_on_date, IFERROR(AVERAGEIFS(ArchivedLog!$D:$D, ArchivedLog!$B:$B,D$3, ArchivedLog!$A:$A, $A24), ""),
        _xlpm.ie_camera_on_date, IFERROR(AVERAGEIFS(ArchivedLog!$E:$E, ArchivedLog!$B:$B,D$3,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4" s="100" t="str">
        <f>IFERROR(
    _xlfn.LET(
        _xlpm.is_data_present, $A24&lt;&gt;0,
        _xlpm.is_camera_present, COUNTIFS(ArchivedLog!$A:$A, $A24, ArchivedLog!$B:$B, E$3),
        _xlpm.we_camera_on_date, IFERROR(AVERAGEIFS(ArchivedLog!$D:$D, ArchivedLog!$B:$B,E$3, ArchivedLog!$A:$A, $A24), ""),
        _xlpm.ie_camera_on_date, IFERROR(AVERAGEIFS(ArchivedLog!$E:$E, ArchivedLog!$B:$B,E$3,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4" s="100" t="str">
        <f>IFERROR(
    _xlfn.LET(
        _xlpm.is_data_present, $A24&lt;&gt;0,
        _xlpm.is_camera_present, COUNTIFS(ArchivedLog!$A:$A, $A24, ArchivedLog!$B:$B, F$3),
        _xlpm.we_camera_on_date, IFERROR(AVERAGEIFS(ArchivedLog!$D:$D, ArchivedLog!$B:$B,F$3, ArchivedLog!$A:$A, $A24), ""),
        _xlpm.ie_camera_on_date, IFERROR(AVERAGEIFS(ArchivedLog!$E:$E, ArchivedLog!$B:$B,F$3,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4" s="100" t="str">
        <f>IFERROR(
    _xlfn.LET(
        _xlpm.is_data_present, $A24&lt;&gt;0,
        _xlpm.is_camera_present, COUNTIFS(ArchivedLog!$A:$A, $A24, ArchivedLog!$B:$B, G$3),
        _xlpm.we_camera_on_date, IFERROR(AVERAGEIFS(ArchivedLog!$D:$D, ArchivedLog!$B:$B,G$3, ArchivedLog!$A:$A, $A24), ""),
        _xlpm.ie_camera_on_date, IFERROR(AVERAGEIFS(ArchivedLog!$E:$E, ArchivedLog!$B:$B,G$3,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4" s="100" t="str">
        <f>IFERROR(
    _xlfn.LET(
        _xlpm.is_data_present, $A24&lt;&gt;0,
        _xlpm.is_camera_present, COUNTIFS(ArchivedLog!$A:$A, $A24, ArchivedLog!$B:$B, H$3),
        _xlpm.we_camera_on_date, IFERROR(AVERAGEIFS(ArchivedLog!$D:$D, ArchivedLog!$B:$B,H$3, ArchivedLog!$A:$A, $A24), ""),
        _xlpm.ie_camera_on_date, IFERROR(AVERAGEIFS(ArchivedLog!$E:$E, ArchivedLog!$B:$B,H$3,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4" s="100" t="str">
        <f>IFERROR(
    _xlfn.LET(
        _xlpm.is_data_present, $A24&lt;&gt;0,
        _xlpm.is_camera_present, COUNTIFS(ArchivedLog!$A:$A, $A24, ArchivedLog!$B:$B, I$3),
        _xlpm.we_camera_on_date, IFERROR(AVERAGEIFS(ArchivedLog!$D:$D, ArchivedLog!$B:$B,I$3, ArchivedLog!$A:$A, $A24), ""),
        _xlpm.ie_camera_on_date, IFERROR(AVERAGEIFS(ArchivedLog!$E:$E, ArchivedLog!$B:$B,I$3,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4" s="100" t="str">
        <f>IFERROR(
    _xlfn.LET(
        _xlpm.is_data_present, $A24&lt;&gt;0,
        _xlpm.is_camera_present, COUNTIFS(ArchivedLog!$A:$A, $A24, ArchivedLog!$B:$B, J$3),
        _xlpm.we_camera_on_date, IFERROR(AVERAGEIFS(ArchivedLog!$D:$D, ArchivedLog!$B:$B,J$3, ArchivedLog!$A:$A, $A24), ""),
        _xlpm.ie_camera_on_date, IFERROR(AVERAGEIFS(ArchivedLog!$E:$E, ArchivedLog!$B:$B,J$3,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4" s="100" t="str">
        <f>IFERROR(
    _xlfn.LET(
        _xlpm.is_data_present, $A24&lt;&gt;0,
        _xlpm.is_camera_present, COUNTIFS(ArchivedLog!$A:$A, $A24, ArchivedLog!$B:$B, K$3),
        _xlpm.we_camera_on_date, IFERROR(AVERAGEIFS(ArchivedLog!$D:$D, ArchivedLog!$B:$B,K$3, ArchivedLog!$A:$A, $A24), ""),
        _xlpm.ie_camera_on_date, IFERROR(AVERAGEIFS(ArchivedLog!$E:$E, ArchivedLog!$B:$B,K$3,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4" s="100" t="str">
        <f>IFERROR(
    _xlfn.LET(
        _xlpm.is_data_present, $A24&lt;&gt;0,
        _xlpm.is_camera_present, COUNTIFS(ArchivedLog!$A:$A, $A24, ArchivedLog!$B:$B, L$3),
        _xlpm.we_camera_on_date, IFERROR(AVERAGEIFS(ArchivedLog!$D:$D, ArchivedLog!$B:$B,L$3, ArchivedLog!$A:$A, $A24), ""),
        _xlpm.ie_camera_on_date, IFERROR(AVERAGEIFS(ArchivedLog!$E:$E, ArchivedLog!$B:$B,L$3,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4" s="100" t="str">
        <f>IFERROR(
    _xlfn.LET(
        _xlpm.is_data_present, $A24&lt;&gt;0,
        _xlpm.is_camera_present, COUNTIFS(ArchivedLog!$A:$A, $A24, ArchivedLog!$B:$B, M$3),
        _xlpm.we_camera_on_date, IFERROR(AVERAGEIFS(ArchivedLog!$D:$D, ArchivedLog!$B:$B,M$3, ArchivedLog!$A:$A, $A24), ""),
        _xlpm.ie_camera_on_date, IFERROR(AVERAGEIFS(ArchivedLog!$E:$E, ArchivedLog!$B:$B,M$3,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4" s="100" t="str">
        <f>IFERROR(
    _xlfn.LET(
        _xlpm.is_data_present, $A24&lt;&gt;0,
        _xlpm.is_camera_present, COUNTIFS(ArchivedLog!$A:$A, $A24, ArchivedLog!$B:$B, N$3),
        _xlpm.we_camera_on_date, IFERROR(AVERAGEIFS(ArchivedLog!$D:$D, ArchivedLog!$B:$B,N$3, ArchivedLog!$A:$A, $A24), ""),
        _xlpm.ie_camera_on_date, IFERROR(AVERAGEIFS(ArchivedLog!$E:$E, ArchivedLog!$B:$B,N$3,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4" s="100" t="str">
        <f>IFERROR(
    _xlfn.LET(
        _xlpm.is_data_present, $A24&lt;&gt;0,
        _xlpm.is_camera_present, COUNTIFS(ArchivedLog!$A:$A, $A24, ArchivedLog!$B:$B, O$3),
        _xlpm.we_camera_on_date, IFERROR(AVERAGEIFS(ArchivedLog!$D:$D, ArchivedLog!$B:$B,O$3, ArchivedLog!$A:$A, $A24), ""),
        _xlpm.ie_camera_on_date, IFERROR(AVERAGEIFS(ArchivedLog!$E:$E, ArchivedLog!$B:$B,O$3,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4" s="100" t="str">
        <f>IFERROR(
    _xlfn.LET(
        _xlpm.is_data_present, $A24&lt;&gt;0,
        _xlpm.is_camera_present, COUNTIFS(ArchivedLog!$A:$A, $A24, ArchivedLog!$B:$B, P$3),
        _xlpm.we_camera_on_date, IFERROR(AVERAGEIFS(ArchivedLog!$D:$D, ArchivedLog!$B:$B,P$3, ArchivedLog!$A:$A, $A24), ""),
        _xlpm.ie_camera_on_date, IFERROR(AVERAGEIFS(ArchivedLog!$E:$E, ArchivedLog!$B:$B,P$3,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4" s="100" t="str">
        <f>IFERROR(
    _xlfn.LET(
        _xlpm.is_data_present, $A24&lt;&gt;0,
        _xlpm.is_camera_present, COUNTIFS(ArchivedLog!$A:$A, $A24, ArchivedLog!$B:$B, Q$3),
        _xlpm.we_camera_on_date, IFERROR(AVERAGEIFS(ArchivedLog!$D:$D, ArchivedLog!$B:$B,Q$3, ArchivedLog!$A:$A, $A24), ""),
        _xlpm.ie_camera_on_date, IFERROR(AVERAGEIFS(ArchivedLog!$E:$E, ArchivedLog!$B:$B,Q$3,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4" s="100" t="str">
        <f>IFERROR(
    _xlfn.LET(
        _xlpm.is_data_present, $A24&lt;&gt;0,
        _xlpm.is_camera_present, COUNTIFS(ArchivedLog!$A:$A, $A24, ArchivedLog!$B:$B, R$3),
        _xlpm.we_camera_on_date, IFERROR(AVERAGEIFS(ArchivedLog!$D:$D, ArchivedLog!$B:$B,R$3, ArchivedLog!$A:$A, $A24), ""),
        _xlpm.ie_camera_on_date, IFERROR(AVERAGEIFS(ArchivedLog!$E:$E, ArchivedLog!$B:$B,R$3,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4" s="100" t="str">
        <f>IFERROR(
    _xlfn.LET(
        _xlpm.is_data_present, $A24&lt;&gt;0,
        _xlpm.is_camera_present, COUNTIFS(ArchivedLog!$A:$A, $A24, ArchivedLog!$B:$B, S$3),
        _xlpm.we_camera_on_date, IFERROR(AVERAGEIFS(ArchivedLog!$D:$D, ArchivedLog!$B:$B,S$3, ArchivedLog!$A:$A, $A24), ""),
        _xlpm.ie_camera_on_date, IFERROR(AVERAGEIFS(ArchivedLog!$E:$E, ArchivedLog!$B:$B,S$3, ArchivedLog!$A:$A, $A24), ""),
        _xlpm.we_avg, IFERROR(AVERAGEIFS(ArchivedLog!$D:$D,ArchivedLog!$A:$A,$A24),""),
        _xlpm.ie_avg, IFERROR(AVERAGEIFS(ArchivedLog!$E:$E,ArchivedLog!$A:$A,$A24),""),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5" spans="1:19" x14ac:dyDescent="0.3">
      <c r="A25" s="108">
        <v>0</v>
      </c>
      <c r="B25" s="100" t="str">
        <f>IFERROR(
    _xlfn.LET(
        _xlpm.is_data_present, $A25&lt;&gt;0,
        _xlpm.is_camera_present, COUNTIFS(ArchivedLog!$A:$A, $A25, ArchivedLog!$B:$B, B$3),
        _xlpm.we_camera_on_date, IFERROR(AVERAGEIFS(ArchivedLog!$D:$D, ArchivedLog!$B:$B,B$3, ArchivedLog!$A:$A, $A25), ""),
        _xlpm.ie_camera_on_date, IFERROR(AVERAGEIFS(ArchivedLog!$E:$E, ArchivedLog!$B:$B,B$3,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5" s="100" t="str">
        <f>IFERROR(
    _xlfn.LET(
        _xlpm.is_data_present, $A25&lt;&gt;0,
        _xlpm.is_camera_present, COUNTIFS(ArchivedLog!$A:$A, $A25, ArchivedLog!$B:$B, C$3),
        _xlpm.we_camera_on_date, IFERROR(AVERAGEIFS(ArchivedLog!$D:$D, ArchivedLog!$B:$B,C$3, ArchivedLog!$A:$A, $A25), ""),
        _xlpm.ie_camera_on_date, IFERROR(AVERAGEIFS(ArchivedLog!$E:$E, ArchivedLog!$B:$B,C$3,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5" s="100" t="str">
        <f>IFERROR(
    _xlfn.LET(
        _xlpm.is_data_present, $A25&lt;&gt;0,
        _xlpm.is_camera_present, COUNTIFS(ArchivedLog!$A:$A, $A25, ArchivedLog!$B:$B, D$3),
        _xlpm.we_camera_on_date, IFERROR(AVERAGEIFS(ArchivedLog!$D:$D, ArchivedLog!$B:$B,D$3, ArchivedLog!$A:$A, $A25), ""),
        _xlpm.ie_camera_on_date, IFERROR(AVERAGEIFS(ArchivedLog!$E:$E, ArchivedLog!$B:$B,D$3,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5" s="100" t="str">
        <f>IFERROR(
    _xlfn.LET(
        _xlpm.is_data_present, $A25&lt;&gt;0,
        _xlpm.is_camera_present, COUNTIFS(ArchivedLog!$A:$A, $A25, ArchivedLog!$B:$B, E$3),
        _xlpm.we_camera_on_date, IFERROR(AVERAGEIFS(ArchivedLog!$D:$D, ArchivedLog!$B:$B,E$3, ArchivedLog!$A:$A, $A25), ""),
        _xlpm.ie_camera_on_date, IFERROR(AVERAGEIFS(ArchivedLog!$E:$E, ArchivedLog!$B:$B,E$3,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5" s="100" t="str">
        <f>IFERROR(
    _xlfn.LET(
        _xlpm.is_data_present, $A25&lt;&gt;0,
        _xlpm.is_camera_present, COUNTIFS(ArchivedLog!$A:$A, $A25, ArchivedLog!$B:$B, F$3),
        _xlpm.we_camera_on_date, IFERROR(AVERAGEIFS(ArchivedLog!$D:$D, ArchivedLog!$B:$B,F$3, ArchivedLog!$A:$A, $A25), ""),
        _xlpm.ie_camera_on_date, IFERROR(AVERAGEIFS(ArchivedLog!$E:$E, ArchivedLog!$B:$B,F$3,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5" s="100" t="str">
        <f>IFERROR(
    _xlfn.LET(
        _xlpm.is_data_present, $A25&lt;&gt;0,
        _xlpm.is_camera_present, COUNTIFS(ArchivedLog!$A:$A, $A25, ArchivedLog!$B:$B, G$3),
        _xlpm.we_camera_on_date, IFERROR(AVERAGEIFS(ArchivedLog!$D:$D, ArchivedLog!$B:$B,G$3, ArchivedLog!$A:$A, $A25), ""),
        _xlpm.ie_camera_on_date, IFERROR(AVERAGEIFS(ArchivedLog!$E:$E, ArchivedLog!$B:$B,G$3,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5" s="100" t="str">
        <f>IFERROR(
    _xlfn.LET(
        _xlpm.is_data_present, $A25&lt;&gt;0,
        _xlpm.is_camera_present, COUNTIFS(ArchivedLog!$A:$A, $A25, ArchivedLog!$B:$B, H$3),
        _xlpm.we_camera_on_date, IFERROR(AVERAGEIFS(ArchivedLog!$D:$D, ArchivedLog!$B:$B,H$3, ArchivedLog!$A:$A, $A25), ""),
        _xlpm.ie_camera_on_date, IFERROR(AVERAGEIFS(ArchivedLog!$E:$E, ArchivedLog!$B:$B,H$3,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5" s="100" t="str">
        <f>IFERROR(
    _xlfn.LET(
        _xlpm.is_data_present, $A25&lt;&gt;0,
        _xlpm.is_camera_present, COUNTIFS(ArchivedLog!$A:$A, $A25, ArchivedLog!$B:$B, I$3),
        _xlpm.we_camera_on_date, IFERROR(AVERAGEIFS(ArchivedLog!$D:$D, ArchivedLog!$B:$B,I$3, ArchivedLog!$A:$A, $A25), ""),
        _xlpm.ie_camera_on_date, IFERROR(AVERAGEIFS(ArchivedLog!$E:$E, ArchivedLog!$B:$B,I$3,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5" s="100" t="str">
        <f>IFERROR(
    _xlfn.LET(
        _xlpm.is_data_present, $A25&lt;&gt;0,
        _xlpm.is_camera_present, COUNTIFS(ArchivedLog!$A:$A, $A25, ArchivedLog!$B:$B, J$3),
        _xlpm.we_camera_on_date, IFERROR(AVERAGEIFS(ArchivedLog!$D:$D, ArchivedLog!$B:$B,J$3, ArchivedLog!$A:$A, $A25), ""),
        _xlpm.ie_camera_on_date, IFERROR(AVERAGEIFS(ArchivedLog!$E:$E, ArchivedLog!$B:$B,J$3,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5" s="100" t="str">
        <f>IFERROR(
    _xlfn.LET(
        _xlpm.is_data_present, $A25&lt;&gt;0,
        _xlpm.is_camera_present, COUNTIFS(ArchivedLog!$A:$A, $A25, ArchivedLog!$B:$B, K$3),
        _xlpm.we_camera_on_date, IFERROR(AVERAGEIFS(ArchivedLog!$D:$D, ArchivedLog!$B:$B,K$3, ArchivedLog!$A:$A, $A25), ""),
        _xlpm.ie_camera_on_date, IFERROR(AVERAGEIFS(ArchivedLog!$E:$E, ArchivedLog!$B:$B,K$3,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5" s="100" t="str">
        <f>IFERROR(
    _xlfn.LET(
        _xlpm.is_data_present, $A25&lt;&gt;0,
        _xlpm.is_camera_present, COUNTIFS(ArchivedLog!$A:$A, $A25, ArchivedLog!$B:$B, L$3),
        _xlpm.we_camera_on_date, IFERROR(AVERAGEIFS(ArchivedLog!$D:$D, ArchivedLog!$B:$B,L$3, ArchivedLog!$A:$A, $A25), ""),
        _xlpm.ie_camera_on_date, IFERROR(AVERAGEIFS(ArchivedLog!$E:$E, ArchivedLog!$B:$B,L$3,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5" s="100" t="str">
        <f>IFERROR(
    _xlfn.LET(
        _xlpm.is_data_present, $A25&lt;&gt;0,
        _xlpm.is_camera_present, COUNTIFS(ArchivedLog!$A:$A, $A25, ArchivedLog!$B:$B, M$3),
        _xlpm.we_camera_on_date, IFERROR(AVERAGEIFS(ArchivedLog!$D:$D, ArchivedLog!$B:$B,M$3, ArchivedLog!$A:$A, $A25), ""),
        _xlpm.ie_camera_on_date, IFERROR(AVERAGEIFS(ArchivedLog!$E:$E, ArchivedLog!$B:$B,M$3,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5" s="100" t="str">
        <f>IFERROR(
    _xlfn.LET(
        _xlpm.is_data_present, $A25&lt;&gt;0,
        _xlpm.is_camera_present, COUNTIFS(ArchivedLog!$A:$A, $A25, ArchivedLog!$B:$B, N$3),
        _xlpm.we_camera_on_date, IFERROR(AVERAGEIFS(ArchivedLog!$D:$D, ArchivedLog!$B:$B,N$3, ArchivedLog!$A:$A, $A25), ""),
        _xlpm.ie_camera_on_date, IFERROR(AVERAGEIFS(ArchivedLog!$E:$E, ArchivedLog!$B:$B,N$3,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5" s="100" t="str">
        <f>IFERROR(
    _xlfn.LET(
        _xlpm.is_data_present, $A25&lt;&gt;0,
        _xlpm.is_camera_present, COUNTIFS(ArchivedLog!$A:$A, $A25, ArchivedLog!$B:$B, O$3),
        _xlpm.we_camera_on_date, IFERROR(AVERAGEIFS(ArchivedLog!$D:$D, ArchivedLog!$B:$B,O$3, ArchivedLog!$A:$A, $A25), ""),
        _xlpm.ie_camera_on_date, IFERROR(AVERAGEIFS(ArchivedLog!$E:$E, ArchivedLog!$B:$B,O$3,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5" s="100" t="str">
        <f>IFERROR(
    _xlfn.LET(
        _xlpm.is_data_present, $A25&lt;&gt;0,
        _xlpm.is_camera_present, COUNTIFS(ArchivedLog!$A:$A, $A25, ArchivedLog!$B:$B, P$3),
        _xlpm.we_camera_on_date, IFERROR(AVERAGEIFS(ArchivedLog!$D:$D, ArchivedLog!$B:$B,P$3, ArchivedLog!$A:$A, $A25), ""),
        _xlpm.ie_camera_on_date, IFERROR(AVERAGEIFS(ArchivedLog!$E:$E, ArchivedLog!$B:$B,P$3,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5" s="100" t="str">
        <f>IFERROR(
    _xlfn.LET(
        _xlpm.is_data_present, $A25&lt;&gt;0,
        _xlpm.is_camera_present, COUNTIFS(ArchivedLog!$A:$A, $A25, ArchivedLog!$B:$B, Q$3),
        _xlpm.we_camera_on_date, IFERROR(AVERAGEIFS(ArchivedLog!$D:$D, ArchivedLog!$B:$B,Q$3, ArchivedLog!$A:$A, $A25), ""),
        _xlpm.ie_camera_on_date, IFERROR(AVERAGEIFS(ArchivedLog!$E:$E, ArchivedLog!$B:$B,Q$3,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5" s="100" t="str">
        <f>IFERROR(
    _xlfn.LET(
        _xlpm.is_data_present, $A25&lt;&gt;0,
        _xlpm.is_camera_present, COUNTIFS(ArchivedLog!$A:$A, $A25, ArchivedLog!$B:$B, R$3),
        _xlpm.we_camera_on_date, IFERROR(AVERAGEIFS(ArchivedLog!$D:$D, ArchivedLog!$B:$B,R$3, ArchivedLog!$A:$A, $A25), ""),
        _xlpm.ie_camera_on_date, IFERROR(AVERAGEIFS(ArchivedLog!$E:$E, ArchivedLog!$B:$B,R$3,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5" s="100" t="str">
        <f>IFERROR(
    _xlfn.LET(
        _xlpm.is_data_present, $A25&lt;&gt;0,
        _xlpm.is_camera_present, COUNTIFS(ArchivedLog!$A:$A, $A25, ArchivedLog!$B:$B, S$3),
        _xlpm.we_camera_on_date, IFERROR(AVERAGEIFS(ArchivedLog!$D:$D, ArchivedLog!$B:$B,S$3, ArchivedLog!$A:$A, $A25), ""),
        _xlpm.ie_camera_on_date, IFERROR(AVERAGEIFS(ArchivedLog!$E:$E, ArchivedLog!$B:$B,S$3, ArchivedLog!$A:$A, $A25), ""),
        _xlpm.we_avg, IFERROR(AVERAGEIFS(ArchivedLog!$D:$D,ArchivedLog!$A:$A,$A25),""),
        _xlpm.ie_avg, IFERROR(AVERAGEIFS(ArchivedLog!$E:$E,ArchivedLog!$A:$A,$A25),""),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6" spans="1:19" x14ac:dyDescent="0.3">
      <c r="A26" s="108">
        <v>0</v>
      </c>
      <c r="B26" s="100" t="str">
        <f>IFERROR(
    _xlfn.LET(
        _xlpm.is_data_present, $A26&lt;&gt;0,
        _xlpm.is_camera_present, COUNTIFS(ArchivedLog!$A:$A, $A26, ArchivedLog!$B:$B, B$3),
        _xlpm.we_camera_on_date, IFERROR(AVERAGEIFS(ArchivedLog!$D:$D, ArchivedLog!$B:$B,B$3, ArchivedLog!$A:$A, $A26), ""),
        _xlpm.ie_camera_on_date, IFERROR(AVERAGEIFS(ArchivedLog!$E:$E, ArchivedLog!$B:$B,B$3,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6" s="100" t="str">
        <f>IFERROR(
    _xlfn.LET(
        _xlpm.is_data_present, $A26&lt;&gt;0,
        _xlpm.is_camera_present, COUNTIFS(ArchivedLog!$A:$A, $A26, ArchivedLog!$B:$B, C$3),
        _xlpm.we_camera_on_date, IFERROR(AVERAGEIFS(ArchivedLog!$D:$D, ArchivedLog!$B:$B,C$3, ArchivedLog!$A:$A, $A26), ""),
        _xlpm.ie_camera_on_date, IFERROR(AVERAGEIFS(ArchivedLog!$E:$E, ArchivedLog!$B:$B,C$3,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6" s="100" t="str">
        <f>IFERROR(
    _xlfn.LET(
        _xlpm.is_data_present, $A26&lt;&gt;0,
        _xlpm.is_camera_present, COUNTIFS(ArchivedLog!$A:$A, $A26, ArchivedLog!$B:$B, D$3),
        _xlpm.we_camera_on_date, IFERROR(AVERAGEIFS(ArchivedLog!$D:$D, ArchivedLog!$B:$B,D$3, ArchivedLog!$A:$A, $A26), ""),
        _xlpm.ie_camera_on_date, IFERROR(AVERAGEIFS(ArchivedLog!$E:$E, ArchivedLog!$B:$B,D$3,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6" s="100" t="str">
        <f>IFERROR(
    _xlfn.LET(
        _xlpm.is_data_present, $A26&lt;&gt;0,
        _xlpm.is_camera_present, COUNTIFS(ArchivedLog!$A:$A, $A26, ArchivedLog!$B:$B, E$3),
        _xlpm.we_camera_on_date, IFERROR(AVERAGEIFS(ArchivedLog!$D:$D, ArchivedLog!$B:$B,E$3, ArchivedLog!$A:$A, $A26), ""),
        _xlpm.ie_camera_on_date, IFERROR(AVERAGEIFS(ArchivedLog!$E:$E, ArchivedLog!$B:$B,E$3,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6" s="100" t="str">
        <f>IFERROR(
    _xlfn.LET(
        _xlpm.is_data_present, $A26&lt;&gt;0,
        _xlpm.is_camera_present, COUNTIFS(ArchivedLog!$A:$A, $A26, ArchivedLog!$B:$B, F$3),
        _xlpm.we_camera_on_date, IFERROR(AVERAGEIFS(ArchivedLog!$D:$D, ArchivedLog!$B:$B,F$3, ArchivedLog!$A:$A, $A26), ""),
        _xlpm.ie_camera_on_date, IFERROR(AVERAGEIFS(ArchivedLog!$E:$E, ArchivedLog!$B:$B,F$3,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6" s="100" t="str">
        <f>IFERROR(
    _xlfn.LET(
        _xlpm.is_data_present, $A26&lt;&gt;0,
        _xlpm.is_camera_present, COUNTIFS(ArchivedLog!$A:$A, $A26, ArchivedLog!$B:$B, G$3),
        _xlpm.we_camera_on_date, IFERROR(AVERAGEIFS(ArchivedLog!$D:$D, ArchivedLog!$B:$B,G$3, ArchivedLog!$A:$A, $A26), ""),
        _xlpm.ie_camera_on_date, IFERROR(AVERAGEIFS(ArchivedLog!$E:$E, ArchivedLog!$B:$B,G$3,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6" s="100" t="str">
        <f>IFERROR(
    _xlfn.LET(
        _xlpm.is_data_present, $A26&lt;&gt;0,
        _xlpm.is_camera_present, COUNTIFS(ArchivedLog!$A:$A, $A26, ArchivedLog!$B:$B, H$3),
        _xlpm.we_camera_on_date, IFERROR(AVERAGEIFS(ArchivedLog!$D:$D, ArchivedLog!$B:$B,H$3, ArchivedLog!$A:$A, $A26), ""),
        _xlpm.ie_camera_on_date, IFERROR(AVERAGEIFS(ArchivedLog!$E:$E, ArchivedLog!$B:$B,H$3,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6" s="100" t="str">
        <f>IFERROR(
    _xlfn.LET(
        _xlpm.is_data_present, $A26&lt;&gt;0,
        _xlpm.is_camera_present, COUNTIFS(ArchivedLog!$A:$A, $A26, ArchivedLog!$B:$B, I$3),
        _xlpm.we_camera_on_date, IFERROR(AVERAGEIFS(ArchivedLog!$D:$D, ArchivedLog!$B:$B,I$3, ArchivedLog!$A:$A, $A26), ""),
        _xlpm.ie_camera_on_date, IFERROR(AVERAGEIFS(ArchivedLog!$E:$E, ArchivedLog!$B:$B,I$3,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6" s="100" t="str">
        <f>IFERROR(
    _xlfn.LET(
        _xlpm.is_data_present, $A26&lt;&gt;0,
        _xlpm.is_camera_present, COUNTIFS(ArchivedLog!$A:$A, $A26, ArchivedLog!$B:$B, J$3),
        _xlpm.we_camera_on_date, IFERROR(AVERAGEIFS(ArchivedLog!$D:$D, ArchivedLog!$B:$B,J$3, ArchivedLog!$A:$A, $A26), ""),
        _xlpm.ie_camera_on_date, IFERROR(AVERAGEIFS(ArchivedLog!$E:$E, ArchivedLog!$B:$B,J$3,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6" s="100" t="str">
        <f>IFERROR(
    _xlfn.LET(
        _xlpm.is_data_present, $A26&lt;&gt;0,
        _xlpm.is_camera_present, COUNTIFS(ArchivedLog!$A:$A, $A26, ArchivedLog!$B:$B, K$3),
        _xlpm.we_camera_on_date, IFERROR(AVERAGEIFS(ArchivedLog!$D:$D, ArchivedLog!$B:$B,K$3, ArchivedLog!$A:$A, $A26), ""),
        _xlpm.ie_camera_on_date, IFERROR(AVERAGEIFS(ArchivedLog!$E:$E, ArchivedLog!$B:$B,K$3,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6" s="100" t="str">
        <f>IFERROR(
    _xlfn.LET(
        _xlpm.is_data_present, $A26&lt;&gt;0,
        _xlpm.is_camera_present, COUNTIFS(ArchivedLog!$A:$A, $A26, ArchivedLog!$B:$B, L$3),
        _xlpm.we_camera_on_date, IFERROR(AVERAGEIFS(ArchivedLog!$D:$D, ArchivedLog!$B:$B,L$3, ArchivedLog!$A:$A, $A26), ""),
        _xlpm.ie_camera_on_date, IFERROR(AVERAGEIFS(ArchivedLog!$E:$E, ArchivedLog!$B:$B,L$3,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6" s="100" t="str">
        <f>IFERROR(
    _xlfn.LET(
        _xlpm.is_data_present, $A26&lt;&gt;0,
        _xlpm.is_camera_present, COUNTIFS(ArchivedLog!$A:$A, $A26, ArchivedLog!$B:$B, M$3),
        _xlpm.we_camera_on_date, IFERROR(AVERAGEIFS(ArchivedLog!$D:$D, ArchivedLog!$B:$B,M$3, ArchivedLog!$A:$A, $A26), ""),
        _xlpm.ie_camera_on_date, IFERROR(AVERAGEIFS(ArchivedLog!$E:$E, ArchivedLog!$B:$B,M$3,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6" s="100" t="str">
        <f>IFERROR(
    _xlfn.LET(
        _xlpm.is_data_present, $A26&lt;&gt;0,
        _xlpm.is_camera_present, COUNTIFS(ArchivedLog!$A:$A, $A26, ArchivedLog!$B:$B, N$3),
        _xlpm.we_camera_on_date, IFERROR(AVERAGEIFS(ArchivedLog!$D:$D, ArchivedLog!$B:$B,N$3, ArchivedLog!$A:$A, $A26), ""),
        _xlpm.ie_camera_on_date, IFERROR(AVERAGEIFS(ArchivedLog!$E:$E, ArchivedLog!$B:$B,N$3,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6" s="100" t="str">
        <f>IFERROR(
    _xlfn.LET(
        _xlpm.is_data_present, $A26&lt;&gt;0,
        _xlpm.is_camera_present, COUNTIFS(ArchivedLog!$A:$A, $A26, ArchivedLog!$B:$B, O$3),
        _xlpm.we_camera_on_date, IFERROR(AVERAGEIFS(ArchivedLog!$D:$D, ArchivedLog!$B:$B,O$3, ArchivedLog!$A:$A, $A26), ""),
        _xlpm.ie_camera_on_date, IFERROR(AVERAGEIFS(ArchivedLog!$E:$E, ArchivedLog!$B:$B,O$3,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6" s="100" t="str">
        <f>IFERROR(
    _xlfn.LET(
        _xlpm.is_data_present, $A26&lt;&gt;0,
        _xlpm.is_camera_present, COUNTIFS(ArchivedLog!$A:$A, $A26, ArchivedLog!$B:$B, P$3),
        _xlpm.we_camera_on_date, IFERROR(AVERAGEIFS(ArchivedLog!$D:$D, ArchivedLog!$B:$B,P$3, ArchivedLog!$A:$A, $A26), ""),
        _xlpm.ie_camera_on_date, IFERROR(AVERAGEIFS(ArchivedLog!$E:$E, ArchivedLog!$B:$B,P$3,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6" s="100" t="str">
        <f>IFERROR(
    _xlfn.LET(
        _xlpm.is_data_present, $A26&lt;&gt;0,
        _xlpm.is_camera_present, COUNTIFS(ArchivedLog!$A:$A, $A26, ArchivedLog!$B:$B, Q$3),
        _xlpm.we_camera_on_date, IFERROR(AVERAGEIFS(ArchivedLog!$D:$D, ArchivedLog!$B:$B,Q$3, ArchivedLog!$A:$A, $A26), ""),
        _xlpm.ie_camera_on_date, IFERROR(AVERAGEIFS(ArchivedLog!$E:$E, ArchivedLog!$B:$B,Q$3,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6" s="100" t="str">
        <f>IFERROR(
    _xlfn.LET(
        _xlpm.is_data_present, $A26&lt;&gt;0,
        _xlpm.is_camera_present, COUNTIFS(ArchivedLog!$A:$A, $A26, ArchivedLog!$B:$B, R$3),
        _xlpm.we_camera_on_date, IFERROR(AVERAGEIFS(ArchivedLog!$D:$D, ArchivedLog!$B:$B,R$3, ArchivedLog!$A:$A, $A26), ""),
        _xlpm.ie_camera_on_date, IFERROR(AVERAGEIFS(ArchivedLog!$E:$E, ArchivedLog!$B:$B,R$3,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6" s="100" t="str">
        <f>IFERROR(
    _xlfn.LET(
        _xlpm.is_data_present, $A26&lt;&gt;0,
        _xlpm.is_camera_present, COUNTIFS(ArchivedLog!$A:$A, $A26, ArchivedLog!$B:$B, S$3),
        _xlpm.we_camera_on_date, IFERROR(AVERAGEIFS(ArchivedLog!$D:$D, ArchivedLog!$B:$B,S$3, ArchivedLog!$A:$A, $A26), ""),
        _xlpm.ie_camera_on_date, IFERROR(AVERAGEIFS(ArchivedLog!$E:$E, ArchivedLog!$B:$B,S$3, ArchivedLog!$A:$A, $A26), ""),
        _xlpm.we_avg, IFERROR(AVERAGEIFS(ArchivedLog!$D:$D,ArchivedLog!$A:$A,$A26),""),
        _xlpm.ie_avg, IFERROR(AVERAGEIFS(ArchivedLog!$E:$E,ArchivedLog!$A:$A,$A26),""),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7" spans="1:19" x14ac:dyDescent="0.3">
      <c r="A27" s="108">
        <v>0</v>
      </c>
      <c r="B27" s="100" t="str">
        <f>IFERROR(
    _xlfn.LET(
        _xlpm.is_data_present, $A27&lt;&gt;0,
        _xlpm.is_camera_present, COUNTIFS(ArchivedLog!$A:$A, $A27, ArchivedLog!$B:$B, B$3),
        _xlpm.we_camera_on_date, IFERROR(AVERAGEIFS(ArchivedLog!$D:$D, ArchivedLog!$B:$B,B$3, ArchivedLog!$A:$A, $A27), ""),
        _xlpm.ie_camera_on_date, IFERROR(AVERAGEIFS(ArchivedLog!$E:$E, ArchivedLog!$B:$B,B$3,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7" s="100" t="str">
        <f>IFERROR(
    _xlfn.LET(
        _xlpm.is_data_present, $A27&lt;&gt;0,
        _xlpm.is_camera_present, COUNTIFS(ArchivedLog!$A:$A, $A27, ArchivedLog!$B:$B, C$3),
        _xlpm.we_camera_on_date, IFERROR(AVERAGEIFS(ArchivedLog!$D:$D, ArchivedLog!$B:$B,C$3, ArchivedLog!$A:$A, $A27), ""),
        _xlpm.ie_camera_on_date, IFERROR(AVERAGEIFS(ArchivedLog!$E:$E, ArchivedLog!$B:$B,C$3,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7" s="100" t="str">
        <f>IFERROR(
    _xlfn.LET(
        _xlpm.is_data_present, $A27&lt;&gt;0,
        _xlpm.is_camera_present, COUNTIFS(ArchivedLog!$A:$A, $A27, ArchivedLog!$B:$B, D$3),
        _xlpm.we_camera_on_date, IFERROR(AVERAGEIFS(ArchivedLog!$D:$D, ArchivedLog!$B:$B,D$3, ArchivedLog!$A:$A, $A27), ""),
        _xlpm.ie_camera_on_date, IFERROR(AVERAGEIFS(ArchivedLog!$E:$E, ArchivedLog!$B:$B,D$3,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7" s="100" t="str">
        <f>IFERROR(
    _xlfn.LET(
        _xlpm.is_data_present, $A27&lt;&gt;0,
        _xlpm.is_camera_present, COUNTIFS(ArchivedLog!$A:$A, $A27, ArchivedLog!$B:$B, E$3),
        _xlpm.we_camera_on_date, IFERROR(AVERAGEIFS(ArchivedLog!$D:$D, ArchivedLog!$B:$B,E$3, ArchivedLog!$A:$A, $A27), ""),
        _xlpm.ie_camera_on_date, IFERROR(AVERAGEIFS(ArchivedLog!$E:$E, ArchivedLog!$B:$B,E$3,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7" s="100" t="str">
        <f>IFERROR(
    _xlfn.LET(
        _xlpm.is_data_present, $A27&lt;&gt;0,
        _xlpm.is_camera_present, COUNTIFS(ArchivedLog!$A:$A, $A27, ArchivedLog!$B:$B, F$3),
        _xlpm.we_camera_on_date, IFERROR(AVERAGEIFS(ArchivedLog!$D:$D, ArchivedLog!$B:$B,F$3, ArchivedLog!$A:$A, $A27), ""),
        _xlpm.ie_camera_on_date, IFERROR(AVERAGEIFS(ArchivedLog!$E:$E, ArchivedLog!$B:$B,F$3,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7" s="100" t="str">
        <f>IFERROR(
    _xlfn.LET(
        _xlpm.is_data_present, $A27&lt;&gt;0,
        _xlpm.is_camera_present, COUNTIFS(ArchivedLog!$A:$A, $A27, ArchivedLog!$B:$B, G$3),
        _xlpm.we_camera_on_date, IFERROR(AVERAGEIFS(ArchivedLog!$D:$D, ArchivedLog!$B:$B,G$3, ArchivedLog!$A:$A, $A27), ""),
        _xlpm.ie_camera_on_date, IFERROR(AVERAGEIFS(ArchivedLog!$E:$E, ArchivedLog!$B:$B,G$3,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7" s="100" t="str">
        <f>IFERROR(
    _xlfn.LET(
        _xlpm.is_data_present, $A27&lt;&gt;0,
        _xlpm.is_camera_present, COUNTIFS(ArchivedLog!$A:$A, $A27, ArchivedLog!$B:$B, H$3),
        _xlpm.we_camera_on_date, IFERROR(AVERAGEIFS(ArchivedLog!$D:$D, ArchivedLog!$B:$B,H$3, ArchivedLog!$A:$A, $A27), ""),
        _xlpm.ie_camera_on_date, IFERROR(AVERAGEIFS(ArchivedLog!$E:$E, ArchivedLog!$B:$B,H$3,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7" s="100" t="str">
        <f>IFERROR(
    _xlfn.LET(
        _xlpm.is_data_present, $A27&lt;&gt;0,
        _xlpm.is_camera_present, COUNTIFS(ArchivedLog!$A:$A, $A27, ArchivedLog!$B:$B, I$3),
        _xlpm.we_camera_on_date, IFERROR(AVERAGEIFS(ArchivedLog!$D:$D, ArchivedLog!$B:$B,I$3, ArchivedLog!$A:$A, $A27), ""),
        _xlpm.ie_camera_on_date, IFERROR(AVERAGEIFS(ArchivedLog!$E:$E, ArchivedLog!$B:$B,I$3,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7" s="100" t="str">
        <f>IFERROR(
    _xlfn.LET(
        _xlpm.is_data_present, $A27&lt;&gt;0,
        _xlpm.is_camera_present, COUNTIFS(ArchivedLog!$A:$A, $A27, ArchivedLog!$B:$B, J$3),
        _xlpm.we_camera_on_date, IFERROR(AVERAGEIFS(ArchivedLog!$D:$D, ArchivedLog!$B:$B,J$3, ArchivedLog!$A:$A, $A27), ""),
        _xlpm.ie_camera_on_date, IFERROR(AVERAGEIFS(ArchivedLog!$E:$E, ArchivedLog!$B:$B,J$3,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7" s="100" t="str">
        <f>IFERROR(
    _xlfn.LET(
        _xlpm.is_data_present, $A27&lt;&gt;0,
        _xlpm.is_camera_present, COUNTIFS(ArchivedLog!$A:$A, $A27, ArchivedLog!$B:$B, K$3),
        _xlpm.we_camera_on_date, IFERROR(AVERAGEIFS(ArchivedLog!$D:$D, ArchivedLog!$B:$B,K$3, ArchivedLog!$A:$A, $A27), ""),
        _xlpm.ie_camera_on_date, IFERROR(AVERAGEIFS(ArchivedLog!$E:$E, ArchivedLog!$B:$B,K$3,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7" s="100" t="str">
        <f>IFERROR(
    _xlfn.LET(
        _xlpm.is_data_present, $A27&lt;&gt;0,
        _xlpm.is_camera_present, COUNTIFS(ArchivedLog!$A:$A, $A27, ArchivedLog!$B:$B, L$3),
        _xlpm.we_camera_on_date, IFERROR(AVERAGEIFS(ArchivedLog!$D:$D, ArchivedLog!$B:$B,L$3, ArchivedLog!$A:$A, $A27), ""),
        _xlpm.ie_camera_on_date, IFERROR(AVERAGEIFS(ArchivedLog!$E:$E, ArchivedLog!$B:$B,L$3,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7" s="100" t="str">
        <f>IFERROR(
    _xlfn.LET(
        _xlpm.is_data_present, $A27&lt;&gt;0,
        _xlpm.is_camera_present, COUNTIFS(ArchivedLog!$A:$A, $A27, ArchivedLog!$B:$B, M$3),
        _xlpm.we_camera_on_date, IFERROR(AVERAGEIFS(ArchivedLog!$D:$D, ArchivedLog!$B:$B,M$3, ArchivedLog!$A:$A, $A27), ""),
        _xlpm.ie_camera_on_date, IFERROR(AVERAGEIFS(ArchivedLog!$E:$E, ArchivedLog!$B:$B,M$3,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7" s="100" t="str">
        <f>IFERROR(
    _xlfn.LET(
        _xlpm.is_data_present, $A27&lt;&gt;0,
        _xlpm.is_camera_present, COUNTIFS(ArchivedLog!$A:$A, $A27, ArchivedLog!$B:$B, N$3),
        _xlpm.we_camera_on_date, IFERROR(AVERAGEIFS(ArchivedLog!$D:$D, ArchivedLog!$B:$B,N$3, ArchivedLog!$A:$A, $A27), ""),
        _xlpm.ie_camera_on_date, IFERROR(AVERAGEIFS(ArchivedLog!$E:$E, ArchivedLog!$B:$B,N$3,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7" s="100" t="str">
        <f>IFERROR(
    _xlfn.LET(
        _xlpm.is_data_present, $A27&lt;&gt;0,
        _xlpm.is_camera_present, COUNTIFS(ArchivedLog!$A:$A, $A27, ArchivedLog!$B:$B, O$3),
        _xlpm.we_camera_on_date, IFERROR(AVERAGEIFS(ArchivedLog!$D:$D, ArchivedLog!$B:$B,O$3, ArchivedLog!$A:$A, $A27), ""),
        _xlpm.ie_camera_on_date, IFERROR(AVERAGEIFS(ArchivedLog!$E:$E, ArchivedLog!$B:$B,O$3,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7" s="100" t="str">
        <f>IFERROR(
    _xlfn.LET(
        _xlpm.is_data_present, $A27&lt;&gt;0,
        _xlpm.is_camera_present, COUNTIFS(ArchivedLog!$A:$A, $A27, ArchivedLog!$B:$B, P$3),
        _xlpm.we_camera_on_date, IFERROR(AVERAGEIFS(ArchivedLog!$D:$D, ArchivedLog!$B:$B,P$3, ArchivedLog!$A:$A, $A27), ""),
        _xlpm.ie_camera_on_date, IFERROR(AVERAGEIFS(ArchivedLog!$E:$E, ArchivedLog!$B:$B,P$3,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7" s="100" t="str">
        <f>IFERROR(
    _xlfn.LET(
        _xlpm.is_data_present, $A27&lt;&gt;0,
        _xlpm.is_camera_present, COUNTIFS(ArchivedLog!$A:$A, $A27, ArchivedLog!$B:$B, Q$3),
        _xlpm.we_camera_on_date, IFERROR(AVERAGEIFS(ArchivedLog!$D:$D, ArchivedLog!$B:$B,Q$3, ArchivedLog!$A:$A, $A27), ""),
        _xlpm.ie_camera_on_date, IFERROR(AVERAGEIFS(ArchivedLog!$E:$E, ArchivedLog!$B:$B,Q$3,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7" s="100" t="str">
        <f>IFERROR(
    _xlfn.LET(
        _xlpm.is_data_present, $A27&lt;&gt;0,
        _xlpm.is_camera_present, COUNTIFS(ArchivedLog!$A:$A, $A27, ArchivedLog!$B:$B, R$3),
        _xlpm.we_camera_on_date, IFERROR(AVERAGEIFS(ArchivedLog!$D:$D, ArchivedLog!$B:$B,R$3, ArchivedLog!$A:$A, $A27), ""),
        _xlpm.ie_camera_on_date, IFERROR(AVERAGEIFS(ArchivedLog!$E:$E, ArchivedLog!$B:$B,R$3,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7" s="100" t="str">
        <f>IFERROR(
    _xlfn.LET(
        _xlpm.is_data_present, $A27&lt;&gt;0,
        _xlpm.is_camera_present, COUNTIFS(ArchivedLog!$A:$A, $A27, ArchivedLog!$B:$B, S$3),
        _xlpm.we_camera_on_date, IFERROR(AVERAGEIFS(ArchivedLog!$D:$D, ArchivedLog!$B:$B,S$3, ArchivedLog!$A:$A, $A27), ""),
        _xlpm.ie_camera_on_date, IFERROR(AVERAGEIFS(ArchivedLog!$E:$E, ArchivedLog!$B:$B,S$3, ArchivedLog!$A:$A, $A27), ""),
        _xlpm.we_avg, IFERROR(AVERAGEIFS(ArchivedLog!$D:$D,ArchivedLog!$A:$A,$A27),""),
        _xlpm.ie_avg, IFERROR(AVERAGEIFS(ArchivedLog!$E:$E,ArchivedLog!$A:$A,$A27),""),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8" spans="1:19" x14ac:dyDescent="0.3">
      <c r="A28" s="108">
        <v>0</v>
      </c>
      <c r="B28" s="100" t="str">
        <f>IFERROR(
    _xlfn.LET(
        _xlpm.is_data_present, $A28&lt;&gt;0,
        _xlpm.is_camera_present, COUNTIFS(ArchivedLog!$A:$A, $A28, ArchivedLog!$B:$B, B$3),
        _xlpm.we_camera_on_date, IFERROR(AVERAGEIFS(ArchivedLog!$D:$D, ArchivedLog!$B:$B,B$3, ArchivedLog!$A:$A, $A28), ""),
        _xlpm.ie_camera_on_date, IFERROR(AVERAGEIFS(ArchivedLog!$E:$E, ArchivedLog!$B:$B,B$3,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8" s="100" t="str">
        <f>IFERROR(
    _xlfn.LET(
        _xlpm.is_data_present, $A28&lt;&gt;0,
        _xlpm.is_camera_present, COUNTIFS(ArchivedLog!$A:$A, $A28, ArchivedLog!$B:$B, C$3),
        _xlpm.we_camera_on_date, IFERROR(AVERAGEIFS(ArchivedLog!$D:$D, ArchivedLog!$B:$B,C$3, ArchivedLog!$A:$A, $A28), ""),
        _xlpm.ie_camera_on_date, IFERROR(AVERAGEIFS(ArchivedLog!$E:$E, ArchivedLog!$B:$B,C$3,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8" s="100" t="str">
        <f>IFERROR(
    _xlfn.LET(
        _xlpm.is_data_present, $A28&lt;&gt;0,
        _xlpm.is_camera_present, COUNTIFS(ArchivedLog!$A:$A, $A28, ArchivedLog!$B:$B, D$3),
        _xlpm.we_camera_on_date, IFERROR(AVERAGEIFS(ArchivedLog!$D:$D, ArchivedLog!$B:$B,D$3, ArchivedLog!$A:$A, $A28), ""),
        _xlpm.ie_camera_on_date, IFERROR(AVERAGEIFS(ArchivedLog!$E:$E, ArchivedLog!$B:$B,D$3,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8" s="100" t="str">
        <f>IFERROR(
    _xlfn.LET(
        _xlpm.is_data_present, $A28&lt;&gt;0,
        _xlpm.is_camera_present, COUNTIFS(ArchivedLog!$A:$A, $A28, ArchivedLog!$B:$B, E$3),
        _xlpm.we_camera_on_date, IFERROR(AVERAGEIFS(ArchivedLog!$D:$D, ArchivedLog!$B:$B,E$3, ArchivedLog!$A:$A, $A28), ""),
        _xlpm.ie_camera_on_date, IFERROR(AVERAGEIFS(ArchivedLog!$E:$E, ArchivedLog!$B:$B,E$3,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8" s="100" t="str">
        <f>IFERROR(
    _xlfn.LET(
        _xlpm.is_data_present, $A28&lt;&gt;0,
        _xlpm.is_camera_present, COUNTIFS(ArchivedLog!$A:$A, $A28, ArchivedLog!$B:$B, F$3),
        _xlpm.we_camera_on_date, IFERROR(AVERAGEIFS(ArchivedLog!$D:$D, ArchivedLog!$B:$B,F$3, ArchivedLog!$A:$A, $A28), ""),
        _xlpm.ie_camera_on_date, IFERROR(AVERAGEIFS(ArchivedLog!$E:$E, ArchivedLog!$B:$B,F$3,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8" s="100" t="str">
        <f>IFERROR(
    _xlfn.LET(
        _xlpm.is_data_present, $A28&lt;&gt;0,
        _xlpm.is_camera_present, COUNTIFS(ArchivedLog!$A:$A, $A28, ArchivedLog!$B:$B, G$3),
        _xlpm.we_camera_on_date, IFERROR(AVERAGEIFS(ArchivedLog!$D:$D, ArchivedLog!$B:$B,G$3, ArchivedLog!$A:$A, $A28), ""),
        _xlpm.ie_camera_on_date, IFERROR(AVERAGEIFS(ArchivedLog!$E:$E, ArchivedLog!$B:$B,G$3,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8" s="100" t="str">
        <f>IFERROR(
    _xlfn.LET(
        _xlpm.is_data_present, $A28&lt;&gt;0,
        _xlpm.is_camera_present, COUNTIFS(ArchivedLog!$A:$A, $A28, ArchivedLog!$B:$B, H$3),
        _xlpm.we_camera_on_date, IFERROR(AVERAGEIFS(ArchivedLog!$D:$D, ArchivedLog!$B:$B,H$3, ArchivedLog!$A:$A, $A28), ""),
        _xlpm.ie_camera_on_date, IFERROR(AVERAGEIFS(ArchivedLog!$E:$E, ArchivedLog!$B:$B,H$3,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8" s="100" t="str">
        <f>IFERROR(
    _xlfn.LET(
        _xlpm.is_data_present, $A28&lt;&gt;0,
        _xlpm.is_camera_present, COUNTIFS(ArchivedLog!$A:$A, $A28, ArchivedLog!$B:$B, I$3),
        _xlpm.we_camera_on_date, IFERROR(AVERAGEIFS(ArchivedLog!$D:$D, ArchivedLog!$B:$B,I$3, ArchivedLog!$A:$A, $A28), ""),
        _xlpm.ie_camera_on_date, IFERROR(AVERAGEIFS(ArchivedLog!$E:$E, ArchivedLog!$B:$B,I$3,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8" s="100" t="str">
        <f>IFERROR(
    _xlfn.LET(
        _xlpm.is_data_present, $A28&lt;&gt;0,
        _xlpm.is_camera_present, COUNTIFS(ArchivedLog!$A:$A, $A28, ArchivedLog!$B:$B, J$3),
        _xlpm.we_camera_on_date, IFERROR(AVERAGEIFS(ArchivedLog!$D:$D, ArchivedLog!$B:$B,J$3, ArchivedLog!$A:$A, $A28), ""),
        _xlpm.ie_camera_on_date, IFERROR(AVERAGEIFS(ArchivedLog!$E:$E, ArchivedLog!$B:$B,J$3,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8" s="100" t="str">
        <f>IFERROR(
    _xlfn.LET(
        _xlpm.is_data_present, $A28&lt;&gt;0,
        _xlpm.is_camera_present, COUNTIFS(ArchivedLog!$A:$A, $A28, ArchivedLog!$B:$B, K$3),
        _xlpm.we_camera_on_date, IFERROR(AVERAGEIFS(ArchivedLog!$D:$D, ArchivedLog!$B:$B,K$3, ArchivedLog!$A:$A, $A28), ""),
        _xlpm.ie_camera_on_date, IFERROR(AVERAGEIFS(ArchivedLog!$E:$E, ArchivedLog!$B:$B,K$3,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8" s="100" t="str">
        <f>IFERROR(
    _xlfn.LET(
        _xlpm.is_data_present, $A28&lt;&gt;0,
        _xlpm.is_camera_present, COUNTIFS(ArchivedLog!$A:$A, $A28, ArchivedLog!$B:$B, L$3),
        _xlpm.we_camera_on_date, IFERROR(AVERAGEIFS(ArchivedLog!$D:$D, ArchivedLog!$B:$B,L$3, ArchivedLog!$A:$A, $A28), ""),
        _xlpm.ie_camera_on_date, IFERROR(AVERAGEIFS(ArchivedLog!$E:$E, ArchivedLog!$B:$B,L$3,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8" s="100" t="str">
        <f>IFERROR(
    _xlfn.LET(
        _xlpm.is_data_present, $A28&lt;&gt;0,
        _xlpm.is_camera_present, COUNTIFS(ArchivedLog!$A:$A, $A28, ArchivedLog!$B:$B, M$3),
        _xlpm.we_camera_on_date, IFERROR(AVERAGEIFS(ArchivedLog!$D:$D, ArchivedLog!$B:$B,M$3, ArchivedLog!$A:$A, $A28), ""),
        _xlpm.ie_camera_on_date, IFERROR(AVERAGEIFS(ArchivedLog!$E:$E, ArchivedLog!$B:$B,M$3,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8" s="100" t="str">
        <f>IFERROR(
    _xlfn.LET(
        _xlpm.is_data_present, $A28&lt;&gt;0,
        _xlpm.is_camera_present, COUNTIFS(ArchivedLog!$A:$A, $A28, ArchivedLog!$B:$B, N$3),
        _xlpm.we_camera_on_date, IFERROR(AVERAGEIFS(ArchivedLog!$D:$D, ArchivedLog!$B:$B,N$3, ArchivedLog!$A:$A, $A28), ""),
        _xlpm.ie_camera_on_date, IFERROR(AVERAGEIFS(ArchivedLog!$E:$E, ArchivedLog!$B:$B,N$3,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8" s="100" t="str">
        <f>IFERROR(
    _xlfn.LET(
        _xlpm.is_data_present, $A28&lt;&gt;0,
        _xlpm.is_camera_present, COUNTIFS(ArchivedLog!$A:$A, $A28, ArchivedLog!$B:$B, O$3),
        _xlpm.we_camera_on_date, IFERROR(AVERAGEIFS(ArchivedLog!$D:$D, ArchivedLog!$B:$B,O$3, ArchivedLog!$A:$A, $A28), ""),
        _xlpm.ie_camera_on_date, IFERROR(AVERAGEIFS(ArchivedLog!$E:$E, ArchivedLog!$B:$B,O$3,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8" s="100" t="str">
        <f>IFERROR(
    _xlfn.LET(
        _xlpm.is_data_present, $A28&lt;&gt;0,
        _xlpm.is_camera_present, COUNTIFS(ArchivedLog!$A:$A, $A28, ArchivedLog!$B:$B, P$3),
        _xlpm.we_camera_on_date, IFERROR(AVERAGEIFS(ArchivedLog!$D:$D, ArchivedLog!$B:$B,P$3, ArchivedLog!$A:$A, $A28), ""),
        _xlpm.ie_camera_on_date, IFERROR(AVERAGEIFS(ArchivedLog!$E:$E, ArchivedLog!$B:$B,P$3,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8" s="100" t="str">
        <f>IFERROR(
    _xlfn.LET(
        _xlpm.is_data_present, $A28&lt;&gt;0,
        _xlpm.is_camera_present, COUNTIFS(ArchivedLog!$A:$A, $A28, ArchivedLog!$B:$B, Q$3),
        _xlpm.we_camera_on_date, IFERROR(AVERAGEIFS(ArchivedLog!$D:$D, ArchivedLog!$B:$B,Q$3, ArchivedLog!$A:$A, $A28), ""),
        _xlpm.ie_camera_on_date, IFERROR(AVERAGEIFS(ArchivedLog!$E:$E, ArchivedLog!$B:$B,Q$3,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8" s="100" t="str">
        <f>IFERROR(
    _xlfn.LET(
        _xlpm.is_data_present, $A28&lt;&gt;0,
        _xlpm.is_camera_present, COUNTIFS(ArchivedLog!$A:$A, $A28, ArchivedLog!$B:$B, R$3),
        _xlpm.we_camera_on_date, IFERROR(AVERAGEIFS(ArchivedLog!$D:$D, ArchivedLog!$B:$B,R$3, ArchivedLog!$A:$A, $A28), ""),
        _xlpm.ie_camera_on_date, IFERROR(AVERAGEIFS(ArchivedLog!$E:$E, ArchivedLog!$B:$B,R$3,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8" s="100" t="str">
        <f>IFERROR(
    _xlfn.LET(
        _xlpm.is_data_present, $A28&lt;&gt;0,
        _xlpm.is_camera_present, COUNTIFS(ArchivedLog!$A:$A, $A28, ArchivedLog!$B:$B, S$3),
        _xlpm.we_camera_on_date, IFERROR(AVERAGEIFS(ArchivedLog!$D:$D, ArchivedLog!$B:$B,S$3, ArchivedLog!$A:$A, $A28), ""),
        _xlpm.ie_camera_on_date, IFERROR(AVERAGEIFS(ArchivedLog!$E:$E, ArchivedLog!$B:$B,S$3, ArchivedLog!$A:$A, $A28), ""),
        _xlpm.we_avg, IFERROR(AVERAGEIFS(ArchivedLog!$D:$D,ArchivedLog!$A:$A,$A28),""),
        _xlpm.ie_avg, IFERROR(AVERAGEIFS(ArchivedLog!$E:$E,ArchivedLog!$A:$A,$A28),""),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9" spans="1:19" x14ac:dyDescent="0.3">
      <c r="A29" s="108">
        <v>0</v>
      </c>
      <c r="B29" s="100" t="str">
        <f>IFERROR(
    _xlfn.LET(
        _xlpm.is_data_present, $A29&lt;&gt;0,
        _xlpm.is_camera_present, COUNTIFS(ArchivedLog!$A:$A, $A29, ArchivedLog!$B:$B, B$3),
        _xlpm.we_camera_on_date, IFERROR(AVERAGEIFS(ArchivedLog!$D:$D, ArchivedLog!$B:$B,B$3, ArchivedLog!$A:$A, $A29), ""),
        _xlpm.ie_camera_on_date, IFERROR(AVERAGEIFS(ArchivedLog!$E:$E, ArchivedLog!$B:$B,B$3,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9" s="100" t="str">
        <f>IFERROR(
    _xlfn.LET(
        _xlpm.is_data_present, $A29&lt;&gt;0,
        _xlpm.is_camera_present, COUNTIFS(ArchivedLog!$A:$A, $A29, ArchivedLog!$B:$B, C$3),
        _xlpm.we_camera_on_date, IFERROR(AVERAGEIFS(ArchivedLog!$D:$D, ArchivedLog!$B:$B,C$3, ArchivedLog!$A:$A, $A29), ""),
        _xlpm.ie_camera_on_date, IFERROR(AVERAGEIFS(ArchivedLog!$E:$E, ArchivedLog!$B:$B,C$3,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9" s="100" t="str">
        <f>IFERROR(
    _xlfn.LET(
        _xlpm.is_data_present, $A29&lt;&gt;0,
        _xlpm.is_camera_present, COUNTIFS(ArchivedLog!$A:$A, $A29, ArchivedLog!$B:$B, D$3),
        _xlpm.we_camera_on_date, IFERROR(AVERAGEIFS(ArchivedLog!$D:$D, ArchivedLog!$B:$B,D$3, ArchivedLog!$A:$A, $A29), ""),
        _xlpm.ie_camera_on_date, IFERROR(AVERAGEIFS(ArchivedLog!$E:$E, ArchivedLog!$B:$B,D$3,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9" s="100" t="str">
        <f>IFERROR(
    _xlfn.LET(
        _xlpm.is_data_present, $A29&lt;&gt;0,
        _xlpm.is_camera_present, COUNTIFS(ArchivedLog!$A:$A, $A29, ArchivedLog!$B:$B, E$3),
        _xlpm.we_camera_on_date, IFERROR(AVERAGEIFS(ArchivedLog!$D:$D, ArchivedLog!$B:$B,E$3, ArchivedLog!$A:$A, $A29), ""),
        _xlpm.ie_camera_on_date, IFERROR(AVERAGEIFS(ArchivedLog!$E:$E, ArchivedLog!$B:$B,E$3,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9" s="100" t="str">
        <f>IFERROR(
    _xlfn.LET(
        _xlpm.is_data_present, $A29&lt;&gt;0,
        _xlpm.is_camera_present, COUNTIFS(ArchivedLog!$A:$A, $A29, ArchivedLog!$B:$B, F$3),
        _xlpm.we_camera_on_date, IFERROR(AVERAGEIFS(ArchivedLog!$D:$D, ArchivedLog!$B:$B,F$3, ArchivedLog!$A:$A, $A29), ""),
        _xlpm.ie_camera_on_date, IFERROR(AVERAGEIFS(ArchivedLog!$E:$E, ArchivedLog!$B:$B,F$3,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9" s="100" t="str">
        <f>IFERROR(
    _xlfn.LET(
        _xlpm.is_data_present, $A29&lt;&gt;0,
        _xlpm.is_camera_present, COUNTIFS(ArchivedLog!$A:$A, $A29, ArchivedLog!$B:$B, G$3),
        _xlpm.we_camera_on_date, IFERROR(AVERAGEIFS(ArchivedLog!$D:$D, ArchivedLog!$B:$B,G$3, ArchivedLog!$A:$A, $A29), ""),
        _xlpm.ie_camera_on_date, IFERROR(AVERAGEIFS(ArchivedLog!$E:$E, ArchivedLog!$B:$B,G$3,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9" s="100" t="str">
        <f>IFERROR(
    _xlfn.LET(
        _xlpm.is_data_present, $A29&lt;&gt;0,
        _xlpm.is_camera_present, COUNTIFS(ArchivedLog!$A:$A, $A29, ArchivedLog!$B:$B, H$3),
        _xlpm.we_camera_on_date, IFERROR(AVERAGEIFS(ArchivedLog!$D:$D, ArchivedLog!$B:$B,H$3, ArchivedLog!$A:$A, $A29), ""),
        _xlpm.ie_camera_on_date, IFERROR(AVERAGEIFS(ArchivedLog!$E:$E, ArchivedLog!$B:$B,H$3,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9" s="100" t="str">
        <f>IFERROR(
    _xlfn.LET(
        _xlpm.is_data_present, $A29&lt;&gt;0,
        _xlpm.is_camera_present, COUNTIFS(ArchivedLog!$A:$A, $A29, ArchivedLog!$B:$B, I$3),
        _xlpm.we_camera_on_date, IFERROR(AVERAGEIFS(ArchivedLog!$D:$D, ArchivedLog!$B:$B,I$3, ArchivedLog!$A:$A, $A29), ""),
        _xlpm.ie_camera_on_date, IFERROR(AVERAGEIFS(ArchivedLog!$E:$E, ArchivedLog!$B:$B,I$3,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9" s="100" t="str">
        <f>IFERROR(
    _xlfn.LET(
        _xlpm.is_data_present, $A29&lt;&gt;0,
        _xlpm.is_camera_present, COUNTIFS(ArchivedLog!$A:$A, $A29, ArchivedLog!$B:$B, J$3),
        _xlpm.we_camera_on_date, IFERROR(AVERAGEIFS(ArchivedLog!$D:$D, ArchivedLog!$B:$B,J$3, ArchivedLog!$A:$A, $A29), ""),
        _xlpm.ie_camera_on_date, IFERROR(AVERAGEIFS(ArchivedLog!$E:$E, ArchivedLog!$B:$B,J$3,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9" s="100" t="str">
        <f>IFERROR(
    _xlfn.LET(
        _xlpm.is_data_present, $A29&lt;&gt;0,
        _xlpm.is_camera_present, COUNTIFS(ArchivedLog!$A:$A, $A29, ArchivedLog!$B:$B, K$3),
        _xlpm.we_camera_on_date, IFERROR(AVERAGEIFS(ArchivedLog!$D:$D, ArchivedLog!$B:$B,K$3, ArchivedLog!$A:$A, $A29), ""),
        _xlpm.ie_camera_on_date, IFERROR(AVERAGEIFS(ArchivedLog!$E:$E, ArchivedLog!$B:$B,K$3,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9" s="100" t="str">
        <f>IFERROR(
    _xlfn.LET(
        _xlpm.is_data_present, $A29&lt;&gt;0,
        _xlpm.is_camera_present, COUNTIFS(ArchivedLog!$A:$A, $A29, ArchivedLog!$B:$B, L$3),
        _xlpm.we_camera_on_date, IFERROR(AVERAGEIFS(ArchivedLog!$D:$D, ArchivedLog!$B:$B,L$3, ArchivedLog!$A:$A, $A29), ""),
        _xlpm.ie_camera_on_date, IFERROR(AVERAGEIFS(ArchivedLog!$E:$E, ArchivedLog!$B:$B,L$3,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9" s="100" t="str">
        <f>IFERROR(
    _xlfn.LET(
        _xlpm.is_data_present, $A29&lt;&gt;0,
        _xlpm.is_camera_present, COUNTIFS(ArchivedLog!$A:$A, $A29, ArchivedLog!$B:$B, M$3),
        _xlpm.we_camera_on_date, IFERROR(AVERAGEIFS(ArchivedLog!$D:$D, ArchivedLog!$B:$B,M$3, ArchivedLog!$A:$A, $A29), ""),
        _xlpm.ie_camera_on_date, IFERROR(AVERAGEIFS(ArchivedLog!$E:$E, ArchivedLog!$B:$B,M$3,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9" s="100" t="str">
        <f>IFERROR(
    _xlfn.LET(
        _xlpm.is_data_present, $A29&lt;&gt;0,
        _xlpm.is_camera_present, COUNTIFS(ArchivedLog!$A:$A, $A29, ArchivedLog!$B:$B, N$3),
        _xlpm.we_camera_on_date, IFERROR(AVERAGEIFS(ArchivedLog!$D:$D, ArchivedLog!$B:$B,N$3, ArchivedLog!$A:$A, $A29), ""),
        _xlpm.ie_camera_on_date, IFERROR(AVERAGEIFS(ArchivedLog!$E:$E, ArchivedLog!$B:$B,N$3,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9" s="100" t="str">
        <f>IFERROR(
    _xlfn.LET(
        _xlpm.is_data_present, $A29&lt;&gt;0,
        _xlpm.is_camera_present, COUNTIFS(ArchivedLog!$A:$A, $A29, ArchivedLog!$B:$B, O$3),
        _xlpm.we_camera_on_date, IFERROR(AVERAGEIFS(ArchivedLog!$D:$D, ArchivedLog!$B:$B,O$3, ArchivedLog!$A:$A, $A29), ""),
        _xlpm.ie_camera_on_date, IFERROR(AVERAGEIFS(ArchivedLog!$E:$E, ArchivedLog!$B:$B,O$3,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9" s="100" t="str">
        <f>IFERROR(
    _xlfn.LET(
        _xlpm.is_data_present, $A29&lt;&gt;0,
        _xlpm.is_camera_present, COUNTIFS(ArchivedLog!$A:$A, $A29, ArchivedLog!$B:$B, P$3),
        _xlpm.we_camera_on_date, IFERROR(AVERAGEIFS(ArchivedLog!$D:$D, ArchivedLog!$B:$B,P$3, ArchivedLog!$A:$A, $A29), ""),
        _xlpm.ie_camera_on_date, IFERROR(AVERAGEIFS(ArchivedLog!$E:$E, ArchivedLog!$B:$B,P$3,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9" s="100" t="str">
        <f>IFERROR(
    _xlfn.LET(
        _xlpm.is_data_present, $A29&lt;&gt;0,
        _xlpm.is_camera_present, COUNTIFS(ArchivedLog!$A:$A, $A29, ArchivedLog!$B:$B, Q$3),
        _xlpm.we_camera_on_date, IFERROR(AVERAGEIFS(ArchivedLog!$D:$D, ArchivedLog!$B:$B,Q$3, ArchivedLog!$A:$A, $A29), ""),
        _xlpm.ie_camera_on_date, IFERROR(AVERAGEIFS(ArchivedLog!$E:$E, ArchivedLog!$B:$B,Q$3,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9" s="100" t="str">
        <f>IFERROR(
    _xlfn.LET(
        _xlpm.is_data_present, $A29&lt;&gt;0,
        _xlpm.is_camera_present, COUNTIFS(ArchivedLog!$A:$A, $A29, ArchivedLog!$B:$B, R$3),
        _xlpm.we_camera_on_date, IFERROR(AVERAGEIFS(ArchivedLog!$D:$D, ArchivedLog!$B:$B,R$3, ArchivedLog!$A:$A, $A29), ""),
        _xlpm.ie_camera_on_date, IFERROR(AVERAGEIFS(ArchivedLog!$E:$E, ArchivedLog!$B:$B,R$3,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9" s="100" t="str">
        <f>IFERROR(
    _xlfn.LET(
        _xlpm.is_data_present, $A29&lt;&gt;0,
        _xlpm.is_camera_present, COUNTIFS(ArchivedLog!$A:$A, $A29, ArchivedLog!$B:$B, S$3),
        _xlpm.we_camera_on_date, IFERROR(AVERAGEIFS(ArchivedLog!$D:$D, ArchivedLog!$B:$B,S$3, ArchivedLog!$A:$A, $A29), ""),
        _xlpm.ie_camera_on_date, IFERROR(AVERAGEIFS(ArchivedLog!$E:$E, ArchivedLog!$B:$B,S$3, ArchivedLog!$A:$A, $A29), ""),
        _xlpm.we_avg, IFERROR(AVERAGEIFS(ArchivedLog!$D:$D,ArchivedLog!$A:$A,$A29),""),
        _xlpm.ie_avg, IFERROR(AVERAGEIFS(ArchivedLog!$E:$E,ArchivedLog!$A:$A,$A29),""),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0" spans="1:19" x14ac:dyDescent="0.3">
      <c r="A30" s="108">
        <v>0</v>
      </c>
      <c r="B30" s="100" t="str">
        <f>IFERROR(
    _xlfn.LET(
        _xlpm.is_data_present, $A30&lt;&gt;0,
        _xlpm.is_camera_present, COUNTIFS(ArchivedLog!$A:$A, $A30, ArchivedLog!$B:$B, B$3),
        _xlpm.we_camera_on_date, IFERROR(AVERAGEIFS(ArchivedLog!$D:$D, ArchivedLog!$B:$B,B$3, ArchivedLog!$A:$A, $A30), ""),
        _xlpm.ie_camera_on_date, IFERROR(AVERAGEIFS(ArchivedLog!$E:$E, ArchivedLog!$B:$B,B$3,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30" s="100" t="str">
        <f>IFERROR(
    _xlfn.LET(
        _xlpm.is_data_present, $A30&lt;&gt;0,
        _xlpm.is_camera_present, COUNTIFS(ArchivedLog!$A:$A, $A30, ArchivedLog!$B:$B, C$3),
        _xlpm.we_camera_on_date, IFERROR(AVERAGEIFS(ArchivedLog!$D:$D, ArchivedLog!$B:$B,C$3, ArchivedLog!$A:$A, $A30), ""),
        _xlpm.ie_camera_on_date, IFERROR(AVERAGEIFS(ArchivedLog!$E:$E, ArchivedLog!$B:$B,C$3,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0" s="100" t="str">
        <f>IFERROR(
    _xlfn.LET(
        _xlpm.is_data_present, $A30&lt;&gt;0,
        _xlpm.is_camera_present, COUNTIFS(ArchivedLog!$A:$A, $A30, ArchivedLog!$B:$B, D$3),
        _xlpm.we_camera_on_date, IFERROR(AVERAGEIFS(ArchivedLog!$D:$D, ArchivedLog!$B:$B,D$3, ArchivedLog!$A:$A, $A30), ""),
        _xlpm.ie_camera_on_date, IFERROR(AVERAGEIFS(ArchivedLog!$E:$E, ArchivedLog!$B:$B,D$3,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0" s="100" t="str">
        <f>IFERROR(
    _xlfn.LET(
        _xlpm.is_data_present, $A30&lt;&gt;0,
        _xlpm.is_camera_present, COUNTIFS(ArchivedLog!$A:$A, $A30, ArchivedLog!$B:$B, E$3),
        _xlpm.we_camera_on_date, IFERROR(AVERAGEIFS(ArchivedLog!$D:$D, ArchivedLog!$B:$B,E$3, ArchivedLog!$A:$A, $A30), ""),
        _xlpm.ie_camera_on_date, IFERROR(AVERAGEIFS(ArchivedLog!$E:$E, ArchivedLog!$B:$B,E$3,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0" s="100" t="str">
        <f>IFERROR(
    _xlfn.LET(
        _xlpm.is_data_present, $A30&lt;&gt;0,
        _xlpm.is_camera_present, COUNTIFS(ArchivedLog!$A:$A, $A30, ArchivedLog!$B:$B, F$3),
        _xlpm.we_camera_on_date, IFERROR(AVERAGEIFS(ArchivedLog!$D:$D, ArchivedLog!$B:$B,F$3, ArchivedLog!$A:$A, $A30), ""),
        _xlpm.ie_camera_on_date, IFERROR(AVERAGEIFS(ArchivedLog!$E:$E, ArchivedLog!$B:$B,F$3,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0" s="100" t="str">
        <f>IFERROR(
    _xlfn.LET(
        _xlpm.is_data_present, $A30&lt;&gt;0,
        _xlpm.is_camera_present, COUNTIFS(ArchivedLog!$A:$A, $A30, ArchivedLog!$B:$B, G$3),
        _xlpm.we_camera_on_date, IFERROR(AVERAGEIFS(ArchivedLog!$D:$D, ArchivedLog!$B:$B,G$3, ArchivedLog!$A:$A, $A30), ""),
        _xlpm.ie_camera_on_date, IFERROR(AVERAGEIFS(ArchivedLog!$E:$E, ArchivedLog!$B:$B,G$3,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0" s="100" t="str">
        <f>IFERROR(
    _xlfn.LET(
        _xlpm.is_data_present, $A30&lt;&gt;0,
        _xlpm.is_camera_present, COUNTIFS(ArchivedLog!$A:$A, $A30, ArchivedLog!$B:$B, H$3),
        _xlpm.we_camera_on_date, IFERROR(AVERAGEIFS(ArchivedLog!$D:$D, ArchivedLog!$B:$B,H$3, ArchivedLog!$A:$A, $A30), ""),
        _xlpm.ie_camera_on_date, IFERROR(AVERAGEIFS(ArchivedLog!$E:$E, ArchivedLog!$B:$B,H$3,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0" s="100" t="str">
        <f>IFERROR(
    _xlfn.LET(
        _xlpm.is_data_present, $A30&lt;&gt;0,
        _xlpm.is_camera_present, COUNTIFS(ArchivedLog!$A:$A, $A30, ArchivedLog!$B:$B, I$3),
        _xlpm.we_camera_on_date, IFERROR(AVERAGEIFS(ArchivedLog!$D:$D, ArchivedLog!$B:$B,I$3, ArchivedLog!$A:$A, $A30), ""),
        _xlpm.ie_camera_on_date, IFERROR(AVERAGEIFS(ArchivedLog!$E:$E, ArchivedLog!$B:$B,I$3,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0" s="100" t="str">
        <f>IFERROR(
    _xlfn.LET(
        _xlpm.is_data_present, $A30&lt;&gt;0,
        _xlpm.is_camera_present, COUNTIFS(ArchivedLog!$A:$A, $A30, ArchivedLog!$B:$B, J$3),
        _xlpm.we_camera_on_date, IFERROR(AVERAGEIFS(ArchivedLog!$D:$D, ArchivedLog!$B:$B,J$3, ArchivedLog!$A:$A, $A30), ""),
        _xlpm.ie_camera_on_date, IFERROR(AVERAGEIFS(ArchivedLog!$E:$E, ArchivedLog!$B:$B,J$3,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0" s="100" t="str">
        <f>IFERROR(
    _xlfn.LET(
        _xlpm.is_data_present, $A30&lt;&gt;0,
        _xlpm.is_camera_present, COUNTIFS(ArchivedLog!$A:$A, $A30, ArchivedLog!$B:$B, K$3),
        _xlpm.we_camera_on_date, IFERROR(AVERAGEIFS(ArchivedLog!$D:$D, ArchivedLog!$B:$B,K$3, ArchivedLog!$A:$A, $A30), ""),
        _xlpm.ie_camera_on_date, IFERROR(AVERAGEIFS(ArchivedLog!$E:$E, ArchivedLog!$B:$B,K$3,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0" s="100" t="str">
        <f>IFERROR(
    _xlfn.LET(
        _xlpm.is_data_present, $A30&lt;&gt;0,
        _xlpm.is_camera_present, COUNTIFS(ArchivedLog!$A:$A, $A30, ArchivedLog!$B:$B, L$3),
        _xlpm.we_camera_on_date, IFERROR(AVERAGEIFS(ArchivedLog!$D:$D, ArchivedLog!$B:$B,L$3, ArchivedLog!$A:$A, $A30), ""),
        _xlpm.ie_camera_on_date, IFERROR(AVERAGEIFS(ArchivedLog!$E:$E, ArchivedLog!$B:$B,L$3,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0" s="100" t="str">
        <f>IFERROR(
    _xlfn.LET(
        _xlpm.is_data_present, $A30&lt;&gt;0,
        _xlpm.is_camera_present, COUNTIFS(ArchivedLog!$A:$A, $A30, ArchivedLog!$B:$B, M$3),
        _xlpm.we_camera_on_date, IFERROR(AVERAGEIFS(ArchivedLog!$D:$D, ArchivedLog!$B:$B,M$3, ArchivedLog!$A:$A, $A30), ""),
        _xlpm.ie_camera_on_date, IFERROR(AVERAGEIFS(ArchivedLog!$E:$E, ArchivedLog!$B:$B,M$3,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0" s="100" t="str">
        <f>IFERROR(
    _xlfn.LET(
        _xlpm.is_data_present, $A30&lt;&gt;0,
        _xlpm.is_camera_present, COUNTIFS(ArchivedLog!$A:$A, $A30, ArchivedLog!$B:$B, N$3),
        _xlpm.we_camera_on_date, IFERROR(AVERAGEIFS(ArchivedLog!$D:$D, ArchivedLog!$B:$B,N$3, ArchivedLog!$A:$A, $A30), ""),
        _xlpm.ie_camera_on_date, IFERROR(AVERAGEIFS(ArchivedLog!$E:$E, ArchivedLog!$B:$B,N$3,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0" s="100" t="str">
        <f>IFERROR(
    _xlfn.LET(
        _xlpm.is_data_present, $A30&lt;&gt;0,
        _xlpm.is_camera_present, COUNTIFS(ArchivedLog!$A:$A, $A30, ArchivedLog!$B:$B, O$3),
        _xlpm.we_camera_on_date, IFERROR(AVERAGEIFS(ArchivedLog!$D:$D, ArchivedLog!$B:$B,O$3, ArchivedLog!$A:$A, $A30), ""),
        _xlpm.ie_camera_on_date, IFERROR(AVERAGEIFS(ArchivedLog!$E:$E, ArchivedLog!$B:$B,O$3,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0" s="100" t="str">
        <f>IFERROR(
    _xlfn.LET(
        _xlpm.is_data_present, $A30&lt;&gt;0,
        _xlpm.is_camera_present, COUNTIFS(ArchivedLog!$A:$A, $A30, ArchivedLog!$B:$B, P$3),
        _xlpm.we_camera_on_date, IFERROR(AVERAGEIFS(ArchivedLog!$D:$D, ArchivedLog!$B:$B,P$3, ArchivedLog!$A:$A, $A30), ""),
        _xlpm.ie_camera_on_date, IFERROR(AVERAGEIFS(ArchivedLog!$E:$E, ArchivedLog!$B:$B,P$3,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0" s="100" t="str">
        <f>IFERROR(
    _xlfn.LET(
        _xlpm.is_data_present, $A30&lt;&gt;0,
        _xlpm.is_camera_present, COUNTIFS(ArchivedLog!$A:$A, $A30, ArchivedLog!$B:$B, Q$3),
        _xlpm.we_camera_on_date, IFERROR(AVERAGEIFS(ArchivedLog!$D:$D, ArchivedLog!$B:$B,Q$3, ArchivedLog!$A:$A, $A30), ""),
        _xlpm.ie_camera_on_date, IFERROR(AVERAGEIFS(ArchivedLog!$E:$E, ArchivedLog!$B:$B,Q$3,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0" s="100" t="str">
        <f>IFERROR(
    _xlfn.LET(
        _xlpm.is_data_present, $A30&lt;&gt;0,
        _xlpm.is_camera_present, COUNTIFS(ArchivedLog!$A:$A, $A30, ArchivedLog!$B:$B, R$3),
        _xlpm.we_camera_on_date, IFERROR(AVERAGEIFS(ArchivedLog!$D:$D, ArchivedLog!$B:$B,R$3, ArchivedLog!$A:$A, $A30), ""),
        _xlpm.ie_camera_on_date, IFERROR(AVERAGEIFS(ArchivedLog!$E:$E, ArchivedLog!$B:$B,R$3,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0" s="100" t="str">
        <f>IFERROR(
    _xlfn.LET(
        _xlpm.is_data_present, $A30&lt;&gt;0,
        _xlpm.is_camera_present, COUNTIFS(ArchivedLog!$A:$A, $A30, ArchivedLog!$B:$B, S$3),
        _xlpm.we_camera_on_date, IFERROR(AVERAGEIFS(ArchivedLog!$D:$D, ArchivedLog!$B:$B,S$3, ArchivedLog!$A:$A, $A30), ""),
        _xlpm.ie_camera_on_date, IFERROR(AVERAGEIFS(ArchivedLog!$E:$E, ArchivedLog!$B:$B,S$3, ArchivedLog!$A:$A, $A30), ""),
        _xlpm.we_avg, IFERROR(AVERAGEIFS(ArchivedLog!$D:$D,ArchivedLog!$A:$A,$A30),""),
        _xlpm.ie_avg, IFERROR(AVERAGEIFS(ArchivedLog!$E:$E,ArchivedLog!$A:$A,$A30),""),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1" spans="1:19" x14ac:dyDescent="0.3">
      <c r="A31" s="108">
        <v>0</v>
      </c>
      <c r="B31" s="100" t="str">
        <f>IFERROR(
    _xlfn.LET(
        _xlpm.is_data_present, $A31&lt;&gt;0,
        _xlpm.is_camera_present, COUNTIFS(ArchivedLog!$A:$A, $A31, ArchivedLog!$B:$B, B$3),
        _xlpm.we_camera_on_date, IFERROR(AVERAGEIFS(ArchivedLog!$D:$D, ArchivedLog!$B:$B,B$3, ArchivedLog!$A:$A, $A31), ""),
        _xlpm.ie_camera_on_date, IFERROR(AVERAGEIFS(ArchivedLog!$E:$E, ArchivedLog!$B:$B,B$3,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31" s="100" t="str">
        <f>IFERROR(
    _xlfn.LET(
        _xlpm.is_data_present, $A31&lt;&gt;0,
        _xlpm.is_camera_present, COUNTIFS(ArchivedLog!$A:$A, $A31, ArchivedLog!$B:$B, C$3),
        _xlpm.we_camera_on_date, IFERROR(AVERAGEIFS(ArchivedLog!$D:$D, ArchivedLog!$B:$B,C$3, ArchivedLog!$A:$A, $A31), ""),
        _xlpm.ie_camera_on_date, IFERROR(AVERAGEIFS(ArchivedLog!$E:$E, ArchivedLog!$B:$B,C$3,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1" s="100" t="str">
        <f>IFERROR(
    _xlfn.LET(
        _xlpm.is_data_present, $A31&lt;&gt;0,
        _xlpm.is_camera_present, COUNTIFS(ArchivedLog!$A:$A, $A31, ArchivedLog!$B:$B, D$3),
        _xlpm.we_camera_on_date, IFERROR(AVERAGEIFS(ArchivedLog!$D:$D, ArchivedLog!$B:$B,D$3, ArchivedLog!$A:$A, $A31), ""),
        _xlpm.ie_camera_on_date, IFERROR(AVERAGEIFS(ArchivedLog!$E:$E, ArchivedLog!$B:$B,D$3,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1" s="100" t="str">
        <f>IFERROR(
    _xlfn.LET(
        _xlpm.is_data_present, $A31&lt;&gt;0,
        _xlpm.is_camera_present, COUNTIFS(ArchivedLog!$A:$A, $A31, ArchivedLog!$B:$B, E$3),
        _xlpm.we_camera_on_date, IFERROR(AVERAGEIFS(ArchivedLog!$D:$D, ArchivedLog!$B:$B,E$3, ArchivedLog!$A:$A, $A31), ""),
        _xlpm.ie_camera_on_date, IFERROR(AVERAGEIFS(ArchivedLog!$E:$E, ArchivedLog!$B:$B,E$3,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1" s="100" t="str">
        <f>IFERROR(
    _xlfn.LET(
        _xlpm.is_data_present, $A31&lt;&gt;0,
        _xlpm.is_camera_present, COUNTIFS(ArchivedLog!$A:$A, $A31, ArchivedLog!$B:$B, F$3),
        _xlpm.we_camera_on_date, IFERROR(AVERAGEIFS(ArchivedLog!$D:$D, ArchivedLog!$B:$B,F$3, ArchivedLog!$A:$A, $A31), ""),
        _xlpm.ie_camera_on_date, IFERROR(AVERAGEIFS(ArchivedLog!$E:$E, ArchivedLog!$B:$B,F$3,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1" s="100" t="str">
        <f>IFERROR(
    _xlfn.LET(
        _xlpm.is_data_present, $A31&lt;&gt;0,
        _xlpm.is_camera_present, COUNTIFS(ArchivedLog!$A:$A, $A31, ArchivedLog!$B:$B, G$3),
        _xlpm.we_camera_on_date, IFERROR(AVERAGEIFS(ArchivedLog!$D:$D, ArchivedLog!$B:$B,G$3, ArchivedLog!$A:$A, $A31), ""),
        _xlpm.ie_camera_on_date, IFERROR(AVERAGEIFS(ArchivedLog!$E:$E, ArchivedLog!$B:$B,G$3,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1" s="100" t="str">
        <f>IFERROR(
    _xlfn.LET(
        _xlpm.is_data_present, $A31&lt;&gt;0,
        _xlpm.is_camera_present, COUNTIFS(ArchivedLog!$A:$A, $A31, ArchivedLog!$B:$B, H$3),
        _xlpm.we_camera_on_date, IFERROR(AVERAGEIFS(ArchivedLog!$D:$D, ArchivedLog!$B:$B,H$3, ArchivedLog!$A:$A, $A31), ""),
        _xlpm.ie_camera_on_date, IFERROR(AVERAGEIFS(ArchivedLog!$E:$E, ArchivedLog!$B:$B,H$3,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1" s="100" t="str">
        <f>IFERROR(
    _xlfn.LET(
        _xlpm.is_data_present, $A31&lt;&gt;0,
        _xlpm.is_camera_present, COUNTIFS(ArchivedLog!$A:$A, $A31, ArchivedLog!$B:$B, I$3),
        _xlpm.we_camera_on_date, IFERROR(AVERAGEIFS(ArchivedLog!$D:$D, ArchivedLog!$B:$B,I$3, ArchivedLog!$A:$A, $A31), ""),
        _xlpm.ie_camera_on_date, IFERROR(AVERAGEIFS(ArchivedLog!$E:$E, ArchivedLog!$B:$B,I$3,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1" s="100" t="str">
        <f>IFERROR(
    _xlfn.LET(
        _xlpm.is_data_present, $A31&lt;&gt;0,
        _xlpm.is_camera_present, COUNTIFS(ArchivedLog!$A:$A, $A31, ArchivedLog!$B:$B, J$3),
        _xlpm.we_camera_on_date, IFERROR(AVERAGEIFS(ArchivedLog!$D:$D, ArchivedLog!$B:$B,J$3, ArchivedLog!$A:$A, $A31), ""),
        _xlpm.ie_camera_on_date, IFERROR(AVERAGEIFS(ArchivedLog!$E:$E, ArchivedLog!$B:$B,J$3,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1" s="100" t="str">
        <f>IFERROR(
    _xlfn.LET(
        _xlpm.is_data_present, $A31&lt;&gt;0,
        _xlpm.is_camera_present, COUNTIFS(ArchivedLog!$A:$A, $A31, ArchivedLog!$B:$B, K$3),
        _xlpm.we_camera_on_date, IFERROR(AVERAGEIFS(ArchivedLog!$D:$D, ArchivedLog!$B:$B,K$3, ArchivedLog!$A:$A, $A31), ""),
        _xlpm.ie_camera_on_date, IFERROR(AVERAGEIFS(ArchivedLog!$E:$E, ArchivedLog!$B:$B,K$3,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1" s="100" t="str">
        <f>IFERROR(
    _xlfn.LET(
        _xlpm.is_data_present, $A31&lt;&gt;0,
        _xlpm.is_camera_present, COUNTIFS(ArchivedLog!$A:$A, $A31, ArchivedLog!$B:$B, L$3),
        _xlpm.we_camera_on_date, IFERROR(AVERAGEIFS(ArchivedLog!$D:$D, ArchivedLog!$B:$B,L$3, ArchivedLog!$A:$A, $A31), ""),
        _xlpm.ie_camera_on_date, IFERROR(AVERAGEIFS(ArchivedLog!$E:$E, ArchivedLog!$B:$B,L$3,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1" s="100" t="str">
        <f>IFERROR(
    _xlfn.LET(
        _xlpm.is_data_present, $A31&lt;&gt;0,
        _xlpm.is_camera_present, COUNTIFS(ArchivedLog!$A:$A, $A31, ArchivedLog!$B:$B, M$3),
        _xlpm.we_camera_on_date, IFERROR(AVERAGEIFS(ArchivedLog!$D:$D, ArchivedLog!$B:$B,M$3, ArchivedLog!$A:$A, $A31), ""),
        _xlpm.ie_camera_on_date, IFERROR(AVERAGEIFS(ArchivedLog!$E:$E, ArchivedLog!$B:$B,M$3,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1" s="100" t="str">
        <f>IFERROR(
    _xlfn.LET(
        _xlpm.is_data_present, $A31&lt;&gt;0,
        _xlpm.is_camera_present, COUNTIFS(ArchivedLog!$A:$A, $A31, ArchivedLog!$B:$B, N$3),
        _xlpm.we_camera_on_date, IFERROR(AVERAGEIFS(ArchivedLog!$D:$D, ArchivedLog!$B:$B,N$3, ArchivedLog!$A:$A, $A31), ""),
        _xlpm.ie_camera_on_date, IFERROR(AVERAGEIFS(ArchivedLog!$E:$E, ArchivedLog!$B:$B,N$3,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1" s="100" t="str">
        <f>IFERROR(
    _xlfn.LET(
        _xlpm.is_data_present, $A31&lt;&gt;0,
        _xlpm.is_camera_present, COUNTIFS(ArchivedLog!$A:$A, $A31, ArchivedLog!$B:$B, O$3),
        _xlpm.we_camera_on_date, IFERROR(AVERAGEIFS(ArchivedLog!$D:$D, ArchivedLog!$B:$B,O$3, ArchivedLog!$A:$A, $A31), ""),
        _xlpm.ie_camera_on_date, IFERROR(AVERAGEIFS(ArchivedLog!$E:$E, ArchivedLog!$B:$B,O$3,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1" s="100" t="str">
        <f>IFERROR(
    _xlfn.LET(
        _xlpm.is_data_present, $A31&lt;&gt;0,
        _xlpm.is_camera_present, COUNTIFS(ArchivedLog!$A:$A, $A31, ArchivedLog!$B:$B, P$3),
        _xlpm.we_camera_on_date, IFERROR(AVERAGEIFS(ArchivedLog!$D:$D, ArchivedLog!$B:$B,P$3, ArchivedLog!$A:$A, $A31), ""),
        _xlpm.ie_camera_on_date, IFERROR(AVERAGEIFS(ArchivedLog!$E:$E, ArchivedLog!$B:$B,P$3,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1" s="100" t="str">
        <f>IFERROR(
    _xlfn.LET(
        _xlpm.is_data_present, $A31&lt;&gt;0,
        _xlpm.is_camera_present, COUNTIFS(ArchivedLog!$A:$A, $A31, ArchivedLog!$B:$B, Q$3),
        _xlpm.we_camera_on_date, IFERROR(AVERAGEIFS(ArchivedLog!$D:$D, ArchivedLog!$B:$B,Q$3, ArchivedLog!$A:$A, $A31), ""),
        _xlpm.ie_camera_on_date, IFERROR(AVERAGEIFS(ArchivedLog!$E:$E, ArchivedLog!$B:$B,Q$3,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1" s="100" t="str">
        <f>IFERROR(
    _xlfn.LET(
        _xlpm.is_data_present, $A31&lt;&gt;0,
        _xlpm.is_camera_present, COUNTIFS(ArchivedLog!$A:$A, $A31, ArchivedLog!$B:$B, R$3),
        _xlpm.we_camera_on_date, IFERROR(AVERAGEIFS(ArchivedLog!$D:$D, ArchivedLog!$B:$B,R$3, ArchivedLog!$A:$A, $A31), ""),
        _xlpm.ie_camera_on_date, IFERROR(AVERAGEIFS(ArchivedLog!$E:$E, ArchivedLog!$B:$B,R$3,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1" s="100" t="str">
        <f>IFERROR(
    _xlfn.LET(
        _xlpm.is_data_present, $A31&lt;&gt;0,
        _xlpm.is_camera_present, COUNTIFS(ArchivedLog!$A:$A, $A31, ArchivedLog!$B:$B, S$3),
        _xlpm.we_camera_on_date, IFERROR(AVERAGEIFS(ArchivedLog!$D:$D, ArchivedLog!$B:$B,S$3, ArchivedLog!$A:$A, $A31), ""),
        _xlpm.ie_camera_on_date, IFERROR(AVERAGEIFS(ArchivedLog!$E:$E, ArchivedLog!$B:$B,S$3, ArchivedLog!$A:$A, $A31), ""),
        _xlpm.we_avg, IFERROR(AVERAGEIFS(ArchivedLog!$D:$D,ArchivedLog!$A:$A,$A31),""),
        _xlpm.ie_avg, IFERROR(AVERAGEIFS(ArchivedLog!$E:$E,ArchivedLog!$A:$A,$A31),""),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2" spans="1:19" x14ac:dyDescent="0.3">
      <c r="A32" s="108">
        <v>0</v>
      </c>
    </row>
    <row r="33" spans="1:1" x14ac:dyDescent="0.3">
      <c r="A33" s="108">
        <v>0</v>
      </c>
    </row>
    <row r="34" spans="1:1" x14ac:dyDescent="0.3">
      <c r="A34" s="108">
        <v>0</v>
      </c>
    </row>
    <row r="35" spans="1:1" x14ac:dyDescent="0.3">
      <c r="A35" s="108">
        <v>0</v>
      </c>
    </row>
    <row r="36" spans="1:1" x14ac:dyDescent="0.3">
      <c r="A36" s="108">
        <v>0</v>
      </c>
    </row>
    <row r="37" spans="1:1" x14ac:dyDescent="0.3">
      <c r="A37" s="108">
        <v>0</v>
      </c>
    </row>
    <row r="38" spans="1:1" x14ac:dyDescent="0.3">
      <c r="A38" s="108">
        <v>0</v>
      </c>
    </row>
    <row r="39" spans="1:1" x14ac:dyDescent="0.3">
      <c r="A39" s="108">
        <v>0</v>
      </c>
    </row>
    <row r="40" spans="1:1" x14ac:dyDescent="0.3">
      <c r="A40" s="108">
        <v>0</v>
      </c>
    </row>
    <row r="41" spans="1:1" x14ac:dyDescent="0.3">
      <c r="A41" s="108">
        <v>0</v>
      </c>
    </row>
    <row r="42" spans="1:1" x14ac:dyDescent="0.3">
      <c r="A42" s="108">
        <v>0</v>
      </c>
    </row>
    <row r="43" spans="1:1" x14ac:dyDescent="0.3">
      <c r="A43" s="108">
        <v>0</v>
      </c>
    </row>
    <row r="44" spans="1:1" x14ac:dyDescent="0.3">
      <c r="A44" s="108">
        <v>0</v>
      </c>
    </row>
    <row r="45" spans="1:1" x14ac:dyDescent="0.3">
      <c r="A45" s="108">
        <v>0</v>
      </c>
    </row>
    <row r="46" spans="1:1" x14ac:dyDescent="0.3">
      <c r="A46" s="108">
        <v>0</v>
      </c>
    </row>
    <row r="47" spans="1:1" x14ac:dyDescent="0.3">
      <c r="A47" s="108">
        <v>0</v>
      </c>
    </row>
    <row r="48" spans="1:1" x14ac:dyDescent="0.3">
      <c r="A48" s="108">
        <v>0</v>
      </c>
    </row>
    <row r="49" spans="1:1" x14ac:dyDescent="0.3">
      <c r="A49" s="108">
        <v>0</v>
      </c>
    </row>
    <row r="50" spans="1:1" x14ac:dyDescent="0.3">
      <c r="A50" s="108">
        <v>0</v>
      </c>
    </row>
    <row r="51" spans="1:1" x14ac:dyDescent="0.3">
      <c r="A51" s="108">
        <v>0</v>
      </c>
    </row>
    <row r="52" spans="1:1" x14ac:dyDescent="0.3">
      <c r="A52" s="108">
        <v>0</v>
      </c>
    </row>
    <row r="53" spans="1:1" x14ac:dyDescent="0.3">
      <c r="A53" s="108">
        <v>0</v>
      </c>
    </row>
    <row r="54" spans="1:1" x14ac:dyDescent="0.3">
      <c r="A54" s="108">
        <v>0</v>
      </c>
    </row>
    <row r="55" spans="1:1" x14ac:dyDescent="0.3">
      <c r="A55" s="108">
        <v>0</v>
      </c>
    </row>
    <row r="56" spans="1:1" x14ac:dyDescent="0.3">
      <c r="A56" s="108">
        <v>0</v>
      </c>
    </row>
    <row r="57" spans="1:1" x14ac:dyDescent="0.3">
      <c r="A57" s="108">
        <v>0</v>
      </c>
    </row>
    <row r="58" spans="1:1" x14ac:dyDescent="0.3">
      <c r="A58" s="108">
        <v>0</v>
      </c>
    </row>
    <row r="59" spans="1:1" x14ac:dyDescent="0.3">
      <c r="A59" s="108">
        <v>0</v>
      </c>
    </row>
    <row r="60" spans="1:1" x14ac:dyDescent="0.3">
      <c r="A60" s="108">
        <v>0</v>
      </c>
    </row>
    <row r="61" spans="1:1" x14ac:dyDescent="0.3">
      <c r="A61" s="108">
        <v>0</v>
      </c>
    </row>
    <row r="62" spans="1:1" x14ac:dyDescent="0.3">
      <c r="A62" s="108">
        <v>0</v>
      </c>
    </row>
    <row r="63" spans="1:1" x14ac:dyDescent="0.3">
      <c r="A63" s="108">
        <v>0</v>
      </c>
    </row>
    <row r="64" spans="1:1" x14ac:dyDescent="0.3">
      <c r="A64" s="108">
        <v>0</v>
      </c>
    </row>
    <row r="65" spans="1:1" x14ac:dyDescent="0.3">
      <c r="A65" s="108">
        <v>0</v>
      </c>
    </row>
    <row r="66" spans="1:1" x14ac:dyDescent="0.3">
      <c r="A66" s="108">
        <v>0</v>
      </c>
    </row>
    <row r="67" spans="1:1" x14ac:dyDescent="0.3">
      <c r="A67" s="108">
        <v>0</v>
      </c>
    </row>
    <row r="68" spans="1:1" x14ac:dyDescent="0.3">
      <c r="A68" s="108">
        <v>0</v>
      </c>
    </row>
    <row r="69" spans="1:1" x14ac:dyDescent="0.3">
      <c r="A69" s="108">
        <v>0</v>
      </c>
    </row>
    <row r="70" spans="1:1" x14ac:dyDescent="0.3">
      <c r="A70" s="108">
        <v>0</v>
      </c>
    </row>
    <row r="71" spans="1:1" x14ac:dyDescent="0.3">
      <c r="A71" s="108">
        <v>0</v>
      </c>
    </row>
    <row r="72" spans="1:1" x14ac:dyDescent="0.3">
      <c r="A72" s="108">
        <v>0</v>
      </c>
    </row>
    <row r="73" spans="1:1" x14ac:dyDescent="0.3">
      <c r="A73" s="108">
        <v>0</v>
      </c>
    </row>
    <row r="74" spans="1:1" x14ac:dyDescent="0.3">
      <c r="A74" s="108">
        <v>0</v>
      </c>
    </row>
    <row r="75" spans="1:1" x14ac:dyDescent="0.3">
      <c r="A75" s="108">
        <v>0</v>
      </c>
    </row>
    <row r="76" spans="1:1" x14ac:dyDescent="0.3">
      <c r="A76" s="108">
        <v>0</v>
      </c>
    </row>
    <row r="77" spans="1:1" x14ac:dyDescent="0.3">
      <c r="A77" s="108">
        <v>0</v>
      </c>
    </row>
    <row r="78" spans="1:1" x14ac:dyDescent="0.3">
      <c r="A78" s="108">
        <v>0</v>
      </c>
    </row>
    <row r="79" spans="1:1" x14ac:dyDescent="0.3">
      <c r="A79" s="108">
        <v>0</v>
      </c>
    </row>
    <row r="80" spans="1:1" x14ac:dyDescent="0.3">
      <c r="A80" s="108">
        <v>0</v>
      </c>
    </row>
    <row r="81" spans="1:1" x14ac:dyDescent="0.3">
      <c r="A81" s="108">
        <v>0</v>
      </c>
    </row>
    <row r="82" spans="1:1" x14ac:dyDescent="0.3">
      <c r="A82" s="108">
        <v>0</v>
      </c>
    </row>
    <row r="83" spans="1:1" x14ac:dyDescent="0.3">
      <c r="A83" s="108">
        <v>0</v>
      </c>
    </row>
    <row r="84" spans="1:1" x14ac:dyDescent="0.3">
      <c r="A84" s="108">
        <v>0</v>
      </c>
    </row>
    <row r="85" spans="1:1" x14ac:dyDescent="0.3">
      <c r="A85" s="108">
        <v>0</v>
      </c>
    </row>
    <row r="86" spans="1:1" x14ac:dyDescent="0.3">
      <c r="A86" s="108">
        <v>0</v>
      </c>
    </row>
    <row r="87" spans="1:1" x14ac:dyDescent="0.3">
      <c r="A87" s="108">
        <v>0</v>
      </c>
    </row>
    <row r="88" spans="1:1" x14ac:dyDescent="0.3">
      <c r="A88" s="108">
        <v>0</v>
      </c>
    </row>
    <row r="89" spans="1:1" x14ac:dyDescent="0.3">
      <c r="A89" s="108">
        <v>0</v>
      </c>
    </row>
    <row r="90" spans="1:1" x14ac:dyDescent="0.3">
      <c r="A90" s="108">
        <v>0</v>
      </c>
    </row>
    <row r="91" spans="1:1" x14ac:dyDescent="0.3">
      <c r="A91" s="108">
        <v>0</v>
      </c>
    </row>
    <row r="92" spans="1:1" x14ac:dyDescent="0.3">
      <c r="A92" s="108">
        <v>0</v>
      </c>
    </row>
    <row r="93" spans="1:1" x14ac:dyDescent="0.3">
      <c r="A93" s="108">
        <v>0</v>
      </c>
    </row>
    <row r="94" spans="1:1" x14ac:dyDescent="0.3">
      <c r="A94" s="108">
        <v>0</v>
      </c>
    </row>
    <row r="95" spans="1:1" x14ac:dyDescent="0.3">
      <c r="A95" s="108">
        <v>0</v>
      </c>
    </row>
    <row r="96" spans="1:1" x14ac:dyDescent="0.3">
      <c r="A96" s="108">
        <v>0</v>
      </c>
    </row>
    <row r="97" spans="1:1" x14ac:dyDescent="0.3">
      <c r="A97" s="108">
        <v>0</v>
      </c>
    </row>
    <row r="98" spans="1:1" x14ac:dyDescent="0.3">
      <c r="A98" s="108">
        <v>0</v>
      </c>
    </row>
    <row r="99" spans="1:1" x14ac:dyDescent="0.3">
      <c r="A99" s="108">
        <v>0</v>
      </c>
    </row>
    <row r="100" spans="1:1" x14ac:dyDescent="0.3">
      <c r="A100" s="108">
        <v>0</v>
      </c>
    </row>
    <row r="101" spans="1:1" x14ac:dyDescent="0.3">
      <c r="A101" s="108">
        <v>0</v>
      </c>
    </row>
    <row r="102" spans="1:1" x14ac:dyDescent="0.3">
      <c r="A102" s="108">
        <v>0</v>
      </c>
    </row>
    <row r="103" spans="1:1" x14ac:dyDescent="0.3">
      <c r="A103" s="108">
        <v>0</v>
      </c>
    </row>
    <row r="104" spans="1:1" x14ac:dyDescent="0.3">
      <c r="A104" s="108">
        <v>0</v>
      </c>
    </row>
    <row r="105" spans="1:1" x14ac:dyDescent="0.3">
      <c r="A105" s="108">
        <v>0</v>
      </c>
    </row>
    <row r="106" spans="1:1" x14ac:dyDescent="0.3">
      <c r="A106" s="108">
        <v>0</v>
      </c>
    </row>
    <row r="107" spans="1:1" x14ac:dyDescent="0.3">
      <c r="A107" s="108">
        <v>0</v>
      </c>
    </row>
    <row r="108" spans="1:1" x14ac:dyDescent="0.3">
      <c r="A108" s="108">
        <v>0</v>
      </c>
    </row>
    <row r="109" spans="1:1" x14ac:dyDescent="0.3">
      <c r="A109" s="108">
        <v>0</v>
      </c>
    </row>
    <row r="110" spans="1:1" x14ac:dyDescent="0.3">
      <c r="A110" s="108">
        <v>0</v>
      </c>
    </row>
    <row r="111" spans="1:1" x14ac:dyDescent="0.3">
      <c r="A111" s="108">
        <v>0</v>
      </c>
    </row>
    <row r="112" spans="1:1" x14ac:dyDescent="0.3">
      <c r="A112" s="108">
        <v>0</v>
      </c>
    </row>
    <row r="113" spans="1:1" x14ac:dyDescent="0.3">
      <c r="A113" s="108">
        <v>0</v>
      </c>
    </row>
    <row r="114" spans="1:1" x14ac:dyDescent="0.3">
      <c r="A114" s="108">
        <v>0</v>
      </c>
    </row>
    <row r="115" spans="1:1" x14ac:dyDescent="0.3">
      <c r="A115" s="108">
        <v>0</v>
      </c>
    </row>
    <row r="116" spans="1:1" x14ac:dyDescent="0.3">
      <c r="A116" s="108">
        <v>0</v>
      </c>
    </row>
    <row r="117" spans="1:1" x14ac:dyDescent="0.3">
      <c r="A117" s="108">
        <v>0</v>
      </c>
    </row>
    <row r="118" spans="1:1" x14ac:dyDescent="0.3">
      <c r="A118" s="108">
        <v>0</v>
      </c>
    </row>
    <row r="119" spans="1:1" x14ac:dyDescent="0.3">
      <c r="A119" s="108">
        <v>0</v>
      </c>
    </row>
    <row r="120" spans="1:1" x14ac:dyDescent="0.3">
      <c r="A120" s="108">
        <v>0</v>
      </c>
    </row>
    <row r="121" spans="1:1" x14ac:dyDescent="0.3">
      <c r="A121" s="108">
        <v>0</v>
      </c>
    </row>
    <row r="122" spans="1:1" x14ac:dyDescent="0.3">
      <c r="A122" s="108">
        <v>0</v>
      </c>
    </row>
    <row r="123" spans="1:1" x14ac:dyDescent="0.3">
      <c r="A123" s="108">
        <v>0</v>
      </c>
    </row>
    <row r="124" spans="1:1" x14ac:dyDescent="0.3">
      <c r="A124" s="108">
        <v>0</v>
      </c>
    </row>
    <row r="125" spans="1:1" x14ac:dyDescent="0.3">
      <c r="A125" s="108">
        <v>0</v>
      </c>
    </row>
    <row r="126" spans="1:1" x14ac:dyDescent="0.3">
      <c r="A126" s="108">
        <v>0</v>
      </c>
    </row>
    <row r="127" spans="1:1" x14ac:dyDescent="0.3">
      <c r="A127" s="108">
        <v>0</v>
      </c>
    </row>
    <row r="128" spans="1:1" x14ac:dyDescent="0.3">
      <c r="A128" s="108">
        <v>0</v>
      </c>
    </row>
    <row r="129" spans="1:1" x14ac:dyDescent="0.3">
      <c r="A129" s="108">
        <v>0</v>
      </c>
    </row>
    <row r="130" spans="1:1" x14ac:dyDescent="0.3">
      <c r="A130" s="108">
        <v>0</v>
      </c>
    </row>
    <row r="131" spans="1:1" x14ac:dyDescent="0.3">
      <c r="A131" s="108">
        <v>0</v>
      </c>
    </row>
    <row r="132" spans="1:1" x14ac:dyDescent="0.3">
      <c r="A132" s="108">
        <v>0</v>
      </c>
    </row>
    <row r="133" spans="1:1" x14ac:dyDescent="0.3">
      <c r="A133" s="108">
        <v>0</v>
      </c>
    </row>
    <row r="134" spans="1:1" x14ac:dyDescent="0.3">
      <c r="A134" s="108">
        <v>0</v>
      </c>
    </row>
    <row r="135" spans="1:1" x14ac:dyDescent="0.3">
      <c r="A135" s="108">
        <v>0</v>
      </c>
    </row>
    <row r="136" spans="1:1" x14ac:dyDescent="0.3">
      <c r="A136" s="108">
        <v>0</v>
      </c>
    </row>
    <row r="137" spans="1:1" x14ac:dyDescent="0.3">
      <c r="A137" s="108">
        <v>0</v>
      </c>
    </row>
    <row r="138" spans="1:1" x14ac:dyDescent="0.3">
      <c r="A138" s="108">
        <v>0</v>
      </c>
    </row>
    <row r="139" spans="1:1" x14ac:dyDescent="0.3">
      <c r="A139" s="108">
        <v>0</v>
      </c>
    </row>
    <row r="140" spans="1:1" x14ac:dyDescent="0.3">
      <c r="A140" s="108">
        <v>0</v>
      </c>
    </row>
    <row r="141" spans="1:1" x14ac:dyDescent="0.3">
      <c r="A141" s="108">
        <v>0</v>
      </c>
    </row>
    <row r="142" spans="1:1" x14ac:dyDescent="0.3">
      <c r="A142" s="108">
        <v>0</v>
      </c>
    </row>
    <row r="143" spans="1:1" x14ac:dyDescent="0.3">
      <c r="A143" s="108">
        <v>0</v>
      </c>
    </row>
    <row r="144" spans="1:1" x14ac:dyDescent="0.3">
      <c r="A144" s="108">
        <v>0</v>
      </c>
    </row>
    <row r="145" spans="1:1" x14ac:dyDescent="0.3">
      <c r="A145" s="108">
        <v>0</v>
      </c>
    </row>
    <row r="146" spans="1:1" x14ac:dyDescent="0.3">
      <c r="A146" s="108">
        <v>0</v>
      </c>
    </row>
    <row r="147" spans="1:1" x14ac:dyDescent="0.3">
      <c r="A147" s="108">
        <v>0</v>
      </c>
    </row>
    <row r="148" spans="1:1" x14ac:dyDescent="0.3">
      <c r="A148" s="108">
        <v>0</v>
      </c>
    </row>
    <row r="149" spans="1:1" x14ac:dyDescent="0.3">
      <c r="A149" s="108">
        <v>0</v>
      </c>
    </row>
    <row r="150" spans="1:1" x14ac:dyDescent="0.3">
      <c r="A150" s="108">
        <v>0</v>
      </c>
    </row>
    <row r="151" spans="1:1" x14ac:dyDescent="0.3">
      <c r="A151" s="108">
        <v>0</v>
      </c>
    </row>
    <row r="152" spans="1:1" x14ac:dyDescent="0.3">
      <c r="A152" s="108">
        <v>0</v>
      </c>
    </row>
    <row r="153" spans="1:1" x14ac:dyDescent="0.3">
      <c r="A153" s="108">
        <v>0</v>
      </c>
    </row>
    <row r="154" spans="1:1" x14ac:dyDescent="0.3">
      <c r="A154" s="108">
        <v>0</v>
      </c>
    </row>
    <row r="155" spans="1:1" x14ac:dyDescent="0.3">
      <c r="A155" s="108">
        <v>0</v>
      </c>
    </row>
    <row r="156" spans="1:1" x14ac:dyDescent="0.3">
      <c r="A156" s="108">
        <v>0</v>
      </c>
    </row>
    <row r="157" spans="1:1" x14ac:dyDescent="0.3">
      <c r="A157" s="108">
        <v>0</v>
      </c>
    </row>
    <row r="158" spans="1:1" x14ac:dyDescent="0.3">
      <c r="A158" s="108">
        <v>0</v>
      </c>
    </row>
    <row r="159" spans="1:1" x14ac:dyDescent="0.3">
      <c r="A159" s="108">
        <v>0</v>
      </c>
    </row>
    <row r="160" spans="1:1" x14ac:dyDescent="0.3">
      <c r="A160" s="108">
        <v>0</v>
      </c>
    </row>
    <row r="161" spans="1:1" x14ac:dyDescent="0.3">
      <c r="A161" s="108">
        <v>0</v>
      </c>
    </row>
    <row r="162" spans="1:1" x14ac:dyDescent="0.3">
      <c r="A162" s="108">
        <v>0</v>
      </c>
    </row>
    <row r="163" spans="1:1" x14ac:dyDescent="0.3">
      <c r="A163" s="108">
        <v>0</v>
      </c>
    </row>
    <row r="164" spans="1:1" x14ac:dyDescent="0.3">
      <c r="A164" s="108">
        <v>0</v>
      </c>
    </row>
    <row r="165" spans="1:1" x14ac:dyDescent="0.3">
      <c r="A165" s="108">
        <v>0</v>
      </c>
    </row>
    <row r="166" spans="1:1" x14ac:dyDescent="0.3">
      <c r="A166" s="108">
        <v>0</v>
      </c>
    </row>
    <row r="167" spans="1:1" x14ac:dyDescent="0.3">
      <c r="A167" s="108">
        <v>0</v>
      </c>
    </row>
    <row r="168" spans="1:1" x14ac:dyDescent="0.3">
      <c r="A168" s="108">
        <v>0</v>
      </c>
    </row>
    <row r="169" spans="1:1" x14ac:dyDescent="0.3">
      <c r="A169" s="108">
        <v>0</v>
      </c>
    </row>
    <row r="170" spans="1:1" x14ac:dyDescent="0.3">
      <c r="A170" s="108">
        <v>0</v>
      </c>
    </row>
    <row r="171" spans="1:1" x14ac:dyDescent="0.3">
      <c r="A171" s="108">
        <v>0</v>
      </c>
    </row>
    <row r="172" spans="1:1" x14ac:dyDescent="0.3">
      <c r="A172" s="108">
        <v>0</v>
      </c>
    </row>
    <row r="173" spans="1:1" x14ac:dyDescent="0.3">
      <c r="A173" s="108">
        <v>0</v>
      </c>
    </row>
    <row r="174" spans="1:1" x14ac:dyDescent="0.3">
      <c r="A174" s="108">
        <v>0</v>
      </c>
    </row>
    <row r="175" spans="1:1" x14ac:dyDescent="0.3">
      <c r="A175" s="108">
        <v>0</v>
      </c>
    </row>
    <row r="176" spans="1:1" x14ac:dyDescent="0.3">
      <c r="A176" s="108">
        <v>0</v>
      </c>
    </row>
    <row r="177" spans="1:1" x14ac:dyDescent="0.3">
      <c r="A177" s="108">
        <v>0</v>
      </c>
    </row>
    <row r="178" spans="1:1" x14ac:dyDescent="0.3">
      <c r="A178" s="108">
        <v>0</v>
      </c>
    </row>
    <row r="179" spans="1:1" x14ac:dyDescent="0.3">
      <c r="A179" s="108">
        <v>0</v>
      </c>
    </row>
    <row r="180" spans="1:1" x14ac:dyDescent="0.3">
      <c r="A180" s="108">
        <v>0</v>
      </c>
    </row>
    <row r="181" spans="1:1" x14ac:dyDescent="0.3">
      <c r="A181" s="108">
        <v>0</v>
      </c>
    </row>
    <row r="182" spans="1:1" x14ac:dyDescent="0.3">
      <c r="A182" s="108">
        <v>0</v>
      </c>
    </row>
    <row r="183" spans="1:1" x14ac:dyDescent="0.3">
      <c r="A183" s="108">
        <v>0</v>
      </c>
    </row>
    <row r="184" spans="1:1" x14ac:dyDescent="0.3">
      <c r="A184" s="108">
        <v>0</v>
      </c>
    </row>
    <row r="185" spans="1:1" x14ac:dyDescent="0.3">
      <c r="A185" s="108">
        <v>0</v>
      </c>
    </row>
    <row r="186" spans="1:1" x14ac:dyDescent="0.3">
      <c r="A186" s="108">
        <v>0</v>
      </c>
    </row>
    <row r="187" spans="1:1" x14ac:dyDescent="0.3">
      <c r="A187" s="108">
        <v>0</v>
      </c>
    </row>
    <row r="188" spans="1:1" x14ac:dyDescent="0.3">
      <c r="A188" s="108">
        <v>0</v>
      </c>
    </row>
    <row r="189" spans="1:1" x14ac:dyDescent="0.3">
      <c r="A189" s="108">
        <v>0</v>
      </c>
    </row>
    <row r="190" spans="1:1" x14ac:dyDescent="0.3">
      <c r="A190" s="108">
        <v>0</v>
      </c>
    </row>
    <row r="191" spans="1:1" x14ac:dyDescent="0.3">
      <c r="A191" s="108">
        <v>0</v>
      </c>
    </row>
    <row r="192" spans="1:1" x14ac:dyDescent="0.3">
      <c r="A192" s="108">
        <v>0</v>
      </c>
    </row>
    <row r="193" spans="1:1" x14ac:dyDescent="0.3">
      <c r="A193" s="108">
        <v>0</v>
      </c>
    </row>
    <row r="194" spans="1:1" x14ac:dyDescent="0.3">
      <c r="A194" s="108">
        <v>0</v>
      </c>
    </row>
    <row r="195" spans="1:1" x14ac:dyDescent="0.3">
      <c r="A195" s="108">
        <v>0</v>
      </c>
    </row>
    <row r="196" spans="1:1" x14ac:dyDescent="0.3">
      <c r="A196" s="108">
        <v>0</v>
      </c>
    </row>
    <row r="197" spans="1:1" x14ac:dyDescent="0.3">
      <c r="A197" s="108">
        <v>0</v>
      </c>
    </row>
    <row r="198" spans="1:1" x14ac:dyDescent="0.3">
      <c r="A198" s="108">
        <v>0</v>
      </c>
    </row>
    <row r="199" spans="1:1" x14ac:dyDescent="0.3">
      <c r="A199" s="108">
        <v>0</v>
      </c>
    </row>
    <row r="200" spans="1:1" x14ac:dyDescent="0.3">
      <c r="A200" s="108">
        <v>0</v>
      </c>
    </row>
    <row r="201" spans="1:1" x14ac:dyDescent="0.3">
      <c r="A201" s="108">
        <v>0</v>
      </c>
    </row>
    <row r="202" spans="1:1" x14ac:dyDescent="0.3">
      <c r="A202" s="108">
        <v>0</v>
      </c>
    </row>
    <row r="203" spans="1:1" x14ac:dyDescent="0.3">
      <c r="A203" s="108">
        <v>0</v>
      </c>
    </row>
    <row r="204" spans="1:1" x14ac:dyDescent="0.3">
      <c r="A204" s="108">
        <v>0</v>
      </c>
    </row>
    <row r="205" spans="1:1" x14ac:dyDescent="0.3">
      <c r="A205" s="108">
        <v>0</v>
      </c>
    </row>
    <row r="206" spans="1:1" x14ac:dyDescent="0.3">
      <c r="A206" s="108">
        <v>0</v>
      </c>
    </row>
    <row r="207" spans="1:1" x14ac:dyDescent="0.3">
      <c r="A207" s="108">
        <v>0</v>
      </c>
    </row>
    <row r="208" spans="1:1" x14ac:dyDescent="0.3">
      <c r="A208" s="108">
        <v>0</v>
      </c>
    </row>
    <row r="209" spans="1:1" x14ac:dyDescent="0.3">
      <c r="A209" s="108">
        <v>0</v>
      </c>
    </row>
    <row r="210" spans="1:1" x14ac:dyDescent="0.3">
      <c r="A210" s="108">
        <v>0</v>
      </c>
    </row>
    <row r="211" spans="1:1" x14ac:dyDescent="0.3">
      <c r="A211" s="108">
        <v>0</v>
      </c>
    </row>
    <row r="212" spans="1:1" x14ac:dyDescent="0.3">
      <c r="A212" s="108">
        <v>0</v>
      </c>
    </row>
    <row r="213" spans="1:1" x14ac:dyDescent="0.3">
      <c r="A213" s="108">
        <v>0</v>
      </c>
    </row>
    <row r="214" spans="1:1" x14ac:dyDescent="0.3">
      <c r="A214" s="108">
        <v>0</v>
      </c>
    </row>
    <row r="215" spans="1:1" x14ac:dyDescent="0.3">
      <c r="A215" s="108">
        <v>0</v>
      </c>
    </row>
    <row r="216" spans="1:1" x14ac:dyDescent="0.3">
      <c r="A216" s="108">
        <v>0</v>
      </c>
    </row>
    <row r="217" spans="1:1" x14ac:dyDescent="0.3">
      <c r="A217" s="108">
        <v>0</v>
      </c>
    </row>
    <row r="218" spans="1:1" x14ac:dyDescent="0.3">
      <c r="A218" s="108">
        <v>0</v>
      </c>
    </row>
    <row r="219" spans="1:1" x14ac:dyDescent="0.3">
      <c r="A219" s="108">
        <v>0</v>
      </c>
    </row>
    <row r="220" spans="1:1" x14ac:dyDescent="0.3">
      <c r="A220" s="108">
        <v>0</v>
      </c>
    </row>
    <row r="221" spans="1:1" x14ac:dyDescent="0.3">
      <c r="A221" s="108">
        <v>0</v>
      </c>
    </row>
    <row r="222" spans="1:1" x14ac:dyDescent="0.3">
      <c r="A222" s="108">
        <v>0</v>
      </c>
    </row>
    <row r="223" spans="1:1" x14ac:dyDescent="0.3">
      <c r="A223" s="108">
        <v>0</v>
      </c>
    </row>
    <row r="224" spans="1:1" x14ac:dyDescent="0.3">
      <c r="A224" s="108">
        <v>0</v>
      </c>
    </row>
    <row r="225" spans="1:1" x14ac:dyDescent="0.3">
      <c r="A225" s="108">
        <v>0</v>
      </c>
    </row>
    <row r="226" spans="1:1" x14ac:dyDescent="0.3">
      <c r="A226" s="108">
        <v>0</v>
      </c>
    </row>
    <row r="227" spans="1:1" x14ac:dyDescent="0.3">
      <c r="A227" s="108">
        <v>0</v>
      </c>
    </row>
    <row r="228" spans="1:1" x14ac:dyDescent="0.3">
      <c r="A228" s="108">
        <v>0</v>
      </c>
    </row>
    <row r="229" spans="1:1" x14ac:dyDescent="0.3">
      <c r="A229" s="108">
        <v>0</v>
      </c>
    </row>
    <row r="230" spans="1:1" x14ac:dyDescent="0.3">
      <c r="A230" s="108">
        <v>0</v>
      </c>
    </row>
    <row r="231" spans="1:1" x14ac:dyDescent="0.3">
      <c r="A231" s="108">
        <v>0</v>
      </c>
    </row>
    <row r="232" spans="1:1" x14ac:dyDescent="0.3">
      <c r="A232" s="108">
        <v>0</v>
      </c>
    </row>
    <row r="233" spans="1:1" x14ac:dyDescent="0.3">
      <c r="A233" s="108">
        <v>0</v>
      </c>
    </row>
    <row r="234" spans="1:1" x14ac:dyDescent="0.3">
      <c r="A234" s="108">
        <v>0</v>
      </c>
    </row>
    <row r="235" spans="1:1" x14ac:dyDescent="0.3">
      <c r="A235" s="108">
        <v>0</v>
      </c>
    </row>
    <row r="236" spans="1:1" x14ac:dyDescent="0.3">
      <c r="A236" s="108">
        <v>0</v>
      </c>
    </row>
    <row r="237" spans="1:1" x14ac:dyDescent="0.3">
      <c r="A237" s="108">
        <v>0</v>
      </c>
    </row>
    <row r="238" spans="1:1" x14ac:dyDescent="0.3">
      <c r="A238" s="108">
        <v>0</v>
      </c>
    </row>
    <row r="239" spans="1:1" x14ac:dyDescent="0.3">
      <c r="A239" s="108">
        <v>0</v>
      </c>
    </row>
    <row r="240" spans="1:1" x14ac:dyDescent="0.3">
      <c r="A240" s="108">
        <v>0</v>
      </c>
    </row>
    <row r="241" spans="1:1" x14ac:dyDescent="0.3">
      <c r="A241" s="108">
        <v>0</v>
      </c>
    </row>
    <row r="242" spans="1:1" x14ac:dyDescent="0.3">
      <c r="A242" s="108">
        <v>0</v>
      </c>
    </row>
    <row r="243" spans="1:1" x14ac:dyDescent="0.3">
      <c r="A243" s="108">
        <v>0</v>
      </c>
    </row>
    <row r="244" spans="1:1" x14ac:dyDescent="0.3">
      <c r="A244" s="108">
        <v>0</v>
      </c>
    </row>
    <row r="245" spans="1:1" x14ac:dyDescent="0.3">
      <c r="A245" s="108">
        <v>0</v>
      </c>
    </row>
    <row r="246" spans="1:1" x14ac:dyDescent="0.3">
      <c r="A246" s="108">
        <v>0</v>
      </c>
    </row>
    <row r="247" spans="1:1" x14ac:dyDescent="0.3">
      <c r="A247" s="108">
        <v>0</v>
      </c>
    </row>
    <row r="248" spans="1:1" x14ac:dyDescent="0.3">
      <c r="A248" s="108">
        <v>0</v>
      </c>
    </row>
    <row r="249" spans="1:1" x14ac:dyDescent="0.3">
      <c r="A249" s="108">
        <v>0</v>
      </c>
    </row>
    <row r="250" spans="1:1" x14ac:dyDescent="0.3">
      <c r="A250" s="108">
        <v>0</v>
      </c>
    </row>
    <row r="251" spans="1:1" x14ac:dyDescent="0.3">
      <c r="A251" s="108">
        <v>0</v>
      </c>
    </row>
    <row r="252" spans="1:1" x14ac:dyDescent="0.3">
      <c r="A252" s="108">
        <v>0</v>
      </c>
    </row>
    <row r="253" spans="1:1" x14ac:dyDescent="0.3">
      <c r="A253" s="108">
        <v>0</v>
      </c>
    </row>
    <row r="254" spans="1:1" x14ac:dyDescent="0.3">
      <c r="A254" s="108">
        <v>0</v>
      </c>
    </row>
    <row r="255" spans="1:1" x14ac:dyDescent="0.3">
      <c r="A255" s="108">
        <v>0</v>
      </c>
    </row>
    <row r="256" spans="1:1" x14ac:dyDescent="0.3">
      <c r="A256" s="108">
        <v>0</v>
      </c>
    </row>
    <row r="257" spans="1:1" x14ac:dyDescent="0.3">
      <c r="A257" s="108">
        <v>0</v>
      </c>
    </row>
    <row r="258" spans="1:1" x14ac:dyDescent="0.3">
      <c r="A258" s="108">
        <v>0</v>
      </c>
    </row>
    <row r="259" spans="1:1" x14ac:dyDescent="0.3">
      <c r="A259" s="108">
        <v>0</v>
      </c>
    </row>
    <row r="260" spans="1:1" x14ac:dyDescent="0.3">
      <c r="A260" s="108">
        <v>0</v>
      </c>
    </row>
    <row r="261" spans="1:1" x14ac:dyDescent="0.3">
      <c r="A261" s="108">
        <v>0</v>
      </c>
    </row>
    <row r="262" spans="1:1" x14ac:dyDescent="0.3">
      <c r="A262" s="108">
        <v>0</v>
      </c>
    </row>
    <row r="263" spans="1:1" x14ac:dyDescent="0.3">
      <c r="A263" s="108">
        <v>0</v>
      </c>
    </row>
    <row r="264" spans="1:1" x14ac:dyDescent="0.3">
      <c r="A264" s="108">
        <v>0</v>
      </c>
    </row>
    <row r="265" spans="1:1" x14ac:dyDescent="0.3">
      <c r="A265" s="108">
        <v>0</v>
      </c>
    </row>
    <row r="266" spans="1:1" x14ac:dyDescent="0.3">
      <c r="A266" s="108">
        <v>0</v>
      </c>
    </row>
    <row r="267" spans="1:1" x14ac:dyDescent="0.3">
      <c r="A267" s="108">
        <v>0</v>
      </c>
    </row>
    <row r="268" spans="1:1" x14ac:dyDescent="0.3">
      <c r="A268" s="108">
        <v>0</v>
      </c>
    </row>
    <row r="269" spans="1:1" x14ac:dyDescent="0.3">
      <c r="A269" s="108">
        <v>0</v>
      </c>
    </row>
    <row r="270" spans="1:1" x14ac:dyDescent="0.3">
      <c r="A270" s="108">
        <v>0</v>
      </c>
    </row>
    <row r="271" spans="1:1" x14ac:dyDescent="0.3">
      <c r="A271" s="108">
        <v>0</v>
      </c>
    </row>
    <row r="272" spans="1:1" x14ac:dyDescent="0.3">
      <c r="A272" s="108">
        <v>0</v>
      </c>
    </row>
    <row r="273" spans="1:1" x14ac:dyDescent="0.3">
      <c r="A273" s="108">
        <v>0</v>
      </c>
    </row>
    <row r="274" spans="1:1" x14ac:dyDescent="0.3">
      <c r="A274" s="108">
        <v>0</v>
      </c>
    </row>
    <row r="275" spans="1:1" x14ac:dyDescent="0.3">
      <c r="A275" s="108">
        <v>0</v>
      </c>
    </row>
    <row r="276" spans="1:1" x14ac:dyDescent="0.3">
      <c r="A276" s="108">
        <v>0</v>
      </c>
    </row>
    <row r="277" spans="1:1" x14ac:dyDescent="0.3">
      <c r="A277" s="108">
        <v>0</v>
      </c>
    </row>
    <row r="278" spans="1:1" x14ac:dyDescent="0.3">
      <c r="A278" s="108">
        <v>0</v>
      </c>
    </row>
    <row r="279" spans="1:1" x14ac:dyDescent="0.3">
      <c r="A279" s="108">
        <v>0</v>
      </c>
    </row>
    <row r="280" spans="1:1" x14ac:dyDescent="0.3">
      <c r="A280" s="108">
        <v>0</v>
      </c>
    </row>
    <row r="281" spans="1:1" x14ac:dyDescent="0.3">
      <c r="A281" s="108">
        <v>0</v>
      </c>
    </row>
    <row r="282" spans="1:1" x14ac:dyDescent="0.3">
      <c r="A282" s="108">
        <v>0</v>
      </c>
    </row>
    <row r="283" spans="1:1" x14ac:dyDescent="0.3">
      <c r="A283" s="108">
        <v>0</v>
      </c>
    </row>
    <row r="284" spans="1:1" x14ac:dyDescent="0.3">
      <c r="A284" s="108">
        <v>0</v>
      </c>
    </row>
    <row r="285" spans="1:1" x14ac:dyDescent="0.3">
      <c r="A285" s="108">
        <v>0</v>
      </c>
    </row>
    <row r="286" spans="1:1" x14ac:dyDescent="0.3">
      <c r="A286" s="108">
        <v>0</v>
      </c>
    </row>
    <row r="287" spans="1:1" x14ac:dyDescent="0.3">
      <c r="A287" s="108">
        <v>0</v>
      </c>
    </row>
    <row r="288" spans="1:1" x14ac:dyDescent="0.3">
      <c r="A288" s="108">
        <v>0</v>
      </c>
    </row>
    <row r="289" spans="1:1" x14ac:dyDescent="0.3">
      <c r="A289" s="108">
        <v>0</v>
      </c>
    </row>
    <row r="290" spans="1:1" x14ac:dyDescent="0.3">
      <c r="A290" s="108">
        <v>0</v>
      </c>
    </row>
    <row r="291" spans="1:1" x14ac:dyDescent="0.3">
      <c r="A291" s="108">
        <v>0</v>
      </c>
    </row>
    <row r="292" spans="1:1" x14ac:dyDescent="0.3">
      <c r="A292" s="108">
        <v>0</v>
      </c>
    </row>
    <row r="293" spans="1:1" x14ac:dyDescent="0.3">
      <c r="A293" s="108">
        <v>0</v>
      </c>
    </row>
    <row r="294" spans="1:1" x14ac:dyDescent="0.3">
      <c r="A294" s="108">
        <v>0</v>
      </c>
    </row>
    <row r="295" spans="1:1" x14ac:dyDescent="0.3">
      <c r="A295" s="108">
        <v>0</v>
      </c>
    </row>
    <row r="296" spans="1:1" x14ac:dyDescent="0.3">
      <c r="A296" s="108">
        <v>0</v>
      </c>
    </row>
    <row r="297" spans="1:1" x14ac:dyDescent="0.3">
      <c r="A297" s="108">
        <v>0</v>
      </c>
    </row>
    <row r="298" spans="1:1" x14ac:dyDescent="0.3">
      <c r="A298" s="108">
        <v>0</v>
      </c>
    </row>
    <row r="299" spans="1:1" x14ac:dyDescent="0.3">
      <c r="A299" s="108">
        <v>0</v>
      </c>
    </row>
    <row r="300" spans="1:1" x14ac:dyDescent="0.3">
      <c r="A300" s="108">
        <v>0</v>
      </c>
    </row>
    <row r="301" spans="1:1" x14ac:dyDescent="0.3">
      <c r="A301" s="108">
        <v>0</v>
      </c>
    </row>
    <row r="302" spans="1:1" x14ac:dyDescent="0.3">
      <c r="A302" s="108">
        <v>0</v>
      </c>
    </row>
    <row r="303" spans="1:1" x14ac:dyDescent="0.3">
      <c r="A303" s="108">
        <v>0</v>
      </c>
    </row>
    <row r="304" spans="1:1" x14ac:dyDescent="0.3">
      <c r="A304" s="108">
        <v>0</v>
      </c>
    </row>
    <row r="305" spans="1:1" x14ac:dyDescent="0.3">
      <c r="A305" s="108">
        <v>0</v>
      </c>
    </row>
    <row r="306" spans="1:1" x14ac:dyDescent="0.3">
      <c r="A306" s="108">
        <v>0</v>
      </c>
    </row>
    <row r="307" spans="1:1" x14ac:dyDescent="0.3">
      <c r="A307" s="108">
        <v>0</v>
      </c>
    </row>
    <row r="308" spans="1:1" x14ac:dyDescent="0.3">
      <c r="A308" s="108">
        <v>0</v>
      </c>
    </row>
    <row r="309" spans="1:1" x14ac:dyDescent="0.3">
      <c r="A309" s="108">
        <v>0</v>
      </c>
    </row>
    <row r="310" spans="1:1" x14ac:dyDescent="0.3">
      <c r="A310" s="108">
        <v>0</v>
      </c>
    </row>
    <row r="311" spans="1:1" x14ac:dyDescent="0.3">
      <c r="A311" s="108">
        <v>0</v>
      </c>
    </row>
    <row r="312" spans="1:1" x14ac:dyDescent="0.3">
      <c r="A312" s="108">
        <v>0</v>
      </c>
    </row>
    <row r="313" spans="1:1" x14ac:dyDescent="0.3">
      <c r="A313" s="108">
        <v>0</v>
      </c>
    </row>
    <row r="314" spans="1:1" x14ac:dyDescent="0.3">
      <c r="A314" s="108">
        <v>0</v>
      </c>
    </row>
    <row r="315" spans="1:1" x14ac:dyDescent="0.3">
      <c r="A315" s="108">
        <v>0</v>
      </c>
    </row>
    <row r="316" spans="1:1" x14ac:dyDescent="0.3">
      <c r="A316" s="108">
        <v>0</v>
      </c>
    </row>
    <row r="317" spans="1:1" x14ac:dyDescent="0.3">
      <c r="A317" s="108">
        <v>0</v>
      </c>
    </row>
    <row r="318" spans="1:1" x14ac:dyDescent="0.3">
      <c r="A318" s="108">
        <v>0</v>
      </c>
    </row>
    <row r="319" spans="1:1" x14ac:dyDescent="0.3">
      <c r="A319" s="108">
        <v>0</v>
      </c>
    </row>
    <row r="320" spans="1:1" x14ac:dyDescent="0.3">
      <c r="A320" s="108">
        <v>0</v>
      </c>
    </row>
    <row r="321" spans="1:1" x14ac:dyDescent="0.3">
      <c r="A321" s="108">
        <v>0</v>
      </c>
    </row>
    <row r="322" spans="1:1" x14ac:dyDescent="0.3">
      <c r="A322" s="108">
        <v>0</v>
      </c>
    </row>
    <row r="323" spans="1:1" x14ac:dyDescent="0.3">
      <c r="A323" s="108">
        <v>0</v>
      </c>
    </row>
    <row r="324" spans="1:1" x14ac:dyDescent="0.3">
      <c r="A324" s="108">
        <v>0</v>
      </c>
    </row>
    <row r="325" spans="1:1" x14ac:dyDescent="0.3">
      <c r="A325" s="108">
        <v>0</v>
      </c>
    </row>
    <row r="326" spans="1:1" x14ac:dyDescent="0.3">
      <c r="A326" s="108">
        <v>0</v>
      </c>
    </row>
    <row r="327" spans="1:1" x14ac:dyDescent="0.3">
      <c r="A327" s="108">
        <v>0</v>
      </c>
    </row>
    <row r="328" spans="1:1" x14ac:dyDescent="0.3">
      <c r="A328" s="108">
        <v>0</v>
      </c>
    </row>
    <row r="329" spans="1:1" x14ac:dyDescent="0.3">
      <c r="A329" s="108">
        <v>0</v>
      </c>
    </row>
    <row r="330" spans="1:1" x14ac:dyDescent="0.3">
      <c r="A330" s="108">
        <v>0</v>
      </c>
    </row>
    <row r="331" spans="1:1" x14ac:dyDescent="0.3">
      <c r="A331" s="108">
        <v>0</v>
      </c>
    </row>
    <row r="332" spans="1:1" x14ac:dyDescent="0.3">
      <c r="A332" s="108">
        <v>0</v>
      </c>
    </row>
    <row r="333" spans="1:1" x14ac:dyDescent="0.3">
      <c r="A333" s="108">
        <v>0</v>
      </c>
    </row>
    <row r="334" spans="1:1" x14ac:dyDescent="0.3">
      <c r="A334" s="108">
        <v>0</v>
      </c>
    </row>
    <row r="335" spans="1:1" x14ac:dyDescent="0.3">
      <c r="A335" s="108">
        <v>0</v>
      </c>
    </row>
    <row r="336" spans="1:1" x14ac:dyDescent="0.3">
      <c r="A336" s="108">
        <v>0</v>
      </c>
    </row>
    <row r="337" spans="1:1" x14ac:dyDescent="0.3">
      <c r="A337" s="108">
        <v>0</v>
      </c>
    </row>
    <row r="338" spans="1:1" x14ac:dyDescent="0.3">
      <c r="A338" s="108">
        <v>0</v>
      </c>
    </row>
    <row r="339" spans="1:1" x14ac:dyDescent="0.3">
      <c r="A339" s="108">
        <v>0</v>
      </c>
    </row>
    <row r="340" spans="1:1" x14ac:dyDescent="0.3">
      <c r="A340" s="108">
        <v>0</v>
      </c>
    </row>
    <row r="341" spans="1:1" x14ac:dyDescent="0.3">
      <c r="A341" s="108">
        <v>0</v>
      </c>
    </row>
    <row r="342" spans="1:1" x14ac:dyDescent="0.3">
      <c r="A342" s="108">
        <v>0</v>
      </c>
    </row>
    <row r="343" spans="1:1" x14ac:dyDescent="0.3">
      <c r="A343" s="108">
        <v>0</v>
      </c>
    </row>
    <row r="344" spans="1:1" x14ac:dyDescent="0.3">
      <c r="A344" s="108">
        <v>0</v>
      </c>
    </row>
    <row r="345" spans="1:1" x14ac:dyDescent="0.3">
      <c r="A345" s="108">
        <v>0</v>
      </c>
    </row>
    <row r="346" spans="1:1" x14ac:dyDescent="0.3">
      <c r="A346" s="108">
        <v>0</v>
      </c>
    </row>
    <row r="347" spans="1:1" x14ac:dyDescent="0.3">
      <c r="A347" s="108">
        <v>0</v>
      </c>
    </row>
    <row r="348" spans="1:1" x14ac:dyDescent="0.3">
      <c r="A348" s="108">
        <v>0</v>
      </c>
    </row>
    <row r="349" spans="1:1" x14ac:dyDescent="0.3">
      <c r="A349" s="108">
        <v>0</v>
      </c>
    </row>
    <row r="350" spans="1:1" x14ac:dyDescent="0.3">
      <c r="A350" s="108">
        <v>0</v>
      </c>
    </row>
    <row r="351" spans="1:1" x14ac:dyDescent="0.3">
      <c r="A351" s="108">
        <v>0</v>
      </c>
    </row>
    <row r="352" spans="1:1" x14ac:dyDescent="0.3">
      <c r="A352" s="108">
        <v>0</v>
      </c>
    </row>
    <row r="353" spans="1:1" x14ac:dyDescent="0.3">
      <c r="A353" s="108">
        <v>0</v>
      </c>
    </row>
    <row r="354" spans="1:1" x14ac:dyDescent="0.3">
      <c r="A354" s="108">
        <v>0</v>
      </c>
    </row>
    <row r="355" spans="1:1" x14ac:dyDescent="0.3">
      <c r="A355" s="108">
        <v>0</v>
      </c>
    </row>
    <row r="356" spans="1:1" x14ac:dyDescent="0.3">
      <c r="A356" s="108">
        <v>0</v>
      </c>
    </row>
    <row r="357" spans="1:1" x14ac:dyDescent="0.3">
      <c r="A357" s="108">
        <v>0</v>
      </c>
    </row>
    <row r="358" spans="1:1" x14ac:dyDescent="0.3">
      <c r="A358" s="108">
        <v>0</v>
      </c>
    </row>
    <row r="359" spans="1:1" x14ac:dyDescent="0.3">
      <c r="A359" s="108">
        <v>0</v>
      </c>
    </row>
    <row r="360" spans="1:1" x14ac:dyDescent="0.3">
      <c r="A360" s="108">
        <v>0</v>
      </c>
    </row>
    <row r="361" spans="1:1" x14ac:dyDescent="0.3">
      <c r="A361" s="108">
        <v>0</v>
      </c>
    </row>
    <row r="362" spans="1:1" x14ac:dyDescent="0.3">
      <c r="A362" s="108">
        <v>0</v>
      </c>
    </row>
    <row r="363" spans="1:1" x14ac:dyDescent="0.3">
      <c r="A363" s="108">
        <v>0</v>
      </c>
    </row>
    <row r="364" spans="1:1" x14ac:dyDescent="0.3">
      <c r="A364" s="108">
        <v>0</v>
      </c>
    </row>
    <row r="365" spans="1:1" x14ac:dyDescent="0.3">
      <c r="A365" s="108">
        <v>0</v>
      </c>
    </row>
    <row r="366" spans="1:1" x14ac:dyDescent="0.3">
      <c r="A366" s="108">
        <v>0</v>
      </c>
    </row>
    <row r="367" spans="1:1" x14ac:dyDescent="0.3">
      <c r="A367" s="108">
        <v>0</v>
      </c>
    </row>
    <row r="368" spans="1:1" x14ac:dyDescent="0.3">
      <c r="A368" s="108">
        <v>0</v>
      </c>
    </row>
    <row r="369" spans="1:1" x14ac:dyDescent="0.3">
      <c r="A369" s="108">
        <v>0</v>
      </c>
    </row>
    <row r="370" spans="1:1" x14ac:dyDescent="0.3">
      <c r="A370" s="108">
        <v>0</v>
      </c>
    </row>
    <row r="371" spans="1:1" x14ac:dyDescent="0.3">
      <c r="A371" s="108">
        <v>0</v>
      </c>
    </row>
    <row r="372" spans="1:1" x14ac:dyDescent="0.3">
      <c r="A372" s="108">
        <v>0</v>
      </c>
    </row>
    <row r="373" spans="1:1" x14ac:dyDescent="0.3">
      <c r="A373" s="108">
        <v>0</v>
      </c>
    </row>
    <row r="374" spans="1:1" x14ac:dyDescent="0.3">
      <c r="A374" s="108">
        <v>0</v>
      </c>
    </row>
    <row r="375" spans="1:1" x14ac:dyDescent="0.3">
      <c r="A375" s="108">
        <v>0</v>
      </c>
    </row>
    <row r="376" spans="1:1" x14ac:dyDescent="0.3">
      <c r="A376" s="108">
        <v>0</v>
      </c>
    </row>
    <row r="377" spans="1:1" x14ac:dyDescent="0.3">
      <c r="A377" s="108">
        <v>0</v>
      </c>
    </row>
    <row r="378" spans="1:1" x14ac:dyDescent="0.3">
      <c r="A378" s="108">
        <v>0</v>
      </c>
    </row>
    <row r="379" spans="1:1" x14ac:dyDescent="0.3">
      <c r="A379" s="108">
        <v>0</v>
      </c>
    </row>
    <row r="380" spans="1:1" x14ac:dyDescent="0.3">
      <c r="A380" s="108">
        <v>0</v>
      </c>
    </row>
    <row r="381" spans="1:1" x14ac:dyDescent="0.3">
      <c r="A381" s="108">
        <v>0</v>
      </c>
    </row>
    <row r="382" spans="1:1" x14ac:dyDescent="0.3">
      <c r="A382" s="108">
        <v>0</v>
      </c>
    </row>
    <row r="383" spans="1:1" x14ac:dyDescent="0.3">
      <c r="A383" s="108">
        <v>0</v>
      </c>
    </row>
    <row r="384" spans="1:1" x14ac:dyDescent="0.3">
      <c r="A384" s="108">
        <v>0</v>
      </c>
    </row>
    <row r="385" spans="1:1" x14ac:dyDescent="0.3">
      <c r="A385" s="108">
        <v>0</v>
      </c>
    </row>
    <row r="386" spans="1:1" x14ac:dyDescent="0.3">
      <c r="A386" s="108">
        <v>0</v>
      </c>
    </row>
    <row r="387" spans="1:1" x14ac:dyDescent="0.3">
      <c r="A387" s="108">
        <v>0</v>
      </c>
    </row>
    <row r="388" spans="1:1" x14ac:dyDescent="0.3">
      <c r="A388" s="108">
        <v>0</v>
      </c>
    </row>
    <row r="389" spans="1:1" x14ac:dyDescent="0.3">
      <c r="A389" s="108">
        <v>0</v>
      </c>
    </row>
    <row r="390" spans="1:1" x14ac:dyDescent="0.3">
      <c r="A390" s="108">
        <v>0</v>
      </c>
    </row>
    <row r="391" spans="1:1" x14ac:dyDescent="0.3">
      <c r="A391" s="108">
        <v>0</v>
      </c>
    </row>
    <row r="392" spans="1:1" x14ac:dyDescent="0.3">
      <c r="A392" s="108">
        <v>0</v>
      </c>
    </row>
    <row r="393" spans="1:1" x14ac:dyDescent="0.3">
      <c r="A393" s="108">
        <v>0</v>
      </c>
    </row>
    <row r="394" spans="1:1" x14ac:dyDescent="0.3">
      <c r="A394" s="108">
        <v>0</v>
      </c>
    </row>
    <row r="395" spans="1:1" x14ac:dyDescent="0.3">
      <c r="A395" s="108">
        <v>0</v>
      </c>
    </row>
    <row r="396" spans="1:1" x14ac:dyDescent="0.3">
      <c r="A396" s="108">
        <v>0</v>
      </c>
    </row>
    <row r="397" spans="1:1" x14ac:dyDescent="0.3">
      <c r="A397" s="108">
        <v>0</v>
      </c>
    </row>
    <row r="398" spans="1:1" x14ac:dyDescent="0.3">
      <c r="A398" s="108">
        <v>0</v>
      </c>
    </row>
    <row r="399" spans="1:1" x14ac:dyDescent="0.3">
      <c r="A399" s="108">
        <v>0</v>
      </c>
    </row>
    <row r="400" spans="1:1" x14ac:dyDescent="0.3">
      <c r="A400" s="108">
        <v>0</v>
      </c>
    </row>
    <row r="401" spans="1:1" x14ac:dyDescent="0.3">
      <c r="A401" s="108">
        <v>0</v>
      </c>
    </row>
    <row r="402" spans="1:1" x14ac:dyDescent="0.3">
      <c r="A402" s="108">
        <v>0</v>
      </c>
    </row>
    <row r="403" spans="1:1" x14ac:dyDescent="0.3">
      <c r="A403" s="108">
        <v>0</v>
      </c>
    </row>
    <row r="404" spans="1:1" x14ac:dyDescent="0.3">
      <c r="A404" s="108">
        <v>0</v>
      </c>
    </row>
    <row r="405" spans="1:1" x14ac:dyDescent="0.3">
      <c r="A405" s="108">
        <v>0</v>
      </c>
    </row>
    <row r="406" spans="1:1" x14ac:dyDescent="0.3">
      <c r="A406" s="108">
        <v>0</v>
      </c>
    </row>
    <row r="407" spans="1:1" x14ac:dyDescent="0.3">
      <c r="A407" s="108">
        <v>0</v>
      </c>
    </row>
    <row r="408" spans="1:1" x14ac:dyDescent="0.3">
      <c r="A408" s="108">
        <v>0</v>
      </c>
    </row>
    <row r="409" spans="1:1" x14ac:dyDescent="0.3">
      <c r="A409" s="108">
        <v>0</v>
      </c>
    </row>
    <row r="410" spans="1:1" x14ac:dyDescent="0.3">
      <c r="A410" s="108">
        <v>0</v>
      </c>
    </row>
    <row r="411" spans="1:1" x14ac:dyDescent="0.3">
      <c r="A411" s="108">
        <v>0</v>
      </c>
    </row>
    <row r="412" spans="1:1" x14ac:dyDescent="0.3">
      <c r="A412" s="108">
        <v>0</v>
      </c>
    </row>
    <row r="413" spans="1:1" x14ac:dyDescent="0.3">
      <c r="A413" s="108">
        <v>0</v>
      </c>
    </row>
    <row r="414" spans="1:1" x14ac:dyDescent="0.3">
      <c r="A414" s="108">
        <v>0</v>
      </c>
    </row>
    <row r="415" spans="1:1" x14ac:dyDescent="0.3">
      <c r="A415" s="108">
        <v>0</v>
      </c>
    </row>
    <row r="416" spans="1:1" x14ac:dyDescent="0.3">
      <c r="A416" s="108">
        <v>0</v>
      </c>
    </row>
    <row r="417" spans="1:1" x14ac:dyDescent="0.3">
      <c r="A417" s="108">
        <v>0</v>
      </c>
    </row>
    <row r="418" spans="1:1" x14ac:dyDescent="0.3">
      <c r="A418" s="108">
        <v>0</v>
      </c>
    </row>
    <row r="419" spans="1:1" x14ac:dyDescent="0.3">
      <c r="A419" s="108">
        <v>0</v>
      </c>
    </row>
    <row r="420" spans="1:1" x14ac:dyDescent="0.3">
      <c r="A420" s="108">
        <v>0</v>
      </c>
    </row>
    <row r="421" spans="1:1" x14ac:dyDescent="0.3">
      <c r="A421" s="108">
        <v>0</v>
      </c>
    </row>
    <row r="422" spans="1:1" x14ac:dyDescent="0.3">
      <c r="A422" s="108">
        <v>0</v>
      </c>
    </row>
    <row r="423" spans="1:1" x14ac:dyDescent="0.3">
      <c r="A423" s="108">
        <v>0</v>
      </c>
    </row>
    <row r="424" spans="1:1" x14ac:dyDescent="0.3">
      <c r="A424" s="108">
        <v>0</v>
      </c>
    </row>
    <row r="425" spans="1:1" x14ac:dyDescent="0.3">
      <c r="A425" s="108">
        <v>0</v>
      </c>
    </row>
    <row r="426" spans="1:1" x14ac:dyDescent="0.3">
      <c r="A426" s="108">
        <v>0</v>
      </c>
    </row>
    <row r="427" spans="1:1" x14ac:dyDescent="0.3">
      <c r="A427" s="108">
        <v>0</v>
      </c>
    </row>
    <row r="428" spans="1:1" x14ac:dyDescent="0.3">
      <c r="A428" s="108">
        <v>0</v>
      </c>
    </row>
    <row r="429" spans="1:1" x14ac:dyDescent="0.3">
      <c r="A429" s="108">
        <v>0</v>
      </c>
    </row>
    <row r="430" spans="1:1" x14ac:dyDescent="0.3">
      <c r="A430" s="108">
        <v>0</v>
      </c>
    </row>
    <row r="431" spans="1:1" x14ac:dyDescent="0.3">
      <c r="A431" s="108">
        <v>0</v>
      </c>
    </row>
    <row r="432" spans="1:1" x14ac:dyDescent="0.3">
      <c r="A432" s="108">
        <v>0</v>
      </c>
    </row>
    <row r="433" spans="1:1" x14ac:dyDescent="0.3">
      <c r="A433" s="108">
        <v>0</v>
      </c>
    </row>
    <row r="434" spans="1:1" x14ac:dyDescent="0.3">
      <c r="A434" s="108">
        <v>0</v>
      </c>
    </row>
    <row r="435" spans="1:1" x14ac:dyDescent="0.3">
      <c r="A435" s="108">
        <v>0</v>
      </c>
    </row>
    <row r="436" spans="1:1" x14ac:dyDescent="0.3">
      <c r="A436" s="108">
        <v>0</v>
      </c>
    </row>
    <row r="437" spans="1:1" x14ac:dyDescent="0.3">
      <c r="A437" s="108">
        <v>0</v>
      </c>
    </row>
    <row r="438" spans="1:1" x14ac:dyDescent="0.3">
      <c r="A438" s="108">
        <v>0</v>
      </c>
    </row>
    <row r="439" spans="1:1" x14ac:dyDescent="0.3">
      <c r="A439" s="108">
        <v>0</v>
      </c>
    </row>
    <row r="440" spans="1:1" x14ac:dyDescent="0.3">
      <c r="A440" s="108">
        <v>0</v>
      </c>
    </row>
    <row r="441" spans="1:1" x14ac:dyDescent="0.3">
      <c r="A441" s="108">
        <v>0</v>
      </c>
    </row>
    <row r="442" spans="1:1" x14ac:dyDescent="0.3">
      <c r="A442" s="108">
        <v>0</v>
      </c>
    </row>
    <row r="443" spans="1:1" x14ac:dyDescent="0.3">
      <c r="A443" s="108">
        <v>0</v>
      </c>
    </row>
    <row r="444" spans="1:1" x14ac:dyDescent="0.3">
      <c r="A444" s="108">
        <v>0</v>
      </c>
    </row>
    <row r="445" spans="1:1" x14ac:dyDescent="0.3">
      <c r="A445" s="108">
        <v>0</v>
      </c>
    </row>
    <row r="446" spans="1:1" x14ac:dyDescent="0.3">
      <c r="A446" s="108">
        <v>0</v>
      </c>
    </row>
    <row r="447" spans="1:1" x14ac:dyDescent="0.3">
      <c r="A447" s="108">
        <v>0</v>
      </c>
    </row>
    <row r="448" spans="1:1" x14ac:dyDescent="0.3">
      <c r="A448" s="108">
        <v>0</v>
      </c>
    </row>
    <row r="449" spans="1:1" x14ac:dyDescent="0.3">
      <c r="A449" s="108">
        <v>0</v>
      </c>
    </row>
    <row r="450" spans="1:1" x14ac:dyDescent="0.3">
      <c r="A450" s="108">
        <v>0</v>
      </c>
    </row>
    <row r="451" spans="1:1" x14ac:dyDescent="0.3">
      <c r="A451" s="108">
        <v>0</v>
      </c>
    </row>
    <row r="452" spans="1:1" x14ac:dyDescent="0.3">
      <c r="A452" s="108">
        <v>0</v>
      </c>
    </row>
    <row r="453" spans="1:1" x14ac:dyDescent="0.3">
      <c r="A453" s="108">
        <v>0</v>
      </c>
    </row>
    <row r="454" spans="1:1" x14ac:dyDescent="0.3">
      <c r="A454" s="108">
        <v>0</v>
      </c>
    </row>
    <row r="455" spans="1:1" x14ac:dyDescent="0.3">
      <c r="A455" s="108">
        <v>0</v>
      </c>
    </row>
    <row r="456" spans="1:1" x14ac:dyDescent="0.3">
      <c r="A456" s="108">
        <v>0</v>
      </c>
    </row>
    <row r="457" spans="1:1" x14ac:dyDescent="0.3">
      <c r="A457" s="108">
        <v>0</v>
      </c>
    </row>
    <row r="458" spans="1:1" x14ac:dyDescent="0.3">
      <c r="A458" s="108">
        <v>0</v>
      </c>
    </row>
    <row r="459" spans="1:1" x14ac:dyDescent="0.3">
      <c r="A459" s="108">
        <v>0</v>
      </c>
    </row>
    <row r="460" spans="1:1" x14ac:dyDescent="0.3">
      <c r="A460" s="108">
        <v>0</v>
      </c>
    </row>
    <row r="461" spans="1:1" x14ac:dyDescent="0.3">
      <c r="A461" s="108">
        <v>0</v>
      </c>
    </row>
    <row r="462" spans="1:1" x14ac:dyDescent="0.3">
      <c r="A462" s="108">
        <v>0</v>
      </c>
    </row>
    <row r="463" spans="1:1" x14ac:dyDescent="0.3">
      <c r="A463" s="108">
        <v>0</v>
      </c>
    </row>
    <row r="464" spans="1:1" x14ac:dyDescent="0.3">
      <c r="A464" s="108">
        <v>0</v>
      </c>
    </row>
    <row r="465" spans="1:1" x14ac:dyDescent="0.3">
      <c r="A465" s="108">
        <v>0</v>
      </c>
    </row>
    <row r="466" spans="1:1" x14ac:dyDescent="0.3">
      <c r="A466" s="108">
        <v>0</v>
      </c>
    </row>
    <row r="467" spans="1:1" x14ac:dyDescent="0.3">
      <c r="A467" s="108">
        <v>0</v>
      </c>
    </row>
    <row r="468" spans="1:1" x14ac:dyDescent="0.3">
      <c r="A468" s="108">
        <v>0</v>
      </c>
    </row>
    <row r="469" spans="1:1" x14ac:dyDescent="0.3">
      <c r="A469" s="108">
        <v>0</v>
      </c>
    </row>
    <row r="470" spans="1:1" x14ac:dyDescent="0.3">
      <c r="A470" s="108">
        <v>0</v>
      </c>
    </row>
    <row r="471" spans="1:1" x14ac:dyDescent="0.3">
      <c r="A471" s="108">
        <v>0</v>
      </c>
    </row>
    <row r="472" spans="1:1" x14ac:dyDescent="0.3">
      <c r="A472" s="108">
        <v>0</v>
      </c>
    </row>
    <row r="473" spans="1:1" x14ac:dyDescent="0.3">
      <c r="A473" s="108">
        <v>0</v>
      </c>
    </row>
    <row r="474" spans="1:1" x14ac:dyDescent="0.3">
      <c r="A474" s="108">
        <v>0</v>
      </c>
    </row>
    <row r="475" spans="1:1" x14ac:dyDescent="0.3">
      <c r="A475" s="108">
        <v>0</v>
      </c>
    </row>
    <row r="476" spans="1:1" x14ac:dyDescent="0.3">
      <c r="A476" s="108">
        <v>0</v>
      </c>
    </row>
    <row r="477" spans="1:1" x14ac:dyDescent="0.3">
      <c r="A477" s="108">
        <v>0</v>
      </c>
    </row>
    <row r="478" spans="1:1" x14ac:dyDescent="0.3">
      <c r="A478" s="108">
        <v>0</v>
      </c>
    </row>
    <row r="479" spans="1:1" x14ac:dyDescent="0.3">
      <c r="A479" s="108">
        <v>0</v>
      </c>
    </row>
    <row r="480" spans="1:1" x14ac:dyDescent="0.3">
      <c r="A480" s="108">
        <v>0</v>
      </c>
    </row>
    <row r="481" spans="1:1" x14ac:dyDescent="0.3">
      <c r="A481" s="108">
        <v>0</v>
      </c>
    </row>
    <row r="482" spans="1:1" x14ac:dyDescent="0.3">
      <c r="A482" s="108">
        <v>0</v>
      </c>
    </row>
    <row r="483" spans="1:1" x14ac:dyDescent="0.3">
      <c r="A483" s="108">
        <v>0</v>
      </c>
    </row>
    <row r="484" spans="1:1" x14ac:dyDescent="0.3">
      <c r="A484" s="108">
        <v>0</v>
      </c>
    </row>
    <row r="485" spans="1:1" x14ac:dyDescent="0.3">
      <c r="A485" s="108">
        <v>0</v>
      </c>
    </row>
    <row r="486" spans="1:1" x14ac:dyDescent="0.3">
      <c r="A486" s="108">
        <v>0</v>
      </c>
    </row>
    <row r="487" spans="1:1" x14ac:dyDescent="0.3">
      <c r="A487" s="108">
        <v>0</v>
      </c>
    </row>
    <row r="488" spans="1:1" x14ac:dyDescent="0.3">
      <c r="A488" s="108">
        <v>0</v>
      </c>
    </row>
    <row r="489" spans="1:1" x14ac:dyDescent="0.3">
      <c r="A489" s="108">
        <v>0</v>
      </c>
    </row>
    <row r="490" spans="1:1" x14ac:dyDescent="0.3">
      <c r="A490" s="108">
        <v>0</v>
      </c>
    </row>
    <row r="491" spans="1:1" x14ac:dyDescent="0.3">
      <c r="A491" s="108">
        <v>0</v>
      </c>
    </row>
    <row r="492" spans="1:1" x14ac:dyDescent="0.3">
      <c r="A492" s="108">
        <v>0</v>
      </c>
    </row>
    <row r="493" spans="1:1" x14ac:dyDescent="0.3">
      <c r="A493" s="108">
        <v>0</v>
      </c>
    </row>
    <row r="494" spans="1:1" x14ac:dyDescent="0.3">
      <c r="A494" s="108">
        <v>0</v>
      </c>
    </row>
    <row r="495" spans="1:1" x14ac:dyDescent="0.3">
      <c r="A495" s="108">
        <v>0</v>
      </c>
    </row>
    <row r="496" spans="1:1" x14ac:dyDescent="0.3">
      <c r="A496" s="108">
        <v>0</v>
      </c>
    </row>
    <row r="497" spans="1:1" x14ac:dyDescent="0.3">
      <c r="A497" s="108">
        <v>0</v>
      </c>
    </row>
    <row r="498" spans="1:1" x14ac:dyDescent="0.3">
      <c r="A498" s="108">
        <v>0</v>
      </c>
    </row>
    <row r="499" spans="1:1" x14ac:dyDescent="0.3">
      <c r="A499" s="108">
        <v>0</v>
      </c>
    </row>
    <row r="500" spans="1:1" x14ac:dyDescent="0.3">
      <c r="A500" s="108">
        <v>0</v>
      </c>
    </row>
    <row r="501" spans="1:1" x14ac:dyDescent="0.3">
      <c r="A501" s="108">
        <v>0</v>
      </c>
    </row>
    <row r="502" spans="1:1" x14ac:dyDescent="0.3">
      <c r="A502" s="108">
        <v>0</v>
      </c>
    </row>
    <row r="503" spans="1:1" x14ac:dyDescent="0.3">
      <c r="A503" s="108">
        <v>0</v>
      </c>
    </row>
    <row r="504" spans="1:1" x14ac:dyDescent="0.3">
      <c r="A504" s="108">
        <v>0</v>
      </c>
    </row>
    <row r="505" spans="1:1" x14ac:dyDescent="0.3">
      <c r="A505" s="108">
        <v>0</v>
      </c>
    </row>
    <row r="506" spans="1:1" x14ac:dyDescent="0.3">
      <c r="A506" s="108">
        <v>0</v>
      </c>
    </row>
    <row r="507" spans="1:1" x14ac:dyDescent="0.3">
      <c r="A507" s="108">
        <v>0</v>
      </c>
    </row>
    <row r="508" spans="1:1" x14ac:dyDescent="0.3">
      <c r="A508" s="108">
        <v>0</v>
      </c>
    </row>
    <row r="509" spans="1:1" x14ac:dyDescent="0.3">
      <c r="A509" s="108">
        <v>0</v>
      </c>
    </row>
    <row r="510" spans="1:1" x14ac:dyDescent="0.3">
      <c r="A510" s="108">
        <v>0</v>
      </c>
    </row>
    <row r="511" spans="1:1" x14ac:dyDescent="0.3">
      <c r="A511" s="108">
        <v>0</v>
      </c>
    </row>
    <row r="512" spans="1:1" x14ac:dyDescent="0.3">
      <c r="A512" s="108">
        <v>0</v>
      </c>
    </row>
    <row r="513" spans="1:1" x14ac:dyDescent="0.3">
      <c r="A513" s="108">
        <v>0</v>
      </c>
    </row>
    <row r="514" spans="1:1" x14ac:dyDescent="0.3">
      <c r="A514" s="108">
        <v>0</v>
      </c>
    </row>
    <row r="515" spans="1:1" x14ac:dyDescent="0.3">
      <c r="A515" s="108">
        <v>0</v>
      </c>
    </row>
    <row r="516" spans="1:1" x14ac:dyDescent="0.3">
      <c r="A516" s="108">
        <v>0</v>
      </c>
    </row>
    <row r="517" spans="1:1" x14ac:dyDescent="0.3">
      <c r="A517" s="108">
        <v>0</v>
      </c>
    </row>
    <row r="518" spans="1:1" x14ac:dyDescent="0.3">
      <c r="A518" s="108">
        <v>0</v>
      </c>
    </row>
    <row r="519" spans="1:1" x14ac:dyDescent="0.3">
      <c r="A519" s="108">
        <v>0</v>
      </c>
    </row>
    <row r="520" spans="1:1" x14ac:dyDescent="0.3">
      <c r="A520" s="108">
        <v>0</v>
      </c>
    </row>
    <row r="521" spans="1:1" x14ac:dyDescent="0.3">
      <c r="A521" s="108">
        <v>0</v>
      </c>
    </row>
    <row r="522" spans="1:1" x14ac:dyDescent="0.3">
      <c r="A522" s="108">
        <v>0</v>
      </c>
    </row>
    <row r="523" spans="1:1" x14ac:dyDescent="0.3">
      <c r="A523" s="108">
        <v>0</v>
      </c>
    </row>
    <row r="524" spans="1:1" x14ac:dyDescent="0.3">
      <c r="A524" s="108">
        <v>0</v>
      </c>
    </row>
    <row r="525" spans="1:1" x14ac:dyDescent="0.3">
      <c r="A525" s="108">
        <v>0</v>
      </c>
    </row>
    <row r="526" spans="1:1" x14ac:dyDescent="0.3">
      <c r="A526" s="108">
        <v>0</v>
      </c>
    </row>
    <row r="527" spans="1:1" x14ac:dyDescent="0.3">
      <c r="A527" s="108">
        <v>0</v>
      </c>
    </row>
    <row r="528" spans="1:1" x14ac:dyDescent="0.3">
      <c r="A528" s="108">
        <v>0</v>
      </c>
    </row>
    <row r="529" spans="1:1" x14ac:dyDescent="0.3">
      <c r="A529" s="108">
        <v>0</v>
      </c>
    </row>
    <row r="530" spans="1:1" x14ac:dyDescent="0.3">
      <c r="A530" s="108">
        <v>0</v>
      </c>
    </row>
    <row r="531" spans="1:1" x14ac:dyDescent="0.3">
      <c r="A531" s="108">
        <v>0</v>
      </c>
    </row>
    <row r="532" spans="1:1" x14ac:dyDescent="0.3">
      <c r="A532" s="108">
        <v>0</v>
      </c>
    </row>
    <row r="533" spans="1:1" x14ac:dyDescent="0.3">
      <c r="A533" s="108">
        <v>0</v>
      </c>
    </row>
    <row r="534" spans="1:1" x14ac:dyDescent="0.3">
      <c r="A534" s="108">
        <v>0</v>
      </c>
    </row>
    <row r="535" spans="1:1" x14ac:dyDescent="0.3">
      <c r="A535" s="108">
        <v>0</v>
      </c>
    </row>
    <row r="536" spans="1:1" x14ac:dyDescent="0.3">
      <c r="A536" s="108">
        <v>0</v>
      </c>
    </row>
    <row r="537" spans="1:1" x14ac:dyDescent="0.3">
      <c r="A537" s="108">
        <v>0</v>
      </c>
    </row>
    <row r="538" spans="1:1" x14ac:dyDescent="0.3">
      <c r="A538" s="108">
        <v>0</v>
      </c>
    </row>
    <row r="539" spans="1:1" x14ac:dyDescent="0.3">
      <c r="A539" s="108">
        <v>0</v>
      </c>
    </row>
    <row r="540" spans="1:1" x14ac:dyDescent="0.3">
      <c r="A540" s="108">
        <v>0</v>
      </c>
    </row>
    <row r="541" spans="1:1" x14ac:dyDescent="0.3">
      <c r="A541" s="108">
        <v>0</v>
      </c>
    </row>
    <row r="542" spans="1:1" x14ac:dyDescent="0.3">
      <c r="A542" s="108">
        <v>0</v>
      </c>
    </row>
    <row r="543" spans="1:1" x14ac:dyDescent="0.3">
      <c r="A543" s="108">
        <v>0</v>
      </c>
    </row>
    <row r="544" spans="1:1" x14ac:dyDescent="0.3">
      <c r="A544" s="108">
        <v>0</v>
      </c>
    </row>
    <row r="545" spans="1:1" x14ac:dyDescent="0.3">
      <c r="A545" s="108">
        <v>0</v>
      </c>
    </row>
    <row r="546" spans="1:1" x14ac:dyDescent="0.3">
      <c r="A546" s="108">
        <v>0</v>
      </c>
    </row>
    <row r="547" spans="1:1" x14ac:dyDescent="0.3">
      <c r="A547" s="108">
        <v>0</v>
      </c>
    </row>
    <row r="548" spans="1:1" x14ac:dyDescent="0.3">
      <c r="A548" s="108">
        <v>0</v>
      </c>
    </row>
    <row r="549" spans="1:1" x14ac:dyDescent="0.3">
      <c r="A549" s="108">
        <v>0</v>
      </c>
    </row>
    <row r="550" spans="1:1" x14ac:dyDescent="0.3">
      <c r="A550" s="108">
        <v>0</v>
      </c>
    </row>
    <row r="551" spans="1:1" x14ac:dyDescent="0.3">
      <c r="A551" s="108">
        <v>0</v>
      </c>
    </row>
    <row r="552" spans="1:1" x14ac:dyDescent="0.3">
      <c r="A552" s="108">
        <v>0</v>
      </c>
    </row>
    <row r="553" spans="1:1" x14ac:dyDescent="0.3">
      <c r="A553" s="108">
        <v>0</v>
      </c>
    </row>
    <row r="554" spans="1:1" x14ac:dyDescent="0.3">
      <c r="A554" s="108">
        <v>0</v>
      </c>
    </row>
    <row r="555" spans="1:1" x14ac:dyDescent="0.3">
      <c r="A555" s="108">
        <v>0</v>
      </c>
    </row>
    <row r="556" spans="1:1" x14ac:dyDescent="0.3">
      <c r="A556" s="108">
        <v>0</v>
      </c>
    </row>
    <row r="557" spans="1:1" x14ac:dyDescent="0.3">
      <c r="A557" s="108">
        <v>0</v>
      </c>
    </row>
    <row r="558" spans="1:1" x14ac:dyDescent="0.3">
      <c r="A558" s="108">
        <v>0</v>
      </c>
    </row>
    <row r="559" spans="1:1" x14ac:dyDescent="0.3">
      <c r="A559" s="108">
        <v>0</v>
      </c>
    </row>
    <row r="560" spans="1:1" x14ac:dyDescent="0.3">
      <c r="A560" s="108">
        <v>0</v>
      </c>
    </row>
    <row r="561" spans="1:1" x14ac:dyDescent="0.3">
      <c r="A561" s="108">
        <v>0</v>
      </c>
    </row>
    <row r="562" spans="1:1" x14ac:dyDescent="0.3">
      <c r="A562" s="108">
        <v>0</v>
      </c>
    </row>
    <row r="563" spans="1:1" x14ac:dyDescent="0.3">
      <c r="A563" s="108">
        <v>0</v>
      </c>
    </row>
    <row r="564" spans="1:1" x14ac:dyDescent="0.3">
      <c r="A564" s="108">
        <v>0</v>
      </c>
    </row>
    <row r="565" spans="1:1" x14ac:dyDescent="0.3">
      <c r="A565" s="108">
        <v>0</v>
      </c>
    </row>
    <row r="566" spans="1:1" x14ac:dyDescent="0.3">
      <c r="A566" s="108">
        <v>0</v>
      </c>
    </row>
    <row r="567" spans="1:1" x14ac:dyDescent="0.3">
      <c r="A567" s="108">
        <v>0</v>
      </c>
    </row>
    <row r="568" spans="1:1" x14ac:dyDescent="0.3">
      <c r="A568" s="108">
        <v>0</v>
      </c>
    </row>
    <row r="569" spans="1:1" x14ac:dyDescent="0.3">
      <c r="A569" s="108">
        <v>0</v>
      </c>
    </row>
    <row r="570" spans="1:1" x14ac:dyDescent="0.3">
      <c r="A570" s="108">
        <v>0</v>
      </c>
    </row>
    <row r="571" spans="1:1" x14ac:dyDescent="0.3">
      <c r="A571" s="108">
        <v>0</v>
      </c>
    </row>
    <row r="572" spans="1:1" x14ac:dyDescent="0.3">
      <c r="A572" s="108">
        <v>0</v>
      </c>
    </row>
    <row r="573" spans="1:1" x14ac:dyDescent="0.3">
      <c r="A573" s="108">
        <v>0</v>
      </c>
    </row>
    <row r="574" spans="1:1" x14ac:dyDescent="0.3">
      <c r="A574" s="108">
        <v>0</v>
      </c>
    </row>
    <row r="575" spans="1:1" x14ac:dyDescent="0.3">
      <c r="A575" s="108">
        <v>0</v>
      </c>
    </row>
    <row r="576" spans="1:1" x14ac:dyDescent="0.3">
      <c r="A576" s="108">
        <v>0</v>
      </c>
    </row>
    <row r="577" spans="1:1" x14ac:dyDescent="0.3">
      <c r="A577" s="108">
        <v>0</v>
      </c>
    </row>
    <row r="578" spans="1:1" x14ac:dyDescent="0.3">
      <c r="A578" s="108">
        <v>0</v>
      </c>
    </row>
    <row r="579" spans="1:1" x14ac:dyDescent="0.3">
      <c r="A579" s="108">
        <v>0</v>
      </c>
    </row>
    <row r="580" spans="1:1" x14ac:dyDescent="0.3">
      <c r="A580" s="108">
        <v>0</v>
      </c>
    </row>
    <row r="581" spans="1:1" x14ac:dyDescent="0.3">
      <c r="A581" s="108">
        <v>0</v>
      </c>
    </row>
    <row r="582" spans="1:1" x14ac:dyDescent="0.3">
      <c r="A582" s="108">
        <v>0</v>
      </c>
    </row>
    <row r="583" spans="1:1" x14ac:dyDescent="0.3">
      <c r="A583" s="108">
        <v>0</v>
      </c>
    </row>
    <row r="584" spans="1:1" x14ac:dyDescent="0.3">
      <c r="A584" s="108">
        <v>0</v>
      </c>
    </row>
    <row r="585" spans="1:1" x14ac:dyDescent="0.3">
      <c r="A585" s="108">
        <v>0</v>
      </c>
    </row>
    <row r="586" spans="1:1" x14ac:dyDescent="0.3">
      <c r="A586" s="108">
        <v>0</v>
      </c>
    </row>
    <row r="587" spans="1:1" x14ac:dyDescent="0.3">
      <c r="A587" s="108">
        <v>0</v>
      </c>
    </row>
    <row r="588" spans="1:1" x14ac:dyDescent="0.3">
      <c r="A588" s="108">
        <v>0</v>
      </c>
    </row>
    <row r="589" spans="1:1" x14ac:dyDescent="0.3">
      <c r="A589" s="108">
        <v>0</v>
      </c>
    </row>
    <row r="590" spans="1:1" x14ac:dyDescent="0.3">
      <c r="A590" s="108">
        <v>0</v>
      </c>
    </row>
    <row r="591" spans="1:1" x14ac:dyDescent="0.3">
      <c r="A591" s="108">
        <v>0</v>
      </c>
    </row>
    <row r="592" spans="1:1" x14ac:dyDescent="0.3">
      <c r="A592" s="108">
        <v>0</v>
      </c>
    </row>
    <row r="593" spans="1:1" x14ac:dyDescent="0.3">
      <c r="A593" s="108">
        <v>0</v>
      </c>
    </row>
    <row r="594" spans="1:1" x14ac:dyDescent="0.3">
      <c r="A594" s="108">
        <v>0</v>
      </c>
    </row>
    <row r="595" spans="1:1" x14ac:dyDescent="0.3">
      <c r="A595" s="108">
        <v>0</v>
      </c>
    </row>
    <row r="596" spans="1:1" x14ac:dyDescent="0.3">
      <c r="A596" s="108">
        <v>0</v>
      </c>
    </row>
    <row r="597" spans="1:1" x14ac:dyDescent="0.3">
      <c r="A597" s="108">
        <v>0</v>
      </c>
    </row>
    <row r="598" spans="1:1" x14ac:dyDescent="0.3">
      <c r="A598" s="108">
        <v>0</v>
      </c>
    </row>
    <row r="599" spans="1:1" x14ac:dyDescent="0.3">
      <c r="A599" s="108">
        <v>0</v>
      </c>
    </row>
    <row r="600" spans="1:1" x14ac:dyDescent="0.3">
      <c r="A600" s="108">
        <v>0</v>
      </c>
    </row>
    <row r="601" spans="1:1" x14ac:dyDescent="0.3">
      <c r="A601" s="108">
        <v>0</v>
      </c>
    </row>
    <row r="602" spans="1:1" x14ac:dyDescent="0.3">
      <c r="A602" s="108">
        <v>0</v>
      </c>
    </row>
    <row r="603" spans="1:1" x14ac:dyDescent="0.3">
      <c r="A603" s="108">
        <v>0</v>
      </c>
    </row>
    <row r="604" spans="1:1" x14ac:dyDescent="0.3">
      <c r="A604" s="108">
        <v>0</v>
      </c>
    </row>
    <row r="605" spans="1:1" x14ac:dyDescent="0.3">
      <c r="A605" s="108">
        <v>0</v>
      </c>
    </row>
    <row r="606" spans="1:1" x14ac:dyDescent="0.3">
      <c r="A606" s="108">
        <v>0</v>
      </c>
    </row>
    <row r="607" spans="1:1" x14ac:dyDescent="0.3">
      <c r="A607" s="108">
        <v>0</v>
      </c>
    </row>
    <row r="608" spans="1:1" x14ac:dyDescent="0.3">
      <c r="A608" s="108">
        <v>0</v>
      </c>
    </row>
    <row r="609" spans="1:1" x14ac:dyDescent="0.3">
      <c r="A609" s="108">
        <v>0</v>
      </c>
    </row>
    <row r="610" spans="1:1" x14ac:dyDescent="0.3">
      <c r="A610" s="108">
        <v>0</v>
      </c>
    </row>
    <row r="611" spans="1:1" x14ac:dyDescent="0.3">
      <c r="A611" s="108">
        <v>0</v>
      </c>
    </row>
    <row r="612" spans="1:1" x14ac:dyDescent="0.3">
      <c r="A612" s="108">
        <v>0</v>
      </c>
    </row>
    <row r="613" spans="1:1" x14ac:dyDescent="0.3">
      <c r="A613" s="108">
        <v>0</v>
      </c>
    </row>
    <row r="614" spans="1:1" x14ac:dyDescent="0.3">
      <c r="A614" s="108">
        <v>0</v>
      </c>
    </row>
    <row r="615" spans="1:1" x14ac:dyDescent="0.3">
      <c r="A615" s="108">
        <v>0</v>
      </c>
    </row>
    <row r="616" spans="1:1" x14ac:dyDescent="0.3">
      <c r="A616" s="108">
        <v>0</v>
      </c>
    </row>
    <row r="617" spans="1:1" x14ac:dyDescent="0.3">
      <c r="A617" s="108">
        <v>0</v>
      </c>
    </row>
    <row r="618" spans="1:1" x14ac:dyDescent="0.3">
      <c r="A618" s="108">
        <v>0</v>
      </c>
    </row>
    <row r="619" spans="1:1" x14ac:dyDescent="0.3">
      <c r="A619" s="108">
        <v>0</v>
      </c>
    </row>
    <row r="620" spans="1:1" x14ac:dyDescent="0.3">
      <c r="A620" s="108">
        <v>0</v>
      </c>
    </row>
    <row r="621" spans="1:1" x14ac:dyDescent="0.3">
      <c r="A621" s="108">
        <v>0</v>
      </c>
    </row>
    <row r="622" spans="1:1" x14ac:dyDescent="0.3">
      <c r="A622" s="108">
        <v>0</v>
      </c>
    </row>
    <row r="623" spans="1:1" x14ac:dyDescent="0.3">
      <c r="A623" s="108">
        <v>0</v>
      </c>
    </row>
    <row r="624" spans="1:1" x14ac:dyDescent="0.3">
      <c r="A624" s="108">
        <v>0</v>
      </c>
    </row>
    <row r="625" spans="1:1" x14ac:dyDescent="0.3">
      <c r="A625" s="108">
        <v>0</v>
      </c>
    </row>
    <row r="626" spans="1:1" x14ac:dyDescent="0.3">
      <c r="A626" s="108">
        <v>0</v>
      </c>
    </row>
    <row r="627" spans="1:1" x14ac:dyDescent="0.3">
      <c r="A627" s="108">
        <v>0</v>
      </c>
    </row>
    <row r="628" spans="1:1" x14ac:dyDescent="0.3">
      <c r="A628" s="108">
        <v>0</v>
      </c>
    </row>
    <row r="629" spans="1:1" x14ac:dyDescent="0.3">
      <c r="A629" s="108">
        <v>0</v>
      </c>
    </row>
    <row r="630" spans="1:1" x14ac:dyDescent="0.3">
      <c r="A630" s="108">
        <v>0</v>
      </c>
    </row>
    <row r="631" spans="1:1" x14ac:dyDescent="0.3">
      <c r="A631" s="108">
        <v>0</v>
      </c>
    </row>
    <row r="632" spans="1:1" x14ac:dyDescent="0.3">
      <c r="A632" s="108">
        <v>0</v>
      </c>
    </row>
    <row r="633" spans="1:1" x14ac:dyDescent="0.3">
      <c r="A633" s="108">
        <v>0</v>
      </c>
    </row>
    <row r="634" spans="1:1" x14ac:dyDescent="0.3">
      <c r="A634" s="108">
        <v>0</v>
      </c>
    </row>
    <row r="635" spans="1:1" x14ac:dyDescent="0.3">
      <c r="A635" s="108">
        <v>0</v>
      </c>
    </row>
    <row r="636" spans="1:1" x14ac:dyDescent="0.3">
      <c r="A636" s="108">
        <v>0</v>
      </c>
    </row>
    <row r="637" spans="1:1" x14ac:dyDescent="0.3">
      <c r="A637" s="108">
        <v>0</v>
      </c>
    </row>
    <row r="638" spans="1:1" x14ac:dyDescent="0.3">
      <c r="A638" s="108">
        <v>0</v>
      </c>
    </row>
    <row r="639" spans="1:1" x14ac:dyDescent="0.3">
      <c r="A639" s="108">
        <v>0</v>
      </c>
    </row>
    <row r="640" spans="1:1" x14ac:dyDescent="0.3">
      <c r="A640" s="108">
        <v>0</v>
      </c>
    </row>
    <row r="641" spans="1:1" x14ac:dyDescent="0.3">
      <c r="A641" s="108">
        <v>0</v>
      </c>
    </row>
    <row r="642" spans="1:1" x14ac:dyDescent="0.3">
      <c r="A642" s="108">
        <v>0</v>
      </c>
    </row>
    <row r="643" spans="1:1" x14ac:dyDescent="0.3">
      <c r="A643" s="108">
        <v>0</v>
      </c>
    </row>
    <row r="644" spans="1:1" x14ac:dyDescent="0.3">
      <c r="A644" s="108">
        <v>0</v>
      </c>
    </row>
    <row r="645" spans="1:1" x14ac:dyDescent="0.3">
      <c r="A645" s="108">
        <v>0</v>
      </c>
    </row>
    <row r="646" spans="1:1" x14ac:dyDescent="0.3">
      <c r="A646" s="108">
        <v>0</v>
      </c>
    </row>
    <row r="647" spans="1:1" x14ac:dyDescent="0.3">
      <c r="A647" s="108">
        <v>0</v>
      </c>
    </row>
    <row r="648" spans="1:1" x14ac:dyDescent="0.3">
      <c r="A648" s="108">
        <v>0</v>
      </c>
    </row>
    <row r="649" spans="1:1" x14ac:dyDescent="0.3">
      <c r="A649" s="108">
        <v>0</v>
      </c>
    </row>
    <row r="650" spans="1:1" x14ac:dyDescent="0.3">
      <c r="A650" s="108">
        <v>0</v>
      </c>
    </row>
    <row r="651" spans="1:1" x14ac:dyDescent="0.3">
      <c r="A651" s="108">
        <v>0</v>
      </c>
    </row>
    <row r="652" spans="1:1" x14ac:dyDescent="0.3">
      <c r="A652" s="108">
        <v>0</v>
      </c>
    </row>
    <row r="653" spans="1:1" x14ac:dyDescent="0.3">
      <c r="A653" s="108">
        <v>0</v>
      </c>
    </row>
    <row r="654" spans="1:1" x14ac:dyDescent="0.3">
      <c r="A654" s="108">
        <v>0</v>
      </c>
    </row>
    <row r="655" spans="1:1" x14ac:dyDescent="0.3">
      <c r="A655" s="108">
        <v>0</v>
      </c>
    </row>
    <row r="656" spans="1:1" x14ac:dyDescent="0.3">
      <c r="A656" s="108">
        <v>0</v>
      </c>
    </row>
    <row r="657" spans="1:1" x14ac:dyDescent="0.3">
      <c r="A657" s="108">
        <v>0</v>
      </c>
    </row>
    <row r="658" spans="1:1" x14ac:dyDescent="0.3">
      <c r="A658" s="108">
        <v>0</v>
      </c>
    </row>
    <row r="659" spans="1:1" x14ac:dyDescent="0.3">
      <c r="A659" s="108">
        <v>0</v>
      </c>
    </row>
    <row r="660" spans="1:1" x14ac:dyDescent="0.3">
      <c r="A660" s="108">
        <v>0</v>
      </c>
    </row>
    <row r="661" spans="1:1" x14ac:dyDescent="0.3">
      <c r="A661" s="108">
        <v>0</v>
      </c>
    </row>
    <row r="662" spans="1:1" x14ac:dyDescent="0.3">
      <c r="A662" s="108">
        <v>0</v>
      </c>
    </row>
    <row r="663" spans="1:1" x14ac:dyDescent="0.3">
      <c r="A663" s="108">
        <v>0</v>
      </c>
    </row>
    <row r="664" spans="1:1" x14ac:dyDescent="0.3">
      <c r="A664" s="108">
        <v>0</v>
      </c>
    </row>
    <row r="665" spans="1:1" x14ac:dyDescent="0.3">
      <c r="A665" s="108">
        <v>0</v>
      </c>
    </row>
    <row r="666" spans="1:1" x14ac:dyDescent="0.3">
      <c r="A666" s="108">
        <v>0</v>
      </c>
    </row>
    <row r="667" spans="1:1" x14ac:dyDescent="0.3">
      <c r="A667" s="108">
        <v>0</v>
      </c>
    </row>
    <row r="668" spans="1:1" x14ac:dyDescent="0.3">
      <c r="A668" s="108">
        <v>0</v>
      </c>
    </row>
    <row r="669" spans="1:1" x14ac:dyDescent="0.3">
      <c r="A669" s="108">
        <v>0</v>
      </c>
    </row>
    <row r="670" spans="1:1" x14ac:dyDescent="0.3">
      <c r="A670" s="108">
        <v>0</v>
      </c>
    </row>
    <row r="671" spans="1:1" x14ac:dyDescent="0.3">
      <c r="A671" s="108">
        <v>0</v>
      </c>
    </row>
    <row r="672" spans="1:1" x14ac:dyDescent="0.3">
      <c r="A672" s="108">
        <v>0</v>
      </c>
    </row>
    <row r="673" spans="1:1" x14ac:dyDescent="0.3">
      <c r="A673" s="108">
        <v>0</v>
      </c>
    </row>
    <row r="674" spans="1:1" x14ac:dyDescent="0.3">
      <c r="A674" s="108">
        <v>0</v>
      </c>
    </row>
    <row r="675" spans="1:1" x14ac:dyDescent="0.3">
      <c r="A675" s="108">
        <v>0</v>
      </c>
    </row>
    <row r="676" spans="1:1" x14ac:dyDescent="0.3">
      <c r="A676" s="108">
        <v>0</v>
      </c>
    </row>
    <row r="677" spans="1:1" x14ac:dyDescent="0.3">
      <c r="A677" s="108">
        <v>0</v>
      </c>
    </row>
    <row r="678" spans="1:1" x14ac:dyDescent="0.3">
      <c r="A678" s="108">
        <v>0</v>
      </c>
    </row>
    <row r="679" spans="1:1" x14ac:dyDescent="0.3">
      <c r="A679" s="108">
        <v>0</v>
      </c>
    </row>
    <row r="680" spans="1:1" x14ac:dyDescent="0.3">
      <c r="A680" s="108">
        <v>0</v>
      </c>
    </row>
    <row r="681" spans="1:1" x14ac:dyDescent="0.3">
      <c r="A681" s="108">
        <v>0</v>
      </c>
    </row>
    <row r="682" spans="1:1" x14ac:dyDescent="0.3">
      <c r="A682" s="108">
        <v>0</v>
      </c>
    </row>
    <row r="683" spans="1:1" x14ac:dyDescent="0.3">
      <c r="A683" s="108">
        <v>0</v>
      </c>
    </row>
    <row r="684" spans="1:1" x14ac:dyDescent="0.3">
      <c r="A684" s="108">
        <v>0</v>
      </c>
    </row>
    <row r="685" spans="1:1" x14ac:dyDescent="0.3">
      <c r="A685" s="108">
        <v>0</v>
      </c>
    </row>
    <row r="686" spans="1:1" x14ac:dyDescent="0.3">
      <c r="A686" s="108">
        <v>0</v>
      </c>
    </row>
    <row r="687" spans="1:1" x14ac:dyDescent="0.3">
      <c r="A687" s="108">
        <v>0</v>
      </c>
    </row>
    <row r="688" spans="1:1" x14ac:dyDescent="0.3">
      <c r="A688" s="108">
        <v>0</v>
      </c>
    </row>
    <row r="689" spans="1:1" x14ac:dyDescent="0.3">
      <c r="A689" s="108">
        <v>0</v>
      </c>
    </row>
    <row r="690" spans="1:1" x14ac:dyDescent="0.3">
      <c r="A690" s="108">
        <v>0</v>
      </c>
    </row>
    <row r="691" spans="1:1" x14ac:dyDescent="0.3">
      <c r="A691" s="108">
        <v>0</v>
      </c>
    </row>
    <row r="692" spans="1:1" x14ac:dyDescent="0.3">
      <c r="A692" s="108">
        <v>0</v>
      </c>
    </row>
    <row r="693" spans="1:1" x14ac:dyDescent="0.3">
      <c r="A693" s="108">
        <v>0</v>
      </c>
    </row>
    <row r="694" spans="1:1" x14ac:dyDescent="0.3">
      <c r="A694" s="108">
        <v>0</v>
      </c>
    </row>
    <row r="695" spans="1:1" x14ac:dyDescent="0.3">
      <c r="A695" s="108">
        <v>0</v>
      </c>
    </row>
    <row r="696" spans="1:1" x14ac:dyDescent="0.3">
      <c r="A696" s="108">
        <v>0</v>
      </c>
    </row>
    <row r="697" spans="1:1" x14ac:dyDescent="0.3">
      <c r="A697" s="108">
        <v>0</v>
      </c>
    </row>
    <row r="698" spans="1:1" x14ac:dyDescent="0.3">
      <c r="A698" s="108">
        <v>0</v>
      </c>
    </row>
    <row r="699" spans="1:1" x14ac:dyDescent="0.3">
      <c r="A699" s="108">
        <v>0</v>
      </c>
    </row>
    <row r="700" spans="1:1" x14ac:dyDescent="0.3">
      <c r="A700" s="108">
        <v>0</v>
      </c>
    </row>
    <row r="701" spans="1:1" x14ac:dyDescent="0.3">
      <c r="A701" s="108">
        <v>0</v>
      </c>
    </row>
    <row r="702" spans="1:1" x14ac:dyDescent="0.3">
      <c r="A702" s="108">
        <v>0</v>
      </c>
    </row>
    <row r="703" spans="1:1" x14ac:dyDescent="0.3">
      <c r="A703" s="108">
        <v>0</v>
      </c>
    </row>
    <row r="704" spans="1:1" x14ac:dyDescent="0.3">
      <c r="A704" s="108">
        <v>0</v>
      </c>
    </row>
    <row r="705" spans="1:1" x14ac:dyDescent="0.3">
      <c r="A705" s="108">
        <v>0</v>
      </c>
    </row>
    <row r="706" spans="1:1" x14ac:dyDescent="0.3">
      <c r="A706" s="108">
        <v>0</v>
      </c>
    </row>
    <row r="707" spans="1:1" x14ac:dyDescent="0.3">
      <c r="A707" s="108">
        <v>0</v>
      </c>
    </row>
    <row r="708" spans="1:1" x14ac:dyDescent="0.3">
      <c r="A708" s="108">
        <v>0</v>
      </c>
    </row>
    <row r="709" spans="1:1" x14ac:dyDescent="0.3">
      <c r="A709" s="108">
        <v>0</v>
      </c>
    </row>
    <row r="710" spans="1:1" x14ac:dyDescent="0.3">
      <c r="A710" s="108">
        <v>0</v>
      </c>
    </row>
    <row r="711" spans="1:1" x14ac:dyDescent="0.3">
      <c r="A711" s="108">
        <v>0</v>
      </c>
    </row>
    <row r="712" spans="1:1" x14ac:dyDescent="0.3">
      <c r="A712" s="108">
        <v>0</v>
      </c>
    </row>
    <row r="713" spans="1:1" x14ac:dyDescent="0.3">
      <c r="A713" s="108">
        <v>0</v>
      </c>
    </row>
    <row r="714" spans="1:1" x14ac:dyDescent="0.3">
      <c r="A714" s="108">
        <v>0</v>
      </c>
    </row>
    <row r="715" spans="1:1" x14ac:dyDescent="0.3">
      <c r="A715" s="108">
        <v>0</v>
      </c>
    </row>
    <row r="716" spans="1:1" x14ac:dyDescent="0.3">
      <c r="A716" s="108">
        <v>0</v>
      </c>
    </row>
    <row r="717" spans="1:1" x14ac:dyDescent="0.3">
      <c r="A717" s="108">
        <v>0</v>
      </c>
    </row>
    <row r="718" spans="1:1" x14ac:dyDescent="0.3">
      <c r="A718" s="108">
        <v>0</v>
      </c>
    </row>
    <row r="719" spans="1:1" x14ac:dyDescent="0.3">
      <c r="A719" s="108">
        <v>0</v>
      </c>
    </row>
    <row r="720" spans="1:1" x14ac:dyDescent="0.3">
      <c r="A720" s="108">
        <v>0</v>
      </c>
    </row>
    <row r="721" spans="1:1" x14ac:dyDescent="0.3">
      <c r="A721" s="108">
        <v>0</v>
      </c>
    </row>
    <row r="722" spans="1:1" x14ac:dyDescent="0.3">
      <c r="A722" s="108">
        <v>0</v>
      </c>
    </row>
    <row r="723" spans="1:1" x14ac:dyDescent="0.3">
      <c r="A723" s="108">
        <v>0</v>
      </c>
    </row>
    <row r="724" spans="1:1" x14ac:dyDescent="0.3">
      <c r="A724" s="108">
        <v>0</v>
      </c>
    </row>
    <row r="725" spans="1:1" x14ac:dyDescent="0.3">
      <c r="A725" s="108">
        <v>0</v>
      </c>
    </row>
    <row r="726" spans="1:1" x14ac:dyDescent="0.3">
      <c r="A726" s="108">
        <v>0</v>
      </c>
    </row>
    <row r="727" spans="1:1" x14ac:dyDescent="0.3">
      <c r="A727" s="108">
        <v>0</v>
      </c>
    </row>
    <row r="728" spans="1:1" x14ac:dyDescent="0.3">
      <c r="A728" s="108">
        <v>0</v>
      </c>
    </row>
    <row r="729" spans="1:1" x14ac:dyDescent="0.3">
      <c r="A729" s="108">
        <v>0</v>
      </c>
    </row>
    <row r="730" spans="1:1" x14ac:dyDescent="0.3">
      <c r="A730" s="108">
        <v>0</v>
      </c>
    </row>
    <row r="731" spans="1:1" x14ac:dyDescent="0.3">
      <c r="A731" s="108">
        <v>0</v>
      </c>
    </row>
    <row r="732" spans="1:1" x14ac:dyDescent="0.3">
      <c r="A732" s="108">
        <v>0</v>
      </c>
    </row>
    <row r="733" spans="1:1" x14ac:dyDescent="0.3">
      <c r="A733" s="108">
        <v>0</v>
      </c>
    </row>
    <row r="734" spans="1:1" x14ac:dyDescent="0.3">
      <c r="A734" s="108">
        <v>0</v>
      </c>
    </row>
    <row r="735" spans="1:1" x14ac:dyDescent="0.3">
      <c r="A735" s="108">
        <v>0</v>
      </c>
    </row>
    <row r="736" spans="1:1" x14ac:dyDescent="0.3">
      <c r="A736" s="108">
        <v>0</v>
      </c>
    </row>
    <row r="737" spans="1:1" x14ac:dyDescent="0.3">
      <c r="A737" s="108">
        <v>0</v>
      </c>
    </row>
    <row r="738" spans="1:1" x14ac:dyDescent="0.3">
      <c r="A738" s="108">
        <v>0</v>
      </c>
    </row>
    <row r="739" spans="1:1" x14ac:dyDescent="0.3">
      <c r="A739" s="108">
        <v>0</v>
      </c>
    </row>
    <row r="740" spans="1:1" x14ac:dyDescent="0.3">
      <c r="A740" s="108">
        <v>0</v>
      </c>
    </row>
    <row r="741" spans="1:1" x14ac:dyDescent="0.3">
      <c r="A741" s="108">
        <v>0</v>
      </c>
    </row>
    <row r="742" spans="1:1" x14ac:dyDescent="0.3">
      <c r="A742" s="108">
        <v>0</v>
      </c>
    </row>
    <row r="743" spans="1:1" x14ac:dyDescent="0.3">
      <c r="A743" s="108">
        <v>0</v>
      </c>
    </row>
    <row r="744" spans="1:1" x14ac:dyDescent="0.3">
      <c r="A744" s="108">
        <v>0</v>
      </c>
    </row>
    <row r="745" spans="1:1" x14ac:dyDescent="0.3">
      <c r="A745" s="108">
        <v>0</v>
      </c>
    </row>
    <row r="746" spans="1:1" x14ac:dyDescent="0.3">
      <c r="A746" s="108">
        <v>0</v>
      </c>
    </row>
    <row r="747" spans="1:1" x14ac:dyDescent="0.3">
      <c r="A747" s="108">
        <v>0</v>
      </c>
    </row>
    <row r="748" spans="1:1" x14ac:dyDescent="0.3">
      <c r="A748" s="108">
        <v>0</v>
      </c>
    </row>
    <row r="749" spans="1:1" x14ac:dyDescent="0.3">
      <c r="A749" s="108">
        <v>0</v>
      </c>
    </row>
    <row r="750" spans="1:1" x14ac:dyDescent="0.3">
      <c r="A750" s="108">
        <v>0</v>
      </c>
    </row>
    <row r="751" spans="1:1" x14ac:dyDescent="0.3">
      <c r="A751" s="108">
        <v>0</v>
      </c>
    </row>
    <row r="752" spans="1:1" x14ac:dyDescent="0.3">
      <c r="A752" s="108">
        <v>0</v>
      </c>
    </row>
    <row r="753" spans="1:1" x14ac:dyDescent="0.3">
      <c r="A753" s="108">
        <v>0</v>
      </c>
    </row>
    <row r="754" spans="1:1" x14ac:dyDescent="0.3">
      <c r="A754" s="108">
        <v>0</v>
      </c>
    </row>
    <row r="755" spans="1:1" x14ac:dyDescent="0.3">
      <c r="A755" s="108">
        <v>0</v>
      </c>
    </row>
    <row r="756" spans="1:1" x14ac:dyDescent="0.3">
      <c r="A756" s="108">
        <v>0</v>
      </c>
    </row>
    <row r="757" spans="1:1" x14ac:dyDescent="0.3">
      <c r="A757" s="108">
        <v>0</v>
      </c>
    </row>
    <row r="758" spans="1:1" x14ac:dyDescent="0.3">
      <c r="A758" s="108">
        <v>0</v>
      </c>
    </row>
    <row r="759" spans="1:1" x14ac:dyDescent="0.3">
      <c r="A759" s="108">
        <v>0</v>
      </c>
    </row>
    <row r="760" spans="1:1" x14ac:dyDescent="0.3">
      <c r="A760" s="108">
        <v>0</v>
      </c>
    </row>
    <row r="761" spans="1:1" x14ac:dyDescent="0.3">
      <c r="A761" s="108">
        <v>0</v>
      </c>
    </row>
    <row r="762" spans="1:1" x14ac:dyDescent="0.3">
      <c r="A762" s="108">
        <v>0</v>
      </c>
    </row>
    <row r="763" spans="1:1" x14ac:dyDescent="0.3">
      <c r="A763" s="108">
        <v>0</v>
      </c>
    </row>
    <row r="764" spans="1:1" x14ac:dyDescent="0.3">
      <c r="A764" s="108">
        <v>0</v>
      </c>
    </row>
    <row r="765" spans="1:1" x14ac:dyDescent="0.3">
      <c r="A765" s="108">
        <v>0</v>
      </c>
    </row>
    <row r="766" spans="1:1" x14ac:dyDescent="0.3">
      <c r="A766" s="108">
        <v>0</v>
      </c>
    </row>
    <row r="767" spans="1:1" x14ac:dyDescent="0.3">
      <c r="A767" s="108">
        <v>0</v>
      </c>
    </row>
    <row r="768" spans="1:1" x14ac:dyDescent="0.3">
      <c r="A768" s="108">
        <v>0</v>
      </c>
    </row>
    <row r="769" spans="1:1" x14ac:dyDescent="0.3">
      <c r="A769" s="108">
        <v>0</v>
      </c>
    </row>
    <row r="770" spans="1:1" x14ac:dyDescent="0.3">
      <c r="A770" s="108">
        <v>0</v>
      </c>
    </row>
    <row r="771" spans="1:1" x14ac:dyDescent="0.3">
      <c r="A771" s="108">
        <v>0</v>
      </c>
    </row>
    <row r="772" spans="1:1" x14ac:dyDescent="0.3">
      <c r="A772" s="108">
        <v>0</v>
      </c>
    </row>
    <row r="773" spans="1:1" x14ac:dyDescent="0.3">
      <c r="A773" s="108">
        <v>0</v>
      </c>
    </row>
    <row r="774" spans="1:1" x14ac:dyDescent="0.3">
      <c r="A774" s="108">
        <v>0</v>
      </c>
    </row>
    <row r="775" spans="1:1" x14ac:dyDescent="0.3">
      <c r="A775" s="108">
        <v>0</v>
      </c>
    </row>
    <row r="776" spans="1:1" x14ac:dyDescent="0.3">
      <c r="A776" s="108">
        <v>0</v>
      </c>
    </row>
    <row r="777" spans="1:1" x14ac:dyDescent="0.3">
      <c r="A777" s="108">
        <v>0</v>
      </c>
    </row>
    <row r="778" spans="1:1" x14ac:dyDescent="0.3">
      <c r="A778" s="108">
        <v>0</v>
      </c>
    </row>
    <row r="779" spans="1:1" x14ac:dyDescent="0.3">
      <c r="A779" s="108">
        <v>0</v>
      </c>
    </row>
    <row r="780" spans="1:1" x14ac:dyDescent="0.3">
      <c r="A780" s="108">
        <v>0</v>
      </c>
    </row>
    <row r="781" spans="1:1" x14ac:dyDescent="0.3">
      <c r="A781" s="108">
        <v>0</v>
      </c>
    </row>
    <row r="782" spans="1:1" x14ac:dyDescent="0.3">
      <c r="A782" s="108">
        <v>0</v>
      </c>
    </row>
    <row r="783" spans="1:1" x14ac:dyDescent="0.3">
      <c r="A783" s="108">
        <v>0</v>
      </c>
    </row>
    <row r="784" spans="1:1" x14ac:dyDescent="0.3">
      <c r="A784" s="108">
        <v>0</v>
      </c>
    </row>
    <row r="785" spans="1:1" x14ac:dyDescent="0.3">
      <c r="A785" s="108">
        <v>0</v>
      </c>
    </row>
    <row r="786" spans="1:1" x14ac:dyDescent="0.3">
      <c r="A786" s="108">
        <v>0</v>
      </c>
    </row>
    <row r="787" spans="1:1" x14ac:dyDescent="0.3">
      <c r="A787" s="108">
        <v>0</v>
      </c>
    </row>
    <row r="788" spans="1:1" x14ac:dyDescent="0.3">
      <c r="A788" s="108">
        <v>0</v>
      </c>
    </row>
    <row r="789" spans="1:1" x14ac:dyDescent="0.3">
      <c r="A789" s="108">
        <v>0</v>
      </c>
    </row>
    <row r="790" spans="1:1" x14ac:dyDescent="0.3">
      <c r="A790" s="108">
        <v>0</v>
      </c>
    </row>
    <row r="791" spans="1:1" x14ac:dyDescent="0.3">
      <c r="A791" s="108">
        <v>0</v>
      </c>
    </row>
    <row r="792" spans="1:1" x14ac:dyDescent="0.3">
      <c r="A792" s="108">
        <v>0</v>
      </c>
    </row>
    <row r="793" spans="1:1" x14ac:dyDescent="0.3">
      <c r="A793" s="108">
        <v>0</v>
      </c>
    </row>
    <row r="794" spans="1:1" x14ac:dyDescent="0.3">
      <c r="A794" s="108">
        <v>0</v>
      </c>
    </row>
    <row r="795" spans="1:1" x14ac:dyDescent="0.3">
      <c r="A795" s="108">
        <v>0</v>
      </c>
    </row>
    <row r="796" spans="1:1" x14ac:dyDescent="0.3">
      <c r="A796" s="108">
        <v>0</v>
      </c>
    </row>
    <row r="797" spans="1:1" x14ac:dyDescent="0.3">
      <c r="A797" s="108">
        <v>0</v>
      </c>
    </row>
    <row r="798" spans="1:1" x14ac:dyDescent="0.3">
      <c r="A798" s="108">
        <v>0</v>
      </c>
    </row>
    <row r="799" spans="1:1" x14ac:dyDescent="0.3">
      <c r="A799" s="108">
        <v>0</v>
      </c>
    </row>
    <row r="800" spans="1:1" x14ac:dyDescent="0.3">
      <c r="A800" s="108">
        <v>0</v>
      </c>
    </row>
    <row r="801" spans="1:1" x14ac:dyDescent="0.3">
      <c r="A801" s="108">
        <v>0</v>
      </c>
    </row>
    <row r="802" spans="1:1" x14ac:dyDescent="0.3">
      <c r="A802" s="108">
        <v>0</v>
      </c>
    </row>
    <row r="803" spans="1:1" x14ac:dyDescent="0.3">
      <c r="A803" s="108">
        <v>0</v>
      </c>
    </row>
    <row r="804" spans="1:1" x14ac:dyDescent="0.3">
      <c r="A804" s="108">
        <v>0</v>
      </c>
    </row>
    <row r="805" spans="1:1" x14ac:dyDescent="0.3">
      <c r="A805" s="108">
        <v>0</v>
      </c>
    </row>
    <row r="806" spans="1:1" x14ac:dyDescent="0.3">
      <c r="A806" s="108">
        <v>0</v>
      </c>
    </row>
    <row r="807" spans="1:1" x14ac:dyDescent="0.3">
      <c r="A807" s="108">
        <v>0</v>
      </c>
    </row>
    <row r="808" spans="1:1" x14ac:dyDescent="0.3">
      <c r="A808" s="108">
        <v>0</v>
      </c>
    </row>
    <row r="809" spans="1:1" x14ac:dyDescent="0.3">
      <c r="A809" s="108">
        <v>0</v>
      </c>
    </row>
    <row r="810" spans="1:1" x14ac:dyDescent="0.3">
      <c r="A810" s="108">
        <v>0</v>
      </c>
    </row>
    <row r="811" spans="1:1" x14ac:dyDescent="0.3">
      <c r="A811" s="108">
        <v>0</v>
      </c>
    </row>
    <row r="812" spans="1:1" x14ac:dyDescent="0.3">
      <c r="A812" s="108">
        <v>0</v>
      </c>
    </row>
    <row r="813" spans="1:1" x14ac:dyDescent="0.3">
      <c r="A813" s="108">
        <v>0</v>
      </c>
    </row>
    <row r="814" spans="1:1" x14ac:dyDescent="0.3">
      <c r="A814" s="108">
        <v>0</v>
      </c>
    </row>
    <row r="815" spans="1:1" x14ac:dyDescent="0.3">
      <c r="A815" s="108">
        <v>0</v>
      </c>
    </row>
    <row r="816" spans="1:1" x14ac:dyDescent="0.3">
      <c r="A816" s="108">
        <v>0</v>
      </c>
    </row>
    <row r="817" spans="1:1" x14ac:dyDescent="0.3">
      <c r="A817" s="108">
        <v>0</v>
      </c>
    </row>
    <row r="818" spans="1:1" x14ac:dyDescent="0.3">
      <c r="A818" s="108">
        <v>0</v>
      </c>
    </row>
    <row r="819" spans="1:1" x14ac:dyDescent="0.3">
      <c r="A819" s="108">
        <v>0</v>
      </c>
    </row>
    <row r="820" spans="1:1" x14ac:dyDescent="0.3">
      <c r="A820" s="108">
        <v>0</v>
      </c>
    </row>
    <row r="821" spans="1:1" x14ac:dyDescent="0.3">
      <c r="A821" s="108">
        <v>0</v>
      </c>
    </row>
    <row r="822" spans="1:1" x14ac:dyDescent="0.3">
      <c r="A822" s="108">
        <v>0</v>
      </c>
    </row>
    <row r="823" spans="1:1" x14ac:dyDescent="0.3">
      <c r="A823" s="108">
        <v>0</v>
      </c>
    </row>
    <row r="824" spans="1:1" x14ac:dyDescent="0.3">
      <c r="A824" s="108">
        <v>0</v>
      </c>
    </row>
    <row r="825" spans="1:1" x14ac:dyDescent="0.3">
      <c r="A825" s="108">
        <v>0</v>
      </c>
    </row>
    <row r="826" spans="1:1" x14ac:dyDescent="0.3">
      <c r="A826" s="108">
        <v>0</v>
      </c>
    </row>
    <row r="827" spans="1:1" x14ac:dyDescent="0.3">
      <c r="A827" s="108">
        <v>0</v>
      </c>
    </row>
    <row r="828" spans="1:1" x14ac:dyDescent="0.3">
      <c r="A828" s="108">
        <v>0</v>
      </c>
    </row>
    <row r="829" spans="1:1" x14ac:dyDescent="0.3">
      <c r="A829" s="108">
        <v>0</v>
      </c>
    </row>
    <row r="830" spans="1:1" x14ac:dyDescent="0.3">
      <c r="A830" s="108">
        <v>0</v>
      </c>
    </row>
    <row r="831" spans="1:1" x14ac:dyDescent="0.3">
      <c r="A831" s="108">
        <v>0</v>
      </c>
    </row>
    <row r="832" spans="1:1" x14ac:dyDescent="0.3">
      <c r="A832" s="108">
        <v>0</v>
      </c>
    </row>
    <row r="833" spans="1:1" x14ac:dyDescent="0.3">
      <c r="A833" s="108">
        <v>0</v>
      </c>
    </row>
    <row r="834" spans="1:1" x14ac:dyDescent="0.3">
      <c r="A834" s="108">
        <v>0</v>
      </c>
    </row>
    <row r="835" spans="1:1" x14ac:dyDescent="0.3">
      <c r="A835" s="108">
        <v>0</v>
      </c>
    </row>
    <row r="836" spans="1:1" x14ac:dyDescent="0.3">
      <c r="A836" s="108">
        <v>0</v>
      </c>
    </row>
    <row r="837" spans="1:1" x14ac:dyDescent="0.3">
      <c r="A837" s="108">
        <v>0</v>
      </c>
    </row>
    <row r="838" spans="1:1" x14ac:dyDescent="0.3">
      <c r="A838" s="108">
        <v>0</v>
      </c>
    </row>
    <row r="839" spans="1:1" x14ac:dyDescent="0.3">
      <c r="A839" s="108">
        <v>0</v>
      </c>
    </row>
    <row r="840" spans="1:1" x14ac:dyDescent="0.3">
      <c r="A840" s="108">
        <v>0</v>
      </c>
    </row>
    <row r="841" spans="1:1" x14ac:dyDescent="0.3">
      <c r="A841" s="108">
        <v>0</v>
      </c>
    </row>
    <row r="842" spans="1:1" x14ac:dyDescent="0.3">
      <c r="A842" s="108">
        <v>0</v>
      </c>
    </row>
    <row r="843" spans="1:1" x14ac:dyDescent="0.3">
      <c r="A843" s="108">
        <v>0</v>
      </c>
    </row>
    <row r="844" spans="1:1" x14ac:dyDescent="0.3">
      <c r="A844" s="108">
        <v>0</v>
      </c>
    </row>
    <row r="845" spans="1:1" x14ac:dyDescent="0.3">
      <c r="A845" s="108">
        <v>0</v>
      </c>
    </row>
    <row r="846" spans="1:1" x14ac:dyDescent="0.3">
      <c r="A846" s="108">
        <v>0</v>
      </c>
    </row>
    <row r="847" spans="1:1" x14ac:dyDescent="0.3">
      <c r="A847" s="108">
        <v>0</v>
      </c>
    </row>
    <row r="848" spans="1:1" x14ac:dyDescent="0.3">
      <c r="A848" s="108">
        <v>0</v>
      </c>
    </row>
    <row r="849" spans="1:1" x14ac:dyDescent="0.3">
      <c r="A849" s="108">
        <v>0</v>
      </c>
    </row>
    <row r="850" spans="1:1" x14ac:dyDescent="0.3">
      <c r="A850" s="108">
        <v>0</v>
      </c>
    </row>
    <row r="851" spans="1:1" x14ac:dyDescent="0.3">
      <c r="A851" s="108">
        <v>0</v>
      </c>
    </row>
    <row r="852" spans="1:1" x14ac:dyDescent="0.3">
      <c r="A852" s="108">
        <v>0</v>
      </c>
    </row>
    <row r="853" spans="1:1" x14ac:dyDescent="0.3">
      <c r="A853" s="108">
        <v>0</v>
      </c>
    </row>
    <row r="854" spans="1:1" x14ac:dyDescent="0.3">
      <c r="A854" s="108">
        <v>0</v>
      </c>
    </row>
    <row r="855" spans="1:1" x14ac:dyDescent="0.3">
      <c r="A855" s="108">
        <v>0</v>
      </c>
    </row>
    <row r="856" spans="1:1" x14ac:dyDescent="0.3">
      <c r="A856" s="108">
        <v>0</v>
      </c>
    </row>
    <row r="857" spans="1:1" x14ac:dyDescent="0.3">
      <c r="A857" s="108">
        <v>0</v>
      </c>
    </row>
    <row r="858" spans="1:1" x14ac:dyDescent="0.3">
      <c r="A858" s="108">
        <v>0</v>
      </c>
    </row>
    <row r="859" spans="1:1" x14ac:dyDescent="0.3">
      <c r="A859" s="108">
        <v>0</v>
      </c>
    </row>
    <row r="860" spans="1:1" x14ac:dyDescent="0.3">
      <c r="A860" s="108">
        <v>0</v>
      </c>
    </row>
    <row r="861" spans="1:1" x14ac:dyDescent="0.3">
      <c r="A861" s="108">
        <v>0</v>
      </c>
    </row>
    <row r="862" spans="1:1" x14ac:dyDescent="0.3">
      <c r="A862" s="108">
        <v>0</v>
      </c>
    </row>
    <row r="863" spans="1:1" x14ac:dyDescent="0.3">
      <c r="A863" s="108">
        <v>0</v>
      </c>
    </row>
    <row r="864" spans="1:1" x14ac:dyDescent="0.3">
      <c r="A864" s="108">
        <v>0</v>
      </c>
    </row>
    <row r="865" spans="1:1" x14ac:dyDescent="0.3">
      <c r="A865" s="108">
        <v>0</v>
      </c>
    </row>
    <row r="866" spans="1:1" x14ac:dyDescent="0.3">
      <c r="A866" s="108">
        <v>0</v>
      </c>
    </row>
    <row r="867" spans="1:1" x14ac:dyDescent="0.3">
      <c r="A867" s="108">
        <v>0</v>
      </c>
    </row>
    <row r="868" spans="1:1" x14ac:dyDescent="0.3">
      <c r="A868" s="108">
        <v>0</v>
      </c>
    </row>
    <row r="869" spans="1:1" x14ac:dyDescent="0.3">
      <c r="A869" s="108">
        <v>0</v>
      </c>
    </row>
    <row r="870" spans="1:1" x14ac:dyDescent="0.3">
      <c r="A870" s="108">
        <v>0</v>
      </c>
    </row>
    <row r="871" spans="1:1" x14ac:dyDescent="0.3">
      <c r="A871" s="108">
        <v>0</v>
      </c>
    </row>
    <row r="872" spans="1:1" x14ac:dyDescent="0.3">
      <c r="A872" s="108">
        <v>0</v>
      </c>
    </row>
    <row r="873" spans="1:1" x14ac:dyDescent="0.3">
      <c r="A873" s="108">
        <v>0</v>
      </c>
    </row>
    <row r="874" spans="1:1" x14ac:dyDescent="0.3">
      <c r="A874" s="108">
        <v>0</v>
      </c>
    </row>
    <row r="875" spans="1:1" x14ac:dyDescent="0.3">
      <c r="A875" s="108">
        <v>0</v>
      </c>
    </row>
    <row r="876" spans="1:1" x14ac:dyDescent="0.3">
      <c r="A876" s="108">
        <v>0</v>
      </c>
    </row>
    <row r="877" spans="1:1" x14ac:dyDescent="0.3">
      <c r="A877" s="108">
        <v>0</v>
      </c>
    </row>
    <row r="878" spans="1:1" x14ac:dyDescent="0.3">
      <c r="A878" s="108">
        <v>0</v>
      </c>
    </row>
    <row r="879" spans="1:1" x14ac:dyDescent="0.3">
      <c r="A879" s="108">
        <v>0</v>
      </c>
    </row>
    <row r="880" spans="1:1" x14ac:dyDescent="0.3">
      <c r="A880" s="108">
        <v>0</v>
      </c>
    </row>
    <row r="881" spans="1:1" x14ac:dyDescent="0.3">
      <c r="A881" s="108">
        <v>0</v>
      </c>
    </row>
    <row r="882" spans="1:1" x14ac:dyDescent="0.3">
      <c r="A882" s="108">
        <v>0</v>
      </c>
    </row>
    <row r="883" spans="1:1" x14ac:dyDescent="0.3">
      <c r="A883" s="108">
        <v>0</v>
      </c>
    </row>
    <row r="884" spans="1:1" x14ac:dyDescent="0.3">
      <c r="A884" s="108">
        <v>0</v>
      </c>
    </row>
    <row r="885" spans="1:1" x14ac:dyDescent="0.3">
      <c r="A885" s="108">
        <v>0</v>
      </c>
    </row>
    <row r="886" spans="1:1" x14ac:dyDescent="0.3">
      <c r="A886" s="108">
        <v>0</v>
      </c>
    </row>
    <row r="887" spans="1:1" x14ac:dyDescent="0.3">
      <c r="A887" s="108">
        <v>0</v>
      </c>
    </row>
    <row r="888" spans="1:1" x14ac:dyDescent="0.3">
      <c r="A888" s="108">
        <v>0</v>
      </c>
    </row>
    <row r="889" spans="1:1" x14ac:dyDescent="0.3">
      <c r="A889" s="108">
        <v>0</v>
      </c>
    </row>
    <row r="890" spans="1:1" x14ac:dyDescent="0.3">
      <c r="A890" s="108">
        <v>0</v>
      </c>
    </row>
    <row r="891" spans="1:1" x14ac:dyDescent="0.3">
      <c r="A891" s="108">
        <v>0</v>
      </c>
    </row>
    <row r="892" spans="1:1" x14ac:dyDescent="0.3">
      <c r="A892" s="108">
        <v>0</v>
      </c>
    </row>
    <row r="893" spans="1:1" x14ac:dyDescent="0.3">
      <c r="A893" s="108">
        <v>0</v>
      </c>
    </row>
    <row r="894" spans="1:1" x14ac:dyDescent="0.3">
      <c r="A894" s="108">
        <v>0</v>
      </c>
    </row>
    <row r="895" spans="1:1" x14ac:dyDescent="0.3">
      <c r="A895" s="108">
        <v>0</v>
      </c>
    </row>
    <row r="896" spans="1:1" x14ac:dyDescent="0.3">
      <c r="A896" s="108">
        <v>0</v>
      </c>
    </row>
    <row r="897" spans="1:1" x14ac:dyDescent="0.3">
      <c r="A897" s="108">
        <v>0</v>
      </c>
    </row>
    <row r="898" spans="1:1" x14ac:dyDescent="0.3">
      <c r="A898" s="108">
        <v>0</v>
      </c>
    </row>
    <row r="899" spans="1:1" x14ac:dyDescent="0.3">
      <c r="A899" s="108">
        <v>0</v>
      </c>
    </row>
    <row r="900" spans="1:1" x14ac:dyDescent="0.3">
      <c r="A900" s="108">
        <v>0</v>
      </c>
    </row>
    <row r="901" spans="1:1" x14ac:dyDescent="0.3">
      <c r="A901" s="108">
        <v>0</v>
      </c>
    </row>
    <row r="902" spans="1:1" x14ac:dyDescent="0.3">
      <c r="A902" s="108">
        <v>0</v>
      </c>
    </row>
    <row r="903" spans="1:1" x14ac:dyDescent="0.3">
      <c r="A903" s="108">
        <v>0</v>
      </c>
    </row>
    <row r="904" spans="1:1" x14ac:dyDescent="0.3">
      <c r="A904" s="108">
        <v>0</v>
      </c>
    </row>
    <row r="905" spans="1:1" x14ac:dyDescent="0.3">
      <c r="A905" s="108">
        <v>0</v>
      </c>
    </row>
    <row r="906" spans="1:1" x14ac:dyDescent="0.3">
      <c r="A906" s="108">
        <v>0</v>
      </c>
    </row>
    <row r="907" spans="1:1" x14ac:dyDescent="0.3">
      <c r="A907" s="108">
        <v>0</v>
      </c>
    </row>
    <row r="908" spans="1:1" x14ac:dyDescent="0.3">
      <c r="A908" s="108">
        <v>0</v>
      </c>
    </row>
    <row r="909" spans="1:1" x14ac:dyDescent="0.3">
      <c r="A909" s="108">
        <v>0</v>
      </c>
    </row>
    <row r="910" spans="1:1" x14ac:dyDescent="0.3">
      <c r="A910" s="108">
        <v>0</v>
      </c>
    </row>
    <row r="911" spans="1:1" x14ac:dyDescent="0.3">
      <c r="A911" s="108">
        <v>0</v>
      </c>
    </row>
    <row r="912" spans="1:1" x14ac:dyDescent="0.3">
      <c r="A912" s="108">
        <v>0</v>
      </c>
    </row>
    <row r="913" spans="1:1" x14ac:dyDescent="0.3">
      <c r="A913" s="108">
        <v>0</v>
      </c>
    </row>
    <row r="914" spans="1:1" x14ac:dyDescent="0.3">
      <c r="A914" s="108">
        <v>0</v>
      </c>
    </row>
    <row r="915" spans="1:1" x14ac:dyDescent="0.3">
      <c r="A915" s="108">
        <v>0</v>
      </c>
    </row>
    <row r="916" spans="1:1" x14ac:dyDescent="0.3">
      <c r="A916" s="108">
        <v>0</v>
      </c>
    </row>
    <row r="917" spans="1:1" x14ac:dyDescent="0.3">
      <c r="A917" s="108">
        <v>0</v>
      </c>
    </row>
    <row r="918" spans="1:1" x14ac:dyDescent="0.3">
      <c r="A918" s="108">
        <v>0</v>
      </c>
    </row>
    <row r="919" spans="1:1" x14ac:dyDescent="0.3">
      <c r="A919" s="108">
        <v>0</v>
      </c>
    </row>
    <row r="920" spans="1:1" x14ac:dyDescent="0.3">
      <c r="A920" s="108">
        <v>0</v>
      </c>
    </row>
    <row r="921" spans="1:1" x14ac:dyDescent="0.3">
      <c r="A921" s="108">
        <v>0</v>
      </c>
    </row>
    <row r="922" spans="1:1" x14ac:dyDescent="0.3">
      <c r="A922" s="108">
        <v>0</v>
      </c>
    </row>
    <row r="923" spans="1:1" x14ac:dyDescent="0.3">
      <c r="A923" s="108">
        <v>0</v>
      </c>
    </row>
    <row r="924" spans="1:1" x14ac:dyDescent="0.3">
      <c r="A924" s="108">
        <v>0</v>
      </c>
    </row>
    <row r="925" spans="1:1" x14ac:dyDescent="0.3">
      <c r="A925" s="108">
        <v>0</v>
      </c>
    </row>
    <row r="926" spans="1:1" x14ac:dyDescent="0.3">
      <c r="A926" s="108">
        <v>0</v>
      </c>
    </row>
    <row r="927" spans="1:1" x14ac:dyDescent="0.3">
      <c r="A927" s="108">
        <v>0</v>
      </c>
    </row>
    <row r="928" spans="1:1" x14ac:dyDescent="0.3">
      <c r="A928" s="108">
        <v>0</v>
      </c>
    </row>
    <row r="929" spans="1:1" x14ac:dyDescent="0.3">
      <c r="A929" s="108">
        <v>0</v>
      </c>
    </row>
    <row r="930" spans="1:1" x14ac:dyDescent="0.3">
      <c r="A930" s="108">
        <v>0</v>
      </c>
    </row>
    <row r="931" spans="1:1" x14ac:dyDescent="0.3">
      <c r="A931" s="108">
        <v>0</v>
      </c>
    </row>
    <row r="932" spans="1:1" x14ac:dyDescent="0.3">
      <c r="A932" s="108">
        <v>0</v>
      </c>
    </row>
    <row r="933" spans="1:1" x14ac:dyDescent="0.3">
      <c r="A933" s="108">
        <v>0</v>
      </c>
    </row>
    <row r="934" spans="1:1" x14ac:dyDescent="0.3">
      <c r="A934" s="108">
        <v>0</v>
      </c>
    </row>
    <row r="935" spans="1:1" x14ac:dyDescent="0.3">
      <c r="A935" s="108">
        <v>0</v>
      </c>
    </row>
    <row r="936" spans="1:1" x14ac:dyDescent="0.3">
      <c r="A936" s="108">
        <v>0</v>
      </c>
    </row>
    <row r="937" spans="1:1" x14ac:dyDescent="0.3">
      <c r="A937" s="108">
        <v>0</v>
      </c>
    </row>
    <row r="938" spans="1:1" x14ac:dyDescent="0.3">
      <c r="A938" s="108">
        <v>0</v>
      </c>
    </row>
    <row r="939" spans="1:1" x14ac:dyDescent="0.3">
      <c r="A939" s="108">
        <v>0</v>
      </c>
    </row>
    <row r="940" spans="1:1" x14ac:dyDescent="0.3">
      <c r="A940" s="108">
        <v>0</v>
      </c>
    </row>
    <row r="941" spans="1:1" x14ac:dyDescent="0.3">
      <c r="A941" s="108">
        <v>0</v>
      </c>
    </row>
    <row r="942" spans="1:1" x14ac:dyDescent="0.3">
      <c r="A942" s="108">
        <v>0</v>
      </c>
    </row>
    <row r="943" spans="1:1" x14ac:dyDescent="0.3">
      <c r="A943" s="108">
        <v>0</v>
      </c>
    </row>
    <row r="944" spans="1:1" x14ac:dyDescent="0.3">
      <c r="A944" s="108">
        <v>0</v>
      </c>
    </row>
    <row r="945" spans="1:1" x14ac:dyDescent="0.3">
      <c r="A945" s="108">
        <v>0</v>
      </c>
    </row>
    <row r="946" spans="1:1" x14ac:dyDescent="0.3">
      <c r="A946" s="108">
        <v>0</v>
      </c>
    </row>
    <row r="947" spans="1:1" x14ac:dyDescent="0.3">
      <c r="A947" s="108">
        <v>0</v>
      </c>
    </row>
    <row r="948" spans="1:1" x14ac:dyDescent="0.3">
      <c r="A948" s="108">
        <v>0</v>
      </c>
    </row>
    <row r="949" spans="1:1" x14ac:dyDescent="0.3">
      <c r="A949" s="108">
        <v>0</v>
      </c>
    </row>
    <row r="950" spans="1:1" x14ac:dyDescent="0.3">
      <c r="A950" s="108">
        <v>0</v>
      </c>
    </row>
    <row r="951" spans="1:1" x14ac:dyDescent="0.3">
      <c r="A951" s="108">
        <v>0</v>
      </c>
    </row>
    <row r="952" spans="1:1" x14ac:dyDescent="0.3">
      <c r="A952" s="108">
        <v>0</v>
      </c>
    </row>
    <row r="953" spans="1:1" x14ac:dyDescent="0.3">
      <c r="A953" s="108">
        <v>0</v>
      </c>
    </row>
    <row r="954" spans="1:1" x14ac:dyDescent="0.3">
      <c r="A954" s="108">
        <v>0</v>
      </c>
    </row>
    <row r="955" spans="1:1" x14ac:dyDescent="0.3">
      <c r="A955" s="108">
        <v>0</v>
      </c>
    </row>
    <row r="956" spans="1:1" x14ac:dyDescent="0.3">
      <c r="A956" s="108">
        <v>0</v>
      </c>
    </row>
    <row r="957" spans="1:1" x14ac:dyDescent="0.3">
      <c r="A957" s="108">
        <v>0</v>
      </c>
    </row>
    <row r="958" spans="1:1" x14ac:dyDescent="0.3">
      <c r="A958" s="108">
        <v>0</v>
      </c>
    </row>
    <row r="959" spans="1:1" x14ac:dyDescent="0.3">
      <c r="A959" s="108">
        <v>0</v>
      </c>
    </row>
    <row r="960" spans="1:1" x14ac:dyDescent="0.3">
      <c r="A960" s="108">
        <v>0</v>
      </c>
    </row>
    <row r="961" spans="1:1" x14ac:dyDescent="0.3">
      <c r="A961" s="108">
        <v>0</v>
      </c>
    </row>
    <row r="962" spans="1:1" x14ac:dyDescent="0.3">
      <c r="A962" s="108">
        <v>0</v>
      </c>
    </row>
    <row r="963" spans="1:1" x14ac:dyDescent="0.3">
      <c r="A963" s="108">
        <v>0</v>
      </c>
    </row>
    <row r="964" spans="1:1" x14ac:dyDescent="0.3">
      <c r="A964" s="108">
        <v>0</v>
      </c>
    </row>
    <row r="965" spans="1:1" x14ac:dyDescent="0.3">
      <c r="A965" s="108">
        <v>0</v>
      </c>
    </row>
    <row r="966" spans="1:1" x14ac:dyDescent="0.3">
      <c r="A966" s="108">
        <v>0</v>
      </c>
    </row>
    <row r="967" spans="1:1" x14ac:dyDescent="0.3">
      <c r="A967" s="108">
        <v>0</v>
      </c>
    </row>
    <row r="968" spans="1:1" x14ac:dyDescent="0.3">
      <c r="A968" s="108">
        <v>0</v>
      </c>
    </row>
    <row r="969" spans="1:1" x14ac:dyDescent="0.3">
      <c r="A969" s="108">
        <v>0</v>
      </c>
    </row>
    <row r="970" spans="1:1" x14ac:dyDescent="0.3">
      <c r="A970" s="108">
        <v>0</v>
      </c>
    </row>
    <row r="971" spans="1:1" x14ac:dyDescent="0.3">
      <c r="A971" s="108">
        <v>0</v>
      </c>
    </row>
    <row r="972" spans="1:1" x14ac:dyDescent="0.3">
      <c r="A972" s="108">
        <v>0</v>
      </c>
    </row>
    <row r="973" spans="1:1" x14ac:dyDescent="0.3">
      <c r="A973" s="108">
        <v>0</v>
      </c>
    </row>
    <row r="974" spans="1:1" x14ac:dyDescent="0.3">
      <c r="A974" s="108">
        <v>0</v>
      </c>
    </row>
    <row r="975" spans="1:1" x14ac:dyDescent="0.3">
      <c r="A975" s="108">
        <v>0</v>
      </c>
    </row>
    <row r="976" spans="1:1" x14ac:dyDescent="0.3">
      <c r="A976" s="108">
        <v>0</v>
      </c>
    </row>
    <row r="977" spans="1:1" x14ac:dyDescent="0.3">
      <c r="A977" s="108">
        <v>0</v>
      </c>
    </row>
    <row r="978" spans="1:1" x14ac:dyDescent="0.3">
      <c r="A978" s="108">
        <v>0</v>
      </c>
    </row>
    <row r="979" spans="1:1" x14ac:dyDescent="0.3">
      <c r="A979" s="108">
        <v>0</v>
      </c>
    </row>
    <row r="980" spans="1:1" x14ac:dyDescent="0.3">
      <c r="A980" s="108">
        <v>0</v>
      </c>
    </row>
    <row r="981" spans="1:1" x14ac:dyDescent="0.3">
      <c r="A981" s="108">
        <v>0</v>
      </c>
    </row>
    <row r="982" spans="1:1" x14ac:dyDescent="0.3">
      <c r="A982" s="108">
        <v>0</v>
      </c>
    </row>
    <row r="983" spans="1:1" x14ac:dyDescent="0.3">
      <c r="A983" s="108">
        <v>0</v>
      </c>
    </row>
    <row r="984" spans="1:1" x14ac:dyDescent="0.3">
      <c r="A984" s="108">
        <v>0</v>
      </c>
    </row>
    <row r="985" spans="1:1" x14ac:dyDescent="0.3">
      <c r="A985" s="108">
        <v>0</v>
      </c>
    </row>
    <row r="986" spans="1:1" x14ac:dyDescent="0.3">
      <c r="A986" s="108">
        <v>0</v>
      </c>
    </row>
    <row r="987" spans="1:1" x14ac:dyDescent="0.3">
      <c r="A987" s="108">
        <v>0</v>
      </c>
    </row>
    <row r="988" spans="1:1" x14ac:dyDescent="0.3">
      <c r="A988" s="108">
        <v>0</v>
      </c>
    </row>
    <row r="989" spans="1:1" x14ac:dyDescent="0.3">
      <c r="A989" s="108">
        <v>0</v>
      </c>
    </row>
    <row r="990" spans="1:1" x14ac:dyDescent="0.3">
      <c r="A990" s="108">
        <v>0</v>
      </c>
    </row>
    <row r="991" spans="1:1" x14ac:dyDescent="0.3">
      <c r="A991" s="108">
        <v>0</v>
      </c>
    </row>
    <row r="992" spans="1:1" x14ac:dyDescent="0.3">
      <c r="A992" s="108">
        <v>0</v>
      </c>
    </row>
    <row r="993" spans="1:1" x14ac:dyDescent="0.3">
      <c r="A993" s="108">
        <v>0</v>
      </c>
    </row>
    <row r="994" spans="1:1" x14ac:dyDescent="0.3">
      <c r="A994" s="108">
        <v>0</v>
      </c>
    </row>
    <row r="995" spans="1:1" x14ac:dyDescent="0.3">
      <c r="A995" s="108">
        <v>0</v>
      </c>
    </row>
    <row r="996" spans="1:1" x14ac:dyDescent="0.3">
      <c r="A996" s="108">
        <v>0</v>
      </c>
    </row>
    <row r="997" spans="1:1" x14ac:dyDescent="0.3">
      <c r="A997" s="108">
        <v>0</v>
      </c>
    </row>
    <row r="998" spans="1:1" x14ac:dyDescent="0.3">
      <c r="A998" s="108">
        <v>0</v>
      </c>
    </row>
    <row r="999" spans="1:1" x14ac:dyDescent="0.3">
      <c r="A999" s="108">
        <v>0</v>
      </c>
    </row>
    <row r="1000" spans="1:1" x14ac:dyDescent="0.3">
      <c r="A1000" s="108">
        <v>0</v>
      </c>
    </row>
    <row r="1001" spans="1:1" x14ac:dyDescent="0.3">
      <c r="A1001" s="108">
        <v>0</v>
      </c>
    </row>
    <row r="1002" spans="1:1" x14ac:dyDescent="0.3">
      <c r="A1002" s="108">
        <v>0</v>
      </c>
    </row>
    <row r="1003" spans="1:1" x14ac:dyDescent="0.3">
      <c r="A1003" s="108">
        <v>0</v>
      </c>
    </row>
  </sheetData>
  <mergeCells count="8">
    <mergeCell ref="A1:S1"/>
    <mergeCell ref="U8:W8"/>
    <mergeCell ref="V9:W9"/>
    <mergeCell ref="A3:A5"/>
    <mergeCell ref="B4:S4"/>
    <mergeCell ref="U5:W5"/>
    <mergeCell ref="V10:W10"/>
    <mergeCell ref="V11:W11"/>
  </mergeCells>
  <conditionalFormatting sqref="B2:S2">
    <cfRule type="colorScale" priority="3">
      <colorScale>
        <cfvo type="min"/>
        <cfvo type="max"/>
        <color rgb="FFFFEF9C"/>
        <color rgb="FFFF7128"/>
      </colorScale>
    </cfRule>
  </conditionalFormatting>
  <conditionalFormatting sqref="B6:S925">
    <cfRule type="cellIs" dxfId="7" priority="4" operator="equal">
      <formula>2</formula>
    </cfRule>
    <cfRule type="cellIs" dxfId="6" priority="5" operator="equal">
      <formula>1</formula>
    </cfRule>
    <cfRule type="cellIs" dxfId="5" priority="6" operator="equal">
      <formula>0</formula>
    </cfRule>
  </conditionalFormatting>
  <conditionalFormatting sqref="B5:S5">
    <cfRule type="expression" dxfId="4" priority="2">
      <formula>B2&gt;=70%</formula>
    </cfRule>
  </conditionalFormatting>
  <conditionalFormatting sqref="U5">
    <cfRule type="expression" dxfId="3" priority="1">
      <formula>U2&gt;50%</formula>
    </cfRule>
  </conditionalFormatting>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1001"/>
  <sheetViews>
    <sheetView showZeros="0" workbookViewId="0">
      <selection activeCell="G9" sqref="G9"/>
    </sheetView>
  </sheetViews>
  <sheetFormatPr defaultRowHeight="14.4" x14ac:dyDescent="0.3"/>
  <cols>
    <col min="1" max="1" width="25.77734375" style="65" customWidth="1"/>
    <col min="2" max="2" width="8.88671875" style="85"/>
    <col min="3" max="20" width="6.77734375" style="86" customWidth="1"/>
    <col min="21" max="21" width="2.77734375" style="83" customWidth="1"/>
    <col min="22" max="22" width="8.88671875" style="87"/>
    <col min="23" max="25" width="10.77734375" style="83" customWidth="1"/>
    <col min="26" max="16384" width="8.88671875" style="83"/>
  </cols>
  <sheetData>
    <row r="1" spans="1:25" s="95" customFormat="1" ht="15" thickBot="1" x14ac:dyDescent="0.35">
      <c r="A1" s="147" t="s">
        <v>90</v>
      </c>
      <c r="B1" s="94"/>
      <c r="C1" s="94"/>
      <c r="D1" s="94"/>
      <c r="E1" s="94"/>
      <c r="F1" s="94"/>
      <c r="G1" s="94"/>
      <c r="H1" s="94"/>
      <c r="I1" s="94"/>
      <c r="J1" s="94"/>
      <c r="K1" s="94"/>
      <c r="L1" s="94"/>
      <c r="M1" s="94"/>
      <c r="N1" s="94"/>
      <c r="O1" s="94"/>
      <c r="P1" s="94"/>
      <c r="Q1" s="94"/>
      <c r="R1" s="94"/>
      <c r="S1" s="94"/>
      <c r="T1" s="94"/>
      <c r="V1" s="96"/>
    </row>
    <row r="2" spans="1:25" customFormat="1" ht="15" customHeight="1" x14ac:dyDescent="0.3">
      <c r="A2" s="136" t="s">
        <v>88</v>
      </c>
      <c r="B2" s="137"/>
      <c r="C2" s="97"/>
      <c r="D2" s="97"/>
      <c r="E2" s="97"/>
      <c r="F2" s="97">
        <v>12</v>
      </c>
      <c r="G2" s="97"/>
      <c r="H2" s="97">
        <v>1</v>
      </c>
      <c r="I2" s="97">
        <v>1</v>
      </c>
      <c r="J2" s="97">
        <v>4</v>
      </c>
      <c r="K2" s="97"/>
      <c r="L2" s="97">
        <v>7</v>
      </c>
      <c r="M2" s="97"/>
      <c r="N2" s="97"/>
      <c r="O2" s="97">
        <v>3</v>
      </c>
      <c r="P2" s="97">
        <v>8</v>
      </c>
      <c r="Q2" s="97"/>
      <c r="R2" s="97">
        <v>1</v>
      </c>
      <c r="S2" s="97"/>
      <c r="T2" s="97"/>
      <c r="V2" s="7"/>
    </row>
    <row r="3" spans="1:25" ht="26.4" x14ac:dyDescent="0.3">
      <c r="A3" s="146" t="s">
        <v>31</v>
      </c>
      <c r="B3" s="80" t="s">
        <v>84</v>
      </c>
      <c r="C3" s="81" t="str" cm="1">
        <f t="array" ref="C3:T3">LEFT(TRANSPOSE('Data-Lists'!A3:A20), 3)</f>
        <v xml:space="preserve">#1 </v>
      </c>
      <c r="D3" s="81" t="str">
        <v xml:space="preserve">#2 </v>
      </c>
      <c r="E3" s="81" t="str">
        <v xml:space="preserve">#3 </v>
      </c>
      <c r="F3" s="81" t="str">
        <v xml:space="preserve">#4 </v>
      </c>
      <c r="G3" s="81" t="str">
        <v xml:space="preserve">#5 </v>
      </c>
      <c r="H3" s="81" t="str">
        <v xml:space="preserve">#6 </v>
      </c>
      <c r="I3" s="81" t="str">
        <v xml:space="preserve">#7 </v>
      </c>
      <c r="J3" s="88" t="str">
        <v xml:space="preserve">#8 </v>
      </c>
      <c r="K3" s="81" t="str">
        <v xml:space="preserve">#9 </v>
      </c>
      <c r="L3" s="81" t="str">
        <v>#10</v>
      </c>
      <c r="M3" s="81" t="str">
        <v>#11</v>
      </c>
      <c r="N3" s="81" t="str">
        <v>#12</v>
      </c>
      <c r="O3" s="88" t="str">
        <v>#13</v>
      </c>
      <c r="P3" s="81" t="str">
        <v>#14</v>
      </c>
      <c r="Q3" s="81" t="str">
        <v>#15</v>
      </c>
      <c r="R3" s="81" t="str">
        <v>#16</v>
      </c>
      <c r="S3" s="81" t="str">
        <v>#17</v>
      </c>
      <c r="T3" s="81" t="str">
        <v>#18</v>
      </c>
    </row>
    <row r="4" spans="1:25" x14ac:dyDescent="0.3">
      <c r="A4" s="8" cm="1">
        <f t="array" ref="A4:A1001">'Data-Lists'!B3:B1000</f>
        <v>46228</v>
      </c>
    </row>
    <row r="5" spans="1:25" x14ac:dyDescent="0.3">
      <c r="A5" s="65">
        <v>46230</v>
      </c>
      <c r="W5" s="91" t="s">
        <v>85</v>
      </c>
      <c r="X5" s="84"/>
    </row>
    <row r="6" spans="1:25" x14ac:dyDescent="0.3">
      <c r="A6" s="65">
        <v>46231</v>
      </c>
      <c r="V6" s="92" t="s">
        <v>87</v>
      </c>
      <c r="W6" s="133" t="s">
        <v>89</v>
      </c>
      <c r="X6" s="134"/>
      <c r="Y6" s="135"/>
    </row>
    <row r="7" spans="1:25" x14ac:dyDescent="0.3">
      <c r="A7" s="65">
        <v>46232</v>
      </c>
      <c r="V7" s="93"/>
      <c r="W7" s="133" t="s">
        <v>86</v>
      </c>
      <c r="X7" s="134"/>
      <c r="Y7" s="135"/>
    </row>
    <row r="8" spans="1:25" x14ac:dyDescent="0.3">
      <c r="A8" s="65">
        <v>46233</v>
      </c>
      <c r="W8" s="84"/>
      <c r="X8" s="84"/>
    </row>
    <row r="9" spans="1:25" x14ac:dyDescent="0.3">
      <c r="A9" s="65">
        <v>46234</v>
      </c>
      <c r="G9" s="89">
        <v>1</v>
      </c>
      <c r="I9" s="90">
        <v>2</v>
      </c>
      <c r="V9" s="139"/>
      <c r="X9" s="84"/>
    </row>
    <row r="10" spans="1:25" x14ac:dyDescent="0.3">
      <c r="A10" s="65">
        <v>46235</v>
      </c>
      <c r="X10" s="84"/>
    </row>
    <row r="11" spans="1:25" x14ac:dyDescent="0.3">
      <c r="A11" s="65">
        <v>46237</v>
      </c>
      <c r="F11" s="89">
        <v>1</v>
      </c>
      <c r="G11" s="89">
        <v>1</v>
      </c>
      <c r="W11" s="82"/>
      <c r="X11" s="84"/>
    </row>
    <row r="12" spans="1:25" x14ac:dyDescent="0.3">
      <c r="A12" s="65">
        <v>46238</v>
      </c>
    </row>
    <row r="13" spans="1:25" x14ac:dyDescent="0.3">
      <c r="A13" s="65">
        <v>46239</v>
      </c>
      <c r="V13" s="139"/>
    </row>
    <row r="14" spans="1:25" x14ac:dyDescent="0.3">
      <c r="A14" s="65">
        <v>46240</v>
      </c>
      <c r="V14" s="154" t="str" cm="1">
        <f t="array" ref="V14:V16">_xlfn.TEXTSPLIT("Note: Need to explore earlier: calibrations for relative errors!", , ":")</f>
        <v>Note</v>
      </c>
      <c r="W14" s="151"/>
    </row>
    <row r="15" spans="1:25" x14ac:dyDescent="0.3">
      <c r="A15" s="65">
        <v>46242</v>
      </c>
      <c r="V15" s="153" t="str">
        <v xml:space="preserve"> Need to explore earlier</v>
      </c>
    </row>
    <row r="16" spans="1:25" x14ac:dyDescent="0.3">
      <c r="A16" s="65">
        <v>0</v>
      </c>
      <c r="V16" s="153" t="str">
        <v xml:space="preserve"> calibrations for relative errors!</v>
      </c>
    </row>
    <row r="17" spans="1:22" x14ac:dyDescent="0.3">
      <c r="A17" s="65">
        <v>0</v>
      </c>
      <c r="V17" s="152"/>
    </row>
    <row r="18" spans="1:22" x14ac:dyDescent="0.3">
      <c r="A18" s="65">
        <v>0</v>
      </c>
    </row>
    <row r="19" spans="1:22" x14ac:dyDescent="0.3">
      <c r="A19" s="65">
        <v>0</v>
      </c>
    </row>
    <row r="20" spans="1:22" x14ac:dyDescent="0.3">
      <c r="A20" s="65">
        <v>0</v>
      </c>
    </row>
    <row r="21" spans="1:22" x14ac:dyDescent="0.3">
      <c r="A21" s="65">
        <v>0</v>
      </c>
    </row>
    <row r="22" spans="1:22" x14ac:dyDescent="0.3">
      <c r="A22" s="65">
        <v>0</v>
      </c>
    </row>
    <row r="23" spans="1:22" x14ac:dyDescent="0.3">
      <c r="A23" s="65">
        <v>0</v>
      </c>
    </row>
    <row r="24" spans="1:22" x14ac:dyDescent="0.3">
      <c r="A24" s="65">
        <v>0</v>
      </c>
    </row>
    <row r="25" spans="1:22" x14ac:dyDescent="0.3">
      <c r="A25" s="65">
        <v>0</v>
      </c>
    </row>
    <row r="26" spans="1:22" x14ac:dyDescent="0.3">
      <c r="A26" s="65">
        <v>0</v>
      </c>
    </row>
    <row r="27" spans="1:22" x14ac:dyDescent="0.3">
      <c r="A27" s="65">
        <v>0</v>
      </c>
    </row>
    <row r="28" spans="1:22" x14ac:dyDescent="0.3">
      <c r="A28" s="65">
        <v>0</v>
      </c>
    </row>
    <row r="29" spans="1:22" x14ac:dyDescent="0.3">
      <c r="A29" s="65">
        <v>0</v>
      </c>
    </row>
    <row r="30" spans="1:22" x14ac:dyDescent="0.3">
      <c r="A30" s="65">
        <v>0</v>
      </c>
    </row>
    <row r="31" spans="1:22" x14ac:dyDescent="0.3">
      <c r="A31" s="65">
        <v>0</v>
      </c>
    </row>
    <row r="32" spans="1:22" x14ac:dyDescent="0.3">
      <c r="A32" s="65">
        <v>0</v>
      </c>
    </row>
    <row r="33" spans="1:1" x14ac:dyDescent="0.3">
      <c r="A33" s="65">
        <v>0</v>
      </c>
    </row>
    <row r="34" spans="1:1" x14ac:dyDescent="0.3">
      <c r="A34" s="65">
        <v>0</v>
      </c>
    </row>
    <row r="35" spans="1:1" x14ac:dyDescent="0.3">
      <c r="A35" s="65">
        <v>0</v>
      </c>
    </row>
    <row r="36" spans="1:1" x14ac:dyDescent="0.3">
      <c r="A36" s="65">
        <v>0</v>
      </c>
    </row>
    <row r="37" spans="1:1" x14ac:dyDescent="0.3">
      <c r="A37" s="65">
        <v>0</v>
      </c>
    </row>
    <row r="38" spans="1:1" x14ac:dyDescent="0.3">
      <c r="A38" s="65">
        <v>0</v>
      </c>
    </row>
    <row r="39" spans="1:1" x14ac:dyDescent="0.3">
      <c r="A39" s="65">
        <v>0</v>
      </c>
    </row>
    <row r="40" spans="1:1" x14ac:dyDescent="0.3">
      <c r="A40" s="65">
        <v>0</v>
      </c>
    </row>
    <row r="41" spans="1:1" x14ac:dyDescent="0.3">
      <c r="A41" s="65">
        <v>0</v>
      </c>
    </row>
    <row r="42" spans="1:1" x14ac:dyDescent="0.3">
      <c r="A42" s="65">
        <v>0</v>
      </c>
    </row>
    <row r="43" spans="1:1" x14ac:dyDescent="0.3">
      <c r="A43" s="65">
        <v>0</v>
      </c>
    </row>
    <row r="44" spans="1:1" x14ac:dyDescent="0.3">
      <c r="A44" s="65">
        <v>0</v>
      </c>
    </row>
    <row r="45" spans="1:1" x14ac:dyDescent="0.3">
      <c r="A45" s="65">
        <v>0</v>
      </c>
    </row>
    <row r="46" spans="1:1" x14ac:dyDescent="0.3">
      <c r="A46" s="65">
        <v>0</v>
      </c>
    </row>
    <row r="47" spans="1:1" x14ac:dyDescent="0.3">
      <c r="A47" s="65">
        <v>0</v>
      </c>
    </row>
    <row r="48" spans="1:1" x14ac:dyDescent="0.3">
      <c r="A48" s="65">
        <v>0</v>
      </c>
    </row>
    <row r="49" spans="1:1" x14ac:dyDescent="0.3">
      <c r="A49" s="65">
        <v>0</v>
      </c>
    </row>
    <row r="50" spans="1:1" x14ac:dyDescent="0.3">
      <c r="A50" s="65">
        <v>0</v>
      </c>
    </row>
    <row r="51" spans="1:1" x14ac:dyDescent="0.3">
      <c r="A51" s="65">
        <v>0</v>
      </c>
    </row>
    <row r="52" spans="1:1" x14ac:dyDescent="0.3">
      <c r="A52" s="65">
        <v>0</v>
      </c>
    </row>
    <row r="53" spans="1:1" x14ac:dyDescent="0.3">
      <c r="A53" s="65">
        <v>0</v>
      </c>
    </row>
    <row r="54" spans="1:1" x14ac:dyDescent="0.3">
      <c r="A54" s="65">
        <v>0</v>
      </c>
    </row>
    <row r="55" spans="1:1" x14ac:dyDescent="0.3">
      <c r="A55" s="65">
        <v>0</v>
      </c>
    </row>
    <row r="56" spans="1:1" x14ac:dyDescent="0.3">
      <c r="A56" s="65">
        <v>0</v>
      </c>
    </row>
    <row r="57" spans="1:1" x14ac:dyDescent="0.3">
      <c r="A57" s="65">
        <v>0</v>
      </c>
    </row>
    <row r="58" spans="1:1" x14ac:dyDescent="0.3">
      <c r="A58" s="65">
        <v>0</v>
      </c>
    </row>
    <row r="59" spans="1:1" x14ac:dyDescent="0.3">
      <c r="A59" s="65">
        <v>0</v>
      </c>
    </row>
    <row r="60" spans="1:1" x14ac:dyDescent="0.3">
      <c r="A60" s="65">
        <v>0</v>
      </c>
    </row>
    <row r="61" spans="1:1" x14ac:dyDescent="0.3">
      <c r="A61" s="65">
        <v>0</v>
      </c>
    </row>
    <row r="62" spans="1:1" x14ac:dyDescent="0.3">
      <c r="A62" s="65">
        <v>0</v>
      </c>
    </row>
    <row r="63" spans="1:1" x14ac:dyDescent="0.3">
      <c r="A63" s="65">
        <v>0</v>
      </c>
    </row>
    <row r="64" spans="1:1" x14ac:dyDescent="0.3">
      <c r="A64" s="65">
        <v>0</v>
      </c>
    </row>
    <row r="65" spans="1:1" x14ac:dyDescent="0.3">
      <c r="A65" s="65">
        <v>0</v>
      </c>
    </row>
    <row r="66" spans="1:1" x14ac:dyDescent="0.3">
      <c r="A66" s="65">
        <v>0</v>
      </c>
    </row>
    <row r="67" spans="1:1" x14ac:dyDescent="0.3">
      <c r="A67" s="65">
        <v>0</v>
      </c>
    </row>
    <row r="68" spans="1:1" x14ac:dyDescent="0.3">
      <c r="A68" s="65">
        <v>0</v>
      </c>
    </row>
    <row r="69" spans="1:1" x14ac:dyDescent="0.3">
      <c r="A69" s="65">
        <v>0</v>
      </c>
    </row>
    <row r="70" spans="1:1" x14ac:dyDescent="0.3">
      <c r="A70" s="65">
        <v>0</v>
      </c>
    </row>
    <row r="71" spans="1:1" x14ac:dyDescent="0.3">
      <c r="A71" s="65">
        <v>0</v>
      </c>
    </row>
    <row r="72" spans="1:1" x14ac:dyDescent="0.3">
      <c r="A72" s="65">
        <v>0</v>
      </c>
    </row>
    <row r="73" spans="1:1" x14ac:dyDescent="0.3">
      <c r="A73" s="65">
        <v>0</v>
      </c>
    </row>
    <row r="74" spans="1:1" x14ac:dyDescent="0.3">
      <c r="A74" s="65">
        <v>0</v>
      </c>
    </row>
    <row r="75" spans="1:1" x14ac:dyDescent="0.3">
      <c r="A75" s="65">
        <v>0</v>
      </c>
    </row>
    <row r="76" spans="1:1" x14ac:dyDescent="0.3">
      <c r="A76" s="65">
        <v>0</v>
      </c>
    </row>
    <row r="77" spans="1:1" x14ac:dyDescent="0.3">
      <c r="A77" s="65">
        <v>0</v>
      </c>
    </row>
    <row r="78" spans="1:1" x14ac:dyDescent="0.3">
      <c r="A78" s="65">
        <v>0</v>
      </c>
    </row>
    <row r="79" spans="1:1" x14ac:dyDescent="0.3">
      <c r="A79" s="65">
        <v>0</v>
      </c>
    </row>
    <row r="80" spans="1:1" x14ac:dyDescent="0.3">
      <c r="A80" s="65">
        <v>0</v>
      </c>
    </row>
    <row r="81" spans="1:1" x14ac:dyDescent="0.3">
      <c r="A81" s="65">
        <v>0</v>
      </c>
    </row>
    <row r="82" spans="1:1" x14ac:dyDescent="0.3">
      <c r="A82" s="65">
        <v>0</v>
      </c>
    </row>
    <row r="83" spans="1:1" x14ac:dyDescent="0.3">
      <c r="A83" s="65">
        <v>0</v>
      </c>
    </row>
    <row r="84" spans="1:1" x14ac:dyDescent="0.3">
      <c r="A84" s="65">
        <v>0</v>
      </c>
    </row>
    <row r="85" spans="1:1" x14ac:dyDescent="0.3">
      <c r="A85" s="65">
        <v>0</v>
      </c>
    </row>
    <row r="86" spans="1:1" x14ac:dyDescent="0.3">
      <c r="A86" s="65">
        <v>0</v>
      </c>
    </row>
    <row r="87" spans="1:1" x14ac:dyDescent="0.3">
      <c r="A87" s="65">
        <v>0</v>
      </c>
    </row>
    <row r="88" spans="1:1" x14ac:dyDescent="0.3">
      <c r="A88" s="65">
        <v>0</v>
      </c>
    </row>
    <row r="89" spans="1:1" x14ac:dyDescent="0.3">
      <c r="A89" s="65">
        <v>0</v>
      </c>
    </row>
    <row r="90" spans="1:1" x14ac:dyDescent="0.3">
      <c r="A90" s="65">
        <v>0</v>
      </c>
    </row>
    <row r="91" spans="1:1" x14ac:dyDescent="0.3">
      <c r="A91" s="65">
        <v>0</v>
      </c>
    </row>
    <row r="92" spans="1:1" x14ac:dyDescent="0.3">
      <c r="A92" s="65">
        <v>0</v>
      </c>
    </row>
    <row r="93" spans="1:1" x14ac:dyDescent="0.3">
      <c r="A93" s="65">
        <v>0</v>
      </c>
    </row>
    <row r="94" spans="1:1" x14ac:dyDescent="0.3">
      <c r="A94" s="65">
        <v>0</v>
      </c>
    </row>
    <row r="95" spans="1:1" x14ac:dyDescent="0.3">
      <c r="A95" s="65">
        <v>0</v>
      </c>
    </row>
    <row r="96" spans="1:1" x14ac:dyDescent="0.3">
      <c r="A96" s="65">
        <v>0</v>
      </c>
    </row>
    <row r="97" spans="1:1" x14ac:dyDescent="0.3">
      <c r="A97" s="65">
        <v>0</v>
      </c>
    </row>
    <row r="98" spans="1:1" x14ac:dyDescent="0.3">
      <c r="A98" s="65">
        <v>0</v>
      </c>
    </row>
    <row r="99" spans="1:1" x14ac:dyDescent="0.3">
      <c r="A99" s="65">
        <v>0</v>
      </c>
    </row>
    <row r="100" spans="1:1" x14ac:dyDescent="0.3">
      <c r="A100" s="65">
        <v>0</v>
      </c>
    </row>
    <row r="101" spans="1:1" x14ac:dyDescent="0.3">
      <c r="A101" s="65">
        <v>0</v>
      </c>
    </row>
    <row r="102" spans="1:1" x14ac:dyDescent="0.3">
      <c r="A102" s="65">
        <v>0</v>
      </c>
    </row>
    <row r="103" spans="1:1" x14ac:dyDescent="0.3">
      <c r="A103" s="65">
        <v>0</v>
      </c>
    </row>
    <row r="104" spans="1:1" x14ac:dyDescent="0.3">
      <c r="A104" s="65">
        <v>0</v>
      </c>
    </row>
    <row r="105" spans="1:1" x14ac:dyDescent="0.3">
      <c r="A105" s="65">
        <v>0</v>
      </c>
    </row>
    <row r="106" spans="1:1" x14ac:dyDescent="0.3">
      <c r="A106" s="65">
        <v>0</v>
      </c>
    </row>
    <row r="107" spans="1:1" x14ac:dyDescent="0.3">
      <c r="A107" s="65">
        <v>0</v>
      </c>
    </row>
    <row r="108" spans="1:1" x14ac:dyDescent="0.3">
      <c r="A108" s="65">
        <v>0</v>
      </c>
    </row>
    <row r="109" spans="1:1" x14ac:dyDescent="0.3">
      <c r="A109" s="65">
        <v>0</v>
      </c>
    </row>
    <row r="110" spans="1:1" x14ac:dyDescent="0.3">
      <c r="A110" s="65">
        <v>0</v>
      </c>
    </row>
    <row r="111" spans="1:1" x14ac:dyDescent="0.3">
      <c r="A111" s="65">
        <v>0</v>
      </c>
    </row>
    <row r="112" spans="1:1" x14ac:dyDescent="0.3">
      <c r="A112" s="65">
        <v>0</v>
      </c>
    </row>
    <row r="113" spans="1:1" x14ac:dyDescent="0.3">
      <c r="A113" s="65">
        <v>0</v>
      </c>
    </row>
    <row r="114" spans="1:1" x14ac:dyDescent="0.3">
      <c r="A114" s="65">
        <v>0</v>
      </c>
    </row>
    <row r="115" spans="1:1" x14ac:dyDescent="0.3">
      <c r="A115" s="65">
        <v>0</v>
      </c>
    </row>
    <row r="116" spans="1:1" x14ac:dyDescent="0.3">
      <c r="A116" s="65">
        <v>0</v>
      </c>
    </row>
    <row r="117" spans="1:1" x14ac:dyDescent="0.3">
      <c r="A117" s="65">
        <v>0</v>
      </c>
    </row>
    <row r="118" spans="1:1" x14ac:dyDescent="0.3">
      <c r="A118" s="65">
        <v>0</v>
      </c>
    </row>
    <row r="119" spans="1:1" x14ac:dyDescent="0.3">
      <c r="A119" s="65">
        <v>0</v>
      </c>
    </row>
    <row r="120" spans="1:1" x14ac:dyDescent="0.3">
      <c r="A120" s="65">
        <v>0</v>
      </c>
    </row>
    <row r="121" spans="1:1" x14ac:dyDescent="0.3">
      <c r="A121" s="65">
        <v>0</v>
      </c>
    </row>
    <row r="122" spans="1:1" x14ac:dyDescent="0.3">
      <c r="A122" s="65">
        <v>0</v>
      </c>
    </row>
    <row r="123" spans="1:1" x14ac:dyDescent="0.3">
      <c r="A123" s="65">
        <v>0</v>
      </c>
    </row>
    <row r="124" spans="1:1" x14ac:dyDescent="0.3">
      <c r="A124" s="65">
        <v>0</v>
      </c>
    </row>
    <row r="125" spans="1:1" x14ac:dyDescent="0.3">
      <c r="A125" s="65">
        <v>0</v>
      </c>
    </row>
    <row r="126" spans="1:1" x14ac:dyDescent="0.3">
      <c r="A126" s="65">
        <v>0</v>
      </c>
    </row>
    <row r="127" spans="1:1" x14ac:dyDescent="0.3">
      <c r="A127" s="65">
        <v>0</v>
      </c>
    </row>
    <row r="128" spans="1:1" x14ac:dyDescent="0.3">
      <c r="A128" s="65">
        <v>0</v>
      </c>
    </row>
    <row r="129" spans="1:1" x14ac:dyDescent="0.3">
      <c r="A129" s="65">
        <v>0</v>
      </c>
    </row>
    <row r="130" spans="1:1" x14ac:dyDescent="0.3">
      <c r="A130" s="65">
        <v>0</v>
      </c>
    </row>
    <row r="131" spans="1:1" x14ac:dyDescent="0.3">
      <c r="A131" s="65">
        <v>0</v>
      </c>
    </row>
    <row r="132" spans="1:1" x14ac:dyDescent="0.3">
      <c r="A132" s="65">
        <v>0</v>
      </c>
    </row>
    <row r="133" spans="1:1" x14ac:dyDescent="0.3">
      <c r="A133" s="65">
        <v>0</v>
      </c>
    </row>
    <row r="134" spans="1:1" x14ac:dyDescent="0.3">
      <c r="A134" s="65">
        <v>0</v>
      </c>
    </row>
    <row r="135" spans="1:1" x14ac:dyDescent="0.3">
      <c r="A135" s="65">
        <v>0</v>
      </c>
    </row>
    <row r="136" spans="1:1" x14ac:dyDescent="0.3">
      <c r="A136" s="65">
        <v>0</v>
      </c>
    </row>
    <row r="137" spans="1:1" x14ac:dyDescent="0.3">
      <c r="A137" s="65">
        <v>0</v>
      </c>
    </row>
    <row r="138" spans="1:1" x14ac:dyDescent="0.3">
      <c r="A138" s="65">
        <v>0</v>
      </c>
    </row>
    <row r="139" spans="1:1" x14ac:dyDescent="0.3">
      <c r="A139" s="65">
        <v>0</v>
      </c>
    </row>
    <row r="140" spans="1:1" x14ac:dyDescent="0.3">
      <c r="A140" s="65">
        <v>0</v>
      </c>
    </row>
    <row r="141" spans="1:1" x14ac:dyDescent="0.3">
      <c r="A141" s="65">
        <v>0</v>
      </c>
    </row>
    <row r="142" spans="1:1" x14ac:dyDescent="0.3">
      <c r="A142" s="65">
        <v>0</v>
      </c>
    </row>
    <row r="143" spans="1:1" x14ac:dyDescent="0.3">
      <c r="A143" s="65">
        <v>0</v>
      </c>
    </row>
    <row r="144" spans="1:1" x14ac:dyDescent="0.3">
      <c r="A144" s="65">
        <v>0</v>
      </c>
    </row>
    <row r="145" spans="1:1" x14ac:dyDescent="0.3">
      <c r="A145" s="65">
        <v>0</v>
      </c>
    </row>
    <row r="146" spans="1:1" x14ac:dyDescent="0.3">
      <c r="A146" s="65">
        <v>0</v>
      </c>
    </row>
    <row r="147" spans="1:1" x14ac:dyDescent="0.3">
      <c r="A147" s="65">
        <v>0</v>
      </c>
    </row>
    <row r="148" spans="1:1" x14ac:dyDescent="0.3">
      <c r="A148" s="65">
        <v>0</v>
      </c>
    </row>
    <row r="149" spans="1:1" x14ac:dyDescent="0.3">
      <c r="A149" s="65">
        <v>0</v>
      </c>
    </row>
    <row r="150" spans="1:1" x14ac:dyDescent="0.3">
      <c r="A150" s="65">
        <v>0</v>
      </c>
    </row>
    <row r="151" spans="1:1" x14ac:dyDescent="0.3">
      <c r="A151" s="65">
        <v>0</v>
      </c>
    </row>
    <row r="152" spans="1:1" x14ac:dyDescent="0.3">
      <c r="A152" s="65">
        <v>0</v>
      </c>
    </row>
    <row r="153" spans="1:1" x14ac:dyDescent="0.3">
      <c r="A153" s="65">
        <v>0</v>
      </c>
    </row>
    <row r="154" spans="1:1" x14ac:dyDescent="0.3">
      <c r="A154" s="65">
        <v>0</v>
      </c>
    </row>
    <row r="155" spans="1:1" x14ac:dyDescent="0.3">
      <c r="A155" s="65">
        <v>0</v>
      </c>
    </row>
    <row r="156" spans="1:1" x14ac:dyDescent="0.3">
      <c r="A156" s="65">
        <v>0</v>
      </c>
    </row>
    <row r="157" spans="1:1" x14ac:dyDescent="0.3">
      <c r="A157" s="65">
        <v>0</v>
      </c>
    </row>
    <row r="158" spans="1:1" x14ac:dyDescent="0.3">
      <c r="A158" s="65">
        <v>0</v>
      </c>
    </row>
    <row r="159" spans="1:1" x14ac:dyDescent="0.3">
      <c r="A159" s="65">
        <v>0</v>
      </c>
    </row>
    <row r="160" spans="1:1" x14ac:dyDescent="0.3">
      <c r="A160" s="65">
        <v>0</v>
      </c>
    </row>
    <row r="161" spans="1:1" x14ac:dyDescent="0.3">
      <c r="A161" s="65">
        <v>0</v>
      </c>
    </row>
    <row r="162" spans="1:1" x14ac:dyDescent="0.3">
      <c r="A162" s="65">
        <v>0</v>
      </c>
    </row>
    <row r="163" spans="1:1" x14ac:dyDescent="0.3">
      <c r="A163" s="65">
        <v>0</v>
      </c>
    </row>
    <row r="164" spans="1:1" x14ac:dyDescent="0.3">
      <c r="A164" s="65">
        <v>0</v>
      </c>
    </row>
    <row r="165" spans="1:1" x14ac:dyDescent="0.3">
      <c r="A165" s="65">
        <v>0</v>
      </c>
    </row>
    <row r="166" spans="1:1" x14ac:dyDescent="0.3">
      <c r="A166" s="65">
        <v>0</v>
      </c>
    </row>
    <row r="167" spans="1:1" x14ac:dyDescent="0.3">
      <c r="A167" s="65">
        <v>0</v>
      </c>
    </row>
    <row r="168" spans="1:1" x14ac:dyDescent="0.3">
      <c r="A168" s="65">
        <v>0</v>
      </c>
    </row>
    <row r="169" spans="1:1" x14ac:dyDescent="0.3">
      <c r="A169" s="65">
        <v>0</v>
      </c>
    </row>
    <row r="170" spans="1:1" x14ac:dyDescent="0.3">
      <c r="A170" s="65">
        <v>0</v>
      </c>
    </row>
    <row r="171" spans="1:1" x14ac:dyDescent="0.3">
      <c r="A171" s="65">
        <v>0</v>
      </c>
    </row>
    <row r="172" spans="1:1" x14ac:dyDescent="0.3">
      <c r="A172" s="65">
        <v>0</v>
      </c>
    </row>
    <row r="173" spans="1:1" x14ac:dyDescent="0.3">
      <c r="A173" s="65">
        <v>0</v>
      </c>
    </row>
    <row r="174" spans="1:1" x14ac:dyDescent="0.3">
      <c r="A174" s="65">
        <v>0</v>
      </c>
    </row>
    <row r="175" spans="1:1" x14ac:dyDescent="0.3">
      <c r="A175" s="65">
        <v>0</v>
      </c>
    </row>
    <row r="176" spans="1:1" x14ac:dyDescent="0.3">
      <c r="A176" s="65">
        <v>0</v>
      </c>
    </row>
    <row r="177" spans="1:1" x14ac:dyDescent="0.3">
      <c r="A177" s="65">
        <v>0</v>
      </c>
    </row>
    <row r="178" spans="1:1" x14ac:dyDescent="0.3">
      <c r="A178" s="65">
        <v>0</v>
      </c>
    </row>
    <row r="179" spans="1:1" x14ac:dyDescent="0.3">
      <c r="A179" s="65">
        <v>0</v>
      </c>
    </row>
    <row r="180" spans="1:1" x14ac:dyDescent="0.3">
      <c r="A180" s="65">
        <v>0</v>
      </c>
    </row>
    <row r="181" spans="1:1" x14ac:dyDescent="0.3">
      <c r="A181" s="65">
        <v>0</v>
      </c>
    </row>
    <row r="182" spans="1:1" x14ac:dyDescent="0.3">
      <c r="A182" s="65">
        <v>0</v>
      </c>
    </row>
    <row r="183" spans="1:1" x14ac:dyDescent="0.3">
      <c r="A183" s="65">
        <v>0</v>
      </c>
    </row>
    <row r="184" spans="1:1" x14ac:dyDescent="0.3">
      <c r="A184" s="65">
        <v>0</v>
      </c>
    </row>
    <row r="185" spans="1:1" x14ac:dyDescent="0.3">
      <c r="A185" s="65">
        <v>0</v>
      </c>
    </row>
    <row r="186" spans="1:1" x14ac:dyDescent="0.3">
      <c r="A186" s="65">
        <v>0</v>
      </c>
    </row>
    <row r="187" spans="1:1" x14ac:dyDescent="0.3">
      <c r="A187" s="65">
        <v>0</v>
      </c>
    </row>
    <row r="188" spans="1:1" x14ac:dyDescent="0.3">
      <c r="A188" s="65">
        <v>0</v>
      </c>
    </row>
    <row r="189" spans="1:1" x14ac:dyDescent="0.3">
      <c r="A189" s="65">
        <v>0</v>
      </c>
    </row>
    <row r="190" spans="1:1" x14ac:dyDescent="0.3">
      <c r="A190" s="65">
        <v>0</v>
      </c>
    </row>
    <row r="191" spans="1:1" x14ac:dyDescent="0.3">
      <c r="A191" s="65">
        <v>0</v>
      </c>
    </row>
    <row r="192" spans="1:1" x14ac:dyDescent="0.3">
      <c r="A192" s="65">
        <v>0</v>
      </c>
    </row>
    <row r="193" spans="1:1" x14ac:dyDescent="0.3">
      <c r="A193" s="65">
        <v>0</v>
      </c>
    </row>
    <row r="194" spans="1:1" x14ac:dyDescent="0.3">
      <c r="A194" s="65">
        <v>0</v>
      </c>
    </row>
    <row r="195" spans="1:1" x14ac:dyDescent="0.3">
      <c r="A195" s="65">
        <v>0</v>
      </c>
    </row>
    <row r="196" spans="1:1" x14ac:dyDescent="0.3">
      <c r="A196" s="65">
        <v>0</v>
      </c>
    </row>
    <row r="197" spans="1:1" x14ac:dyDescent="0.3">
      <c r="A197" s="65">
        <v>0</v>
      </c>
    </row>
    <row r="198" spans="1:1" x14ac:dyDescent="0.3">
      <c r="A198" s="65">
        <v>0</v>
      </c>
    </row>
    <row r="199" spans="1:1" x14ac:dyDescent="0.3">
      <c r="A199" s="65">
        <v>0</v>
      </c>
    </row>
    <row r="200" spans="1:1" x14ac:dyDescent="0.3">
      <c r="A200" s="65">
        <v>0</v>
      </c>
    </row>
    <row r="201" spans="1:1" x14ac:dyDescent="0.3">
      <c r="A201" s="65">
        <v>0</v>
      </c>
    </row>
    <row r="202" spans="1:1" x14ac:dyDescent="0.3">
      <c r="A202" s="65">
        <v>0</v>
      </c>
    </row>
    <row r="203" spans="1:1" x14ac:dyDescent="0.3">
      <c r="A203" s="65">
        <v>0</v>
      </c>
    </row>
    <row r="204" spans="1:1" x14ac:dyDescent="0.3">
      <c r="A204" s="65">
        <v>0</v>
      </c>
    </row>
    <row r="205" spans="1:1" x14ac:dyDescent="0.3">
      <c r="A205" s="65">
        <v>0</v>
      </c>
    </row>
    <row r="206" spans="1:1" x14ac:dyDescent="0.3">
      <c r="A206" s="65">
        <v>0</v>
      </c>
    </row>
    <row r="207" spans="1:1" x14ac:dyDescent="0.3">
      <c r="A207" s="65">
        <v>0</v>
      </c>
    </row>
    <row r="208" spans="1:1" x14ac:dyDescent="0.3">
      <c r="A208" s="65">
        <v>0</v>
      </c>
    </row>
    <row r="209" spans="1:1" x14ac:dyDescent="0.3">
      <c r="A209" s="65">
        <v>0</v>
      </c>
    </row>
    <row r="210" spans="1:1" x14ac:dyDescent="0.3">
      <c r="A210" s="65">
        <v>0</v>
      </c>
    </row>
    <row r="211" spans="1:1" x14ac:dyDescent="0.3">
      <c r="A211" s="65">
        <v>0</v>
      </c>
    </row>
    <row r="212" spans="1:1" x14ac:dyDescent="0.3">
      <c r="A212" s="65">
        <v>0</v>
      </c>
    </row>
    <row r="213" spans="1:1" x14ac:dyDescent="0.3">
      <c r="A213" s="65">
        <v>0</v>
      </c>
    </row>
    <row r="214" spans="1:1" x14ac:dyDescent="0.3">
      <c r="A214" s="65">
        <v>0</v>
      </c>
    </row>
    <row r="215" spans="1:1" x14ac:dyDescent="0.3">
      <c r="A215" s="65">
        <v>0</v>
      </c>
    </row>
    <row r="216" spans="1:1" x14ac:dyDescent="0.3">
      <c r="A216" s="65">
        <v>0</v>
      </c>
    </row>
    <row r="217" spans="1:1" x14ac:dyDescent="0.3">
      <c r="A217" s="65">
        <v>0</v>
      </c>
    </row>
    <row r="218" spans="1:1" x14ac:dyDescent="0.3">
      <c r="A218" s="65">
        <v>0</v>
      </c>
    </row>
    <row r="219" spans="1:1" x14ac:dyDescent="0.3">
      <c r="A219" s="65">
        <v>0</v>
      </c>
    </row>
    <row r="220" spans="1:1" x14ac:dyDescent="0.3">
      <c r="A220" s="65">
        <v>0</v>
      </c>
    </row>
    <row r="221" spans="1:1" x14ac:dyDescent="0.3">
      <c r="A221" s="65">
        <v>0</v>
      </c>
    </row>
    <row r="222" spans="1:1" x14ac:dyDescent="0.3">
      <c r="A222" s="65">
        <v>0</v>
      </c>
    </row>
    <row r="223" spans="1:1" x14ac:dyDescent="0.3">
      <c r="A223" s="65">
        <v>0</v>
      </c>
    </row>
    <row r="224" spans="1:1" x14ac:dyDescent="0.3">
      <c r="A224" s="65">
        <v>0</v>
      </c>
    </row>
    <row r="225" spans="1:1" x14ac:dyDescent="0.3">
      <c r="A225" s="65">
        <v>0</v>
      </c>
    </row>
    <row r="226" spans="1:1" x14ac:dyDescent="0.3">
      <c r="A226" s="65">
        <v>0</v>
      </c>
    </row>
    <row r="227" spans="1:1" x14ac:dyDescent="0.3">
      <c r="A227" s="65">
        <v>0</v>
      </c>
    </row>
    <row r="228" spans="1:1" x14ac:dyDescent="0.3">
      <c r="A228" s="65">
        <v>0</v>
      </c>
    </row>
    <row r="229" spans="1:1" x14ac:dyDescent="0.3">
      <c r="A229" s="65">
        <v>0</v>
      </c>
    </row>
    <row r="230" spans="1:1" x14ac:dyDescent="0.3">
      <c r="A230" s="65">
        <v>0</v>
      </c>
    </row>
    <row r="231" spans="1:1" x14ac:dyDescent="0.3">
      <c r="A231" s="65">
        <v>0</v>
      </c>
    </row>
    <row r="232" spans="1:1" x14ac:dyDescent="0.3">
      <c r="A232" s="65">
        <v>0</v>
      </c>
    </row>
    <row r="233" spans="1:1" x14ac:dyDescent="0.3">
      <c r="A233" s="65">
        <v>0</v>
      </c>
    </row>
    <row r="234" spans="1:1" x14ac:dyDescent="0.3">
      <c r="A234" s="65">
        <v>0</v>
      </c>
    </row>
    <row r="235" spans="1:1" x14ac:dyDescent="0.3">
      <c r="A235" s="65">
        <v>0</v>
      </c>
    </row>
    <row r="236" spans="1:1" x14ac:dyDescent="0.3">
      <c r="A236" s="65">
        <v>0</v>
      </c>
    </row>
    <row r="237" spans="1:1" x14ac:dyDescent="0.3">
      <c r="A237" s="65">
        <v>0</v>
      </c>
    </row>
    <row r="238" spans="1:1" x14ac:dyDescent="0.3">
      <c r="A238" s="65">
        <v>0</v>
      </c>
    </row>
    <row r="239" spans="1:1" x14ac:dyDescent="0.3">
      <c r="A239" s="65">
        <v>0</v>
      </c>
    </row>
    <row r="240" spans="1:1" x14ac:dyDescent="0.3">
      <c r="A240" s="65">
        <v>0</v>
      </c>
    </row>
    <row r="241" spans="1:1" x14ac:dyDescent="0.3">
      <c r="A241" s="65">
        <v>0</v>
      </c>
    </row>
    <row r="242" spans="1:1" x14ac:dyDescent="0.3">
      <c r="A242" s="65">
        <v>0</v>
      </c>
    </row>
    <row r="243" spans="1:1" x14ac:dyDescent="0.3">
      <c r="A243" s="65">
        <v>0</v>
      </c>
    </row>
    <row r="244" spans="1:1" x14ac:dyDescent="0.3">
      <c r="A244" s="65">
        <v>0</v>
      </c>
    </row>
    <row r="245" spans="1:1" x14ac:dyDescent="0.3">
      <c r="A245" s="65">
        <v>0</v>
      </c>
    </row>
    <row r="246" spans="1:1" x14ac:dyDescent="0.3">
      <c r="A246" s="65">
        <v>0</v>
      </c>
    </row>
    <row r="247" spans="1:1" x14ac:dyDescent="0.3">
      <c r="A247" s="65">
        <v>0</v>
      </c>
    </row>
    <row r="248" spans="1:1" x14ac:dyDescent="0.3">
      <c r="A248" s="65">
        <v>0</v>
      </c>
    </row>
    <row r="249" spans="1:1" x14ac:dyDescent="0.3">
      <c r="A249" s="65">
        <v>0</v>
      </c>
    </row>
    <row r="250" spans="1:1" x14ac:dyDescent="0.3">
      <c r="A250" s="65">
        <v>0</v>
      </c>
    </row>
    <row r="251" spans="1:1" x14ac:dyDescent="0.3">
      <c r="A251" s="65">
        <v>0</v>
      </c>
    </row>
    <row r="252" spans="1:1" x14ac:dyDescent="0.3">
      <c r="A252" s="65">
        <v>0</v>
      </c>
    </row>
    <row r="253" spans="1:1" x14ac:dyDescent="0.3">
      <c r="A253" s="65">
        <v>0</v>
      </c>
    </row>
    <row r="254" spans="1:1" x14ac:dyDescent="0.3">
      <c r="A254" s="65">
        <v>0</v>
      </c>
    </row>
    <row r="255" spans="1:1" x14ac:dyDescent="0.3">
      <c r="A255" s="65">
        <v>0</v>
      </c>
    </row>
    <row r="256" spans="1:1" x14ac:dyDescent="0.3">
      <c r="A256" s="65">
        <v>0</v>
      </c>
    </row>
    <row r="257" spans="1:1" x14ac:dyDescent="0.3">
      <c r="A257" s="65">
        <v>0</v>
      </c>
    </row>
    <row r="258" spans="1:1" x14ac:dyDescent="0.3">
      <c r="A258" s="65">
        <v>0</v>
      </c>
    </row>
    <row r="259" spans="1:1" x14ac:dyDescent="0.3">
      <c r="A259" s="65">
        <v>0</v>
      </c>
    </row>
    <row r="260" spans="1:1" x14ac:dyDescent="0.3">
      <c r="A260" s="65">
        <v>0</v>
      </c>
    </row>
    <row r="261" spans="1:1" x14ac:dyDescent="0.3">
      <c r="A261" s="65">
        <v>0</v>
      </c>
    </row>
    <row r="262" spans="1:1" x14ac:dyDescent="0.3">
      <c r="A262" s="65">
        <v>0</v>
      </c>
    </row>
    <row r="263" spans="1:1" x14ac:dyDescent="0.3">
      <c r="A263" s="65">
        <v>0</v>
      </c>
    </row>
    <row r="264" spans="1:1" x14ac:dyDescent="0.3">
      <c r="A264" s="65">
        <v>0</v>
      </c>
    </row>
    <row r="265" spans="1:1" x14ac:dyDescent="0.3">
      <c r="A265" s="65">
        <v>0</v>
      </c>
    </row>
    <row r="266" spans="1:1" x14ac:dyDescent="0.3">
      <c r="A266" s="65">
        <v>0</v>
      </c>
    </row>
    <row r="267" spans="1:1" x14ac:dyDescent="0.3">
      <c r="A267" s="65">
        <v>0</v>
      </c>
    </row>
    <row r="268" spans="1:1" x14ac:dyDescent="0.3">
      <c r="A268" s="65">
        <v>0</v>
      </c>
    </row>
    <row r="269" spans="1:1" x14ac:dyDescent="0.3">
      <c r="A269" s="65">
        <v>0</v>
      </c>
    </row>
    <row r="270" spans="1:1" x14ac:dyDescent="0.3">
      <c r="A270" s="65">
        <v>0</v>
      </c>
    </row>
    <row r="271" spans="1:1" x14ac:dyDescent="0.3">
      <c r="A271" s="65">
        <v>0</v>
      </c>
    </row>
    <row r="272" spans="1:1" x14ac:dyDescent="0.3">
      <c r="A272" s="65">
        <v>0</v>
      </c>
    </row>
    <row r="273" spans="1:1" x14ac:dyDescent="0.3">
      <c r="A273" s="65">
        <v>0</v>
      </c>
    </row>
    <row r="274" spans="1:1" x14ac:dyDescent="0.3">
      <c r="A274" s="65">
        <v>0</v>
      </c>
    </row>
    <row r="275" spans="1:1" x14ac:dyDescent="0.3">
      <c r="A275" s="65">
        <v>0</v>
      </c>
    </row>
    <row r="276" spans="1:1" x14ac:dyDescent="0.3">
      <c r="A276" s="65">
        <v>0</v>
      </c>
    </row>
    <row r="277" spans="1:1" x14ac:dyDescent="0.3">
      <c r="A277" s="65">
        <v>0</v>
      </c>
    </row>
    <row r="278" spans="1:1" x14ac:dyDescent="0.3">
      <c r="A278" s="65">
        <v>0</v>
      </c>
    </row>
    <row r="279" spans="1:1" x14ac:dyDescent="0.3">
      <c r="A279" s="65">
        <v>0</v>
      </c>
    </row>
    <row r="280" spans="1:1" x14ac:dyDescent="0.3">
      <c r="A280" s="65">
        <v>0</v>
      </c>
    </row>
    <row r="281" spans="1:1" x14ac:dyDescent="0.3">
      <c r="A281" s="65">
        <v>0</v>
      </c>
    </row>
    <row r="282" spans="1:1" x14ac:dyDescent="0.3">
      <c r="A282" s="65">
        <v>0</v>
      </c>
    </row>
    <row r="283" spans="1:1" x14ac:dyDescent="0.3">
      <c r="A283" s="65">
        <v>0</v>
      </c>
    </row>
    <row r="284" spans="1:1" x14ac:dyDescent="0.3">
      <c r="A284" s="65">
        <v>0</v>
      </c>
    </row>
    <row r="285" spans="1:1" x14ac:dyDescent="0.3">
      <c r="A285" s="65">
        <v>0</v>
      </c>
    </row>
    <row r="286" spans="1:1" x14ac:dyDescent="0.3">
      <c r="A286" s="65">
        <v>0</v>
      </c>
    </row>
    <row r="287" spans="1:1" x14ac:dyDescent="0.3">
      <c r="A287" s="65">
        <v>0</v>
      </c>
    </row>
    <row r="288" spans="1:1" x14ac:dyDescent="0.3">
      <c r="A288" s="65">
        <v>0</v>
      </c>
    </row>
    <row r="289" spans="1:1" x14ac:dyDescent="0.3">
      <c r="A289" s="65">
        <v>0</v>
      </c>
    </row>
    <row r="290" spans="1:1" x14ac:dyDescent="0.3">
      <c r="A290" s="65">
        <v>0</v>
      </c>
    </row>
    <row r="291" spans="1:1" x14ac:dyDescent="0.3">
      <c r="A291" s="65">
        <v>0</v>
      </c>
    </row>
    <row r="292" spans="1:1" x14ac:dyDescent="0.3">
      <c r="A292" s="65">
        <v>0</v>
      </c>
    </row>
    <row r="293" spans="1:1" x14ac:dyDescent="0.3">
      <c r="A293" s="65">
        <v>0</v>
      </c>
    </row>
    <row r="294" spans="1:1" x14ac:dyDescent="0.3">
      <c r="A294" s="65">
        <v>0</v>
      </c>
    </row>
    <row r="295" spans="1:1" x14ac:dyDescent="0.3">
      <c r="A295" s="65">
        <v>0</v>
      </c>
    </row>
    <row r="296" spans="1:1" x14ac:dyDescent="0.3">
      <c r="A296" s="65">
        <v>0</v>
      </c>
    </row>
    <row r="297" spans="1:1" x14ac:dyDescent="0.3">
      <c r="A297" s="65">
        <v>0</v>
      </c>
    </row>
    <row r="298" spans="1:1" x14ac:dyDescent="0.3">
      <c r="A298" s="65">
        <v>0</v>
      </c>
    </row>
    <row r="299" spans="1:1" x14ac:dyDescent="0.3">
      <c r="A299" s="65">
        <v>0</v>
      </c>
    </row>
    <row r="300" spans="1:1" x14ac:dyDescent="0.3">
      <c r="A300" s="65">
        <v>0</v>
      </c>
    </row>
    <row r="301" spans="1:1" x14ac:dyDescent="0.3">
      <c r="A301" s="65">
        <v>0</v>
      </c>
    </row>
    <row r="302" spans="1:1" x14ac:dyDescent="0.3">
      <c r="A302" s="65">
        <v>0</v>
      </c>
    </row>
    <row r="303" spans="1:1" x14ac:dyDescent="0.3">
      <c r="A303" s="65">
        <v>0</v>
      </c>
    </row>
    <row r="304" spans="1:1" x14ac:dyDescent="0.3">
      <c r="A304" s="65">
        <v>0</v>
      </c>
    </row>
    <row r="305" spans="1:1" x14ac:dyDescent="0.3">
      <c r="A305" s="65">
        <v>0</v>
      </c>
    </row>
    <row r="306" spans="1:1" x14ac:dyDescent="0.3">
      <c r="A306" s="65">
        <v>0</v>
      </c>
    </row>
    <row r="307" spans="1:1" x14ac:dyDescent="0.3">
      <c r="A307" s="65">
        <v>0</v>
      </c>
    </row>
    <row r="308" spans="1:1" x14ac:dyDescent="0.3">
      <c r="A308" s="65">
        <v>0</v>
      </c>
    </row>
    <row r="309" spans="1:1" x14ac:dyDescent="0.3">
      <c r="A309" s="65">
        <v>0</v>
      </c>
    </row>
    <row r="310" spans="1:1" x14ac:dyDescent="0.3">
      <c r="A310" s="65">
        <v>0</v>
      </c>
    </row>
    <row r="311" spans="1:1" x14ac:dyDescent="0.3">
      <c r="A311" s="65">
        <v>0</v>
      </c>
    </row>
    <row r="312" spans="1:1" x14ac:dyDescent="0.3">
      <c r="A312" s="65">
        <v>0</v>
      </c>
    </row>
    <row r="313" spans="1:1" x14ac:dyDescent="0.3">
      <c r="A313" s="65">
        <v>0</v>
      </c>
    </row>
    <row r="314" spans="1:1" x14ac:dyDescent="0.3">
      <c r="A314" s="65">
        <v>0</v>
      </c>
    </row>
    <row r="315" spans="1:1" x14ac:dyDescent="0.3">
      <c r="A315" s="65">
        <v>0</v>
      </c>
    </row>
    <row r="316" spans="1:1" x14ac:dyDescent="0.3">
      <c r="A316" s="65">
        <v>0</v>
      </c>
    </row>
    <row r="317" spans="1:1" x14ac:dyDescent="0.3">
      <c r="A317" s="65">
        <v>0</v>
      </c>
    </row>
    <row r="318" spans="1:1" x14ac:dyDescent="0.3">
      <c r="A318" s="65">
        <v>0</v>
      </c>
    </row>
    <row r="319" spans="1:1" x14ac:dyDescent="0.3">
      <c r="A319" s="65">
        <v>0</v>
      </c>
    </row>
    <row r="320" spans="1:1" x14ac:dyDescent="0.3">
      <c r="A320" s="65">
        <v>0</v>
      </c>
    </row>
    <row r="321" spans="1:1" x14ac:dyDescent="0.3">
      <c r="A321" s="65">
        <v>0</v>
      </c>
    </row>
    <row r="322" spans="1:1" x14ac:dyDescent="0.3">
      <c r="A322" s="65">
        <v>0</v>
      </c>
    </row>
    <row r="323" spans="1:1" x14ac:dyDescent="0.3">
      <c r="A323" s="65">
        <v>0</v>
      </c>
    </row>
    <row r="324" spans="1:1" x14ac:dyDescent="0.3">
      <c r="A324" s="65">
        <v>0</v>
      </c>
    </row>
    <row r="325" spans="1:1" x14ac:dyDescent="0.3">
      <c r="A325" s="65">
        <v>0</v>
      </c>
    </row>
    <row r="326" spans="1:1" x14ac:dyDescent="0.3">
      <c r="A326" s="65">
        <v>0</v>
      </c>
    </row>
    <row r="327" spans="1:1" x14ac:dyDescent="0.3">
      <c r="A327" s="65">
        <v>0</v>
      </c>
    </row>
    <row r="328" spans="1:1" x14ac:dyDescent="0.3">
      <c r="A328" s="65">
        <v>0</v>
      </c>
    </row>
    <row r="329" spans="1:1" x14ac:dyDescent="0.3">
      <c r="A329" s="65">
        <v>0</v>
      </c>
    </row>
    <row r="330" spans="1:1" x14ac:dyDescent="0.3">
      <c r="A330" s="65">
        <v>0</v>
      </c>
    </row>
    <row r="331" spans="1:1" x14ac:dyDescent="0.3">
      <c r="A331" s="65">
        <v>0</v>
      </c>
    </row>
    <row r="332" spans="1:1" x14ac:dyDescent="0.3">
      <c r="A332" s="65">
        <v>0</v>
      </c>
    </row>
    <row r="333" spans="1:1" x14ac:dyDescent="0.3">
      <c r="A333" s="65">
        <v>0</v>
      </c>
    </row>
    <row r="334" spans="1:1" x14ac:dyDescent="0.3">
      <c r="A334" s="65">
        <v>0</v>
      </c>
    </row>
    <row r="335" spans="1:1" x14ac:dyDescent="0.3">
      <c r="A335" s="65">
        <v>0</v>
      </c>
    </row>
    <row r="336" spans="1:1" x14ac:dyDescent="0.3">
      <c r="A336" s="65">
        <v>0</v>
      </c>
    </row>
    <row r="337" spans="1:1" x14ac:dyDescent="0.3">
      <c r="A337" s="65">
        <v>0</v>
      </c>
    </row>
    <row r="338" spans="1:1" x14ac:dyDescent="0.3">
      <c r="A338" s="65">
        <v>0</v>
      </c>
    </row>
    <row r="339" spans="1:1" x14ac:dyDescent="0.3">
      <c r="A339" s="65">
        <v>0</v>
      </c>
    </row>
    <row r="340" spans="1:1" x14ac:dyDescent="0.3">
      <c r="A340" s="65">
        <v>0</v>
      </c>
    </row>
    <row r="341" spans="1:1" x14ac:dyDescent="0.3">
      <c r="A341" s="65">
        <v>0</v>
      </c>
    </row>
    <row r="342" spans="1:1" x14ac:dyDescent="0.3">
      <c r="A342" s="65">
        <v>0</v>
      </c>
    </row>
    <row r="343" spans="1:1" x14ac:dyDescent="0.3">
      <c r="A343" s="65">
        <v>0</v>
      </c>
    </row>
    <row r="344" spans="1:1" x14ac:dyDescent="0.3">
      <c r="A344" s="65">
        <v>0</v>
      </c>
    </row>
    <row r="345" spans="1:1" x14ac:dyDescent="0.3">
      <c r="A345" s="65">
        <v>0</v>
      </c>
    </row>
    <row r="346" spans="1:1" x14ac:dyDescent="0.3">
      <c r="A346" s="65">
        <v>0</v>
      </c>
    </row>
    <row r="347" spans="1:1" x14ac:dyDescent="0.3">
      <c r="A347" s="65">
        <v>0</v>
      </c>
    </row>
    <row r="348" spans="1:1" x14ac:dyDescent="0.3">
      <c r="A348" s="65">
        <v>0</v>
      </c>
    </row>
    <row r="349" spans="1:1" x14ac:dyDescent="0.3">
      <c r="A349" s="65">
        <v>0</v>
      </c>
    </row>
    <row r="350" spans="1:1" x14ac:dyDescent="0.3">
      <c r="A350" s="65">
        <v>0</v>
      </c>
    </row>
    <row r="351" spans="1:1" x14ac:dyDescent="0.3">
      <c r="A351" s="65">
        <v>0</v>
      </c>
    </row>
    <row r="352" spans="1:1" x14ac:dyDescent="0.3">
      <c r="A352" s="65">
        <v>0</v>
      </c>
    </row>
    <row r="353" spans="1:1" x14ac:dyDescent="0.3">
      <c r="A353" s="65">
        <v>0</v>
      </c>
    </row>
    <row r="354" spans="1:1" x14ac:dyDescent="0.3">
      <c r="A354" s="65">
        <v>0</v>
      </c>
    </row>
    <row r="355" spans="1:1" x14ac:dyDescent="0.3">
      <c r="A355" s="65">
        <v>0</v>
      </c>
    </row>
    <row r="356" spans="1:1" x14ac:dyDescent="0.3">
      <c r="A356" s="65">
        <v>0</v>
      </c>
    </row>
    <row r="357" spans="1:1" x14ac:dyDescent="0.3">
      <c r="A357" s="65">
        <v>0</v>
      </c>
    </row>
    <row r="358" spans="1:1" x14ac:dyDescent="0.3">
      <c r="A358" s="65">
        <v>0</v>
      </c>
    </row>
    <row r="359" spans="1:1" x14ac:dyDescent="0.3">
      <c r="A359" s="65">
        <v>0</v>
      </c>
    </row>
    <row r="360" spans="1:1" x14ac:dyDescent="0.3">
      <c r="A360" s="65">
        <v>0</v>
      </c>
    </row>
    <row r="361" spans="1:1" x14ac:dyDescent="0.3">
      <c r="A361" s="65">
        <v>0</v>
      </c>
    </row>
    <row r="362" spans="1:1" x14ac:dyDescent="0.3">
      <c r="A362" s="65">
        <v>0</v>
      </c>
    </row>
    <row r="363" spans="1:1" x14ac:dyDescent="0.3">
      <c r="A363" s="65">
        <v>0</v>
      </c>
    </row>
    <row r="364" spans="1:1" x14ac:dyDescent="0.3">
      <c r="A364" s="65">
        <v>0</v>
      </c>
    </row>
    <row r="365" spans="1:1" x14ac:dyDescent="0.3">
      <c r="A365" s="65">
        <v>0</v>
      </c>
    </row>
    <row r="366" spans="1:1" x14ac:dyDescent="0.3">
      <c r="A366" s="65">
        <v>0</v>
      </c>
    </row>
    <row r="367" spans="1:1" x14ac:dyDescent="0.3">
      <c r="A367" s="65">
        <v>0</v>
      </c>
    </row>
    <row r="368" spans="1:1" x14ac:dyDescent="0.3">
      <c r="A368" s="65">
        <v>0</v>
      </c>
    </row>
    <row r="369" spans="1:1" x14ac:dyDescent="0.3">
      <c r="A369" s="65">
        <v>0</v>
      </c>
    </row>
    <row r="370" spans="1:1" x14ac:dyDescent="0.3">
      <c r="A370" s="65">
        <v>0</v>
      </c>
    </row>
    <row r="371" spans="1:1" x14ac:dyDescent="0.3">
      <c r="A371" s="65">
        <v>0</v>
      </c>
    </row>
    <row r="372" spans="1:1" x14ac:dyDescent="0.3">
      <c r="A372" s="65">
        <v>0</v>
      </c>
    </row>
    <row r="373" spans="1:1" x14ac:dyDescent="0.3">
      <c r="A373" s="65">
        <v>0</v>
      </c>
    </row>
    <row r="374" spans="1:1" x14ac:dyDescent="0.3">
      <c r="A374" s="65">
        <v>0</v>
      </c>
    </row>
    <row r="375" spans="1:1" x14ac:dyDescent="0.3">
      <c r="A375" s="65">
        <v>0</v>
      </c>
    </row>
    <row r="376" spans="1:1" x14ac:dyDescent="0.3">
      <c r="A376" s="65">
        <v>0</v>
      </c>
    </row>
    <row r="377" spans="1:1" x14ac:dyDescent="0.3">
      <c r="A377" s="65">
        <v>0</v>
      </c>
    </row>
    <row r="378" spans="1:1" x14ac:dyDescent="0.3">
      <c r="A378" s="65">
        <v>0</v>
      </c>
    </row>
    <row r="379" spans="1:1" x14ac:dyDescent="0.3">
      <c r="A379" s="65">
        <v>0</v>
      </c>
    </row>
    <row r="380" spans="1:1" x14ac:dyDescent="0.3">
      <c r="A380" s="65">
        <v>0</v>
      </c>
    </row>
    <row r="381" spans="1:1" x14ac:dyDescent="0.3">
      <c r="A381" s="65">
        <v>0</v>
      </c>
    </row>
    <row r="382" spans="1:1" x14ac:dyDescent="0.3">
      <c r="A382" s="65">
        <v>0</v>
      </c>
    </row>
    <row r="383" spans="1:1" x14ac:dyDescent="0.3">
      <c r="A383" s="65">
        <v>0</v>
      </c>
    </row>
    <row r="384" spans="1:1" x14ac:dyDescent="0.3">
      <c r="A384" s="65">
        <v>0</v>
      </c>
    </row>
    <row r="385" spans="1:1" x14ac:dyDescent="0.3">
      <c r="A385" s="65">
        <v>0</v>
      </c>
    </row>
    <row r="386" spans="1:1" x14ac:dyDescent="0.3">
      <c r="A386" s="65">
        <v>0</v>
      </c>
    </row>
    <row r="387" spans="1:1" x14ac:dyDescent="0.3">
      <c r="A387" s="65">
        <v>0</v>
      </c>
    </row>
    <row r="388" spans="1:1" x14ac:dyDescent="0.3">
      <c r="A388" s="65">
        <v>0</v>
      </c>
    </row>
    <row r="389" spans="1:1" x14ac:dyDescent="0.3">
      <c r="A389" s="65">
        <v>0</v>
      </c>
    </row>
    <row r="390" spans="1:1" x14ac:dyDescent="0.3">
      <c r="A390" s="65">
        <v>0</v>
      </c>
    </row>
    <row r="391" spans="1:1" x14ac:dyDescent="0.3">
      <c r="A391" s="65">
        <v>0</v>
      </c>
    </row>
    <row r="392" spans="1:1" x14ac:dyDescent="0.3">
      <c r="A392" s="65">
        <v>0</v>
      </c>
    </row>
    <row r="393" spans="1:1" x14ac:dyDescent="0.3">
      <c r="A393" s="65">
        <v>0</v>
      </c>
    </row>
    <row r="394" spans="1:1" x14ac:dyDescent="0.3">
      <c r="A394" s="65">
        <v>0</v>
      </c>
    </row>
    <row r="395" spans="1:1" x14ac:dyDescent="0.3">
      <c r="A395" s="65">
        <v>0</v>
      </c>
    </row>
    <row r="396" spans="1:1" x14ac:dyDescent="0.3">
      <c r="A396" s="65">
        <v>0</v>
      </c>
    </row>
    <row r="397" spans="1:1" x14ac:dyDescent="0.3">
      <c r="A397" s="65">
        <v>0</v>
      </c>
    </row>
    <row r="398" spans="1:1" x14ac:dyDescent="0.3">
      <c r="A398" s="65">
        <v>0</v>
      </c>
    </row>
    <row r="399" spans="1:1" x14ac:dyDescent="0.3">
      <c r="A399" s="65">
        <v>0</v>
      </c>
    </row>
    <row r="400" spans="1:1" x14ac:dyDescent="0.3">
      <c r="A400" s="65">
        <v>0</v>
      </c>
    </row>
    <row r="401" spans="1:1" x14ac:dyDescent="0.3">
      <c r="A401" s="65">
        <v>0</v>
      </c>
    </row>
    <row r="402" spans="1:1" x14ac:dyDescent="0.3">
      <c r="A402" s="65">
        <v>0</v>
      </c>
    </row>
    <row r="403" spans="1:1" x14ac:dyDescent="0.3">
      <c r="A403" s="65">
        <v>0</v>
      </c>
    </row>
    <row r="404" spans="1:1" x14ac:dyDescent="0.3">
      <c r="A404" s="65">
        <v>0</v>
      </c>
    </row>
    <row r="405" spans="1:1" x14ac:dyDescent="0.3">
      <c r="A405" s="65">
        <v>0</v>
      </c>
    </row>
    <row r="406" spans="1:1" x14ac:dyDescent="0.3">
      <c r="A406" s="65">
        <v>0</v>
      </c>
    </row>
    <row r="407" spans="1:1" x14ac:dyDescent="0.3">
      <c r="A407" s="65">
        <v>0</v>
      </c>
    </row>
    <row r="408" spans="1:1" x14ac:dyDescent="0.3">
      <c r="A408" s="65">
        <v>0</v>
      </c>
    </row>
    <row r="409" spans="1:1" x14ac:dyDescent="0.3">
      <c r="A409" s="65">
        <v>0</v>
      </c>
    </row>
    <row r="410" spans="1:1" x14ac:dyDescent="0.3">
      <c r="A410" s="65">
        <v>0</v>
      </c>
    </row>
    <row r="411" spans="1:1" x14ac:dyDescent="0.3">
      <c r="A411" s="65">
        <v>0</v>
      </c>
    </row>
    <row r="412" spans="1:1" x14ac:dyDescent="0.3">
      <c r="A412" s="65">
        <v>0</v>
      </c>
    </row>
    <row r="413" spans="1:1" x14ac:dyDescent="0.3">
      <c r="A413" s="65">
        <v>0</v>
      </c>
    </row>
    <row r="414" spans="1:1" x14ac:dyDescent="0.3">
      <c r="A414" s="65">
        <v>0</v>
      </c>
    </row>
    <row r="415" spans="1:1" x14ac:dyDescent="0.3">
      <c r="A415" s="65">
        <v>0</v>
      </c>
    </row>
    <row r="416" spans="1:1" x14ac:dyDescent="0.3">
      <c r="A416" s="65">
        <v>0</v>
      </c>
    </row>
    <row r="417" spans="1:1" x14ac:dyDescent="0.3">
      <c r="A417" s="65">
        <v>0</v>
      </c>
    </row>
    <row r="418" spans="1:1" x14ac:dyDescent="0.3">
      <c r="A418" s="65">
        <v>0</v>
      </c>
    </row>
    <row r="419" spans="1:1" x14ac:dyDescent="0.3">
      <c r="A419" s="65">
        <v>0</v>
      </c>
    </row>
    <row r="420" spans="1:1" x14ac:dyDescent="0.3">
      <c r="A420" s="65">
        <v>0</v>
      </c>
    </row>
    <row r="421" spans="1:1" x14ac:dyDescent="0.3">
      <c r="A421" s="65">
        <v>0</v>
      </c>
    </row>
    <row r="422" spans="1:1" x14ac:dyDescent="0.3">
      <c r="A422" s="65">
        <v>0</v>
      </c>
    </row>
    <row r="423" spans="1:1" x14ac:dyDescent="0.3">
      <c r="A423" s="65">
        <v>0</v>
      </c>
    </row>
    <row r="424" spans="1:1" x14ac:dyDescent="0.3">
      <c r="A424" s="65">
        <v>0</v>
      </c>
    </row>
    <row r="425" spans="1:1" x14ac:dyDescent="0.3">
      <c r="A425" s="65">
        <v>0</v>
      </c>
    </row>
    <row r="426" spans="1:1" x14ac:dyDescent="0.3">
      <c r="A426" s="65">
        <v>0</v>
      </c>
    </row>
    <row r="427" spans="1:1" x14ac:dyDescent="0.3">
      <c r="A427" s="65">
        <v>0</v>
      </c>
    </row>
    <row r="428" spans="1:1" x14ac:dyDescent="0.3">
      <c r="A428" s="65">
        <v>0</v>
      </c>
    </row>
    <row r="429" spans="1:1" x14ac:dyDescent="0.3">
      <c r="A429" s="65">
        <v>0</v>
      </c>
    </row>
    <row r="430" spans="1:1" x14ac:dyDescent="0.3">
      <c r="A430" s="65">
        <v>0</v>
      </c>
    </row>
    <row r="431" spans="1:1" x14ac:dyDescent="0.3">
      <c r="A431" s="65">
        <v>0</v>
      </c>
    </row>
    <row r="432" spans="1:1" x14ac:dyDescent="0.3">
      <c r="A432" s="65">
        <v>0</v>
      </c>
    </row>
    <row r="433" spans="1:1" x14ac:dyDescent="0.3">
      <c r="A433" s="65">
        <v>0</v>
      </c>
    </row>
    <row r="434" spans="1:1" x14ac:dyDescent="0.3">
      <c r="A434" s="65">
        <v>0</v>
      </c>
    </row>
    <row r="435" spans="1:1" x14ac:dyDescent="0.3">
      <c r="A435" s="65">
        <v>0</v>
      </c>
    </row>
    <row r="436" spans="1:1" x14ac:dyDescent="0.3">
      <c r="A436" s="65">
        <v>0</v>
      </c>
    </row>
    <row r="437" spans="1:1" x14ac:dyDescent="0.3">
      <c r="A437" s="65">
        <v>0</v>
      </c>
    </row>
    <row r="438" spans="1:1" x14ac:dyDescent="0.3">
      <c r="A438" s="65">
        <v>0</v>
      </c>
    </row>
    <row r="439" spans="1:1" x14ac:dyDescent="0.3">
      <c r="A439" s="65">
        <v>0</v>
      </c>
    </row>
    <row r="440" spans="1:1" x14ac:dyDescent="0.3">
      <c r="A440" s="65">
        <v>0</v>
      </c>
    </row>
    <row r="441" spans="1:1" x14ac:dyDescent="0.3">
      <c r="A441" s="65">
        <v>0</v>
      </c>
    </row>
    <row r="442" spans="1:1" x14ac:dyDescent="0.3">
      <c r="A442" s="65">
        <v>0</v>
      </c>
    </row>
    <row r="443" spans="1:1" x14ac:dyDescent="0.3">
      <c r="A443" s="65">
        <v>0</v>
      </c>
    </row>
    <row r="444" spans="1:1" x14ac:dyDescent="0.3">
      <c r="A444" s="65">
        <v>0</v>
      </c>
    </row>
    <row r="445" spans="1:1" x14ac:dyDescent="0.3">
      <c r="A445" s="65">
        <v>0</v>
      </c>
    </row>
    <row r="446" spans="1:1" x14ac:dyDescent="0.3">
      <c r="A446" s="65">
        <v>0</v>
      </c>
    </row>
    <row r="447" spans="1:1" x14ac:dyDescent="0.3">
      <c r="A447" s="65">
        <v>0</v>
      </c>
    </row>
    <row r="448" spans="1:1" x14ac:dyDescent="0.3">
      <c r="A448" s="65">
        <v>0</v>
      </c>
    </row>
    <row r="449" spans="1:1" x14ac:dyDescent="0.3">
      <c r="A449" s="65">
        <v>0</v>
      </c>
    </row>
    <row r="450" spans="1:1" x14ac:dyDescent="0.3">
      <c r="A450" s="65">
        <v>0</v>
      </c>
    </row>
    <row r="451" spans="1:1" x14ac:dyDescent="0.3">
      <c r="A451" s="65">
        <v>0</v>
      </c>
    </row>
    <row r="452" spans="1:1" x14ac:dyDescent="0.3">
      <c r="A452" s="65">
        <v>0</v>
      </c>
    </row>
    <row r="453" spans="1:1" x14ac:dyDescent="0.3">
      <c r="A453" s="65">
        <v>0</v>
      </c>
    </row>
    <row r="454" spans="1:1" x14ac:dyDescent="0.3">
      <c r="A454" s="65">
        <v>0</v>
      </c>
    </row>
    <row r="455" spans="1:1" x14ac:dyDescent="0.3">
      <c r="A455" s="65">
        <v>0</v>
      </c>
    </row>
    <row r="456" spans="1:1" x14ac:dyDescent="0.3">
      <c r="A456" s="65">
        <v>0</v>
      </c>
    </row>
    <row r="457" spans="1:1" x14ac:dyDescent="0.3">
      <c r="A457" s="65">
        <v>0</v>
      </c>
    </row>
    <row r="458" spans="1:1" x14ac:dyDescent="0.3">
      <c r="A458" s="65">
        <v>0</v>
      </c>
    </row>
    <row r="459" spans="1:1" x14ac:dyDescent="0.3">
      <c r="A459" s="65">
        <v>0</v>
      </c>
    </row>
    <row r="460" spans="1:1" x14ac:dyDescent="0.3">
      <c r="A460" s="65">
        <v>0</v>
      </c>
    </row>
    <row r="461" spans="1:1" x14ac:dyDescent="0.3">
      <c r="A461" s="65">
        <v>0</v>
      </c>
    </row>
    <row r="462" spans="1:1" x14ac:dyDescent="0.3">
      <c r="A462" s="65">
        <v>0</v>
      </c>
    </row>
    <row r="463" spans="1:1" x14ac:dyDescent="0.3">
      <c r="A463" s="65">
        <v>0</v>
      </c>
    </row>
    <row r="464" spans="1:1" x14ac:dyDescent="0.3">
      <c r="A464" s="65">
        <v>0</v>
      </c>
    </row>
    <row r="465" spans="1:1" x14ac:dyDescent="0.3">
      <c r="A465" s="65">
        <v>0</v>
      </c>
    </row>
    <row r="466" spans="1:1" x14ac:dyDescent="0.3">
      <c r="A466" s="65">
        <v>0</v>
      </c>
    </row>
    <row r="467" spans="1:1" x14ac:dyDescent="0.3">
      <c r="A467" s="65">
        <v>0</v>
      </c>
    </row>
    <row r="468" spans="1:1" x14ac:dyDescent="0.3">
      <c r="A468" s="65">
        <v>0</v>
      </c>
    </row>
    <row r="469" spans="1:1" x14ac:dyDescent="0.3">
      <c r="A469" s="65">
        <v>0</v>
      </c>
    </row>
    <row r="470" spans="1:1" x14ac:dyDescent="0.3">
      <c r="A470" s="65">
        <v>0</v>
      </c>
    </row>
    <row r="471" spans="1:1" x14ac:dyDescent="0.3">
      <c r="A471" s="65">
        <v>0</v>
      </c>
    </row>
    <row r="472" spans="1:1" x14ac:dyDescent="0.3">
      <c r="A472" s="65">
        <v>0</v>
      </c>
    </row>
    <row r="473" spans="1:1" x14ac:dyDescent="0.3">
      <c r="A473" s="65">
        <v>0</v>
      </c>
    </row>
    <row r="474" spans="1:1" x14ac:dyDescent="0.3">
      <c r="A474" s="65">
        <v>0</v>
      </c>
    </row>
    <row r="475" spans="1:1" x14ac:dyDescent="0.3">
      <c r="A475" s="65">
        <v>0</v>
      </c>
    </row>
    <row r="476" spans="1:1" x14ac:dyDescent="0.3">
      <c r="A476" s="65">
        <v>0</v>
      </c>
    </row>
    <row r="477" spans="1:1" x14ac:dyDescent="0.3">
      <c r="A477" s="65">
        <v>0</v>
      </c>
    </row>
    <row r="478" spans="1:1" x14ac:dyDescent="0.3">
      <c r="A478" s="65">
        <v>0</v>
      </c>
    </row>
    <row r="479" spans="1:1" x14ac:dyDescent="0.3">
      <c r="A479" s="65">
        <v>0</v>
      </c>
    </row>
    <row r="480" spans="1:1" x14ac:dyDescent="0.3">
      <c r="A480" s="65">
        <v>0</v>
      </c>
    </row>
    <row r="481" spans="1:1" x14ac:dyDescent="0.3">
      <c r="A481" s="65">
        <v>0</v>
      </c>
    </row>
    <row r="482" spans="1:1" x14ac:dyDescent="0.3">
      <c r="A482" s="65">
        <v>0</v>
      </c>
    </row>
    <row r="483" spans="1:1" x14ac:dyDescent="0.3">
      <c r="A483" s="65">
        <v>0</v>
      </c>
    </row>
    <row r="484" spans="1:1" x14ac:dyDescent="0.3">
      <c r="A484" s="65">
        <v>0</v>
      </c>
    </row>
    <row r="485" spans="1:1" x14ac:dyDescent="0.3">
      <c r="A485" s="65">
        <v>0</v>
      </c>
    </row>
    <row r="486" spans="1:1" x14ac:dyDescent="0.3">
      <c r="A486" s="65">
        <v>0</v>
      </c>
    </row>
    <row r="487" spans="1:1" x14ac:dyDescent="0.3">
      <c r="A487" s="65">
        <v>0</v>
      </c>
    </row>
    <row r="488" spans="1:1" x14ac:dyDescent="0.3">
      <c r="A488" s="65">
        <v>0</v>
      </c>
    </row>
    <row r="489" spans="1:1" x14ac:dyDescent="0.3">
      <c r="A489" s="65">
        <v>0</v>
      </c>
    </row>
    <row r="490" spans="1:1" x14ac:dyDescent="0.3">
      <c r="A490" s="65">
        <v>0</v>
      </c>
    </row>
    <row r="491" spans="1:1" x14ac:dyDescent="0.3">
      <c r="A491" s="65">
        <v>0</v>
      </c>
    </row>
    <row r="492" spans="1:1" x14ac:dyDescent="0.3">
      <c r="A492" s="65">
        <v>0</v>
      </c>
    </row>
    <row r="493" spans="1:1" x14ac:dyDescent="0.3">
      <c r="A493" s="65">
        <v>0</v>
      </c>
    </row>
    <row r="494" spans="1:1" x14ac:dyDescent="0.3">
      <c r="A494" s="65">
        <v>0</v>
      </c>
    </row>
    <row r="495" spans="1:1" x14ac:dyDescent="0.3">
      <c r="A495" s="65">
        <v>0</v>
      </c>
    </row>
    <row r="496" spans="1:1" x14ac:dyDescent="0.3">
      <c r="A496" s="65">
        <v>0</v>
      </c>
    </row>
    <row r="497" spans="1:1" x14ac:dyDescent="0.3">
      <c r="A497" s="65">
        <v>0</v>
      </c>
    </row>
    <row r="498" spans="1:1" x14ac:dyDescent="0.3">
      <c r="A498" s="65">
        <v>0</v>
      </c>
    </row>
    <row r="499" spans="1:1" x14ac:dyDescent="0.3">
      <c r="A499" s="65">
        <v>0</v>
      </c>
    </row>
    <row r="500" spans="1:1" x14ac:dyDescent="0.3">
      <c r="A500" s="65">
        <v>0</v>
      </c>
    </row>
    <row r="501" spans="1:1" x14ac:dyDescent="0.3">
      <c r="A501" s="65">
        <v>0</v>
      </c>
    </row>
    <row r="502" spans="1:1" x14ac:dyDescent="0.3">
      <c r="A502" s="65">
        <v>0</v>
      </c>
    </row>
    <row r="503" spans="1:1" x14ac:dyDescent="0.3">
      <c r="A503" s="65">
        <v>0</v>
      </c>
    </row>
    <row r="504" spans="1:1" x14ac:dyDescent="0.3">
      <c r="A504" s="65">
        <v>0</v>
      </c>
    </row>
    <row r="505" spans="1:1" x14ac:dyDescent="0.3">
      <c r="A505" s="65">
        <v>0</v>
      </c>
    </row>
    <row r="506" spans="1:1" x14ac:dyDescent="0.3">
      <c r="A506" s="65">
        <v>0</v>
      </c>
    </row>
    <row r="507" spans="1:1" x14ac:dyDescent="0.3">
      <c r="A507" s="65">
        <v>0</v>
      </c>
    </row>
    <row r="508" spans="1:1" x14ac:dyDescent="0.3">
      <c r="A508" s="65">
        <v>0</v>
      </c>
    </row>
    <row r="509" spans="1:1" x14ac:dyDescent="0.3">
      <c r="A509" s="65">
        <v>0</v>
      </c>
    </row>
    <row r="510" spans="1:1" x14ac:dyDescent="0.3">
      <c r="A510" s="65">
        <v>0</v>
      </c>
    </row>
    <row r="511" spans="1:1" x14ac:dyDescent="0.3">
      <c r="A511" s="65">
        <v>0</v>
      </c>
    </row>
    <row r="512" spans="1:1" x14ac:dyDescent="0.3">
      <c r="A512" s="65">
        <v>0</v>
      </c>
    </row>
    <row r="513" spans="1:1" x14ac:dyDescent="0.3">
      <c r="A513" s="65">
        <v>0</v>
      </c>
    </row>
    <row r="514" spans="1:1" x14ac:dyDescent="0.3">
      <c r="A514" s="65">
        <v>0</v>
      </c>
    </row>
    <row r="515" spans="1:1" x14ac:dyDescent="0.3">
      <c r="A515" s="65">
        <v>0</v>
      </c>
    </row>
    <row r="516" spans="1:1" x14ac:dyDescent="0.3">
      <c r="A516" s="65">
        <v>0</v>
      </c>
    </row>
    <row r="517" spans="1:1" x14ac:dyDescent="0.3">
      <c r="A517" s="65">
        <v>0</v>
      </c>
    </row>
    <row r="518" spans="1:1" x14ac:dyDescent="0.3">
      <c r="A518" s="65">
        <v>0</v>
      </c>
    </row>
    <row r="519" spans="1:1" x14ac:dyDescent="0.3">
      <c r="A519" s="65">
        <v>0</v>
      </c>
    </row>
    <row r="520" spans="1:1" x14ac:dyDescent="0.3">
      <c r="A520" s="65">
        <v>0</v>
      </c>
    </row>
    <row r="521" spans="1:1" x14ac:dyDescent="0.3">
      <c r="A521" s="65">
        <v>0</v>
      </c>
    </row>
    <row r="522" spans="1:1" x14ac:dyDescent="0.3">
      <c r="A522" s="65">
        <v>0</v>
      </c>
    </row>
    <row r="523" spans="1:1" x14ac:dyDescent="0.3">
      <c r="A523" s="65">
        <v>0</v>
      </c>
    </row>
    <row r="524" spans="1:1" x14ac:dyDescent="0.3">
      <c r="A524" s="65">
        <v>0</v>
      </c>
    </row>
    <row r="525" spans="1:1" x14ac:dyDescent="0.3">
      <c r="A525" s="65">
        <v>0</v>
      </c>
    </row>
    <row r="526" spans="1:1" x14ac:dyDescent="0.3">
      <c r="A526" s="65">
        <v>0</v>
      </c>
    </row>
    <row r="527" spans="1:1" x14ac:dyDescent="0.3">
      <c r="A527" s="65">
        <v>0</v>
      </c>
    </row>
    <row r="528" spans="1:1" x14ac:dyDescent="0.3">
      <c r="A528" s="65">
        <v>0</v>
      </c>
    </row>
    <row r="529" spans="1:1" x14ac:dyDescent="0.3">
      <c r="A529" s="65">
        <v>0</v>
      </c>
    </row>
    <row r="530" spans="1:1" x14ac:dyDescent="0.3">
      <c r="A530" s="65">
        <v>0</v>
      </c>
    </row>
    <row r="531" spans="1:1" x14ac:dyDescent="0.3">
      <c r="A531" s="65">
        <v>0</v>
      </c>
    </row>
    <row r="532" spans="1:1" x14ac:dyDescent="0.3">
      <c r="A532" s="65">
        <v>0</v>
      </c>
    </row>
    <row r="533" spans="1:1" x14ac:dyDescent="0.3">
      <c r="A533" s="65">
        <v>0</v>
      </c>
    </row>
    <row r="534" spans="1:1" x14ac:dyDescent="0.3">
      <c r="A534" s="65">
        <v>0</v>
      </c>
    </row>
    <row r="535" spans="1:1" x14ac:dyDescent="0.3">
      <c r="A535" s="65">
        <v>0</v>
      </c>
    </row>
    <row r="536" spans="1:1" x14ac:dyDescent="0.3">
      <c r="A536" s="65">
        <v>0</v>
      </c>
    </row>
    <row r="537" spans="1:1" x14ac:dyDescent="0.3">
      <c r="A537" s="65">
        <v>0</v>
      </c>
    </row>
    <row r="538" spans="1:1" x14ac:dyDescent="0.3">
      <c r="A538" s="65">
        <v>0</v>
      </c>
    </row>
    <row r="539" spans="1:1" x14ac:dyDescent="0.3">
      <c r="A539" s="65">
        <v>0</v>
      </c>
    </row>
    <row r="540" spans="1:1" x14ac:dyDescent="0.3">
      <c r="A540" s="65">
        <v>0</v>
      </c>
    </row>
    <row r="541" spans="1:1" x14ac:dyDescent="0.3">
      <c r="A541" s="65">
        <v>0</v>
      </c>
    </row>
    <row r="542" spans="1:1" x14ac:dyDescent="0.3">
      <c r="A542" s="65">
        <v>0</v>
      </c>
    </row>
    <row r="543" spans="1:1" x14ac:dyDescent="0.3">
      <c r="A543" s="65">
        <v>0</v>
      </c>
    </row>
    <row r="544" spans="1:1" x14ac:dyDescent="0.3">
      <c r="A544" s="65">
        <v>0</v>
      </c>
    </row>
    <row r="545" spans="1:1" x14ac:dyDescent="0.3">
      <c r="A545" s="65">
        <v>0</v>
      </c>
    </row>
    <row r="546" spans="1:1" x14ac:dyDescent="0.3">
      <c r="A546" s="65">
        <v>0</v>
      </c>
    </row>
    <row r="547" spans="1:1" x14ac:dyDescent="0.3">
      <c r="A547" s="65">
        <v>0</v>
      </c>
    </row>
    <row r="548" spans="1:1" x14ac:dyDescent="0.3">
      <c r="A548" s="65">
        <v>0</v>
      </c>
    </row>
    <row r="549" spans="1:1" x14ac:dyDescent="0.3">
      <c r="A549" s="65">
        <v>0</v>
      </c>
    </row>
    <row r="550" spans="1:1" x14ac:dyDescent="0.3">
      <c r="A550" s="65">
        <v>0</v>
      </c>
    </row>
    <row r="551" spans="1:1" x14ac:dyDescent="0.3">
      <c r="A551" s="65">
        <v>0</v>
      </c>
    </row>
    <row r="552" spans="1:1" x14ac:dyDescent="0.3">
      <c r="A552" s="65">
        <v>0</v>
      </c>
    </row>
    <row r="553" spans="1:1" x14ac:dyDescent="0.3">
      <c r="A553" s="65">
        <v>0</v>
      </c>
    </row>
    <row r="554" spans="1:1" x14ac:dyDescent="0.3">
      <c r="A554" s="65">
        <v>0</v>
      </c>
    </row>
    <row r="555" spans="1:1" x14ac:dyDescent="0.3">
      <c r="A555" s="65">
        <v>0</v>
      </c>
    </row>
    <row r="556" spans="1:1" x14ac:dyDescent="0.3">
      <c r="A556" s="65">
        <v>0</v>
      </c>
    </row>
    <row r="557" spans="1:1" x14ac:dyDescent="0.3">
      <c r="A557" s="65">
        <v>0</v>
      </c>
    </row>
    <row r="558" spans="1:1" x14ac:dyDescent="0.3">
      <c r="A558" s="65">
        <v>0</v>
      </c>
    </row>
    <row r="559" spans="1:1" x14ac:dyDescent="0.3">
      <c r="A559" s="65">
        <v>0</v>
      </c>
    </row>
    <row r="560" spans="1:1" x14ac:dyDescent="0.3">
      <c r="A560" s="65">
        <v>0</v>
      </c>
    </row>
    <row r="561" spans="1:1" x14ac:dyDescent="0.3">
      <c r="A561" s="65">
        <v>0</v>
      </c>
    </row>
    <row r="562" spans="1:1" x14ac:dyDescent="0.3">
      <c r="A562" s="65">
        <v>0</v>
      </c>
    </row>
    <row r="563" spans="1:1" x14ac:dyDescent="0.3">
      <c r="A563" s="65">
        <v>0</v>
      </c>
    </row>
    <row r="564" spans="1:1" x14ac:dyDescent="0.3">
      <c r="A564" s="65">
        <v>0</v>
      </c>
    </row>
    <row r="565" spans="1:1" x14ac:dyDescent="0.3">
      <c r="A565" s="65">
        <v>0</v>
      </c>
    </row>
    <row r="566" spans="1:1" x14ac:dyDescent="0.3">
      <c r="A566" s="65">
        <v>0</v>
      </c>
    </row>
    <row r="567" spans="1:1" x14ac:dyDescent="0.3">
      <c r="A567" s="65">
        <v>0</v>
      </c>
    </row>
    <row r="568" spans="1:1" x14ac:dyDescent="0.3">
      <c r="A568" s="65">
        <v>0</v>
      </c>
    </row>
    <row r="569" spans="1:1" x14ac:dyDescent="0.3">
      <c r="A569" s="65">
        <v>0</v>
      </c>
    </row>
    <row r="570" spans="1:1" x14ac:dyDescent="0.3">
      <c r="A570" s="65">
        <v>0</v>
      </c>
    </row>
    <row r="571" spans="1:1" x14ac:dyDescent="0.3">
      <c r="A571" s="65">
        <v>0</v>
      </c>
    </row>
    <row r="572" spans="1:1" x14ac:dyDescent="0.3">
      <c r="A572" s="65">
        <v>0</v>
      </c>
    </row>
    <row r="573" spans="1:1" x14ac:dyDescent="0.3">
      <c r="A573" s="65">
        <v>0</v>
      </c>
    </row>
    <row r="574" spans="1:1" x14ac:dyDescent="0.3">
      <c r="A574" s="65">
        <v>0</v>
      </c>
    </row>
    <row r="575" spans="1:1" x14ac:dyDescent="0.3">
      <c r="A575" s="65">
        <v>0</v>
      </c>
    </row>
    <row r="576" spans="1:1" x14ac:dyDescent="0.3">
      <c r="A576" s="65">
        <v>0</v>
      </c>
    </row>
    <row r="577" spans="1:1" x14ac:dyDescent="0.3">
      <c r="A577" s="65">
        <v>0</v>
      </c>
    </row>
    <row r="578" spans="1:1" x14ac:dyDescent="0.3">
      <c r="A578" s="65">
        <v>0</v>
      </c>
    </row>
    <row r="579" spans="1:1" x14ac:dyDescent="0.3">
      <c r="A579" s="65">
        <v>0</v>
      </c>
    </row>
    <row r="580" spans="1:1" x14ac:dyDescent="0.3">
      <c r="A580" s="65">
        <v>0</v>
      </c>
    </row>
    <row r="581" spans="1:1" x14ac:dyDescent="0.3">
      <c r="A581" s="65">
        <v>0</v>
      </c>
    </row>
    <row r="582" spans="1:1" x14ac:dyDescent="0.3">
      <c r="A582" s="65">
        <v>0</v>
      </c>
    </row>
    <row r="583" spans="1:1" x14ac:dyDescent="0.3">
      <c r="A583" s="65">
        <v>0</v>
      </c>
    </row>
    <row r="584" spans="1:1" x14ac:dyDescent="0.3">
      <c r="A584" s="65">
        <v>0</v>
      </c>
    </row>
    <row r="585" spans="1:1" x14ac:dyDescent="0.3">
      <c r="A585" s="65">
        <v>0</v>
      </c>
    </row>
    <row r="586" spans="1:1" x14ac:dyDescent="0.3">
      <c r="A586" s="65">
        <v>0</v>
      </c>
    </row>
    <row r="587" spans="1:1" x14ac:dyDescent="0.3">
      <c r="A587" s="65">
        <v>0</v>
      </c>
    </row>
    <row r="588" spans="1:1" x14ac:dyDescent="0.3">
      <c r="A588" s="65">
        <v>0</v>
      </c>
    </row>
    <row r="589" spans="1:1" x14ac:dyDescent="0.3">
      <c r="A589" s="65">
        <v>0</v>
      </c>
    </row>
    <row r="590" spans="1:1" x14ac:dyDescent="0.3">
      <c r="A590" s="65">
        <v>0</v>
      </c>
    </row>
    <row r="591" spans="1:1" x14ac:dyDescent="0.3">
      <c r="A591" s="65">
        <v>0</v>
      </c>
    </row>
    <row r="592" spans="1:1" x14ac:dyDescent="0.3">
      <c r="A592" s="65">
        <v>0</v>
      </c>
    </row>
    <row r="593" spans="1:1" x14ac:dyDescent="0.3">
      <c r="A593" s="65">
        <v>0</v>
      </c>
    </row>
    <row r="594" spans="1:1" x14ac:dyDescent="0.3">
      <c r="A594" s="65">
        <v>0</v>
      </c>
    </row>
    <row r="595" spans="1:1" x14ac:dyDescent="0.3">
      <c r="A595" s="65">
        <v>0</v>
      </c>
    </row>
    <row r="596" spans="1:1" x14ac:dyDescent="0.3">
      <c r="A596" s="65">
        <v>0</v>
      </c>
    </row>
    <row r="597" spans="1:1" x14ac:dyDescent="0.3">
      <c r="A597" s="65">
        <v>0</v>
      </c>
    </row>
    <row r="598" spans="1:1" x14ac:dyDescent="0.3">
      <c r="A598" s="65">
        <v>0</v>
      </c>
    </row>
    <row r="599" spans="1:1" x14ac:dyDescent="0.3">
      <c r="A599" s="65">
        <v>0</v>
      </c>
    </row>
    <row r="600" spans="1:1" x14ac:dyDescent="0.3">
      <c r="A600" s="65">
        <v>0</v>
      </c>
    </row>
    <row r="601" spans="1:1" x14ac:dyDescent="0.3">
      <c r="A601" s="65">
        <v>0</v>
      </c>
    </row>
    <row r="602" spans="1:1" x14ac:dyDescent="0.3">
      <c r="A602" s="65">
        <v>0</v>
      </c>
    </row>
    <row r="603" spans="1:1" x14ac:dyDescent="0.3">
      <c r="A603" s="65">
        <v>0</v>
      </c>
    </row>
    <row r="604" spans="1:1" x14ac:dyDescent="0.3">
      <c r="A604" s="65">
        <v>0</v>
      </c>
    </row>
    <row r="605" spans="1:1" x14ac:dyDescent="0.3">
      <c r="A605" s="65">
        <v>0</v>
      </c>
    </row>
    <row r="606" spans="1:1" x14ac:dyDescent="0.3">
      <c r="A606" s="65">
        <v>0</v>
      </c>
    </row>
    <row r="607" spans="1:1" x14ac:dyDescent="0.3">
      <c r="A607" s="65">
        <v>0</v>
      </c>
    </row>
    <row r="608" spans="1:1" x14ac:dyDescent="0.3">
      <c r="A608" s="65">
        <v>0</v>
      </c>
    </row>
    <row r="609" spans="1:1" x14ac:dyDescent="0.3">
      <c r="A609" s="65">
        <v>0</v>
      </c>
    </row>
    <row r="610" spans="1:1" x14ac:dyDescent="0.3">
      <c r="A610" s="65">
        <v>0</v>
      </c>
    </row>
    <row r="611" spans="1:1" x14ac:dyDescent="0.3">
      <c r="A611" s="65">
        <v>0</v>
      </c>
    </row>
    <row r="612" spans="1:1" x14ac:dyDescent="0.3">
      <c r="A612" s="65">
        <v>0</v>
      </c>
    </row>
    <row r="613" spans="1:1" x14ac:dyDescent="0.3">
      <c r="A613" s="65">
        <v>0</v>
      </c>
    </row>
    <row r="614" spans="1:1" x14ac:dyDescent="0.3">
      <c r="A614" s="65">
        <v>0</v>
      </c>
    </row>
    <row r="615" spans="1:1" x14ac:dyDescent="0.3">
      <c r="A615" s="65">
        <v>0</v>
      </c>
    </row>
    <row r="616" spans="1:1" x14ac:dyDescent="0.3">
      <c r="A616" s="65">
        <v>0</v>
      </c>
    </row>
    <row r="617" spans="1:1" x14ac:dyDescent="0.3">
      <c r="A617" s="65">
        <v>0</v>
      </c>
    </row>
    <row r="618" spans="1:1" x14ac:dyDescent="0.3">
      <c r="A618" s="65">
        <v>0</v>
      </c>
    </row>
    <row r="619" spans="1:1" x14ac:dyDescent="0.3">
      <c r="A619" s="65">
        <v>0</v>
      </c>
    </row>
    <row r="620" spans="1:1" x14ac:dyDescent="0.3">
      <c r="A620" s="65">
        <v>0</v>
      </c>
    </row>
    <row r="621" spans="1:1" x14ac:dyDescent="0.3">
      <c r="A621" s="65">
        <v>0</v>
      </c>
    </row>
    <row r="622" spans="1:1" x14ac:dyDescent="0.3">
      <c r="A622" s="65">
        <v>0</v>
      </c>
    </row>
    <row r="623" spans="1:1" x14ac:dyDescent="0.3">
      <c r="A623" s="65">
        <v>0</v>
      </c>
    </row>
    <row r="624" spans="1:1" x14ac:dyDescent="0.3">
      <c r="A624" s="65">
        <v>0</v>
      </c>
    </row>
    <row r="625" spans="1:1" x14ac:dyDescent="0.3">
      <c r="A625" s="65">
        <v>0</v>
      </c>
    </row>
    <row r="626" spans="1:1" x14ac:dyDescent="0.3">
      <c r="A626" s="65">
        <v>0</v>
      </c>
    </row>
    <row r="627" spans="1:1" x14ac:dyDescent="0.3">
      <c r="A627" s="65">
        <v>0</v>
      </c>
    </row>
    <row r="628" spans="1:1" x14ac:dyDescent="0.3">
      <c r="A628" s="65">
        <v>0</v>
      </c>
    </row>
    <row r="629" spans="1:1" x14ac:dyDescent="0.3">
      <c r="A629" s="65">
        <v>0</v>
      </c>
    </row>
    <row r="630" spans="1:1" x14ac:dyDescent="0.3">
      <c r="A630" s="65">
        <v>0</v>
      </c>
    </row>
    <row r="631" spans="1:1" x14ac:dyDescent="0.3">
      <c r="A631" s="65">
        <v>0</v>
      </c>
    </row>
    <row r="632" spans="1:1" x14ac:dyDescent="0.3">
      <c r="A632" s="65">
        <v>0</v>
      </c>
    </row>
    <row r="633" spans="1:1" x14ac:dyDescent="0.3">
      <c r="A633" s="65">
        <v>0</v>
      </c>
    </row>
    <row r="634" spans="1:1" x14ac:dyDescent="0.3">
      <c r="A634" s="65">
        <v>0</v>
      </c>
    </row>
    <row r="635" spans="1:1" x14ac:dyDescent="0.3">
      <c r="A635" s="65">
        <v>0</v>
      </c>
    </row>
    <row r="636" spans="1:1" x14ac:dyDescent="0.3">
      <c r="A636" s="65">
        <v>0</v>
      </c>
    </row>
    <row r="637" spans="1:1" x14ac:dyDescent="0.3">
      <c r="A637" s="65">
        <v>0</v>
      </c>
    </row>
    <row r="638" spans="1:1" x14ac:dyDescent="0.3">
      <c r="A638" s="65">
        <v>0</v>
      </c>
    </row>
    <row r="639" spans="1:1" x14ac:dyDescent="0.3">
      <c r="A639" s="65">
        <v>0</v>
      </c>
    </row>
    <row r="640" spans="1:1" x14ac:dyDescent="0.3">
      <c r="A640" s="65">
        <v>0</v>
      </c>
    </row>
    <row r="641" spans="1:1" x14ac:dyDescent="0.3">
      <c r="A641" s="65">
        <v>0</v>
      </c>
    </row>
    <row r="642" spans="1:1" x14ac:dyDescent="0.3">
      <c r="A642" s="65">
        <v>0</v>
      </c>
    </row>
    <row r="643" spans="1:1" x14ac:dyDescent="0.3">
      <c r="A643" s="65">
        <v>0</v>
      </c>
    </row>
    <row r="644" spans="1:1" x14ac:dyDescent="0.3">
      <c r="A644" s="65">
        <v>0</v>
      </c>
    </row>
    <row r="645" spans="1:1" x14ac:dyDescent="0.3">
      <c r="A645" s="65">
        <v>0</v>
      </c>
    </row>
    <row r="646" spans="1:1" x14ac:dyDescent="0.3">
      <c r="A646" s="65">
        <v>0</v>
      </c>
    </row>
    <row r="647" spans="1:1" x14ac:dyDescent="0.3">
      <c r="A647" s="65">
        <v>0</v>
      </c>
    </row>
    <row r="648" spans="1:1" x14ac:dyDescent="0.3">
      <c r="A648" s="65">
        <v>0</v>
      </c>
    </row>
    <row r="649" spans="1:1" x14ac:dyDescent="0.3">
      <c r="A649" s="65">
        <v>0</v>
      </c>
    </row>
    <row r="650" spans="1:1" x14ac:dyDescent="0.3">
      <c r="A650" s="65">
        <v>0</v>
      </c>
    </row>
    <row r="651" spans="1:1" x14ac:dyDescent="0.3">
      <c r="A651" s="65">
        <v>0</v>
      </c>
    </row>
    <row r="652" spans="1:1" x14ac:dyDescent="0.3">
      <c r="A652" s="65">
        <v>0</v>
      </c>
    </row>
    <row r="653" spans="1:1" x14ac:dyDescent="0.3">
      <c r="A653" s="65">
        <v>0</v>
      </c>
    </row>
    <row r="654" spans="1:1" x14ac:dyDescent="0.3">
      <c r="A654" s="65">
        <v>0</v>
      </c>
    </row>
    <row r="655" spans="1:1" x14ac:dyDescent="0.3">
      <c r="A655" s="65">
        <v>0</v>
      </c>
    </row>
    <row r="656" spans="1:1" x14ac:dyDescent="0.3">
      <c r="A656" s="65">
        <v>0</v>
      </c>
    </row>
    <row r="657" spans="1:1" x14ac:dyDescent="0.3">
      <c r="A657" s="65">
        <v>0</v>
      </c>
    </row>
    <row r="658" spans="1:1" x14ac:dyDescent="0.3">
      <c r="A658" s="65">
        <v>0</v>
      </c>
    </row>
    <row r="659" spans="1:1" x14ac:dyDescent="0.3">
      <c r="A659" s="65">
        <v>0</v>
      </c>
    </row>
    <row r="660" spans="1:1" x14ac:dyDescent="0.3">
      <c r="A660" s="65">
        <v>0</v>
      </c>
    </row>
    <row r="661" spans="1:1" x14ac:dyDescent="0.3">
      <c r="A661" s="65">
        <v>0</v>
      </c>
    </row>
    <row r="662" spans="1:1" x14ac:dyDescent="0.3">
      <c r="A662" s="65">
        <v>0</v>
      </c>
    </row>
    <row r="663" spans="1:1" x14ac:dyDescent="0.3">
      <c r="A663" s="65">
        <v>0</v>
      </c>
    </row>
    <row r="664" spans="1:1" x14ac:dyDescent="0.3">
      <c r="A664" s="65">
        <v>0</v>
      </c>
    </row>
    <row r="665" spans="1:1" x14ac:dyDescent="0.3">
      <c r="A665" s="65">
        <v>0</v>
      </c>
    </row>
    <row r="666" spans="1:1" x14ac:dyDescent="0.3">
      <c r="A666" s="65">
        <v>0</v>
      </c>
    </row>
    <row r="667" spans="1:1" x14ac:dyDescent="0.3">
      <c r="A667" s="65">
        <v>0</v>
      </c>
    </row>
    <row r="668" spans="1:1" x14ac:dyDescent="0.3">
      <c r="A668" s="65">
        <v>0</v>
      </c>
    </row>
    <row r="669" spans="1:1" x14ac:dyDescent="0.3">
      <c r="A669" s="65">
        <v>0</v>
      </c>
    </row>
    <row r="670" spans="1:1" x14ac:dyDescent="0.3">
      <c r="A670" s="65">
        <v>0</v>
      </c>
    </row>
    <row r="671" spans="1:1" x14ac:dyDescent="0.3">
      <c r="A671" s="65">
        <v>0</v>
      </c>
    </row>
    <row r="672" spans="1:1" x14ac:dyDescent="0.3">
      <c r="A672" s="65">
        <v>0</v>
      </c>
    </row>
    <row r="673" spans="1:1" x14ac:dyDescent="0.3">
      <c r="A673" s="65">
        <v>0</v>
      </c>
    </row>
    <row r="674" spans="1:1" x14ac:dyDescent="0.3">
      <c r="A674" s="65">
        <v>0</v>
      </c>
    </row>
    <row r="675" spans="1:1" x14ac:dyDescent="0.3">
      <c r="A675" s="65">
        <v>0</v>
      </c>
    </row>
    <row r="676" spans="1:1" x14ac:dyDescent="0.3">
      <c r="A676" s="65">
        <v>0</v>
      </c>
    </row>
    <row r="677" spans="1:1" x14ac:dyDescent="0.3">
      <c r="A677" s="65">
        <v>0</v>
      </c>
    </row>
    <row r="678" spans="1:1" x14ac:dyDescent="0.3">
      <c r="A678" s="65">
        <v>0</v>
      </c>
    </row>
    <row r="679" spans="1:1" x14ac:dyDescent="0.3">
      <c r="A679" s="65">
        <v>0</v>
      </c>
    </row>
    <row r="680" spans="1:1" x14ac:dyDescent="0.3">
      <c r="A680" s="65">
        <v>0</v>
      </c>
    </row>
    <row r="681" spans="1:1" x14ac:dyDescent="0.3">
      <c r="A681" s="65">
        <v>0</v>
      </c>
    </row>
    <row r="682" spans="1:1" x14ac:dyDescent="0.3">
      <c r="A682" s="65">
        <v>0</v>
      </c>
    </row>
    <row r="683" spans="1:1" x14ac:dyDescent="0.3">
      <c r="A683" s="65">
        <v>0</v>
      </c>
    </row>
    <row r="684" spans="1:1" x14ac:dyDescent="0.3">
      <c r="A684" s="65">
        <v>0</v>
      </c>
    </row>
    <row r="685" spans="1:1" x14ac:dyDescent="0.3">
      <c r="A685" s="65">
        <v>0</v>
      </c>
    </row>
    <row r="686" spans="1:1" x14ac:dyDescent="0.3">
      <c r="A686" s="65">
        <v>0</v>
      </c>
    </row>
    <row r="687" spans="1:1" x14ac:dyDescent="0.3">
      <c r="A687" s="65">
        <v>0</v>
      </c>
    </row>
    <row r="688" spans="1:1" x14ac:dyDescent="0.3">
      <c r="A688" s="65">
        <v>0</v>
      </c>
    </row>
    <row r="689" spans="1:1" x14ac:dyDescent="0.3">
      <c r="A689" s="65">
        <v>0</v>
      </c>
    </row>
    <row r="690" spans="1:1" x14ac:dyDescent="0.3">
      <c r="A690" s="65">
        <v>0</v>
      </c>
    </row>
    <row r="691" spans="1:1" x14ac:dyDescent="0.3">
      <c r="A691" s="65">
        <v>0</v>
      </c>
    </row>
    <row r="692" spans="1:1" x14ac:dyDescent="0.3">
      <c r="A692" s="65">
        <v>0</v>
      </c>
    </row>
    <row r="693" spans="1:1" x14ac:dyDescent="0.3">
      <c r="A693" s="65">
        <v>0</v>
      </c>
    </row>
    <row r="694" spans="1:1" x14ac:dyDescent="0.3">
      <c r="A694" s="65">
        <v>0</v>
      </c>
    </row>
    <row r="695" spans="1:1" x14ac:dyDescent="0.3">
      <c r="A695" s="65">
        <v>0</v>
      </c>
    </row>
    <row r="696" spans="1:1" x14ac:dyDescent="0.3">
      <c r="A696" s="65">
        <v>0</v>
      </c>
    </row>
    <row r="697" spans="1:1" x14ac:dyDescent="0.3">
      <c r="A697" s="65">
        <v>0</v>
      </c>
    </row>
    <row r="698" spans="1:1" x14ac:dyDescent="0.3">
      <c r="A698" s="65">
        <v>0</v>
      </c>
    </row>
    <row r="699" spans="1:1" x14ac:dyDescent="0.3">
      <c r="A699" s="65">
        <v>0</v>
      </c>
    </row>
    <row r="700" spans="1:1" x14ac:dyDescent="0.3">
      <c r="A700" s="65">
        <v>0</v>
      </c>
    </row>
    <row r="701" spans="1:1" x14ac:dyDescent="0.3">
      <c r="A701" s="65">
        <v>0</v>
      </c>
    </row>
    <row r="702" spans="1:1" x14ac:dyDescent="0.3">
      <c r="A702" s="65">
        <v>0</v>
      </c>
    </row>
    <row r="703" spans="1:1" x14ac:dyDescent="0.3">
      <c r="A703" s="65">
        <v>0</v>
      </c>
    </row>
    <row r="704" spans="1:1" x14ac:dyDescent="0.3">
      <c r="A704" s="65">
        <v>0</v>
      </c>
    </row>
    <row r="705" spans="1:1" x14ac:dyDescent="0.3">
      <c r="A705" s="65">
        <v>0</v>
      </c>
    </row>
    <row r="706" spans="1:1" x14ac:dyDescent="0.3">
      <c r="A706" s="65">
        <v>0</v>
      </c>
    </row>
    <row r="707" spans="1:1" x14ac:dyDescent="0.3">
      <c r="A707" s="65">
        <v>0</v>
      </c>
    </row>
    <row r="708" spans="1:1" x14ac:dyDescent="0.3">
      <c r="A708" s="65">
        <v>0</v>
      </c>
    </row>
    <row r="709" spans="1:1" x14ac:dyDescent="0.3">
      <c r="A709" s="65">
        <v>0</v>
      </c>
    </row>
    <row r="710" spans="1:1" x14ac:dyDescent="0.3">
      <c r="A710" s="65">
        <v>0</v>
      </c>
    </row>
    <row r="711" spans="1:1" x14ac:dyDescent="0.3">
      <c r="A711" s="65">
        <v>0</v>
      </c>
    </row>
    <row r="712" spans="1:1" x14ac:dyDescent="0.3">
      <c r="A712" s="65">
        <v>0</v>
      </c>
    </row>
    <row r="713" spans="1:1" x14ac:dyDescent="0.3">
      <c r="A713" s="65">
        <v>0</v>
      </c>
    </row>
    <row r="714" spans="1:1" x14ac:dyDescent="0.3">
      <c r="A714" s="65">
        <v>0</v>
      </c>
    </row>
    <row r="715" spans="1:1" x14ac:dyDescent="0.3">
      <c r="A715" s="65">
        <v>0</v>
      </c>
    </row>
    <row r="716" spans="1:1" x14ac:dyDescent="0.3">
      <c r="A716" s="65">
        <v>0</v>
      </c>
    </row>
    <row r="717" spans="1:1" x14ac:dyDescent="0.3">
      <c r="A717" s="65">
        <v>0</v>
      </c>
    </row>
    <row r="718" spans="1:1" x14ac:dyDescent="0.3">
      <c r="A718" s="65">
        <v>0</v>
      </c>
    </row>
    <row r="719" spans="1:1" x14ac:dyDescent="0.3">
      <c r="A719" s="65">
        <v>0</v>
      </c>
    </row>
    <row r="720" spans="1:1" x14ac:dyDescent="0.3">
      <c r="A720" s="65">
        <v>0</v>
      </c>
    </row>
    <row r="721" spans="1:1" x14ac:dyDescent="0.3">
      <c r="A721" s="65">
        <v>0</v>
      </c>
    </row>
    <row r="722" spans="1:1" x14ac:dyDescent="0.3">
      <c r="A722" s="65">
        <v>0</v>
      </c>
    </row>
    <row r="723" spans="1:1" x14ac:dyDescent="0.3">
      <c r="A723" s="65">
        <v>0</v>
      </c>
    </row>
    <row r="724" spans="1:1" x14ac:dyDescent="0.3">
      <c r="A724" s="65">
        <v>0</v>
      </c>
    </row>
    <row r="725" spans="1:1" x14ac:dyDescent="0.3">
      <c r="A725" s="65">
        <v>0</v>
      </c>
    </row>
    <row r="726" spans="1:1" x14ac:dyDescent="0.3">
      <c r="A726" s="65">
        <v>0</v>
      </c>
    </row>
    <row r="727" spans="1:1" x14ac:dyDescent="0.3">
      <c r="A727" s="65">
        <v>0</v>
      </c>
    </row>
    <row r="728" spans="1:1" x14ac:dyDescent="0.3">
      <c r="A728" s="65">
        <v>0</v>
      </c>
    </row>
    <row r="729" spans="1:1" x14ac:dyDescent="0.3">
      <c r="A729" s="65">
        <v>0</v>
      </c>
    </row>
    <row r="730" spans="1:1" x14ac:dyDescent="0.3">
      <c r="A730" s="65">
        <v>0</v>
      </c>
    </row>
    <row r="731" spans="1:1" x14ac:dyDescent="0.3">
      <c r="A731" s="65">
        <v>0</v>
      </c>
    </row>
    <row r="732" spans="1:1" x14ac:dyDescent="0.3">
      <c r="A732" s="65">
        <v>0</v>
      </c>
    </row>
    <row r="733" spans="1:1" x14ac:dyDescent="0.3">
      <c r="A733" s="65">
        <v>0</v>
      </c>
    </row>
    <row r="734" spans="1:1" x14ac:dyDescent="0.3">
      <c r="A734" s="65">
        <v>0</v>
      </c>
    </row>
    <row r="735" spans="1:1" x14ac:dyDescent="0.3">
      <c r="A735" s="65">
        <v>0</v>
      </c>
    </row>
    <row r="736" spans="1:1" x14ac:dyDescent="0.3">
      <c r="A736" s="65">
        <v>0</v>
      </c>
    </row>
    <row r="737" spans="1:1" x14ac:dyDescent="0.3">
      <c r="A737" s="65">
        <v>0</v>
      </c>
    </row>
    <row r="738" spans="1:1" x14ac:dyDescent="0.3">
      <c r="A738" s="65">
        <v>0</v>
      </c>
    </row>
    <row r="739" spans="1:1" x14ac:dyDescent="0.3">
      <c r="A739" s="65">
        <v>0</v>
      </c>
    </row>
    <row r="740" spans="1:1" x14ac:dyDescent="0.3">
      <c r="A740" s="65">
        <v>0</v>
      </c>
    </row>
    <row r="741" spans="1:1" x14ac:dyDescent="0.3">
      <c r="A741" s="65">
        <v>0</v>
      </c>
    </row>
    <row r="742" spans="1:1" x14ac:dyDescent="0.3">
      <c r="A742" s="65">
        <v>0</v>
      </c>
    </row>
    <row r="743" spans="1:1" x14ac:dyDescent="0.3">
      <c r="A743" s="65">
        <v>0</v>
      </c>
    </row>
    <row r="744" spans="1:1" x14ac:dyDescent="0.3">
      <c r="A744" s="65">
        <v>0</v>
      </c>
    </row>
    <row r="745" spans="1:1" x14ac:dyDescent="0.3">
      <c r="A745" s="65">
        <v>0</v>
      </c>
    </row>
    <row r="746" spans="1:1" x14ac:dyDescent="0.3">
      <c r="A746" s="65">
        <v>0</v>
      </c>
    </row>
    <row r="747" spans="1:1" x14ac:dyDescent="0.3">
      <c r="A747" s="65">
        <v>0</v>
      </c>
    </row>
    <row r="748" spans="1:1" x14ac:dyDescent="0.3">
      <c r="A748" s="65">
        <v>0</v>
      </c>
    </row>
    <row r="749" spans="1:1" x14ac:dyDescent="0.3">
      <c r="A749" s="65">
        <v>0</v>
      </c>
    </row>
    <row r="750" spans="1:1" x14ac:dyDescent="0.3">
      <c r="A750" s="65">
        <v>0</v>
      </c>
    </row>
    <row r="751" spans="1:1" x14ac:dyDescent="0.3">
      <c r="A751" s="65">
        <v>0</v>
      </c>
    </row>
    <row r="752" spans="1:1" x14ac:dyDescent="0.3">
      <c r="A752" s="65">
        <v>0</v>
      </c>
    </row>
    <row r="753" spans="1:1" x14ac:dyDescent="0.3">
      <c r="A753" s="65">
        <v>0</v>
      </c>
    </row>
    <row r="754" spans="1:1" x14ac:dyDescent="0.3">
      <c r="A754" s="65">
        <v>0</v>
      </c>
    </row>
    <row r="755" spans="1:1" x14ac:dyDescent="0.3">
      <c r="A755" s="65">
        <v>0</v>
      </c>
    </row>
    <row r="756" spans="1:1" x14ac:dyDescent="0.3">
      <c r="A756" s="65">
        <v>0</v>
      </c>
    </row>
    <row r="757" spans="1:1" x14ac:dyDescent="0.3">
      <c r="A757" s="65">
        <v>0</v>
      </c>
    </row>
    <row r="758" spans="1:1" x14ac:dyDescent="0.3">
      <c r="A758" s="65">
        <v>0</v>
      </c>
    </row>
    <row r="759" spans="1:1" x14ac:dyDescent="0.3">
      <c r="A759" s="65">
        <v>0</v>
      </c>
    </row>
    <row r="760" spans="1:1" x14ac:dyDescent="0.3">
      <c r="A760" s="65">
        <v>0</v>
      </c>
    </row>
    <row r="761" spans="1:1" x14ac:dyDescent="0.3">
      <c r="A761" s="65">
        <v>0</v>
      </c>
    </row>
    <row r="762" spans="1:1" x14ac:dyDescent="0.3">
      <c r="A762" s="65">
        <v>0</v>
      </c>
    </row>
    <row r="763" spans="1:1" x14ac:dyDescent="0.3">
      <c r="A763" s="65">
        <v>0</v>
      </c>
    </row>
    <row r="764" spans="1:1" x14ac:dyDescent="0.3">
      <c r="A764" s="65">
        <v>0</v>
      </c>
    </row>
    <row r="765" spans="1:1" x14ac:dyDescent="0.3">
      <c r="A765" s="65">
        <v>0</v>
      </c>
    </row>
    <row r="766" spans="1:1" x14ac:dyDescent="0.3">
      <c r="A766" s="65">
        <v>0</v>
      </c>
    </row>
    <row r="767" spans="1:1" x14ac:dyDescent="0.3">
      <c r="A767" s="65">
        <v>0</v>
      </c>
    </row>
    <row r="768" spans="1:1" x14ac:dyDescent="0.3">
      <c r="A768" s="65">
        <v>0</v>
      </c>
    </row>
    <row r="769" spans="1:1" x14ac:dyDescent="0.3">
      <c r="A769" s="65">
        <v>0</v>
      </c>
    </row>
    <row r="770" spans="1:1" x14ac:dyDescent="0.3">
      <c r="A770" s="65">
        <v>0</v>
      </c>
    </row>
    <row r="771" spans="1:1" x14ac:dyDescent="0.3">
      <c r="A771" s="65">
        <v>0</v>
      </c>
    </row>
    <row r="772" spans="1:1" x14ac:dyDescent="0.3">
      <c r="A772" s="65">
        <v>0</v>
      </c>
    </row>
    <row r="773" spans="1:1" x14ac:dyDescent="0.3">
      <c r="A773" s="65">
        <v>0</v>
      </c>
    </row>
    <row r="774" spans="1:1" x14ac:dyDescent="0.3">
      <c r="A774" s="65">
        <v>0</v>
      </c>
    </row>
    <row r="775" spans="1:1" x14ac:dyDescent="0.3">
      <c r="A775" s="65">
        <v>0</v>
      </c>
    </row>
    <row r="776" spans="1:1" x14ac:dyDescent="0.3">
      <c r="A776" s="65">
        <v>0</v>
      </c>
    </row>
    <row r="777" spans="1:1" x14ac:dyDescent="0.3">
      <c r="A777" s="65">
        <v>0</v>
      </c>
    </row>
    <row r="778" spans="1:1" x14ac:dyDescent="0.3">
      <c r="A778" s="65">
        <v>0</v>
      </c>
    </row>
    <row r="779" spans="1:1" x14ac:dyDescent="0.3">
      <c r="A779" s="65">
        <v>0</v>
      </c>
    </row>
    <row r="780" spans="1:1" x14ac:dyDescent="0.3">
      <c r="A780" s="65">
        <v>0</v>
      </c>
    </row>
    <row r="781" spans="1:1" x14ac:dyDescent="0.3">
      <c r="A781" s="65">
        <v>0</v>
      </c>
    </row>
    <row r="782" spans="1:1" x14ac:dyDescent="0.3">
      <c r="A782" s="65">
        <v>0</v>
      </c>
    </row>
    <row r="783" spans="1:1" x14ac:dyDescent="0.3">
      <c r="A783" s="65">
        <v>0</v>
      </c>
    </row>
    <row r="784" spans="1:1" x14ac:dyDescent="0.3">
      <c r="A784" s="65">
        <v>0</v>
      </c>
    </row>
    <row r="785" spans="1:1" x14ac:dyDescent="0.3">
      <c r="A785" s="65">
        <v>0</v>
      </c>
    </row>
    <row r="786" spans="1:1" x14ac:dyDescent="0.3">
      <c r="A786" s="65">
        <v>0</v>
      </c>
    </row>
    <row r="787" spans="1:1" x14ac:dyDescent="0.3">
      <c r="A787" s="65">
        <v>0</v>
      </c>
    </row>
    <row r="788" spans="1:1" x14ac:dyDescent="0.3">
      <c r="A788" s="65">
        <v>0</v>
      </c>
    </row>
    <row r="789" spans="1:1" x14ac:dyDescent="0.3">
      <c r="A789" s="65">
        <v>0</v>
      </c>
    </row>
    <row r="790" spans="1:1" x14ac:dyDescent="0.3">
      <c r="A790" s="65">
        <v>0</v>
      </c>
    </row>
    <row r="791" spans="1:1" x14ac:dyDescent="0.3">
      <c r="A791" s="65">
        <v>0</v>
      </c>
    </row>
    <row r="792" spans="1:1" x14ac:dyDescent="0.3">
      <c r="A792" s="65">
        <v>0</v>
      </c>
    </row>
    <row r="793" spans="1:1" x14ac:dyDescent="0.3">
      <c r="A793" s="65">
        <v>0</v>
      </c>
    </row>
    <row r="794" spans="1:1" x14ac:dyDescent="0.3">
      <c r="A794" s="65">
        <v>0</v>
      </c>
    </row>
    <row r="795" spans="1:1" x14ac:dyDescent="0.3">
      <c r="A795" s="65">
        <v>0</v>
      </c>
    </row>
    <row r="796" spans="1:1" x14ac:dyDescent="0.3">
      <c r="A796" s="65">
        <v>0</v>
      </c>
    </row>
    <row r="797" spans="1:1" x14ac:dyDescent="0.3">
      <c r="A797" s="65">
        <v>0</v>
      </c>
    </row>
    <row r="798" spans="1:1" x14ac:dyDescent="0.3">
      <c r="A798" s="65">
        <v>0</v>
      </c>
    </row>
    <row r="799" spans="1:1" x14ac:dyDescent="0.3">
      <c r="A799" s="65">
        <v>0</v>
      </c>
    </row>
    <row r="800" spans="1:1" x14ac:dyDescent="0.3">
      <c r="A800" s="65">
        <v>0</v>
      </c>
    </row>
    <row r="801" spans="1:1" x14ac:dyDescent="0.3">
      <c r="A801" s="65">
        <v>0</v>
      </c>
    </row>
    <row r="802" spans="1:1" x14ac:dyDescent="0.3">
      <c r="A802" s="65">
        <v>0</v>
      </c>
    </row>
    <row r="803" spans="1:1" x14ac:dyDescent="0.3">
      <c r="A803" s="65">
        <v>0</v>
      </c>
    </row>
    <row r="804" spans="1:1" x14ac:dyDescent="0.3">
      <c r="A804" s="65">
        <v>0</v>
      </c>
    </row>
    <row r="805" spans="1:1" x14ac:dyDescent="0.3">
      <c r="A805" s="65">
        <v>0</v>
      </c>
    </row>
    <row r="806" spans="1:1" x14ac:dyDescent="0.3">
      <c r="A806" s="65">
        <v>0</v>
      </c>
    </row>
    <row r="807" spans="1:1" x14ac:dyDescent="0.3">
      <c r="A807" s="65">
        <v>0</v>
      </c>
    </row>
    <row r="808" spans="1:1" x14ac:dyDescent="0.3">
      <c r="A808" s="65">
        <v>0</v>
      </c>
    </row>
    <row r="809" spans="1:1" x14ac:dyDescent="0.3">
      <c r="A809" s="65">
        <v>0</v>
      </c>
    </row>
    <row r="810" spans="1:1" x14ac:dyDescent="0.3">
      <c r="A810" s="65">
        <v>0</v>
      </c>
    </row>
    <row r="811" spans="1:1" x14ac:dyDescent="0.3">
      <c r="A811" s="65">
        <v>0</v>
      </c>
    </row>
    <row r="812" spans="1:1" x14ac:dyDescent="0.3">
      <c r="A812" s="65">
        <v>0</v>
      </c>
    </row>
    <row r="813" spans="1:1" x14ac:dyDescent="0.3">
      <c r="A813" s="65">
        <v>0</v>
      </c>
    </row>
    <row r="814" spans="1:1" x14ac:dyDescent="0.3">
      <c r="A814" s="65">
        <v>0</v>
      </c>
    </row>
    <row r="815" spans="1:1" x14ac:dyDescent="0.3">
      <c r="A815" s="65">
        <v>0</v>
      </c>
    </row>
    <row r="816" spans="1:1" x14ac:dyDescent="0.3">
      <c r="A816" s="65">
        <v>0</v>
      </c>
    </row>
    <row r="817" spans="1:1" x14ac:dyDescent="0.3">
      <c r="A817" s="65">
        <v>0</v>
      </c>
    </row>
    <row r="818" spans="1:1" x14ac:dyDescent="0.3">
      <c r="A818" s="65">
        <v>0</v>
      </c>
    </row>
    <row r="819" spans="1:1" x14ac:dyDescent="0.3">
      <c r="A819" s="65">
        <v>0</v>
      </c>
    </row>
    <row r="820" spans="1:1" x14ac:dyDescent="0.3">
      <c r="A820" s="65">
        <v>0</v>
      </c>
    </row>
    <row r="821" spans="1:1" x14ac:dyDescent="0.3">
      <c r="A821" s="65">
        <v>0</v>
      </c>
    </row>
    <row r="822" spans="1:1" x14ac:dyDescent="0.3">
      <c r="A822" s="65">
        <v>0</v>
      </c>
    </row>
    <row r="823" spans="1:1" x14ac:dyDescent="0.3">
      <c r="A823" s="65">
        <v>0</v>
      </c>
    </row>
    <row r="824" spans="1:1" x14ac:dyDescent="0.3">
      <c r="A824" s="65">
        <v>0</v>
      </c>
    </row>
    <row r="825" spans="1:1" x14ac:dyDescent="0.3">
      <c r="A825" s="65">
        <v>0</v>
      </c>
    </row>
    <row r="826" spans="1:1" x14ac:dyDescent="0.3">
      <c r="A826" s="65">
        <v>0</v>
      </c>
    </row>
    <row r="827" spans="1:1" x14ac:dyDescent="0.3">
      <c r="A827" s="65">
        <v>0</v>
      </c>
    </row>
    <row r="828" spans="1:1" x14ac:dyDescent="0.3">
      <c r="A828" s="65">
        <v>0</v>
      </c>
    </row>
    <row r="829" spans="1:1" x14ac:dyDescent="0.3">
      <c r="A829" s="65">
        <v>0</v>
      </c>
    </row>
    <row r="830" spans="1:1" x14ac:dyDescent="0.3">
      <c r="A830" s="65">
        <v>0</v>
      </c>
    </row>
    <row r="831" spans="1:1" x14ac:dyDescent="0.3">
      <c r="A831" s="65">
        <v>0</v>
      </c>
    </row>
    <row r="832" spans="1:1" x14ac:dyDescent="0.3">
      <c r="A832" s="65">
        <v>0</v>
      </c>
    </row>
    <row r="833" spans="1:1" x14ac:dyDescent="0.3">
      <c r="A833" s="65">
        <v>0</v>
      </c>
    </row>
    <row r="834" spans="1:1" x14ac:dyDescent="0.3">
      <c r="A834" s="65">
        <v>0</v>
      </c>
    </row>
    <row r="835" spans="1:1" x14ac:dyDescent="0.3">
      <c r="A835" s="65">
        <v>0</v>
      </c>
    </row>
    <row r="836" spans="1:1" x14ac:dyDescent="0.3">
      <c r="A836" s="65">
        <v>0</v>
      </c>
    </row>
    <row r="837" spans="1:1" x14ac:dyDescent="0.3">
      <c r="A837" s="65">
        <v>0</v>
      </c>
    </row>
    <row r="838" spans="1:1" x14ac:dyDescent="0.3">
      <c r="A838" s="65">
        <v>0</v>
      </c>
    </row>
    <row r="839" spans="1:1" x14ac:dyDescent="0.3">
      <c r="A839" s="65">
        <v>0</v>
      </c>
    </row>
    <row r="840" spans="1:1" x14ac:dyDescent="0.3">
      <c r="A840" s="65">
        <v>0</v>
      </c>
    </row>
    <row r="841" spans="1:1" x14ac:dyDescent="0.3">
      <c r="A841" s="65">
        <v>0</v>
      </c>
    </row>
    <row r="842" spans="1:1" x14ac:dyDescent="0.3">
      <c r="A842" s="65">
        <v>0</v>
      </c>
    </row>
    <row r="843" spans="1:1" x14ac:dyDescent="0.3">
      <c r="A843" s="65">
        <v>0</v>
      </c>
    </row>
    <row r="844" spans="1:1" x14ac:dyDescent="0.3">
      <c r="A844" s="65">
        <v>0</v>
      </c>
    </row>
    <row r="845" spans="1:1" x14ac:dyDescent="0.3">
      <c r="A845" s="65">
        <v>0</v>
      </c>
    </row>
    <row r="846" spans="1:1" x14ac:dyDescent="0.3">
      <c r="A846" s="65">
        <v>0</v>
      </c>
    </row>
    <row r="847" spans="1:1" x14ac:dyDescent="0.3">
      <c r="A847" s="65">
        <v>0</v>
      </c>
    </row>
    <row r="848" spans="1:1" x14ac:dyDescent="0.3">
      <c r="A848" s="65">
        <v>0</v>
      </c>
    </row>
    <row r="849" spans="1:1" x14ac:dyDescent="0.3">
      <c r="A849" s="65">
        <v>0</v>
      </c>
    </row>
    <row r="850" spans="1:1" x14ac:dyDescent="0.3">
      <c r="A850" s="65">
        <v>0</v>
      </c>
    </row>
    <row r="851" spans="1:1" x14ac:dyDescent="0.3">
      <c r="A851" s="65">
        <v>0</v>
      </c>
    </row>
    <row r="852" spans="1:1" x14ac:dyDescent="0.3">
      <c r="A852" s="65">
        <v>0</v>
      </c>
    </row>
    <row r="853" spans="1:1" x14ac:dyDescent="0.3">
      <c r="A853" s="65">
        <v>0</v>
      </c>
    </row>
    <row r="854" spans="1:1" x14ac:dyDescent="0.3">
      <c r="A854" s="65">
        <v>0</v>
      </c>
    </row>
    <row r="855" spans="1:1" x14ac:dyDescent="0.3">
      <c r="A855" s="65">
        <v>0</v>
      </c>
    </row>
    <row r="856" spans="1:1" x14ac:dyDescent="0.3">
      <c r="A856" s="65">
        <v>0</v>
      </c>
    </row>
    <row r="857" spans="1:1" x14ac:dyDescent="0.3">
      <c r="A857" s="65">
        <v>0</v>
      </c>
    </row>
    <row r="858" spans="1:1" x14ac:dyDescent="0.3">
      <c r="A858" s="65">
        <v>0</v>
      </c>
    </row>
    <row r="859" spans="1:1" x14ac:dyDescent="0.3">
      <c r="A859" s="65">
        <v>0</v>
      </c>
    </row>
    <row r="860" spans="1:1" x14ac:dyDescent="0.3">
      <c r="A860" s="65">
        <v>0</v>
      </c>
    </row>
    <row r="861" spans="1:1" x14ac:dyDescent="0.3">
      <c r="A861" s="65">
        <v>0</v>
      </c>
    </row>
    <row r="862" spans="1:1" x14ac:dyDescent="0.3">
      <c r="A862" s="65">
        <v>0</v>
      </c>
    </row>
    <row r="863" spans="1:1" x14ac:dyDescent="0.3">
      <c r="A863" s="65">
        <v>0</v>
      </c>
    </row>
    <row r="864" spans="1:1" x14ac:dyDescent="0.3">
      <c r="A864" s="65">
        <v>0</v>
      </c>
    </row>
    <row r="865" spans="1:1" x14ac:dyDescent="0.3">
      <c r="A865" s="65">
        <v>0</v>
      </c>
    </row>
    <row r="866" spans="1:1" x14ac:dyDescent="0.3">
      <c r="A866" s="65">
        <v>0</v>
      </c>
    </row>
    <row r="867" spans="1:1" x14ac:dyDescent="0.3">
      <c r="A867" s="65">
        <v>0</v>
      </c>
    </row>
    <row r="868" spans="1:1" x14ac:dyDescent="0.3">
      <c r="A868" s="65">
        <v>0</v>
      </c>
    </row>
    <row r="869" spans="1:1" x14ac:dyDescent="0.3">
      <c r="A869" s="65">
        <v>0</v>
      </c>
    </row>
    <row r="870" spans="1:1" x14ac:dyDescent="0.3">
      <c r="A870" s="65">
        <v>0</v>
      </c>
    </row>
    <row r="871" spans="1:1" x14ac:dyDescent="0.3">
      <c r="A871" s="65">
        <v>0</v>
      </c>
    </row>
    <row r="872" spans="1:1" x14ac:dyDescent="0.3">
      <c r="A872" s="65">
        <v>0</v>
      </c>
    </row>
    <row r="873" spans="1:1" x14ac:dyDescent="0.3">
      <c r="A873" s="65">
        <v>0</v>
      </c>
    </row>
    <row r="874" spans="1:1" x14ac:dyDescent="0.3">
      <c r="A874" s="65">
        <v>0</v>
      </c>
    </row>
    <row r="875" spans="1:1" x14ac:dyDescent="0.3">
      <c r="A875" s="65">
        <v>0</v>
      </c>
    </row>
    <row r="876" spans="1:1" x14ac:dyDescent="0.3">
      <c r="A876" s="65">
        <v>0</v>
      </c>
    </row>
    <row r="877" spans="1:1" x14ac:dyDescent="0.3">
      <c r="A877" s="65">
        <v>0</v>
      </c>
    </row>
    <row r="878" spans="1:1" x14ac:dyDescent="0.3">
      <c r="A878" s="65">
        <v>0</v>
      </c>
    </row>
    <row r="879" spans="1:1" x14ac:dyDescent="0.3">
      <c r="A879" s="65">
        <v>0</v>
      </c>
    </row>
    <row r="880" spans="1:1" x14ac:dyDescent="0.3">
      <c r="A880" s="65">
        <v>0</v>
      </c>
    </row>
    <row r="881" spans="1:1" x14ac:dyDescent="0.3">
      <c r="A881" s="65">
        <v>0</v>
      </c>
    </row>
    <row r="882" spans="1:1" x14ac:dyDescent="0.3">
      <c r="A882" s="65">
        <v>0</v>
      </c>
    </row>
    <row r="883" spans="1:1" x14ac:dyDescent="0.3">
      <c r="A883" s="65">
        <v>0</v>
      </c>
    </row>
    <row r="884" spans="1:1" x14ac:dyDescent="0.3">
      <c r="A884" s="65">
        <v>0</v>
      </c>
    </row>
    <row r="885" spans="1:1" x14ac:dyDescent="0.3">
      <c r="A885" s="65">
        <v>0</v>
      </c>
    </row>
    <row r="886" spans="1:1" x14ac:dyDescent="0.3">
      <c r="A886" s="65">
        <v>0</v>
      </c>
    </row>
    <row r="887" spans="1:1" x14ac:dyDescent="0.3">
      <c r="A887" s="65">
        <v>0</v>
      </c>
    </row>
    <row r="888" spans="1:1" x14ac:dyDescent="0.3">
      <c r="A888" s="65">
        <v>0</v>
      </c>
    </row>
    <row r="889" spans="1:1" x14ac:dyDescent="0.3">
      <c r="A889" s="65">
        <v>0</v>
      </c>
    </row>
    <row r="890" spans="1:1" x14ac:dyDescent="0.3">
      <c r="A890" s="65">
        <v>0</v>
      </c>
    </row>
    <row r="891" spans="1:1" x14ac:dyDescent="0.3">
      <c r="A891" s="65">
        <v>0</v>
      </c>
    </row>
    <row r="892" spans="1:1" x14ac:dyDescent="0.3">
      <c r="A892" s="65">
        <v>0</v>
      </c>
    </row>
    <row r="893" spans="1:1" x14ac:dyDescent="0.3">
      <c r="A893" s="65">
        <v>0</v>
      </c>
    </row>
    <row r="894" spans="1:1" x14ac:dyDescent="0.3">
      <c r="A894" s="65">
        <v>0</v>
      </c>
    </row>
    <row r="895" spans="1:1" x14ac:dyDescent="0.3">
      <c r="A895" s="65">
        <v>0</v>
      </c>
    </row>
    <row r="896" spans="1:1" x14ac:dyDescent="0.3">
      <c r="A896" s="65">
        <v>0</v>
      </c>
    </row>
    <row r="897" spans="1:1" x14ac:dyDescent="0.3">
      <c r="A897" s="65">
        <v>0</v>
      </c>
    </row>
    <row r="898" spans="1:1" x14ac:dyDescent="0.3">
      <c r="A898" s="65">
        <v>0</v>
      </c>
    </row>
    <row r="899" spans="1:1" x14ac:dyDescent="0.3">
      <c r="A899" s="65">
        <v>0</v>
      </c>
    </row>
    <row r="900" spans="1:1" x14ac:dyDescent="0.3">
      <c r="A900" s="65">
        <v>0</v>
      </c>
    </row>
    <row r="901" spans="1:1" x14ac:dyDescent="0.3">
      <c r="A901" s="65">
        <v>0</v>
      </c>
    </row>
    <row r="902" spans="1:1" x14ac:dyDescent="0.3">
      <c r="A902" s="65">
        <v>0</v>
      </c>
    </row>
    <row r="903" spans="1:1" x14ac:dyDescent="0.3">
      <c r="A903" s="65">
        <v>0</v>
      </c>
    </row>
    <row r="904" spans="1:1" x14ac:dyDescent="0.3">
      <c r="A904" s="65">
        <v>0</v>
      </c>
    </row>
    <row r="905" spans="1:1" x14ac:dyDescent="0.3">
      <c r="A905" s="65">
        <v>0</v>
      </c>
    </row>
    <row r="906" spans="1:1" x14ac:dyDescent="0.3">
      <c r="A906" s="65">
        <v>0</v>
      </c>
    </row>
    <row r="907" spans="1:1" x14ac:dyDescent="0.3">
      <c r="A907" s="65">
        <v>0</v>
      </c>
    </row>
    <row r="908" spans="1:1" x14ac:dyDescent="0.3">
      <c r="A908" s="65">
        <v>0</v>
      </c>
    </row>
    <row r="909" spans="1:1" x14ac:dyDescent="0.3">
      <c r="A909" s="65">
        <v>0</v>
      </c>
    </row>
    <row r="910" spans="1:1" x14ac:dyDescent="0.3">
      <c r="A910" s="65">
        <v>0</v>
      </c>
    </row>
    <row r="911" spans="1:1" x14ac:dyDescent="0.3">
      <c r="A911" s="65">
        <v>0</v>
      </c>
    </row>
    <row r="912" spans="1:1" x14ac:dyDescent="0.3">
      <c r="A912" s="65">
        <v>0</v>
      </c>
    </row>
    <row r="913" spans="1:1" x14ac:dyDescent="0.3">
      <c r="A913" s="65">
        <v>0</v>
      </c>
    </row>
    <row r="914" spans="1:1" x14ac:dyDescent="0.3">
      <c r="A914" s="65">
        <v>0</v>
      </c>
    </row>
    <row r="915" spans="1:1" x14ac:dyDescent="0.3">
      <c r="A915" s="65">
        <v>0</v>
      </c>
    </row>
    <row r="916" spans="1:1" x14ac:dyDescent="0.3">
      <c r="A916" s="65">
        <v>0</v>
      </c>
    </row>
    <row r="917" spans="1:1" x14ac:dyDescent="0.3">
      <c r="A917" s="65">
        <v>0</v>
      </c>
    </row>
    <row r="918" spans="1:1" x14ac:dyDescent="0.3">
      <c r="A918" s="65">
        <v>0</v>
      </c>
    </row>
    <row r="919" spans="1:1" x14ac:dyDescent="0.3">
      <c r="A919" s="65">
        <v>0</v>
      </c>
    </row>
    <row r="920" spans="1:1" x14ac:dyDescent="0.3">
      <c r="A920" s="65">
        <v>0</v>
      </c>
    </row>
    <row r="921" spans="1:1" x14ac:dyDescent="0.3">
      <c r="A921" s="65">
        <v>0</v>
      </c>
    </row>
    <row r="922" spans="1:1" x14ac:dyDescent="0.3">
      <c r="A922" s="65">
        <v>0</v>
      </c>
    </row>
    <row r="923" spans="1:1" x14ac:dyDescent="0.3">
      <c r="A923" s="65">
        <v>0</v>
      </c>
    </row>
    <row r="924" spans="1:1" x14ac:dyDescent="0.3">
      <c r="A924" s="65">
        <v>0</v>
      </c>
    </row>
    <row r="925" spans="1:1" x14ac:dyDescent="0.3">
      <c r="A925" s="65">
        <v>0</v>
      </c>
    </row>
    <row r="926" spans="1:1" x14ac:dyDescent="0.3">
      <c r="A926" s="65">
        <v>0</v>
      </c>
    </row>
    <row r="927" spans="1:1" x14ac:dyDescent="0.3">
      <c r="A927" s="65">
        <v>0</v>
      </c>
    </row>
    <row r="928" spans="1:1" x14ac:dyDescent="0.3">
      <c r="A928" s="65">
        <v>0</v>
      </c>
    </row>
    <row r="929" spans="1:1" x14ac:dyDescent="0.3">
      <c r="A929" s="65">
        <v>0</v>
      </c>
    </row>
    <row r="930" spans="1:1" x14ac:dyDescent="0.3">
      <c r="A930" s="65">
        <v>0</v>
      </c>
    </row>
    <row r="931" spans="1:1" x14ac:dyDescent="0.3">
      <c r="A931" s="65">
        <v>0</v>
      </c>
    </row>
    <row r="932" spans="1:1" x14ac:dyDescent="0.3">
      <c r="A932" s="65">
        <v>0</v>
      </c>
    </row>
    <row r="933" spans="1:1" x14ac:dyDescent="0.3">
      <c r="A933" s="65">
        <v>0</v>
      </c>
    </row>
    <row r="934" spans="1:1" x14ac:dyDescent="0.3">
      <c r="A934" s="65">
        <v>0</v>
      </c>
    </row>
    <row r="935" spans="1:1" x14ac:dyDescent="0.3">
      <c r="A935" s="65">
        <v>0</v>
      </c>
    </row>
    <row r="936" spans="1:1" x14ac:dyDescent="0.3">
      <c r="A936" s="65">
        <v>0</v>
      </c>
    </row>
    <row r="937" spans="1:1" x14ac:dyDescent="0.3">
      <c r="A937" s="65">
        <v>0</v>
      </c>
    </row>
    <row r="938" spans="1:1" x14ac:dyDescent="0.3">
      <c r="A938" s="65">
        <v>0</v>
      </c>
    </row>
    <row r="939" spans="1:1" x14ac:dyDescent="0.3">
      <c r="A939" s="65">
        <v>0</v>
      </c>
    </row>
    <row r="940" spans="1:1" x14ac:dyDescent="0.3">
      <c r="A940" s="65">
        <v>0</v>
      </c>
    </row>
    <row r="941" spans="1:1" x14ac:dyDescent="0.3">
      <c r="A941" s="65">
        <v>0</v>
      </c>
    </row>
    <row r="942" spans="1:1" x14ac:dyDescent="0.3">
      <c r="A942" s="65">
        <v>0</v>
      </c>
    </row>
    <row r="943" spans="1:1" x14ac:dyDescent="0.3">
      <c r="A943" s="65">
        <v>0</v>
      </c>
    </row>
    <row r="944" spans="1:1" x14ac:dyDescent="0.3">
      <c r="A944" s="65">
        <v>0</v>
      </c>
    </row>
    <row r="945" spans="1:1" x14ac:dyDescent="0.3">
      <c r="A945" s="65">
        <v>0</v>
      </c>
    </row>
    <row r="946" spans="1:1" x14ac:dyDescent="0.3">
      <c r="A946" s="65">
        <v>0</v>
      </c>
    </row>
    <row r="947" spans="1:1" x14ac:dyDescent="0.3">
      <c r="A947" s="65">
        <v>0</v>
      </c>
    </row>
    <row r="948" spans="1:1" x14ac:dyDescent="0.3">
      <c r="A948" s="65">
        <v>0</v>
      </c>
    </row>
    <row r="949" spans="1:1" x14ac:dyDescent="0.3">
      <c r="A949" s="65">
        <v>0</v>
      </c>
    </row>
    <row r="950" spans="1:1" x14ac:dyDescent="0.3">
      <c r="A950" s="65">
        <v>0</v>
      </c>
    </row>
    <row r="951" spans="1:1" x14ac:dyDescent="0.3">
      <c r="A951" s="65">
        <v>0</v>
      </c>
    </row>
    <row r="952" spans="1:1" x14ac:dyDescent="0.3">
      <c r="A952" s="65">
        <v>0</v>
      </c>
    </row>
    <row r="953" spans="1:1" x14ac:dyDescent="0.3">
      <c r="A953" s="65">
        <v>0</v>
      </c>
    </row>
    <row r="954" spans="1:1" x14ac:dyDescent="0.3">
      <c r="A954" s="65">
        <v>0</v>
      </c>
    </row>
    <row r="955" spans="1:1" x14ac:dyDescent="0.3">
      <c r="A955" s="65">
        <v>0</v>
      </c>
    </row>
    <row r="956" spans="1:1" x14ac:dyDescent="0.3">
      <c r="A956" s="65">
        <v>0</v>
      </c>
    </row>
    <row r="957" spans="1:1" x14ac:dyDescent="0.3">
      <c r="A957" s="65">
        <v>0</v>
      </c>
    </row>
    <row r="958" spans="1:1" x14ac:dyDescent="0.3">
      <c r="A958" s="65">
        <v>0</v>
      </c>
    </row>
    <row r="959" spans="1:1" x14ac:dyDescent="0.3">
      <c r="A959" s="65">
        <v>0</v>
      </c>
    </row>
    <row r="960" spans="1:1" x14ac:dyDescent="0.3">
      <c r="A960" s="65">
        <v>0</v>
      </c>
    </row>
    <row r="961" spans="1:1" x14ac:dyDescent="0.3">
      <c r="A961" s="65">
        <v>0</v>
      </c>
    </row>
    <row r="962" spans="1:1" x14ac:dyDescent="0.3">
      <c r="A962" s="65">
        <v>0</v>
      </c>
    </row>
    <row r="963" spans="1:1" x14ac:dyDescent="0.3">
      <c r="A963" s="65">
        <v>0</v>
      </c>
    </row>
    <row r="964" spans="1:1" x14ac:dyDescent="0.3">
      <c r="A964" s="65">
        <v>0</v>
      </c>
    </row>
    <row r="965" spans="1:1" x14ac:dyDescent="0.3">
      <c r="A965" s="65">
        <v>0</v>
      </c>
    </row>
    <row r="966" spans="1:1" x14ac:dyDescent="0.3">
      <c r="A966" s="65">
        <v>0</v>
      </c>
    </row>
    <row r="967" spans="1:1" x14ac:dyDescent="0.3">
      <c r="A967" s="65">
        <v>0</v>
      </c>
    </row>
    <row r="968" spans="1:1" x14ac:dyDescent="0.3">
      <c r="A968" s="65">
        <v>0</v>
      </c>
    </row>
    <row r="969" spans="1:1" x14ac:dyDescent="0.3">
      <c r="A969" s="65">
        <v>0</v>
      </c>
    </row>
    <row r="970" spans="1:1" x14ac:dyDescent="0.3">
      <c r="A970" s="65">
        <v>0</v>
      </c>
    </row>
    <row r="971" spans="1:1" x14ac:dyDescent="0.3">
      <c r="A971" s="65">
        <v>0</v>
      </c>
    </row>
    <row r="972" spans="1:1" x14ac:dyDescent="0.3">
      <c r="A972" s="65">
        <v>0</v>
      </c>
    </row>
    <row r="973" spans="1:1" x14ac:dyDescent="0.3">
      <c r="A973" s="65">
        <v>0</v>
      </c>
    </row>
    <row r="974" spans="1:1" x14ac:dyDescent="0.3">
      <c r="A974" s="65">
        <v>0</v>
      </c>
    </row>
    <row r="975" spans="1:1" x14ac:dyDescent="0.3">
      <c r="A975" s="65">
        <v>0</v>
      </c>
    </row>
    <row r="976" spans="1:1" x14ac:dyDescent="0.3">
      <c r="A976" s="65">
        <v>0</v>
      </c>
    </row>
    <row r="977" spans="1:1" x14ac:dyDescent="0.3">
      <c r="A977" s="65">
        <v>0</v>
      </c>
    </row>
    <row r="978" spans="1:1" x14ac:dyDescent="0.3">
      <c r="A978" s="65">
        <v>0</v>
      </c>
    </row>
    <row r="979" spans="1:1" x14ac:dyDescent="0.3">
      <c r="A979" s="65">
        <v>0</v>
      </c>
    </row>
    <row r="980" spans="1:1" x14ac:dyDescent="0.3">
      <c r="A980" s="65">
        <v>0</v>
      </c>
    </row>
    <row r="981" spans="1:1" x14ac:dyDescent="0.3">
      <c r="A981" s="65">
        <v>0</v>
      </c>
    </row>
    <row r="982" spans="1:1" x14ac:dyDescent="0.3">
      <c r="A982" s="65">
        <v>0</v>
      </c>
    </row>
    <row r="983" spans="1:1" x14ac:dyDescent="0.3">
      <c r="A983" s="65">
        <v>0</v>
      </c>
    </row>
    <row r="984" spans="1:1" x14ac:dyDescent="0.3">
      <c r="A984" s="65">
        <v>0</v>
      </c>
    </row>
    <row r="985" spans="1:1" x14ac:dyDescent="0.3">
      <c r="A985" s="65">
        <v>0</v>
      </c>
    </row>
    <row r="986" spans="1:1" x14ac:dyDescent="0.3">
      <c r="A986" s="65">
        <v>0</v>
      </c>
    </row>
    <row r="987" spans="1:1" x14ac:dyDescent="0.3">
      <c r="A987" s="65">
        <v>0</v>
      </c>
    </row>
    <row r="988" spans="1:1" x14ac:dyDescent="0.3">
      <c r="A988" s="65">
        <v>0</v>
      </c>
    </row>
    <row r="989" spans="1:1" x14ac:dyDescent="0.3">
      <c r="A989" s="65">
        <v>0</v>
      </c>
    </row>
    <row r="990" spans="1:1" x14ac:dyDescent="0.3">
      <c r="A990" s="65">
        <v>0</v>
      </c>
    </row>
    <row r="991" spans="1:1" x14ac:dyDescent="0.3">
      <c r="A991" s="65">
        <v>0</v>
      </c>
    </row>
    <row r="992" spans="1:1" x14ac:dyDescent="0.3">
      <c r="A992" s="65">
        <v>0</v>
      </c>
    </row>
    <row r="993" spans="1:1" x14ac:dyDescent="0.3">
      <c r="A993" s="65">
        <v>0</v>
      </c>
    </row>
    <row r="994" spans="1:1" x14ac:dyDescent="0.3">
      <c r="A994" s="65">
        <v>0</v>
      </c>
    </row>
    <row r="995" spans="1:1" x14ac:dyDescent="0.3">
      <c r="A995" s="65">
        <v>0</v>
      </c>
    </row>
    <row r="996" spans="1:1" x14ac:dyDescent="0.3">
      <c r="A996" s="65">
        <v>0</v>
      </c>
    </row>
    <row r="997" spans="1:1" x14ac:dyDescent="0.3">
      <c r="A997" s="65">
        <v>0</v>
      </c>
    </row>
    <row r="998" spans="1:1" x14ac:dyDescent="0.3">
      <c r="A998" s="65">
        <v>0</v>
      </c>
    </row>
    <row r="999" spans="1:1" x14ac:dyDescent="0.3">
      <c r="A999" s="65">
        <v>0</v>
      </c>
    </row>
    <row r="1000" spans="1:1" x14ac:dyDescent="0.3">
      <c r="A1000" s="65">
        <v>0</v>
      </c>
    </row>
    <row r="1001" spans="1:1" x14ac:dyDescent="0.3">
      <c r="A1001" s="65">
        <v>0</v>
      </c>
    </row>
  </sheetData>
  <mergeCells count="3">
    <mergeCell ref="W7:Y7"/>
    <mergeCell ref="A2:B2"/>
    <mergeCell ref="W6:Y6"/>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WIP</vt:lpstr>
      <vt:lpstr>Data-Lists</vt:lpstr>
      <vt:lpstr>Labelling</vt:lpstr>
      <vt:lpstr>ArchivedLog</vt:lpstr>
      <vt:lpstr>Log</vt:lpstr>
      <vt:lpstr>Daily</vt:lpstr>
      <vt:lpstr>Errors</vt:lpstr>
      <vt:lpstr>Trials</vt:lpstr>
      <vt:lpstr>Daily Trends</vt:lpstr>
      <vt:lpstr>Daily Averages TODO</vt:lpstr>
      <vt:lpstr>Daily Error Rates TODO</vt:lpstr>
      <vt:lpstr>Problem Cameras TODO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2026-08-08T15:22:34Z</dcterms:modified>
  <dc:language>en-US</dc:language>
</cp:coreProperties>
</file>