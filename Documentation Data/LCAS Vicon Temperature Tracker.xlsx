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F595C417-1755-420E-8DE6-9B7FFA50463C}" xr6:coauthVersionLast="47" xr6:coauthVersionMax="47" xr10:uidLastSave="{00000000-0000-0000-0000-000000000000}"/>
  <bookViews>
    <workbookView xWindow="-108" yWindow="-108" windowWidth="23256" windowHeight="13896" activeTab="4" xr2:uid="{00000000-000D-0000-FFFF-FFFF00000000}"/>
  </bookViews>
  <sheets>
    <sheet name="Instructions" sheetId="4" r:id="rId1"/>
    <sheet name="Log" sheetId="1" r:id="rId2"/>
    <sheet name="Daily Summary" sheetId="2" r:id="rId3"/>
    <sheet name="Visualisations" sheetId="3" r:id="rId4"/>
    <sheet name="DevScriptErrors" sheetId="5"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a="1"/>
  <c r="C3" i="5" s="1"/>
  <c r="H51" i="1" l="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C3" i="1" l="1"/>
  <c r="E3" i="1" s="1"/>
  <c r="C4" i="1"/>
  <c r="E4" i="1" s="1"/>
  <c r="C5" i="1"/>
  <c r="E5" i="1" s="1"/>
  <c r="C6" i="1"/>
  <c r="E6" i="1" s="1"/>
  <c r="C7" i="1"/>
  <c r="E7" i="1" s="1"/>
  <c r="C8" i="1"/>
  <c r="E8" i="1" s="1"/>
  <c r="C11" i="1"/>
  <c r="C13" i="1"/>
  <c r="C21" i="1"/>
  <c r="C27" i="1"/>
  <c r="C152" i="1"/>
  <c r="C153" i="1"/>
  <c r="C166" i="1"/>
  <c r="C167" i="1"/>
  <c r="C175" i="1"/>
  <c r="C180" i="1"/>
  <c r="C208" i="1"/>
  <c r="C209" i="1"/>
  <c r="C221" i="1"/>
  <c r="C222" i="1"/>
  <c r="C223" i="1"/>
  <c r="C231" i="1"/>
  <c r="C259" i="1"/>
  <c r="C263" i="1"/>
  <c r="C265" i="1"/>
  <c r="C273" i="1"/>
  <c r="C277" i="1"/>
  <c r="C278" i="1"/>
  <c r="C306" i="1"/>
  <c r="C307" i="1"/>
  <c r="C319" i="1"/>
  <c r="C320" i="1"/>
  <c r="C321" i="1"/>
  <c r="C329" i="1"/>
  <c r="C357" i="1"/>
  <c r="C361" i="1"/>
  <c r="C363" i="1"/>
  <c r="C371" i="1"/>
  <c r="C375" i="1"/>
  <c r="C376" i="1"/>
  <c r="C404" i="1"/>
  <c r="C405" i="1"/>
  <c r="C417" i="1"/>
  <c r="C418" i="1"/>
  <c r="C419" i="1"/>
  <c r="C427" i="1"/>
  <c r="C455" i="1"/>
  <c r="C459" i="1"/>
  <c r="C461" i="1"/>
  <c r="C469" i="1"/>
  <c r="C473" i="1"/>
  <c r="C474" i="1"/>
  <c r="A8" i="2"/>
  <c r="A9" i="2" s="1"/>
  <c r="A3" i="2"/>
  <c r="A4" i="2" s="1"/>
  <c r="A5" i="2" s="1"/>
  <c r="E3"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H33" i="1"/>
  <c r="H34" i="1"/>
  <c r="H35" i="1"/>
  <c r="H36" i="1"/>
  <c r="H37" i="1"/>
  <c r="H38" i="1"/>
  <c r="H39" i="1"/>
  <c r="H40" i="1"/>
  <c r="H41" i="1"/>
  <c r="H42" i="1"/>
  <c r="H43" i="1"/>
  <c r="H44" i="1"/>
  <c r="H45" i="1"/>
  <c r="H46" i="1"/>
  <c r="H47" i="1"/>
  <c r="H48" i="1"/>
  <c r="H49" i="1"/>
  <c r="H5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9" i="1"/>
  <c r="H10" i="1"/>
  <c r="H11" i="1"/>
  <c r="H12" i="1"/>
  <c r="H13" i="1"/>
  <c r="H14" i="1"/>
  <c r="H15" i="1"/>
  <c r="H16" i="1"/>
  <c r="H17" i="1"/>
  <c r="H18" i="1"/>
  <c r="H19" i="1"/>
  <c r="H20" i="1"/>
  <c r="H21" i="1"/>
  <c r="H22" i="1"/>
  <c r="H23" i="1"/>
  <c r="H24" i="1"/>
  <c r="H25" i="1"/>
  <c r="H26" i="1"/>
  <c r="H27" i="1"/>
  <c r="H28" i="1"/>
  <c r="H29" i="1"/>
  <c r="H30" i="1"/>
  <c r="H31" i="1"/>
  <c r="H32" i="1"/>
  <c r="H8" i="1"/>
  <c r="H7" i="1"/>
  <c r="H6" i="1"/>
  <c r="H5" i="1"/>
  <c r="H4" i="1"/>
  <c r="H3" i="1"/>
  <c r="B3" i="2"/>
  <c r="B4" i="2" s="1"/>
  <c r="C26" i="1" l="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E13" i="1"/>
  <c r="B5" i="2"/>
  <c r="E11" i="1"/>
  <c r="E4" i="2" l="1"/>
  <c r="E16" i="1"/>
  <c r="E15" i="1"/>
  <c r="E18" i="1"/>
  <c r="E17" i="1"/>
  <c r="E14" i="1"/>
  <c r="E5" i="2" l="1"/>
  <c r="B8" i="2" l="1"/>
  <c r="B9"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10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1" i="2" l="1"/>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C01FFB04-8F84-491C-BB2E-65383C0F8D44}">
      <text>
        <r>
          <rPr>
            <b/>
            <sz val="9"/>
            <color indexed="81"/>
            <rFont val="Tahoma"/>
            <family val="2"/>
          </rPr>
          <t>Daniel Newby:</t>
        </r>
        <r>
          <rPr>
            <sz val="9"/>
            <color indexed="81"/>
            <rFont val="Tahoma"/>
            <family val="2"/>
          </rPr>
          <t xml:space="preserve">
persistently slow to auto-stop when calibrating</t>
        </r>
      </text>
    </comment>
    <comment ref="O3" authorId="0" shapeId="0" xr:uid="{17C8BC38-A956-4D7F-998B-6CD76E9EE7EB}">
      <text>
        <r>
          <rPr>
            <b/>
            <sz val="9"/>
            <color indexed="81"/>
            <rFont val="Tahoma"/>
            <family val="2"/>
          </rPr>
          <t>Daniel Newby:</t>
        </r>
        <r>
          <rPr>
            <sz val="9"/>
            <color indexed="81"/>
            <rFont val="Tahoma"/>
            <family val="2"/>
          </rPr>
          <t xml:space="preserve">
persistently slow to auto-stop when calibrating</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<sst xmlns="http://schemas.openxmlformats.org/spreadsheetml/2006/main" count="61" uniqueCount="51">
  <si>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</si>
  <si>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</si>
  <si>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</si>
  <si>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</si>
  <si>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</si>
  <si>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</si>
  <si>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</si>
  <si>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</si>
  <si>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</si>
  <si>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</si>
  <si>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</si>
  <si>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</si>
  <si>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</si>
  <si>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</si>
  <si>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</si>
  <si>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</si>
  <si>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</si>
  <si>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</si>
  <si>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</si>
  <si>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</si>
  <si>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</si>
  <si>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</si>
  <si>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</si>
  <si>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</si>
  <si>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</si>
  <si>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</si>
  <si>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</si>
  <si>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</si>
  <si>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</si>
  <si>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</si>
  <si>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</si>
  <si>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</si>
  <si>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</si>
  <si>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</si>
  <si>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</si>
  <si>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</si>
  <si>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</si>
  <si>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</si>
  <si>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</si>
  <si>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</si>
  <si>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</si>
  <si>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</si>
  <si>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</si>
  <si>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</si>
  <si>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</si>
  <si>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t>
    </r>
  </si>
  <si>
    <t>Date</t>
  </si>
  <si>
    <t>Camera by ID</t>
  </si>
  <si>
    <t>This is a dev troubleshooting record for the camera temperature script, checking which cameras are dropped from readings</t>
  </si>
  <si>
    <t>Cameras Missing from Temperature Script Log</t>
  </si>
  <si>
    <t>(04/08 is first day recording these errors)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</si>
</sst>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8"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92D050"/>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3">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14" fontId="1" fillId="3" borderId="6" xfId="0" applyNumberFormat="1" applyFont="1" applyFill="1" applyBorder="1" applyAlignment="1">
      <alignment horizontal="center" vertical="center" wrapText="1"/>
    </xf>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22" fillId="10"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18" fillId="0" borderId="0" xfId="0" applyFont="1" applyFill="1" applyBorder="1" applyAlignment="1">
      <alignment horizontal="center" vertical="center"/>
    </xf>
    <xf numFmtId="0" fontId="18" fillId="0" borderId="0" xfId="0" applyFont="1" applyFill="1" applyBorder="1"/>
    <xf numFmtId="0" fontId="15" fillId="0" borderId="0" xfId="0" applyFont="1" applyFill="1" applyBorder="1"/>
    <xf numFmtId="0" fontId="24" fillId="0" borderId="0" xfId="0" applyFont="1" applyFill="1" applyBorder="1" applyAlignment="1">
      <alignment horizontal="left" indent="1"/>
    </xf>
    <xf numFmtId="0" fontId="22" fillId="0" borderId="0" xfId="0" applyFont="1" applyFill="1" applyBorder="1" applyAlignment="1">
      <alignment horizontal="left"/>
    </xf>
  </cellXfs>
  <cellStyles count="2">
    <cellStyle name="Normal" xfId="0" builtinId="0"/>
    <cellStyle name="Normal 2" xfId="1" xr:uid="{00000000-0005-0000-0000-000001000000}"/>
  </cellStyles>
  <dxfs count="3">
    <dxf>
      <fill>
        <patternFill>
          <bgColor theme="0" tint="-4.9989318521683403E-2"/>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1F4E78"/>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numCache>
            </c:numRef>
          </c:xVal>
          <c:yVal>
            <c:numRef>
              <c:f>'Daily Summary'!$C$2:$C$100</c:f>
              <c:numCache>
                <c:formatCode>0.0\°\ \(\C\)</c:formatCode>
                <c:ptCount val="98"/>
                <c:pt idx="0">
                  <c:v>23.5</c:v>
                </c:pt>
                <c:pt idx="1">
                  <c:v>23.5</c:v>
                </c:pt>
                <c:pt idx="2">
                  <c:v>23.5</c:v>
                </c:pt>
                <c:pt idx="3">
                  <c:v>24.5</c:v>
                </c:pt>
                <c:pt idx="4">
                  <c:v>25.5</c:v>
                </c:pt>
                <c:pt idx="5">
                  <c:v>24.5</c:v>
                </c:pt>
                <c:pt idx="6">
                  <c:v>24</c:v>
                </c:pt>
                <c:pt idx="7">
                  <c:v>24</c:v>
                </c:pt>
                <c:pt idx="8">
                  <c:v>23.5</c:v>
                </c:pt>
                <c:pt idx="9">
                  <c:v>24.5</c:v>
                </c:pt>
              </c:numCache>
            </c:numRef>
          </c:yVal>
          <c:smooth val="0"/>
          <c:extLst>
            <c:ext xmlns:c16="http://schemas.microsoft.com/office/drawing/2014/chart" uri="{C3380CC4-5D6E-409C-BE32-E72D297353CC}">
              <c16:uniqueId val="{00000000-F0FC-4467-A617-2617B7DA2AFF}"/>
            </c:ext>
          </c:extLst>
        </c:ser>
        <c:ser>
          <c:idx val="1"/>
          <c:order val="1"/>
          <c:tx>
            <c:strRef>
              <c:f>'Daily Summary'!$E$1</c:f>
              <c:strCache>
                <c:ptCount val="1"/>
                <c:pt idx="0">
                  <c:v>Minutes to Ready
(earliest minutes &gt;= 50°)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numCache>
            </c:numRef>
          </c:xVal>
          <c:yVal>
            <c:numRef>
              <c:f>'Daily Summary'!$E$2:$E$100</c:f>
              <c:numCache>
                <c:formatCode>0</c:formatCode>
                <c:ptCount val="98"/>
                <c:pt idx="0">
                  <c:v>25.000000000000071</c:v>
                </c:pt>
                <c:pt idx="1">
                  <c:v>24.000000000000234</c:v>
                </c:pt>
                <c:pt idx="2">
                  <c:v>26.000000000000068</c:v>
                </c:pt>
                <c:pt idx="3">
                  <c:v>0</c:v>
                </c:pt>
                <c:pt idx="4">
                  <c:v>15.999999999999943</c:v>
                </c:pt>
                <c:pt idx="5">
                  <c:v>19.000000000000014</c:v>
                </c:pt>
                <c:pt idx="6">
                  <c:v>20.999999999999925</c:v>
                </c:pt>
                <c:pt idx="7">
                  <c:v>21.583333333333243</c:v>
                </c:pt>
                <c:pt idx="8">
                  <c:v>21.216666666666654</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072957472"/>
        <c:axId val="1072952192"/>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dd/mm"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Camera temperature vs minutes since start</a:t>
            </a:r>
          </a:p>
        </c:rich>
      </c:tx>
      <c:overlay val="1"/>
    </c:title>
    <c:autoTitleDeleted val="0"/>
    <c:plotArea>
      <c:layout>
        <c:manualLayout>
          <c:layoutTarget val="inner"/>
          <c:xMode val="edge"/>
          <c:yMode val="edge"/>
          <c:x val="8.0346666666666663E-2"/>
          <c:y val="2.1528333333333333E-2"/>
          <c:w val="0.88248819444444448"/>
          <c:h val="0.8724561111111111"/>
        </c:manualLayout>
      </c:layout>
      <c:scatterChart>
        <c:scatterStyle val="lineMarker"/>
        <c:varyColors val="1"/>
        <c:ser>
          <c:idx val="0"/>
          <c:order val="0"/>
          <c:tx>
            <c:v>25 Jul (high)</c:v>
          </c:tx>
          <c:spPr>
            <a:ln w="19050">
              <a:solidFill>
                <a:srgbClr val="2A78D6"/>
              </a:solidFill>
              <a:prstDash val="solid"/>
            </a:ln>
          </c:spPr>
          <c:marker>
            <c:symbol val="circle"/>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Log!$G$3:$G$8</c:f>
              <c:numCache>
                <c:formatCode>0.0\°\ \(\C\)</c:formatCode>
                <c:ptCount val="6"/>
                <c:pt idx="0">
                  <c:v>35</c:v>
                </c:pt>
                <c:pt idx="1">
                  <c:v>44</c:v>
                </c:pt>
                <c:pt idx="2">
                  <c:v>52</c:v>
                </c:pt>
                <c:pt idx="3">
                  <c:v>55</c:v>
                </c:pt>
                <c:pt idx="4">
                  <c:v>58</c:v>
                </c:pt>
                <c:pt idx="5">
                  <c:v>61</c:v>
                </c:pt>
              </c:numCache>
            </c:numRef>
          </c:yVal>
          <c:smooth val="0"/>
          <c:extLst>
            <c:ext xmlns:c16="http://schemas.microsoft.com/office/drawing/2014/chart" uri="{C3380CC4-5D6E-409C-BE32-E72D297353CC}">
              <c16:uniqueId val="{00000000-AAB1-499E-AC05-854E44FBC272}"/>
            </c:ext>
          </c:extLst>
        </c:ser>
        <c:ser>
          <c:idx val="1"/>
          <c:order val="1"/>
          <c:tx>
            <c:v>25 Jul (low)</c:v>
          </c:tx>
          <c:spPr>
            <a:ln w="12700">
              <a:solidFill>
                <a:srgbClr val="2A78D6"/>
              </a:solidFill>
              <a:prstDash val="dash"/>
            </a:ln>
          </c:spPr>
          <c:marker>
            <c:symbol val="diamond"/>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Log!$F$3:$F$8</c:f>
              <c:numCache>
                <c:formatCode>0.0\°\ \(\C\)</c:formatCode>
                <c:ptCount val="6"/>
                <c:pt idx="0">
                  <c:v>32</c:v>
                </c:pt>
                <c:pt idx="1">
                  <c:v>41</c:v>
                </c:pt>
                <c:pt idx="2">
                  <c:v>49</c:v>
                </c:pt>
                <c:pt idx="3">
                  <c:v>52</c:v>
                </c:pt>
                <c:pt idx="4">
                  <c:v>57</c:v>
                </c:pt>
                <c:pt idx="5">
                  <c:v>60</c:v>
                </c:pt>
              </c:numCache>
            </c:numRef>
          </c:yVal>
          <c:smooth val="0"/>
          <c:extLst>
            <c:ext xmlns:c16="http://schemas.microsoft.com/office/drawing/2014/chart" uri="{C3380CC4-5D6E-409C-BE32-E72D297353CC}">
              <c16:uniqueId val="{00000001-AAB1-499E-AC05-854E44FBC272}"/>
            </c:ext>
          </c:extLst>
        </c:ser>
        <c:ser>
          <c:idx val="2"/>
          <c:order val="2"/>
          <c:tx>
            <c:v>27 Jul (high)</c:v>
          </c:tx>
          <c:spPr>
            <a:ln w="19050">
              <a:solidFill>
                <a:srgbClr val="EB6834"/>
              </a:solidFill>
              <a:prstDash val="solid"/>
            </a:ln>
          </c:spPr>
          <c:marker>
            <c:symbol val="circle"/>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Log!$G$9:$G$13</c:f>
              <c:numCache>
                <c:formatCode>0.0\°\ \(\C\)</c:formatCode>
                <c:ptCount val="5"/>
                <c:pt idx="0">
                  <c:v>33</c:v>
                </c:pt>
                <c:pt idx="1">
                  <c:v>44</c:v>
                </c:pt>
                <c:pt idx="2">
                  <c:v>49</c:v>
                </c:pt>
                <c:pt idx="3">
                  <c:v>54</c:v>
                </c:pt>
                <c:pt idx="4">
                  <c:v>60</c:v>
                </c:pt>
              </c:numCache>
            </c:numRef>
          </c:yVal>
          <c:smooth val="0"/>
          <c:extLst>
            <c:ext xmlns:c16="http://schemas.microsoft.com/office/drawing/2014/chart" uri="{C3380CC4-5D6E-409C-BE32-E72D297353CC}">
              <c16:uniqueId val="{00000002-AAB1-499E-AC05-854E44FBC272}"/>
            </c:ext>
          </c:extLst>
        </c:ser>
        <c:ser>
          <c:idx val="3"/>
          <c:order val="3"/>
          <c:tx>
            <c:v>27 Jul (low)</c:v>
          </c:tx>
          <c:spPr>
            <a:ln w="12700">
              <a:solidFill>
                <a:srgbClr val="EB6834"/>
              </a:solidFill>
              <a:prstDash val="dash"/>
            </a:ln>
          </c:spPr>
          <c:marker>
            <c:symbol val="diamond"/>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Log!$F$9:$F$13</c:f>
              <c:numCache>
                <c:formatCode>0.0\°\ \(\C\)</c:formatCode>
                <c:ptCount val="5"/>
                <c:pt idx="0">
                  <c:v>32</c:v>
                </c:pt>
                <c:pt idx="1">
                  <c:v>42</c:v>
                </c:pt>
                <c:pt idx="2">
                  <c:v>48</c:v>
                </c:pt>
                <c:pt idx="3">
                  <c:v>51</c:v>
                </c:pt>
                <c:pt idx="4">
                  <c:v>57</c:v>
                </c:pt>
              </c:numCache>
            </c:numRef>
          </c:yVal>
          <c:smooth val="0"/>
          <c:extLst>
            <c:ext xmlns:c16="http://schemas.microsoft.com/office/drawing/2014/chart" uri="{C3380CC4-5D6E-409C-BE32-E72D297353CC}">
              <c16:uniqueId val="{00000003-AAB1-499E-AC05-854E44FBC272}"/>
            </c:ext>
          </c:extLst>
        </c:ser>
        <c:ser>
          <c:idx val="4"/>
          <c:order val="4"/>
          <c:tx>
            <c:v>28 Jul (high)</c:v>
          </c:tx>
          <c:spPr>
            <a:ln w="19050">
              <a:solidFill>
                <a:srgbClr val="1BAF7A"/>
              </a:solidFill>
              <a:prstDash val="solid"/>
            </a:ln>
          </c:spPr>
          <c:marker>
            <c:symbol val="circle"/>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Log!$G$14:$G$18</c:f>
              <c:numCache>
                <c:formatCode>0.0\°\ \(\C\)</c:formatCode>
                <c:ptCount val="5"/>
                <c:pt idx="0">
                  <c:v>32</c:v>
                </c:pt>
                <c:pt idx="1">
                  <c:v>49</c:v>
                </c:pt>
                <c:pt idx="2">
                  <c:v>54</c:v>
                </c:pt>
                <c:pt idx="3">
                  <c:v>58</c:v>
                </c:pt>
                <c:pt idx="4">
                  <c:v>61</c:v>
                </c:pt>
              </c:numCache>
            </c:numRef>
          </c:yVal>
          <c:smooth val="0"/>
          <c:extLst>
            <c:ext xmlns:c16="http://schemas.microsoft.com/office/drawing/2014/chart" uri="{C3380CC4-5D6E-409C-BE32-E72D297353CC}">
              <c16:uniqueId val="{00000004-AAB1-499E-AC05-854E44FBC272}"/>
            </c:ext>
          </c:extLst>
        </c:ser>
        <c:ser>
          <c:idx val="5"/>
          <c:order val="5"/>
          <c:tx>
            <c:v>28 Jul (low)</c:v>
          </c:tx>
          <c:spPr>
            <a:ln w="12700">
              <a:solidFill>
                <a:srgbClr val="1BAF7A"/>
              </a:solidFill>
              <a:prstDash val="dash"/>
            </a:ln>
          </c:spPr>
          <c:marker>
            <c:symbol val="diamond"/>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Log!$F$14:$F$18</c:f>
              <c:numCache>
                <c:formatCode>0.0\°\ \(\C\)</c:formatCode>
                <c:ptCount val="5"/>
                <c:pt idx="0">
                  <c:v>31</c:v>
                </c:pt>
                <c:pt idx="1">
                  <c:v>47</c:v>
                </c:pt>
                <c:pt idx="2">
                  <c:v>52</c:v>
                </c:pt>
                <c:pt idx="3">
                  <c:v>54</c:v>
                </c:pt>
                <c:pt idx="4">
                  <c:v>57</c:v>
                </c:pt>
              </c:numCache>
            </c:numRef>
          </c:yVal>
          <c:smooth val="0"/>
          <c:extLst>
            <c:ext xmlns:c16="http://schemas.microsoft.com/office/drawing/2014/chart" uri="{C3380CC4-5D6E-409C-BE32-E72D297353CC}">
              <c16:uniqueId val="{00000005-AAB1-499E-AC05-854E44FBC27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title>
          <c:tx>
            <c:rich>
              <a:bodyPr/>
              <a:lstStyle/>
              <a:p>
                <a:pPr>
                  <a:defRPr/>
                </a:pPr>
                <a:r>
                  <a:rPr lang="en-GB"/>
                  <a:t>Minutes since start</a:t>
                </a:r>
              </a:p>
            </c:rich>
          </c:tx>
          <c:overlay val="1"/>
        </c:title>
        <c:numFmt formatCode="0" sourceLinked="1"/>
        <c:majorTickMark val="none"/>
        <c:minorTickMark val="none"/>
        <c:tickLblPos val="nextTo"/>
        <c:crossAx val="20"/>
        <c:crosses val="autoZero"/>
        <c:crossBetween val="midCat"/>
      </c:valAx>
      <c:valAx>
        <c:axId val="20"/>
        <c:scaling>
          <c:orientation val="minMax"/>
        </c:scaling>
        <c:delete val="0"/>
        <c:axPos val="l"/>
        <c:majorGridlines/>
        <c:title>
          <c:tx>
            <c:rich>
              <a:bodyPr/>
              <a:lstStyle/>
              <a:p>
                <a:pPr>
                  <a:defRPr/>
                </a:pPr>
                <a:r>
                  <a:rPr lang="en-GB"/>
                  <a:t>Temperature (°C)</a:t>
                </a:r>
              </a:p>
            </c:rich>
          </c:tx>
          <c:overlay val="1"/>
        </c:title>
        <c:numFmt formatCode="0.0\°\ \(\C\)"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114300</xdr:colOff>
      <xdr:row>1</xdr:row>
      <xdr:rowOff>45720</xdr:rowOff>
    </xdr:from>
    <xdr:ext cx="7200000" cy="3600000"/>
    <xdr:graphicFrame macro="">
      <xdr:nvGraphicFramePr>
        <xdr:cNvPr id="3" name="Chart 2">
          <a:extLst>
            <a:ext uri="{FF2B5EF4-FFF2-40B4-BE49-F238E27FC236}">
              <a16:creationId xmlns:a16="http://schemas.microsoft.com/office/drawing/2014/main" id="{CE94728B-DDB7-4468-8EF4-F3B9EE38B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ewwb\Documents\brain\professional\university\LCAS\EPSURIS%20Internship%20(Vicon)\Public%20Files\Documentation%20Data\LCAS%20Vicon%20Calibration%20Tracker.xlsx" TargetMode="External"/><Relationship Id="rId1" Type="http://schemas.openxmlformats.org/officeDocument/2006/relationships/externalLinkPath" Target="LCAS%20Vicon%20Calibration%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Lists"/>
      <sheetName val="Camera Labelling"/>
      <sheetName val="Log"/>
      <sheetName val="Daily Summary"/>
      <sheetName val="Camera Error Trend"/>
      <sheetName val="Camera Performance Trends"/>
      <sheetName val="High Error Cameras"/>
      <sheetName val="Problem Cameras"/>
      <sheetName val="Error Log"/>
      <sheetName val="Error Summary"/>
    </sheetNames>
    <sheetDataSet>
      <sheetData sheetId="0"/>
      <sheetData sheetId="1">
        <row r="2">
          <cell r="A2" t="str">
            <v>#1 (Vero v2.2)</v>
          </cell>
        </row>
        <row r="3">
          <cell r="A3" t="str">
            <v>#2 (Vero v2.2)</v>
          </cell>
        </row>
        <row r="4">
          <cell r="A4" t="str">
            <v>#3 (Vero v2.2)</v>
          </cell>
        </row>
        <row r="5">
          <cell r="A5" t="str">
            <v>#4 (Vero v2.2)</v>
          </cell>
        </row>
        <row r="6">
          <cell r="A6" t="str">
            <v>#5 (Vero v2.2)</v>
          </cell>
        </row>
        <row r="7">
          <cell r="A7" t="str">
            <v>#6 (Vero v2.2)</v>
          </cell>
        </row>
        <row r="8">
          <cell r="A8" t="str">
            <v>#7 (Vero v2.2)</v>
          </cell>
        </row>
        <row r="9">
          <cell r="A9" t="str">
            <v>#8 (Vero v2.2)</v>
          </cell>
        </row>
        <row r="10">
          <cell r="A10" t="str">
            <v>#9 (Vero v2.2)</v>
          </cell>
        </row>
        <row r="11">
          <cell r="A11" t="str">
            <v>#10 (Vero v2.2)</v>
          </cell>
        </row>
        <row r="12">
          <cell r="A12" t="str">
            <v>#11 (Vero v2.2)</v>
          </cell>
        </row>
        <row r="13">
          <cell r="A13" t="str">
            <v>#12 (Vero v2.2)</v>
          </cell>
        </row>
        <row r="14">
          <cell r="A14" t="str">
            <v>#13 (Vero v2.2)</v>
          </cell>
        </row>
        <row r="15">
          <cell r="A15" t="str">
            <v>#14 (Vero v2.2)</v>
          </cell>
        </row>
        <row r="16">
          <cell r="A16" t="str">
            <v>#15 (Vero v2.2)</v>
          </cell>
        </row>
        <row r="17">
          <cell r="A17" t="str">
            <v>#16 (Vero v2.2)</v>
          </cell>
        </row>
        <row r="18">
          <cell r="A18" t="str">
            <v>#17 (Vero v2.2)</v>
          </cell>
        </row>
        <row r="19">
          <cell r="A19" t="str">
            <v>#18 (Vero v2.2)</v>
          </cell>
        </row>
      </sheetData>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workbookViewId="0">
      <pane ySplit="2" topLeftCell="A58" activePane="bottomLeft" state="frozen"/>
      <selection activeCell="B46" sqref="B46"/>
      <selection pane="bottomLeft" activeCell="A74" sqref="A74"/>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27" t="s">
        <v>1</v>
      </c>
      <c r="B1" s="27"/>
      <c r="C1" s="27"/>
      <c r="D1" s="27"/>
      <c r="E1" s="27"/>
      <c r="F1" s="27"/>
      <c r="G1" s="27"/>
      <c r="H1" s="2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 t="shared" ref="H3:H8" si="1">G3-F3</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si="1"/>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ref="H9:H31" si="2">IF(AND(G9&lt;&gt;"",F9&lt;&gt;""),G9-F9,"")</f>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2"/>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2"/>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2"/>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2"/>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2"/>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2"/>
        <v>2</v>
      </c>
    </row>
    <row r="16" spans="1:9" x14ac:dyDescent="0.3">
      <c r="A16" s="1">
        <v>46231</v>
      </c>
      <c r="C16" s="9">
        <f>_xlfn.XLOOKUP(Log!A16, 'Daily Summary'!A:A, 'Daily Summary'!D:D, "Not found!")</f>
        <v>0.38194444444444442</v>
      </c>
      <c r="D16" s="9">
        <v>0.4</v>
      </c>
      <c r="E16" s="6">
        <f t="shared" si="0"/>
        <v>26.000000000000068</v>
      </c>
      <c r="F16" s="7">
        <v>52</v>
      </c>
      <c r="G16" s="2">
        <v>54</v>
      </c>
      <c r="H16" s="2">
        <f t="shared" si="2"/>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2"/>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2"/>
        <v>4</v>
      </c>
    </row>
    <row r="19" spans="1:8" x14ac:dyDescent="0.3">
      <c r="A19" s="1" t="s">
        <v>12</v>
      </c>
      <c r="B19" s="18" t="s">
        <v>15</v>
      </c>
      <c r="C19" s="9">
        <f>_xlfn.XLOOKUP(Log!A19, 'Daily Summary'!A:A, 'Daily Summary'!D:D, "Not found!")</f>
        <v>0.4284722222222222</v>
      </c>
      <c r="D19" s="9">
        <v>0.43055555555555558</v>
      </c>
      <c r="E19" s="6">
        <f t="shared" si="0"/>
        <v>3.0000000000000693</v>
      </c>
      <c r="F19" s="7">
        <v>32</v>
      </c>
      <c r="G19" s="2">
        <v>32</v>
      </c>
      <c r="H19" s="2">
        <f t="shared" si="2"/>
        <v>0</v>
      </c>
    </row>
    <row r="20" spans="1:8" x14ac:dyDescent="0.3">
      <c r="A20" s="1" t="s">
        <v>12</v>
      </c>
      <c r="B20" s="18" t="s">
        <v>15</v>
      </c>
      <c r="C20" s="9">
        <f>_xlfn.XLOOKUP(Log!A20, 'Daily Summary'!A:A, 'Daily Summary'!D:D, "Not found!")</f>
        <v>0.4284722222222222</v>
      </c>
      <c r="D20" s="9">
        <v>0.43402777777777779</v>
      </c>
      <c r="E20" s="6">
        <f t="shared" si="0"/>
        <v>8.0000000000000515</v>
      </c>
      <c r="F20" s="7">
        <v>40</v>
      </c>
      <c r="G20" s="2">
        <v>42</v>
      </c>
      <c r="H20" s="2">
        <f t="shared" si="2"/>
        <v>2</v>
      </c>
    </row>
    <row r="21" spans="1:8" x14ac:dyDescent="0.3">
      <c r="A21" s="1" t="s">
        <v>12</v>
      </c>
      <c r="B21" s="18" t="s">
        <v>15</v>
      </c>
      <c r="C21" s="9">
        <f>_xlfn.XLOOKUP(Log!A21, 'Daily Summary'!A:A, 'Daily Summary'!D:D, "Not found!")</f>
        <v>0.4284722222222222</v>
      </c>
      <c r="D21" s="9">
        <v>0.43680555555555556</v>
      </c>
      <c r="E21" s="6">
        <f t="shared" si="0"/>
        <v>12.000000000000037</v>
      </c>
      <c r="F21" s="7">
        <v>44</v>
      </c>
      <c r="G21" s="2">
        <v>47</v>
      </c>
      <c r="H21" s="2">
        <f t="shared" si="2"/>
        <v>3</v>
      </c>
    </row>
    <row r="22" spans="1:8" x14ac:dyDescent="0.3">
      <c r="A22" s="1" t="s">
        <v>12</v>
      </c>
      <c r="C22" s="9">
        <f>_xlfn.XLOOKUP(Log!A22, 'Daily Summary'!A:A, 'Daily Summary'!D:D, "Not found!")</f>
        <v>0.4284722222222222</v>
      </c>
      <c r="D22" s="9">
        <v>0.44027777777777777</v>
      </c>
      <c r="E22" s="6">
        <f t="shared" si="0"/>
        <v>17.000000000000021</v>
      </c>
      <c r="F22" s="7">
        <v>49</v>
      </c>
      <c r="G22" s="2">
        <v>52</v>
      </c>
      <c r="H22" s="2">
        <f t="shared" si="2"/>
        <v>3</v>
      </c>
    </row>
    <row r="23" spans="1:8" x14ac:dyDescent="0.3">
      <c r="A23" s="1" t="s">
        <v>12</v>
      </c>
      <c r="C23" s="9">
        <f>_xlfn.XLOOKUP(Log!A23, 'Daily Summary'!A:A, 'Daily Summary'!D:D, "Not found!")</f>
        <v>0.4284722222222222</v>
      </c>
      <c r="D23" s="9">
        <v>0.44374999999999998</v>
      </c>
      <c r="E23" s="6">
        <f t="shared" si="0"/>
        <v>22</v>
      </c>
      <c r="F23" s="7">
        <v>52</v>
      </c>
      <c r="G23" s="2">
        <v>55</v>
      </c>
      <c r="H23" s="2">
        <f t="shared" si="2"/>
        <v>3</v>
      </c>
    </row>
    <row r="24" spans="1:8" x14ac:dyDescent="0.3">
      <c r="A24" s="1" t="s">
        <v>12</v>
      </c>
      <c r="C24" s="9">
        <f>_xlfn.XLOOKUP(Log!A24, 'Daily Summary'!A:A, 'Daily Summary'!D:D, "Not found!")</f>
        <v>0.4284722222222222</v>
      </c>
      <c r="D24" s="9">
        <v>0.4465277777777778</v>
      </c>
      <c r="E24" s="6">
        <f t="shared" si="0"/>
        <v>26.000000000000068</v>
      </c>
      <c r="F24" s="7">
        <v>54</v>
      </c>
      <c r="G24" s="2">
        <v>55</v>
      </c>
      <c r="H24" s="2">
        <f t="shared" si="2"/>
        <v>1</v>
      </c>
    </row>
    <row r="25" spans="1:8" x14ac:dyDescent="0.3">
      <c r="A25" s="1" t="s">
        <v>12</v>
      </c>
      <c r="C25" s="9">
        <f>_xlfn.XLOOKUP(Log!A25, 'Daily Summary'!A:A, 'Daily Summary'!D:D, "Not found!")</f>
        <v>0.4284722222222222</v>
      </c>
      <c r="D25" s="9">
        <v>0.45069444444444445</v>
      </c>
      <c r="E25" s="6">
        <f t="shared" si="0"/>
        <v>32.000000000000043</v>
      </c>
      <c r="F25" s="7">
        <v>55</v>
      </c>
      <c r="G25" s="2">
        <v>58</v>
      </c>
      <c r="H25" s="2">
        <f t="shared" si="2"/>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2"/>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2"/>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2"/>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2"/>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2"/>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2"/>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IF(AND(G32&lt;&gt;"",F32&lt;&gt;""),G32-F32,"")</f>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ref="H33:H96" si="3">IF(AND(G33&lt;&gt;"",F33&lt;&gt;""),G33-F33,"")</f>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3"/>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3"/>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3"/>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3"/>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3"/>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3"/>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3"/>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3"/>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3"/>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3"/>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3"/>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3"/>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3"/>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3"/>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3"/>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3"/>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3"/>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3"/>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3"/>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3"/>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3"/>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3"/>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3"/>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3"/>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3"/>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3"/>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3"/>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3"/>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3"/>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3"/>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3"/>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3"/>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3"/>
        <v>3</v>
      </c>
    </row>
    <row r="67" spans="1:8" x14ac:dyDescent="0.3">
      <c r="A67" s="1">
        <v>46237</v>
      </c>
      <c r="C67" s="9">
        <f>_xlfn.XLOOKUP(Log!A67, 'Daily Summary'!A:A, 'Daily Summary'!D:D, "Not found!")</f>
        <v>0.40972222222222221</v>
      </c>
      <c r="D67" s="9">
        <v>0.4244560185185185</v>
      </c>
      <c r="E67" s="6">
        <f t="shared" ref="E67:E130" si="4">IF(AND($D67&lt;&gt;"", $C67&lt;&gt;""), ($D67-$C67)*1440, "")</f>
        <v>21.216666666666654</v>
      </c>
      <c r="F67" s="7">
        <v>52</v>
      </c>
      <c r="G67" s="2">
        <v>52</v>
      </c>
      <c r="H67" s="2">
        <f t="shared" si="3"/>
        <v>0</v>
      </c>
    </row>
    <row r="68" spans="1:8" x14ac:dyDescent="0.3">
      <c r="A68" s="1">
        <v>46237</v>
      </c>
      <c r="C68" s="9">
        <f>_xlfn.XLOOKUP(Log!A68, 'Daily Summary'!A:A, 'Daily Summary'!D:D, "Not found!")</f>
        <v>0.40972222222222221</v>
      </c>
      <c r="D68" s="9">
        <v>0.42584490740740738</v>
      </c>
      <c r="E68" s="6">
        <f t="shared" si="4"/>
        <v>23.216666666666647</v>
      </c>
      <c r="F68" s="7">
        <v>52</v>
      </c>
      <c r="G68" s="2">
        <v>55</v>
      </c>
      <c r="H68" s="2">
        <f t="shared" si="3"/>
        <v>3</v>
      </c>
    </row>
    <row r="69" spans="1:8" x14ac:dyDescent="0.3">
      <c r="A69" s="1">
        <v>46237</v>
      </c>
      <c r="C69" s="9">
        <f>_xlfn.XLOOKUP(Log!A69, 'Daily Summary'!A:A, 'Daily Summary'!D:D, "Not found!")</f>
        <v>0.40972222222222221</v>
      </c>
      <c r="D69" s="9">
        <v>0.42724537037037036</v>
      </c>
      <c r="E69" s="6">
        <f t="shared" si="4"/>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4"/>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4"/>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4"/>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4"/>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4"/>
        <v>16.99999999999994</v>
      </c>
      <c r="F74" s="7">
        <v>49</v>
      </c>
      <c r="G74" s="2">
        <v>51</v>
      </c>
      <c r="H74" s="2">
        <f t="shared" si="3"/>
        <v>2</v>
      </c>
    </row>
    <row r="75" spans="1:8" x14ac:dyDescent="0.3">
      <c r="C75" s="9">
        <f>_xlfn.XLOOKUP(Log!A75, 'Daily Summary'!A:A, 'Daily Summary'!D:D, "Not found!")</f>
        <v>0</v>
      </c>
      <c r="E75" s="6" t="str">
        <f t="shared" si="4"/>
        <v/>
      </c>
      <c r="H75" s="2" t="str">
        <f t="shared" si="3"/>
        <v/>
      </c>
    </row>
    <row r="76" spans="1:8" x14ac:dyDescent="0.3">
      <c r="C76" s="9">
        <f>_xlfn.XLOOKUP(Log!A76, 'Daily Summary'!A:A, 'Daily Summary'!D:D, "Not found!")</f>
        <v>0</v>
      </c>
      <c r="E76" s="6" t="str">
        <f t="shared" si="4"/>
        <v/>
      </c>
      <c r="H76" s="2" t="str">
        <f t="shared" si="3"/>
        <v/>
      </c>
    </row>
    <row r="77" spans="1:8" x14ac:dyDescent="0.3">
      <c r="C77" s="9">
        <f>_xlfn.XLOOKUP(Log!A77, 'Daily Summary'!A:A, 'Daily Summary'!D:D, "Not found!")</f>
        <v>0</v>
      </c>
      <c r="E77" s="6" t="str">
        <f t="shared" si="4"/>
        <v/>
      </c>
      <c r="H77" s="2" t="str">
        <f t="shared" si="3"/>
        <v/>
      </c>
    </row>
    <row r="78" spans="1:8" x14ac:dyDescent="0.3">
      <c r="C78" s="9">
        <f>_xlfn.XLOOKUP(Log!A78, 'Daily Summary'!A:A, 'Daily Summary'!D:D, "Not found!")</f>
        <v>0</v>
      </c>
      <c r="E78" s="6" t="str">
        <f t="shared" si="4"/>
        <v/>
      </c>
      <c r="H78" s="2" t="str">
        <f t="shared" si="3"/>
        <v/>
      </c>
    </row>
    <row r="79" spans="1:8" x14ac:dyDescent="0.3">
      <c r="C79" s="9">
        <f>_xlfn.XLOOKUP(Log!A79, 'Daily Summary'!A:A, 'Daily Summary'!D:D, "Not found!")</f>
        <v>0</v>
      </c>
      <c r="E79" s="6" t="str">
        <f t="shared" si="4"/>
        <v/>
      </c>
      <c r="H79" s="2" t="str">
        <f t="shared" si="3"/>
        <v/>
      </c>
    </row>
    <row r="80" spans="1:8" x14ac:dyDescent="0.3">
      <c r="C80" s="9">
        <f>_xlfn.XLOOKUP(Log!A80, 'Daily Summary'!A:A, 'Daily Summary'!D:D, "Not found!")</f>
        <v>0</v>
      </c>
      <c r="E80" s="6" t="str">
        <f t="shared" si="4"/>
        <v/>
      </c>
      <c r="H80" s="2" t="str">
        <f t="shared" si="3"/>
        <v/>
      </c>
    </row>
    <row r="81" spans="3:8" x14ac:dyDescent="0.3">
      <c r="C81" s="9">
        <f>_xlfn.XLOOKUP(Log!A81, 'Daily Summary'!A:A, 'Daily Summary'!D:D, "Not found!")</f>
        <v>0</v>
      </c>
      <c r="E81" s="6" t="str">
        <f t="shared" si="4"/>
        <v/>
      </c>
      <c r="H81" s="2" t="str">
        <f t="shared" si="3"/>
        <v/>
      </c>
    </row>
    <row r="82" spans="3:8" x14ac:dyDescent="0.3">
      <c r="C82" s="9">
        <f>_xlfn.XLOOKUP(Log!A82, 'Daily Summary'!A:A, 'Daily Summary'!D:D, "Not found!")</f>
        <v>0</v>
      </c>
      <c r="E82" s="6" t="str">
        <f t="shared" si="4"/>
        <v/>
      </c>
      <c r="H82" s="2" t="str">
        <f t="shared" si="3"/>
        <v/>
      </c>
    </row>
    <row r="83" spans="3:8" x14ac:dyDescent="0.3">
      <c r="C83" s="9">
        <f>_xlfn.XLOOKUP(Log!A83, 'Daily Summary'!A:A, 'Daily Summary'!D:D, "Not found!")</f>
        <v>0</v>
      </c>
      <c r="E83" s="6" t="str">
        <f t="shared" si="4"/>
        <v/>
      </c>
      <c r="H83" s="2" t="str">
        <f t="shared" si="3"/>
        <v/>
      </c>
    </row>
    <row r="84" spans="3:8" x14ac:dyDescent="0.3">
      <c r="C84" s="9">
        <f>_xlfn.XLOOKUP(Log!A84, 'Daily Summary'!A:A, 'Daily Summary'!D:D, "Not found!")</f>
        <v>0</v>
      </c>
      <c r="E84" s="6" t="str">
        <f t="shared" si="4"/>
        <v/>
      </c>
      <c r="H84" s="2" t="str">
        <f t="shared" si="3"/>
        <v/>
      </c>
    </row>
    <row r="85" spans="3:8" x14ac:dyDescent="0.3">
      <c r="C85" s="9">
        <f>_xlfn.XLOOKUP(Log!A85, 'Daily Summary'!A:A, 'Daily Summary'!D:D, "Not found!")</f>
        <v>0</v>
      </c>
      <c r="E85" s="6" t="str">
        <f t="shared" si="4"/>
        <v/>
      </c>
      <c r="H85" s="2" t="str">
        <f t="shared" si="3"/>
        <v/>
      </c>
    </row>
    <row r="86" spans="3:8" x14ac:dyDescent="0.3">
      <c r="C86" s="9">
        <f>_xlfn.XLOOKUP(Log!A86, 'Daily Summary'!A:A, 'Daily Summary'!D:D, "Not found!")</f>
        <v>0</v>
      </c>
      <c r="E86" s="6" t="str">
        <f t="shared" si="4"/>
        <v/>
      </c>
      <c r="H86" s="2" t="str">
        <f t="shared" si="3"/>
        <v/>
      </c>
    </row>
    <row r="87" spans="3:8" x14ac:dyDescent="0.3">
      <c r="C87" s="9">
        <f>_xlfn.XLOOKUP(Log!A87, 'Daily Summary'!A:A, 'Daily Summary'!D:D, "Not found!")</f>
        <v>0</v>
      </c>
      <c r="E87" s="6" t="str">
        <f t="shared" si="4"/>
        <v/>
      </c>
      <c r="H87" s="2" t="str">
        <f t="shared" si="3"/>
        <v/>
      </c>
    </row>
    <row r="88" spans="3:8" x14ac:dyDescent="0.3">
      <c r="C88" s="9">
        <f>_xlfn.XLOOKUP(Log!A88, 'Daily Summary'!A:A, 'Daily Summary'!D:D, "Not found!")</f>
        <v>0</v>
      </c>
      <c r="E88" s="6" t="str">
        <f t="shared" si="4"/>
        <v/>
      </c>
      <c r="H88" s="2" t="str">
        <f t="shared" si="3"/>
        <v/>
      </c>
    </row>
    <row r="89" spans="3:8" x14ac:dyDescent="0.3">
      <c r="C89" s="9">
        <f>_xlfn.XLOOKUP(Log!A89, 'Daily Summary'!A:A, 'Daily Summary'!D:D, "Not found!")</f>
        <v>0</v>
      </c>
      <c r="E89" s="6" t="str">
        <f t="shared" si="4"/>
        <v/>
      </c>
      <c r="H89" s="2" t="str">
        <f t="shared" si="3"/>
        <v/>
      </c>
    </row>
    <row r="90" spans="3:8" x14ac:dyDescent="0.3">
      <c r="C90" s="9">
        <f>_xlfn.XLOOKUP(Log!A90, 'Daily Summary'!A:A, 'Daily Summary'!D:D, "Not found!")</f>
        <v>0</v>
      </c>
      <c r="E90" s="6" t="str">
        <f t="shared" si="4"/>
        <v/>
      </c>
      <c r="H90" s="2" t="str">
        <f t="shared" si="3"/>
        <v/>
      </c>
    </row>
    <row r="91" spans="3:8" x14ac:dyDescent="0.3">
      <c r="C91" s="9">
        <f>_xlfn.XLOOKUP(Log!A91, 'Daily Summary'!A:A, 'Daily Summary'!D:D, "Not found!")</f>
        <v>0</v>
      </c>
      <c r="E91" s="6" t="str">
        <f t="shared" si="4"/>
        <v/>
      </c>
      <c r="H91" s="2" t="str">
        <f t="shared" si="3"/>
        <v/>
      </c>
    </row>
    <row r="92" spans="3:8" x14ac:dyDescent="0.3">
      <c r="C92" s="9">
        <f>_xlfn.XLOOKUP(Log!A92, 'Daily Summary'!A:A, 'Daily Summary'!D:D, "Not found!")</f>
        <v>0</v>
      </c>
      <c r="E92" s="6" t="str">
        <f t="shared" si="4"/>
        <v/>
      </c>
      <c r="H92" s="2" t="str">
        <f t="shared" si="3"/>
        <v/>
      </c>
    </row>
    <row r="93" spans="3:8" x14ac:dyDescent="0.3">
      <c r="C93" s="9">
        <f>_xlfn.XLOOKUP(Log!A93, 'Daily Summary'!A:A, 'Daily Summary'!D:D, "Not found!")</f>
        <v>0</v>
      </c>
      <c r="E93" s="6" t="str">
        <f t="shared" si="4"/>
        <v/>
      </c>
      <c r="H93" s="2" t="str">
        <f t="shared" si="3"/>
        <v/>
      </c>
    </row>
    <row r="94" spans="3:8" x14ac:dyDescent="0.3">
      <c r="C94" s="9">
        <f>_xlfn.XLOOKUP(Log!A94, 'Daily Summary'!A:A, 'Daily Summary'!D:D, "Not found!")</f>
        <v>0</v>
      </c>
      <c r="E94" s="6" t="str">
        <f t="shared" si="4"/>
        <v/>
      </c>
      <c r="H94" s="2" t="str">
        <f t="shared" si="3"/>
        <v/>
      </c>
    </row>
    <row r="95" spans="3:8" x14ac:dyDescent="0.3">
      <c r="C95" s="9">
        <f>_xlfn.XLOOKUP(Log!A95, 'Daily Summary'!A:A, 'Daily Summary'!D:D, "Not found!")</f>
        <v>0</v>
      </c>
      <c r="E95" s="6" t="str">
        <f t="shared" si="4"/>
        <v/>
      </c>
      <c r="H95" s="2" t="str">
        <f t="shared" si="3"/>
        <v/>
      </c>
    </row>
    <row r="96" spans="3:8" x14ac:dyDescent="0.3">
      <c r="C96" s="9">
        <f>_xlfn.XLOOKUP(Log!A96, 'Daily Summary'!A:A, 'Daily Summary'!D:D, "Not found!")</f>
        <v>0</v>
      </c>
      <c r="E96" s="6" t="str">
        <f t="shared" si="4"/>
        <v/>
      </c>
      <c r="H96" s="2" t="str">
        <f t="shared" si="3"/>
        <v/>
      </c>
    </row>
    <row r="97" spans="3:8" x14ac:dyDescent="0.3">
      <c r="C97" s="9">
        <f>_xlfn.XLOOKUP(Log!A97, 'Daily Summary'!A:A, 'Daily Summary'!D:D, "Not found!")</f>
        <v>0</v>
      </c>
      <c r="E97" s="6" t="str">
        <f t="shared" si="4"/>
        <v/>
      </c>
      <c r="H97" s="2" t="str">
        <f t="shared" ref="H97:H160" si="5">IF(AND(G97&lt;&gt;"",F97&lt;&gt;""),G97-F97,"")</f>
        <v/>
      </c>
    </row>
    <row r="98" spans="3:8" x14ac:dyDescent="0.3">
      <c r="C98" s="9">
        <f>_xlfn.XLOOKUP(Log!A98, 'Daily Summary'!A:A, 'Daily Summary'!D:D, "Not found!")</f>
        <v>0</v>
      </c>
      <c r="E98" s="6" t="str">
        <f t="shared" si="4"/>
        <v/>
      </c>
      <c r="H98" s="2" t="str">
        <f t="shared" si="5"/>
        <v/>
      </c>
    </row>
    <row r="99" spans="3:8" x14ac:dyDescent="0.3">
      <c r="C99" s="9">
        <f>_xlfn.XLOOKUP(Log!A99, 'Daily Summary'!A:A, 'Daily Summary'!D:D, "Not found!")</f>
        <v>0</v>
      </c>
      <c r="E99" s="6" t="str">
        <f t="shared" si="4"/>
        <v/>
      </c>
      <c r="H99" s="2" t="str">
        <f t="shared" si="5"/>
        <v/>
      </c>
    </row>
    <row r="100" spans="3:8" x14ac:dyDescent="0.3">
      <c r="C100" s="9">
        <f>_xlfn.XLOOKUP(Log!A100, 'Daily Summary'!A:A, 'Daily Summary'!D:D, "Not found!")</f>
        <v>0</v>
      </c>
      <c r="E100" s="6" t="str">
        <f t="shared" si="4"/>
        <v/>
      </c>
      <c r="H100" s="2" t="str">
        <f t="shared" si="5"/>
        <v/>
      </c>
    </row>
    <row r="101" spans="3:8" x14ac:dyDescent="0.3">
      <c r="C101" s="9">
        <f>_xlfn.XLOOKUP(Log!A101, 'Daily Summary'!A:A, 'Daily Summary'!D:D, "Not found!")</f>
        <v>0</v>
      </c>
      <c r="E101" s="6" t="str">
        <f t="shared" si="4"/>
        <v/>
      </c>
      <c r="H101" s="2" t="str">
        <f t="shared" si="5"/>
        <v/>
      </c>
    </row>
    <row r="102" spans="3:8" x14ac:dyDescent="0.3">
      <c r="C102" s="9">
        <f>_xlfn.XLOOKUP(Log!A102, 'Daily Summary'!A:A, 'Daily Summary'!D:D, "Not found!")</f>
        <v>0</v>
      </c>
      <c r="E102" s="6" t="str">
        <f t="shared" si="4"/>
        <v/>
      </c>
      <c r="H102" s="2" t="str">
        <f t="shared" si="5"/>
        <v/>
      </c>
    </row>
    <row r="103" spans="3:8" x14ac:dyDescent="0.3">
      <c r="C103" s="9">
        <f>_xlfn.XLOOKUP(Log!A103, 'Daily Summary'!A:A, 'Daily Summary'!D:D, "Not found!")</f>
        <v>0</v>
      </c>
      <c r="E103" s="6" t="str">
        <f t="shared" si="4"/>
        <v/>
      </c>
      <c r="H103" s="2" t="str">
        <f t="shared" si="5"/>
        <v/>
      </c>
    </row>
    <row r="104" spans="3:8" x14ac:dyDescent="0.3">
      <c r="C104" s="9">
        <f>_xlfn.XLOOKUP(Log!A104, 'Daily Summary'!A:A, 'Daily Summary'!D:D, "Not found!")</f>
        <v>0</v>
      </c>
      <c r="E104" s="6" t="str">
        <f t="shared" si="4"/>
        <v/>
      </c>
      <c r="H104" s="2" t="str">
        <f t="shared" si="5"/>
        <v/>
      </c>
    </row>
    <row r="105" spans="3:8" x14ac:dyDescent="0.3">
      <c r="C105" s="9">
        <f>_xlfn.XLOOKUP(Log!A105, 'Daily Summary'!A:A, 'Daily Summary'!D:D, "Not found!")</f>
        <v>0</v>
      </c>
      <c r="E105" s="6" t="str">
        <f t="shared" si="4"/>
        <v/>
      </c>
      <c r="H105" s="2" t="str">
        <f t="shared" si="5"/>
        <v/>
      </c>
    </row>
    <row r="106" spans="3:8" x14ac:dyDescent="0.3">
      <c r="C106" s="9">
        <f>_xlfn.XLOOKUP(Log!A106, 'Daily Summary'!A:A, 'Daily Summary'!D:D, "Not found!")</f>
        <v>0</v>
      </c>
      <c r="E106" s="6" t="str">
        <f t="shared" si="4"/>
        <v/>
      </c>
      <c r="H106" s="2" t="str">
        <f t="shared" si="5"/>
        <v/>
      </c>
    </row>
    <row r="107" spans="3:8" x14ac:dyDescent="0.3">
      <c r="C107" s="9">
        <f>_xlfn.XLOOKUP(Log!A107, 'Daily Summary'!A:A, 'Daily Summary'!D:D, "Not found!")</f>
        <v>0</v>
      </c>
      <c r="E107" s="6" t="str">
        <f t="shared" si="4"/>
        <v/>
      </c>
      <c r="H107" s="2" t="str">
        <f t="shared" si="5"/>
        <v/>
      </c>
    </row>
    <row r="108" spans="3:8" x14ac:dyDescent="0.3">
      <c r="C108" s="9">
        <f>_xlfn.XLOOKUP(Log!A108, 'Daily Summary'!A:A, 'Daily Summary'!D:D, "Not found!")</f>
        <v>0</v>
      </c>
      <c r="E108" s="6" t="str">
        <f t="shared" si="4"/>
        <v/>
      </c>
      <c r="H108" s="2" t="str">
        <f t="shared" si="5"/>
        <v/>
      </c>
    </row>
    <row r="109" spans="3:8" x14ac:dyDescent="0.3">
      <c r="C109" s="9">
        <f>_xlfn.XLOOKUP(Log!A109, 'Daily Summary'!A:A, 'Daily Summary'!D:D, "Not found!")</f>
        <v>0</v>
      </c>
      <c r="E109" s="6" t="str">
        <f t="shared" si="4"/>
        <v/>
      </c>
      <c r="H109" s="2" t="str">
        <f t="shared" si="5"/>
        <v/>
      </c>
    </row>
    <row r="110" spans="3:8" x14ac:dyDescent="0.3">
      <c r="C110" s="9">
        <f>_xlfn.XLOOKUP(Log!A110, 'Daily Summary'!A:A, 'Daily Summary'!D:D, "Not found!")</f>
        <v>0</v>
      </c>
      <c r="E110" s="6" t="str">
        <f t="shared" si="4"/>
        <v/>
      </c>
      <c r="H110" s="2" t="str">
        <f t="shared" si="5"/>
        <v/>
      </c>
    </row>
    <row r="111" spans="3:8" x14ac:dyDescent="0.3">
      <c r="C111" s="9">
        <f>_xlfn.XLOOKUP(Log!A111, 'Daily Summary'!A:A, 'Daily Summary'!D:D, "Not found!")</f>
        <v>0</v>
      </c>
      <c r="E111" s="6" t="str">
        <f t="shared" si="4"/>
        <v/>
      </c>
      <c r="H111" s="2" t="str">
        <f t="shared" si="5"/>
        <v/>
      </c>
    </row>
    <row r="112" spans="3:8" x14ac:dyDescent="0.3">
      <c r="C112" s="9">
        <f>_xlfn.XLOOKUP(Log!A112, 'Daily Summary'!A:A, 'Daily Summary'!D:D, "Not found!")</f>
        <v>0</v>
      </c>
      <c r="E112" s="6" t="str">
        <f t="shared" si="4"/>
        <v/>
      </c>
      <c r="H112" s="2" t="str">
        <f t="shared" si="5"/>
        <v/>
      </c>
    </row>
    <row r="113" spans="3:8" x14ac:dyDescent="0.3">
      <c r="C113" s="9">
        <f>_xlfn.XLOOKUP(Log!A113, 'Daily Summary'!A:A, 'Daily Summary'!D:D, "Not found!")</f>
        <v>0</v>
      </c>
      <c r="E113" s="6" t="str">
        <f t="shared" si="4"/>
        <v/>
      </c>
      <c r="H113" s="2" t="str">
        <f t="shared" si="5"/>
        <v/>
      </c>
    </row>
    <row r="114" spans="3:8" x14ac:dyDescent="0.3">
      <c r="C114" s="9">
        <f>_xlfn.XLOOKUP(Log!A114, 'Daily Summary'!A:A, 'Daily Summary'!D:D, "Not found!")</f>
        <v>0</v>
      </c>
      <c r="E114" s="6" t="str">
        <f t="shared" si="4"/>
        <v/>
      </c>
      <c r="H114" s="2" t="str">
        <f t="shared" si="5"/>
        <v/>
      </c>
    </row>
    <row r="115" spans="3:8" x14ac:dyDescent="0.3">
      <c r="C115" s="9">
        <f>_xlfn.XLOOKUP(Log!A115, 'Daily Summary'!A:A, 'Daily Summary'!D:D, "Not found!")</f>
        <v>0</v>
      </c>
      <c r="E115" s="6" t="str">
        <f t="shared" si="4"/>
        <v/>
      </c>
      <c r="H115" s="2" t="str">
        <f t="shared" si="5"/>
        <v/>
      </c>
    </row>
    <row r="116" spans="3:8" x14ac:dyDescent="0.3">
      <c r="C116" s="9">
        <f>_xlfn.XLOOKUP(Log!A116, 'Daily Summary'!A:A, 'Daily Summary'!D:D, "Not found!")</f>
        <v>0</v>
      </c>
      <c r="E116" s="6" t="str">
        <f t="shared" si="4"/>
        <v/>
      </c>
      <c r="H116" s="2" t="str">
        <f t="shared" si="5"/>
        <v/>
      </c>
    </row>
    <row r="117" spans="3:8" x14ac:dyDescent="0.3">
      <c r="C117" s="9">
        <f>_xlfn.XLOOKUP(Log!A117, 'Daily Summary'!A:A, 'Daily Summary'!D:D, "Not found!")</f>
        <v>0</v>
      </c>
      <c r="E117" s="6" t="str">
        <f t="shared" si="4"/>
        <v/>
      </c>
      <c r="H117" s="2" t="str">
        <f t="shared" si="5"/>
        <v/>
      </c>
    </row>
    <row r="118" spans="3:8" x14ac:dyDescent="0.3">
      <c r="C118" s="9">
        <f>_xlfn.XLOOKUP(Log!A118, 'Daily Summary'!A:A, 'Daily Summary'!D:D, "Not found!")</f>
        <v>0</v>
      </c>
      <c r="E118" s="6" t="str">
        <f t="shared" si="4"/>
        <v/>
      </c>
      <c r="H118" s="2" t="str">
        <f t="shared" si="5"/>
        <v/>
      </c>
    </row>
    <row r="119" spans="3:8" x14ac:dyDescent="0.3">
      <c r="C119" s="9">
        <f>_xlfn.XLOOKUP(Log!A119, 'Daily Summary'!A:A, 'Daily Summary'!D:D, "Not found!")</f>
        <v>0</v>
      </c>
      <c r="E119" s="6" t="str">
        <f t="shared" si="4"/>
        <v/>
      </c>
      <c r="H119" s="2" t="str">
        <f t="shared" si="5"/>
        <v/>
      </c>
    </row>
    <row r="120" spans="3:8" x14ac:dyDescent="0.3">
      <c r="C120" s="9">
        <f>_xlfn.XLOOKUP(Log!A120, 'Daily Summary'!A:A, 'Daily Summary'!D:D, "Not found!")</f>
        <v>0</v>
      </c>
      <c r="E120" s="6" t="str">
        <f t="shared" si="4"/>
        <v/>
      </c>
      <c r="H120" s="2" t="str">
        <f t="shared" si="5"/>
        <v/>
      </c>
    </row>
    <row r="121" spans="3:8" x14ac:dyDescent="0.3">
      <c r="C121" s="9">
        <f>_xlfn.XLOOKUP(Log!A121, 'Daily Summary'!A:A, 'Daily Summary'!D:D, "Not found!")</f>
        <v>0</v>
      </c>
      <c r="E121" s="6" t="str">
        <f t="shared" si="4"/>
        <v/>
      </c>
      <c r="H121" s="2" t="str">
        <f t="shared" si="5"/>
        <v/>
      </c>
    </row>
    <row r="122" spans="3:8" x14ac:dyDescent="0.3">
      <c r="C122" s="9">
        <f>_xlfn.XLOOKUP(Log!A122, 'Daily Summary'!A:A, 'Daily Summary'!D:D, "Not found!")</f>
        <v>0</v>
      </c>
      <c r="E122" s="6" t="str">
        <f t="shared" si="4"/>
        <v/>
      </c>
      <c r="H122" s="2" t="str">
        <f t="shared" si="5"/>
        <v/>
      </c>
    </row>
    <row r="123" spans="3:8" x14ac:dyDescent="0.3">
      <c r="C123" s="9">
        <f>_xlfn.XLOOKUP(Log!A123, 'Daily Summary'!A:A, 'Daily Summary'!D:D, "Not found!")</f>
        <v>0</v>
      </c>
      <c r="E123" s="6" t="str">
        <f t="shared" si="4"/>
        <v/>
      </c>
      <c r="H123" s="2" t="str">
        <f t="shared" si="5"/>
        <v/>
      </c>
    </row>
    <row r="124" spans="3:8" x14ac:dyDescent="0.3">
      <c r="C124" s="9">
        <f>_xlfn.XLOOKUP(Log!A124, 'Daily Summary'!A:A, 'Daily Summary'!D:D, "Not found!")</f>
        <v>0</v>
      </c>
      <c r="E124" s="6" t="str">
        <f t="shared" si="4"/>
        <v/>
      </c>
      <c r="H124" s="2" t="str">
        <f t="shared" si="5"/>
        <v/>
      </c>
    </row>
    <row r="125" spans="3:8" x14ac:dyDescent="0.3">
      <c r="C125" s="9">
        <f>_xlfn.XLOOKUP(Log!A125, 'Daily Summary'!A:A, 'Daily Summary'!D:D, "Not found!")</f>
        <v>0</v>
      </c>
      <c r="E125" s="6" t="str">
        <f t="shared" si="4"/>
        <v/>
      </c>
      <c r="H125" s="2" t="str">
        <f t="shared" si="5"/>
        <v/>
      </c>
    </row>
    <row r="126" spans="3:8" x14ac:dyDescent="0.3">
      <c r="C126" s="9">
        <f>_xlfn.XLOOKUP(Log!A126, 'Daily Summary'!A:A, 'Daily Summary'!D:D, "Not found!")</f>
        <v>0</v>
      </c>
      <c r="E126" s="6" t="str">
        <f t="shared" si="4"/>
        <v/>
      </c>
      <c r="H126" s="2" t="str">
        <f t="shared" si="5"/>
        <v/>
      </c>
    </row>
    <row r="127" spans="3:8" x14ac:dyDescent="0.3">
      <c r="C127" s="9">
        <f>_xlfn.XLOOKUP(Log!A127, 'Daily Summary'!A:A, 'Daily Summary'!D:D, "Not found!")</f>
        <v>0</v>
      </c>
      <c r="E127" s="6" t="str">
        <f t="shared" si="4"/>
        <v/>
      </c>
      <c r="H127" s="2" t="str">
        <f t="shared" si="5"/>
        <v/>
      </c>
    </row>
    <row r="128" spans="3:8" x14ac:dyDescent="0.3">
      <c r="C128" s="9">
        <f>_xlfn.XLOOKUP(Log!A128, 'Daily Summary'!A:A, 'Daily Summary'!D:D, "Not found!")</f>
        <v>0</v>
      </c>
      <c r="E128" s="6" t="str">
        <f t="shared" si="4"/>
        <v/>
      </c>
      <c r="H128" s="2" t="str">
        <f t="shared" si="5"/>
        <v/>
      </c>
    </row>
    <row r="129" spans="3:8" x14ac:dyDescent="0.3">
      <c r="C129" s="9">
        <f>_xlfn.XLOOKUP(Log!A129, 'Daily Summary'!A:A, 'Daily Summary'!D:D, "Not found!")</f>
        <v>0</v>
      </c>
      <c r="E129" s="6" t="str">
        <f t="shared" si="4"/>
        <v/>
      </c>
      <c r="H129" s="2" t="str">
        <f t="shared" si="5"/>
        <v/>
      </c>
    </row>
    <row r="130" spans="3:8" x14ac:dyDescent="0.3">
      <c r="C130" s="9">
        <f>_xlfn.XLOOKUP(Log!A130, 'Daily Summary'!A:A, 'Daily Summary'!D:D, "Not found!")</f>
        <v>0</v>
      </c>
      <c r="E130" s="6" t="str">
        <f t="shared" si="4"/>
        <v/>
      </c>
      <c r="H130" s="2" t="str">
        <f t="shared" si="5"/>
        <v/>
      </c>
    </row>
    <row r="131" spans="3:8" x14ac:dyDescent="0.3">
      <c r="C131" s="9">
        <f>_xlfn.XLOOKUP(Log!A131, 'Daily Summary'!A:A, 'Daily Summary'!D:D, "Not found!")</f>
        <v>0</v>
      </c>
      <c r="E131" s="6" t="str">
        <f t="shared" ref="E131:E194" si="6">IF(AND($D131&lt;&gt;"", $C131&lt;&gt;""), ($D131-$C131)*1440, "")</f>
        <v/>
      </c>
      <c r="H131" s="2" t="str">
        <f t="shared" si="5"/>
        <v/>
      </c>
    </row>
    <row r="132" spans="3:8" x14ac:dyDescent="0.3">
      <c r="C132" s="9">
        <f>_xlfn.XLOOKUP(Log!A132, 'Daily Summary'!A:A, 'Daily Summary'!D:D, "Not found!")</f>
        <v>0</v>
      </c>
      <c r="E132" s="6" t="str">
        <f t="shared" si="6"/>
        <v/>
      </c>
      <c r="H132" s="2" t="str">
        <f t="shared" si="5"/>
        <v/>
      </c>
    </row>
    <row r="133" spans="3:8" x14ac:dyDescent="0.3">
      <c r="C133" s="9">
        <f>_xlfn.XLOOKUP(Log!A133, 'Daily Summary'!A:A, 'Daily Summary'!D:D, "Not found!")</f>
        <v>0</v>
      </c>
      <c r="E133" s="6" t="str">
        <f t="shared" si="6"/>
        <v/>
      </c>
      <c r="H133" s="2" t="str">
        <f t="shared" si="5"/>
        <v/>
      </c>
    </row>
    <row r="134" spans="3:8" x14ac:dyDescent="0.3">
      <c r="C134" s="9">
        <f>_xlfn.XLOOKUP(Log!A134, 'Daily Summary'!A:A, 'Daily Summary'!D:D, "Not found!")</f>
        <v>0</v>
      </c>
      <c r="E134" s="6" t="str">
        <f t="shared" si="6"/>
        <v/>
      </c>
      <c r="H134" s="2" t="str">
        <f t="shared" si="5"/>
        <v/>
      </c>
    </row>
    <row r="135" spans="3:8" x14ac:dyDescent="0.3">
      <c r="C135" s="9">
        <f>_xlfn.XLOOKUP(Log!A135, 'Daily Summary'!A:A, 'Daily Summary'!D:D, "Not found!")</f>
        <v>0</v>
      </c>
      <c r="E135" s="6" t="str">
        <f t="shared" si="6"/>
        <v/>
      </c>
      <c r="H135" s="2" t="str">
        <f t="shared" si="5"/>
        <v/>
      </c>
    </row>
    <row r="136" spans="3:8" x14ac:dyDescent="0.3">
      <c r="C136" s="9">
        <f>_xlfn.XLOOKUP(Log!A136, 'Daily Summary'!A:A, 'Daily Summary'!D:D, "Not found!")</f>
        <v>0</v>
      </c>
      <c r="E136" s="6" t="str">
        <f t="shared" si="6"/>
        <v/>
      </c>
      <c r="H136" s="2" t="str">
        <f t="shared" si="5"/>
        <v/>
      </c>
    </row>
    <row r="137" spans="3:8" x14ac:dyDescent="0.3">
      <c r="C137" s="9">
        <f>_xlfn.XLOOKUP(Log!A137, 'Daily Summary'!A:A, 'Daily Summary'!D:D, "Not found!")</f>
        <v>0</v>
      </c>
      <c r="E137" s="6" t="str">
        <f t="shared" si="6"/>
        <v/>
      </c>
      <c r="H137" s="2" t="str">
        <f t="shared" si="5"/>
        <v/>
      </c>
    </row>
    <row r="138" spans="3:8" x14ac:dyDescent="0.3">
      <c r="C138" s="9">
        <f>_xlfn.XLOOKUP(Log!A138, 'Daily Summary'!A:A, 'Daily Summary'!D:D, "Not found!")</f>
        <v>0</v>
      </c>
      <c r="E138" s="6" t="str">
        <f t="shared" si="6"/>
        <v/>
      </c>
      <c r="H138" s="2" t="str">
        <f t="shared" si="5"/>
        <v/>
      </c>
    </row>
    <row r="139" spans="3:8" x14ac:dyDescent="0.3">
      <c r="C139" s="9">
        <f>_xlfn.XLOOKUP(Log!A139, 'Daily Summary'!A:A, 'Daily Summary'!D:D, "Not found!")</f>
        <v>0</v>
      </c>
      <c r="E139" s="6" t="str">
        <f t="shared" si="6"/>
        <v/>
      </c>
      <c r="H139" s="2" t="str">
        <f t="shared" si="5"/>
        <v/>
      </c>
    </row>
    <row r="140" spans="3:8" x14ac:dyDescent="0.3">
      <c r="C140" s="9">
        <f>_xlfn.XLOOKUP(Log!A140, 'Daily Summary'!A:A, 'Daily Summary'!D:D, "Not found!")</f>
        <v>0</v>
      </c>
      <c r="E140" s="6" t="str">
        <f t="shared" si="6"/>
        <v/>
      </c>
      <c r="H140" s="2" t="str">
        <f t="shared" si="5"/>
        <v/>
      </c>
    </row>
    <row r="141" spans="3:8" x14ac:dyDescent="0.3">
      <c r="C141" s="9">
        <f>_xlfn.XLOOKUP(Log!A141, 'Daily Summary'!A:A, 'Daily Summary'!D:D, "Not found!")</f>
        <v>0</v>
      </c>
      <c r="E141" s="6" t="str">
        <f t="shared" si="6"/>
        <v/>
      </c>
      <c r="H141" s="2" t="str">
        <f t="shared" si="5"/>
        <v/>
      </c>
    </row>
    <row r="142" spans="3:8" x14ac:dyDescent="0.3">
      <c r="C142" s="9">
        <f>_xlfn.XLOOKUP(Log!A142, 'Daily Summary'!A:A, 'Daily Summary'!D:D, "Not found!")</f>
        <v>0</v>
      </c>
      <c r="E142" s="6" t="str">
        <f t="shared" si="6"/>
        <v/>
      </c>
      <c r="H142" s="2" t="str">
        <f t="shared" si="5"/>
        <v/>
      </c>
    </row>
    <row r="143" spans="3:8" x14ac:dyDescent="0.3">
      <c r="C143" s="9">
        <f>_xlfn.XLOOKUP(Log!A143, 'Daily Summary'!A:A, 'Daily Summary'!D:D, "Not found!")</f>
        <v>0</v>
      </c>
      <c r="E143" s="6" t="str">
        <f t="shared" si="6"/>
        <v/>
      </c>
      <c r="H143" s="2" t="str">
        <f t="shared" si="5"/>
        <v/>
      </c>
    </row>
    <row r="144" spans="3:8" x14ac:dyDescent="0.3">
      <c r="C144" s="9">
        <f>_xlfn.XLOOKUP(Log!A144, 'Daily Summary'!A:A, 'Daily Summary'!D:D, "Not found!")</f>
        <v>0</v>
      </c>
      <c r="E144" s="6" t="str">
        <f t="shared" si="6"/>
        <v/>
      </c>
      <c r="H144" s="2" t="str">
        <f t="shared" si="5"/>
        <v/>
      </c>
    </row>
    <row r="145" spans="3:8" x14ac:dyDescent="0.3">
      <c r="C145" s="9">
        <f>_xlfn.XLOOKUP(Log!A145, 'Daily Summary'!A:A, 'Daily Summary'!D:D, "Not found!")</f>
        <v>0</v>
      </c>
      <c r="E145" s="6" t="str">
        <f t="shared" si="6"/>
        <v/>
      </c>
      <c r="H145" s="2" t="str">
        <f t="shared" si="5"/>
        <v/>
      </c>
    </row>
    <row r="146" spans="3:8" x14ac:dyDescent="0.3">
      <c r="C146" s="9">
        <f>_xlfn.XLOOKUP(Log!A146, 'Daily Summary'!A:A, 'Daily Summary'!D:D, "Not found!")</f>
        <v>0</v>
      </c>
      <c r="E146" s="6" t="str">
        <f t="shared" si="6"/>
        <v/>
      </c>
      <c r="H146" s="2" t="str">
        <f t="shared" si="5"/>
        <v/>
      </c>
    </row>
    <row r="147" spans="3:8" x14ac:dyDescent="0.3">
      <c r="C147" s="9">
        <f>_xlfn.XLOOKUP(Log!A147, 'Daily Summary'!A:A, 'Daily Summary'!D:D, "Not found!")</f>
        <v>0</v>
      </c>
      <c r="E147" s="6" t="str">
        <f t="shared" si="6"/>
        <v/>
      </c>
      <c r="H147" s="2" t="str">
        <f t="shared" si="5"/>
        <v/>
      </c>
    </row>
    <row r="148" spans="3:8" x14ac:dyDescent="0.3">
      <c r="C148" s="9">
        <f>_xlfn.XLOOKUP(Log!A148, 'Daily Summary'!A:A, 'Daily Summary'!D:D, "Not found!")</f>
        <v>0</v>
      </c>
      <c r="E148" s="6" t="str">
        <f t="shared" si="6"/>
        <v/>
      </c>
      <c r="H148" s="2" t="str">
        <f t="shared" si="5"/>
        <v/>
      </c>
    </row>
    <row r="149" spans="3:8" x14ac:dyDescent="0.3">
      <c r="C149" s="9">
        <f>_xlfn.XLOOKUP(Log!A149, 'Daily Summary'!A:A, 'Daily Summary'!D:D, "Not found!")</f>
        <v>0</v>
      </c>
      <c r="E149" s="6" t="str">
        <f t="shared" si="6"/>
        <v/>
      </c>
      <c r="H149" s="2" t="str">
        <f t="shared" si="5"/>
        <v/>
      </c>
    </row>
    <row r="150" spans="3:8" x14ac:dyDescent="0.3">
      <c r="C150" s="9">
        <f>_xlfn.XLOOKUP(Log!A150, 'Daily Summary'!A:A, 'Daily Summary'!D:D, "Not found!")</f>
        <v>0</v>
      </c>
      <c r="E150" s="6" t="str">
        <f t="shared" si="6"/>
        <v/>
      </c>
      <c r="H150" s="2" t="str">
        <f t="shared" si="5"/>
        <v/>
      </c>
    </row>
    <row r="151" spans="3:8" x14ac:dyDescent="0.3">
      <c r="C151" s="9">
        <f>_xlfn.XLOOKUP(Log!A151, 'Daily Summary'!A:A, 'Daily Summary'!D:D, "Not found!")</f>
        <v>0</v>
      </c>
      <c r="E151" s="6" t="str">
        <f t="shared" si="6"/>
        <v/>
      </c>
      <c r="H151" s="2" t="str">
        <f t="shared" si="5"/>
        <v/>
      </c>
    </row>
    <row r="152" spans="3:8" x14ac:dyDescent="0.3">
      <c r="C152" s="9">
        <f>_xlfn.XLOOKUP(Log!A152, 'Daily Summary'!A:A, 'Daily Summary'!D:D, "Not found!")</f>
        <v>0</v>
      </c>
      <c r="E152" s="6" t="str">
        <f t="shared" si="6"/>
        <v/>
      </c>
      <c r="H152" s="2" t="str">
        <f t="shared" si="5"/>
        <v/>
      </c>
    </row>
    <row r="153" spans="3:8" x14ac:dyDescent="0.3">
      <c r="C153" s="9">
        <f>_xlfn.XLOOKUP(Log!A153, 'Daily Summary'!A:A, 'Daily Summary'!D:D, "Not found!")</f>
        <v>0</v>
      </c>
      <c r="E153" s="6" t="str">
        <f t="shared" si="6"/>
        <v/>
      </c>
      <c r="H153" s="2" t="str">
        <f t="shared" si="5"/>
        <v/>
      </c>
    </row>
    <row r="154" spans="3:8" x14ac:dyDescent="0.3">
      <c r="C154" s="9">
        <f>_xlfn.XLOOKUP(Log!A154, 'Daily Summary'!A:A, 'Daily Summary'!D:D, "Not found!")</f>
        <v>0</v>
      </c>
      <c r="E154" s="6" t="str">
        <f t="shared" si="6"/>
        <v/>
      </c>
      <c r="H154" s="2" t="str">
        <f t="shared" si="5"/>
        <v/>
      </c>
    </row>
    <row r="155" spans="3:8" x14ac:dyDescent="0.3">
      <c r="C155" s="9">
        <f>_xlfn.XLOOKUP(Log!A155, 'Daily Summary'!A:A, 'Daily Summary'!D:D, "Not found!")</f>
        <v>0</v>
      </c>
      <c r="E155" s="6" t="str">
        <f t="shared" si="6"/>
        <v/>
      </c>
      <c r="H155" s="2" t="str">
        <f t="shared" si="5"/>
        <v/>
      </c>
    </row>
    <row r="156" spans="3:8" x14ac:dyDescent="0.3">
      <c r="C156" s="9">
        <f>_xlfn.XLOOKUP(Log!A156, 'Daily Summary'!A:A, 'Daily Summary'!D:D, "Not found!")</f>
        <v>0</v>
      </c>
      <c r="E156" s="6" t="str">
        <f t="shared" si="6"/>
        <v/>
      </c>
      <c r="H156" s="2" t="str">
        <f t="shared" si="5"/>
        <v/>
      </c>
    </row>
    <row r="157" spans="3:8" x14ac:dyDescent="0.3">
      <c r="C157" s="9">
        <f>_xlfn.XLOOKUP(Log!A157, 'Daily Summary'!A:A, 'Daily Summary'!D:D, "Not found!")</f>
        <v>0</v>
      </c>
      <c r="E157" s="6" t="str">
        <f t="shared" si="6"/>
        <v/>
      </c>
      <c r="H157" s="2" t="str">
        <f t="shared" si="5"/>
        <v/>
      </c>
    </row>
    <row r="158" spans="3:8" x14ac:dyDescent="0.3">
      <c r="C158" s="9">
        <f>_xlfn.XLOOKUP(Log!A158, 'Daily Summary'!A:A, 'Daily Summary'!D:D, "Not found!")</f>
        <v>0</v>
      </c>
      <c r="E158" s="6" t="str">
        <f t="shared" si="6"/>
        <v/>
      </c>
      <c r="H158" s="2" t="str">
        <f t="shared" si="5"/>
        <v/>
      </c>
    </row>
    <row r="159" spans="3:8" x14ac:dyDescent="0.3">
      <c r="C159" s="9">
        <f>_xlfn.XLOOKUP(Log!A159, 'Daily Summary'!A:A, 'Daily Summary'!D:D, "Not found!")</f>
        <v>0</v>
      </c>
      <c r="E159" s="6" t="str">
        <f t="shared" si="6"/>
        <v/>
      </c>
      <c r="H159" s="2" t="str">
        <f t="shared" si="5"/>
        <v/>
      </c>
    </row>
    <row r="160" spans="3:8" x14ac:dyDescent="0.3">
      <c r="C160" s="9">
        <f>_xlfn.XLOOKUP(Log!A160, 'Daily Summary'!A:A, 'Daily Summary'!D:D, "Not found!")</f>
        <v>0</v>
      </c>
      <c r="E160" s="6" t="str">
        <f t="shared" si="6"/>
        <v/>
      </c>
      <c r="H160" s="2" t="str">
        <f t="shared" si="5"/>
        <v/>
      </c>
    </row>
    <row r="161" spans="3:8" x14ac:dyDescent="0.3">
      <c r="C161" s="9">
        <f>_xlfn.XLOOKUP(Log!A161, 'Daily Summary'!A:A, 'Daily Summary'!D:D, "Not found!")</f>
        <v>0</v>
      </c>
      <c r="E161" s="6" t="str">
        <f t="shared" si="6"/>
        <v/>
      </c>
      <c r="H161" s="2" t="str">
        <f t="shared" ref="H161:H224" si="7">IF(AND(G161&lt;&gt;"",F161&lt;&gt;""),G161-F161,"")</f>
        <v/>
      </c>
    </row>
    <row r="162" spans="3:8" x14ac:dyDescent="0.3">
      <c r="C162" s="9">
        <f>_xlfn.XLOOKUP(Log!A162, 'Daily Summary'!A:A, 'Daily Summary'!D:D, "Not found!")</f>
        <v>0</v>
      </c>
      <c r="E162" s="6" t="str">
        <f t="shared" si="6"/>
        <v/>
      </c>
      <c r="H162" s="2" t="str">
        <f t="shared" si="7"/>
        <v/>
      </c>
    </row>
    <row r="163" spans="3:8" x14ac:dyDescent="0.3">
      <c r="C163" s="9">
        <f>_xlfn.XLOOKUP(Log!A163, 'Daily Summary'!A:A, 'Daily Summary'!D:D, "Not found!")</f>
        <v>0</v>
      </c>
      <c r="E163" s="6" t="str">
        <f t="shared" si="6"/>
        <v/>
      </c>
      <c r="H163" s="2" t="str">
        <f t="shared" si="7"/>
        <v/>
      </c>
    </row>
    <row r="164" spans="3:8" x14ac:dyDescent="0.3">
      <c r="C164" s="9">
        <f>_xlfn.XLOOKUP(Log!A164, 'Daily Summary'!A:A, 'Daily Summary'!D:D, "Not found!")</f>
        <v>0</v>
      </c>
      <c r="E164" s="6" t="str">
        <f t="shared" si="6"/>
        <v/>
      </c>
      <c r="H164" s="2" t="str">
        <f t="shared" si="7"/>
        <v/>
      </c>
    </row>
    <row r="165" spans="3:8" x14ac:dyDescent="0.3">
      <c r="C165" s="9">
        <f>_xlfn.XLOOKUP(Log!A165, 'Daily Summary'!A:A, 'Daily Summary'!D:D, "Not found!")</f>
        <v>0</v>
      </c>
      <c r="E165" s="6" t="str">
        <f t="shared" si="6"/>
        <v/>
      </c>
      <c r="H165" s="2" t="str">
        <f t="shared" si="7"/>
        <v/>
      </c>
    </row>
    <row r="166" spans="3:8" x14ac:dyDescent="0.3">
      <c r="C166" s="9">
        <f>_xlfn.XLOOKUP(Log!A166, 'Daily Summary'!A:A, 'Daily Summary'!D:D, "Not found!")</f>
        <v>0</v>
      </c>
      <c r="E166" s="6" t="str">
        <f t="shared" si="6"/>
        <v/>
      </c>
      <c r="H166" s="2" t="str">
        <f t="shared" si="7"/>
        <v/>
      </c>
    </row>
    <row r="167" spans="3:8" x14ac:dyDescent="0.3">
      <c r="C167" s="9">
        <f>_xlfn.XLOOKUP(Log!A167, 'Daily Summary'!A:A, 'Daily Summary'!D:D, "Not found!")</f>
        <v>0</v>
      </c>
      <c r="E167" s="6" t="str">
        <f t="shared" si="6"/>
        <v/>
      </c>
      <c r="H167" s="2" t="str">
        <f t="shared" si="7"/>
        <v/>
      </c>
    </row>
    <row r="168" spans="3:8" x14ac:dyDescent="0.3">
      <c r="C168" s="9">
        <f>_xlfn.XLOOKUP(Log!A168, 'Daily Summary'!A:A, 'Daily Summary'!D:D, "Not found!")</f>
        <v>0</v>
      </c>
      <c r="E168" s="6" t="str">
        <f t="shared" si="6"/>
        <v/>
      </c>
      <c r="H168" s="2" t="str">
        <f t="shared" si="7"/>
        <v/>
      </c>
    </row>
    <row r="169" spans="3:8" x14ac:dyDescent="0.3">
      <c r="C169" s="9">
        <f>_xlfn.XLOOKUP(Log!A169, 'Daily Summary'!A:A, 'Daily Summary'!D:D, "Not found!")</f>
        <v>0</v>
      </c>
      <c r="E169" s="6" t="str">
        <f t="shared" si="6"/>
        <v/>
      </c>
      <c r="H169" s="2" t="str">
        <f t="shared" si="7"/>
        <v/>
      </c>
    </row>
    <row r="170" spans="3:8" x14ac:dyDescent="0.3">
      <c r="C170" s="9">
        <f>_xlfn.XLOOKUP(Log!A170, 'Daily Summary'!A:A, 'Daily Summary'!D:D, "Not found!")</f>
        <v>0</v>
      </c>
      <c r="E170" s="6" t="str">
        <f t="shared" si="6"/>
        <v/>
      </c>
      <c r="H170" s="2" t="str">
        <f t="shared" si="7"/>
        <v/>
      </c>
    </row>
    <row r="171" spans="3:8" x14ac:dyDescent="0.3">
      <c r="C171" s="9">
        <f>_xlfn.XLOOKUP(Log!A171, 'Daily Summary'!A:A, 'Daily Summary'!D:D, "Not found!")</f>
        <v>0</v>
      </c>
      <c r="E171" s="6" t="str">
        <f t="shared" si="6"/>
        <v/>
      </c>
      <c r="H171" s="2" t="str">
        <f t="shared" si="7"/>
        <v/>
      </c>
    </row>
    <row r="172" spans="3:8" x14ac:dyDescent="0.3">
      <c r="C172" s="9">
        <f>_xlfn.XLOOKUP(Log!A172, 'Daily Summary'!A:A, 'Daily Summary'!D:D, "Not found!")</f>
        <v>0</v>
      </c>
      <c r="E172" s="6" t="str">
        <f t="shared" si="6"/>
        <v/>
      </c>
      <c r="H172" s="2" t="str">
        <f t="shared" si="7"/>
        <v/>
      </c>
    </row>
    <row r="173" spans="3:8" x14ac:dyDescent="0.3">
      <c r="C173" s="9">
        <f>_xlfn.XLOOKUP(Log!A173, 'Daily Summary'!A:A, 'Daily Summary'!D:D, "Not found!")</f>
        <v>0</v>
      </c>
      <c r="E173" s="6" t="str">
        <f t="shared" si="6"/>
        <v/>
      </c>
      <c r="H173" s="2" t="str">
        <f t="shared" si="7"/>
        <v/>
      </c>
    </row>
    <row r="174" spans="3:8" x14ac:dyDescent="0.3">
      <c r="C174" s="9">
        <f>_xlfn.XLOOKUP(Log!A174, 'Daily Summary'!A:A, 'Daily Summary'!D:D, "Not found!")</f>
        <v>0</v>
      </c>
      <c r="E174" s="6" t="str">
        <f t="shared" si="6"/>
        <v/>
      </c>
      <c r="H174" s="2" t="str">
        <f t="shared" si="7"/>
        <v/>
      </c>
    </row>
    <row r="175" spans="3:8" x14ac:dyDescent="0.3">
      <c r="C175" s="9">
        <f>_xlfn.XLOOKUP(Log!A175, 'Daily Summary'!A:A, 'Daily Summary'!D:D, "Not found!")</f>
        <v>0</v>
      </c>
      <c r="E175" s="6" t="str">
        <f t="shared" si="6"/>
        <v/>
      </c>
      <c r="H175" s="2" t="str">
        <f t="shared" si="7"/>
        <v/>
      </c>
    </row>
    <row r="176" spans="3:8" x14ac:dyDescent="0.3">
      <c r="C176" s="9">
        <f>_xlfn.XLOOKUP(Log!A176, 'Daily Summary'!A:A, 'Daily Summary'!D:D, "Not found!")</f>
        <v>0</v>
      </c>
      <c r="E176" s="6" t="str">
        <f t="shared" si="6"/>
        <v/>
      </c>
      <c r="H176" s="2" t="str">
        <f t="shared" si="7"/>
        <v/>
      </c>
    </row>
    <row r="177" spans="3:8" x14ac:dyDescent="0.3">
      <c r="C177" s="9">
        <f>_xlfn.XLOOKUP(Log!A177, 'Daily Summary'!A:A, 'Daily Summary'!D:D, "Not found!")</f>
        <v>0</v>
      </c>
      <c r="E177" s="6" t="str">
        <f t="shared" si="6"/>
        <v/>
      </c>
      <c r="H177" s="2" t="str">
        <f t="shared" si="7"/>
        <v/>
      </c>
    </row>
    <row r="178" spans="3:8" x14ac:dyDescent="0.3">
      <c r="C178" s="9">
        <f>_xlfn.XLOOKUP(Log!A178, 'Daily Summary'!A:A, 'Daily Summary'!D:D, "Not found!")</f>
        <v>0</v>
      </c>
      <c r="E178" s="6" t="str">
        <f t="shared" si="6"/>
        <v/>
      </c>
      <c r="H178" s="2" t="str">
        <f t="shared" si="7"/>
        <v/>
      </c>
    </row>
    <row r="179" spans="3:8" x14ac:dyDescent="0.3">
      <c r="C179" s="9">
        <f>_xlfn.XLOOKUP(Log!A179, 'Daily Summary'!A:A, 'Daily Summary'!D:D, "Not found!")</f>
        <v>0</v>
      </c>
      <c r="E179" s="6" t="str">
        <f t="shared" si="6"/>
        <v/>
      </c>
      <c r="H179" s="2" t="str">
        <f t="shared" si="7"/>
        <v/>
      </c>
    </row>
    <row r="180" spans="3:8" x14ac:dyDescent="0.3">
      <c r="C180" s="9">
        <f>_xlfn.XLOOKUP(Log!A180, 'Daily Summary'!A:A, 'Daily Summary'!D:D, "Not found!")</f>
        <v>0</v>
      </c>
      <c r="E180" s="6" t="str">
        <f t="shared" si="6"/>
        <v/>
      </c>
      <c r="H180" s="2" t="str">
        <f t="shared" si="7"/>
        <v/>
      </c>
    </row>
    <row r="181" spans="3:8" x14ac:dyDescent="0.3">
      <c r="C181" s="9">
        <f>_xlfn.XLOOKUP(Log!A181, 'Daily Summary'!A:A, 'Daily Summary'!D:D, "Not found!")</f>
        <v>0</v>
      </c>
      <c r="E181" s="6" t="str">
        <f t="shared" si="6"/>
        <v/>
      </c>
      <c r="H181" s="2" t="str">
        <f t="shared" si="7"/>
        <v/>
      </c>
    </row>
    <row r="182" spans="3:8" x14ac:dyDescent="0.3">
      <c r="C182" s="9">
        <f>_xlfn.XLOOKUP(Log!A182, 'Daily Summary'!A:A, 'Daily Summary'!D:D, "Not found!")</f>
        <v>0</v>
      </c>
      <c r="E182" s="6" t="str">
        <f t="shared" si="6"/>
        <v/>
      </c>
      <c r="H182" s="2" t="str">
        <f t="shared" si="7"/>
        <v/>
      </c>
    </row>
    <row r="183" spans="3:8" x14ac:dyDescent="0.3">
      <c r="C183" s="9">
        <f>_xlfn.XLOOKUP(Log!A183, 'Daily Summary'!A:A, 'Daily Summary'!D:D, "Not found!")</f>
        <v>0</v>
      </c>
      <c r="E183" s="6" t="str">
        <f t="shared" si="6"/>
        <v/>
      </c>
      <c r="H183" s="2" t="str">
        <f t="shared" si="7"/>
        <v/>
      </c>
    </row>
    <row r="184" spans="3:8" x14ac:dyDescent="0.3">
      <c r="C184" s="9">
        <f>_xlfn.XLOOKUP(Log!A184, 'Daily Summary'!A:A, 'Daily Summary'!D:D, "Not found!")</f>
        <v>0</v>
      </c>
      <c r="E184" s="6" t="str">
        <f t="shared" si="6"/>
        <v/>
      </c>
      <c r="H184" s="2" t="str">
        <f t="shared" si="7"/>
        <v/>
      </c>
    </row>
    <row r="185" spans="3:8" x14ac:dyDescent="0.3">
      <c r="C185" s="9">
        <f>_xlfn.XLOOKUP(Log!A185, 'Daily Summary'!A:A, 'Daily Summary'!D:D, "Not found!")</f>
        <v>0</v>
      </c>
      <c r="E185" s="6" t="str">
        <f t="shared" si="6"/>
        <v/>
      </c>
      <c r="H185" s="2" t="str">
        <f t="shared" si="7"/>
        <v/>
      </c>
    </row>
    <row r="186" spans="3:8" x14ac:dyDescent="0.3">
      <c r="C186" s="9">
        <f>_xlfn.XLOOKUP(Log!A186, 'Daily Summary'!A:A, 'Daily Summary'!D:D, "Not found!")</f>
        <v>0</v>
      </c>
      <c r="E186" s="6" t="str">
        <f t="shared" si="6"/>
        <v/>
      </c>
      <c r="H186" s="2" t="str">
        <f t="shared" si="7"/>
        <v/>
      </c>
    </row>
    <row r="187" spans="3:8" x14ac:dyDescent="0.3">
      <c r="C187" s="9">
        <f>_xlfn.XLOOKUP(Log!A187, 'Daily Summary'!A:A, 'Daily Summary'!D:D, "Not found!")</f>
        <v>0</v>
      </c>
      <c r="E187" s="6" t="str">
        <f t="shared" si="6"/>
        <v/>
      </c>
      <c r="H187" s="2" t="str">
        <f t="shared" si="7"/>
        <v/>
      </c>
    </row>
    <row r="188" spans="3:8" x14ac:dyDescent="0.3">
      <c r="C188" s="9">
        <f>_xlfn.XLOOKUP(Log!A188, 'Daily Summary'!A:A, 'Daily Summary'!D:D, "Not found!")</f>
        <v>0</v>
      </c>
      <c r="E188" s="6" t="str">
        <f t="shared" si="6"/>
        <v/>
      </c>
      <c r="H188" s="2" t="str">
        <f t="shared" si="7"/>
        <v/>
      </c>
    </row>
    <row r="189" spans="3:8" x14ac:dyDescent="0.3">
      <c r="C189" s="9">
        <f>_xlfn.XLOOKUP(Log!A189, 'Daily Summary'!A:A, 'Daily Summary'!D:D, "Not found!")</f>
        <v>0</v>
      </c>
      <c r="E189" s="6" t="str">
        <f t="shared" si="6"/>
        <v/>
      </c>
      <c r="H189" s="2" t="str">
        <f t="shared" si="7"/>
        <v/>
      </c>
    </row>
    <row r="190" spans="3:8" x14ac:dyDescent="0.3">
      <c r="C190" s="9">
        <f>_xlfn.XLOOKUP(Log!A190, 'Daily Summary'!A:A, 'Daily Summary'!D:D, "Not found!")</f>
        <v>0</v>
      </c>
      <c r="E190" s="6" t="str">
        <f t="shared" si="6"/>
        <v/>
      </c>
      <c r="H190" s="2" t="str">
        <f t="shared" si="7"/>
        <v/>
      </c>
    </row>
    <row r="191" spans="3:8" x14ac:dyDescent="0.3">
      <c r="C191" s="9">
        <f>_xlfn.XLOOKUP(Log!A191, 'Daily Summary'!A:A, 'Daily Summary'!D:D, "Not found!")</f>
        <v>0</v>
      </c>
      <c r="E191" s="6" t="str">
        <f t="shared" si="6"/>
        <v/>
      </c>
      <c r="H191" s="2" t="str">
        <f t="shared" si="7"/>
        <v/>
      </c>
    </row>
    <row r="192" spans="3:8" x14ac:dyDescent="0.3">
      <c r="C192" s="9">
        <f>_xlfn.XLOOKUP(Log!A192, 'Daily Summary'!A:A, 'Daily Summary'!D:D, "Not found!")</f>
        <v>0</v>
      </c>
      <c r="E192" s="6" t="str">
        <f t="shared" si="6"/>
        <v/>
      </c>
      <c r="H192" s="2" t="str">
        <f t="shared" si="7"/>
        <v/>
      </c>
    </row>
    <row r="193" spans="3:8" x14ac:dyDescent="0.3">
      <c r="C193" s="9">
        <f>_xlfn.XLOOKUP(Log!A193, 'Daily Summary'!A:A, 'Daily Summary'!D:D, "Not found!")</f>
        <v>0</v>
      </c>
      <c r="E193" s="6" t="str">
        <f t="shared" si="6"/>
        <v/>
      </c>
      <c r="H193" s="2" t="str">
        <f t="shared" si="7"/>
        <v/>
      </c>
    </row>
    <row r="194" spans="3:8" x14ac:dyDescent="0.3">
      <c r="C194" s="9">
        <f>_xlfn.XLOOKUP(Log!A194, 'Daily Summary'!A:A, 'Daily Summary'!D:D, "Not found!")</f>
        <v>0</v>
      </c>
      <c r="E194" s="6" t="str">
        <f t="shared" si="6"/>
        <v/>
      </c>
      <c r="H194" s="2" t="str">
        <f t="shared" si="7"/>
        <v/>
      </c>
    </row>
    <row r="195" spans="3:8" x14ac:dyDescent="0.3">
      <c r="C195" s="9">
        <f>_xlfn.XLOOKUP(Log!A195, 'Daily Summary'!A:A, 'Daily Summary'!D:D, "Not found!")</f>
        <v>0</v>
      </c>
      <c r="E195" s="6" t="str">
        <f t="shared" ref="E195:E258" si="8">IF(AND($D195&lt;&gt;"", $C195&lt;&gt;""), ($D195-$C195)*1440, "")</f>
        <v/>
      </c>
      <c r="H195" s="2" t="str">
        <f t="shared" si="7"/>
        <v/>
      </c>
    </row>
    <row r="196" spans="3:8" x14ac:dyDescent="0.3">
      <c r="C196" s="9">
        <f>_xlfn.XLOOKUP(Log!A196, 'Daily Summary'!A:A, 'Daily Summary'!D:D, "Not found!")</f>
        <v>0</v>
      </c>
      <c r="E196" s="6" t="str">
        <f t="shared" si="8"/>
        <v/>
      </c>
      <c r="H196" s="2" t="str">
        <f t="shared" si="7"/>
        <v/>
      </c>
    </row>
    <row r="197" spans="3:8" x14ac:dyDescent="0.3">
      <c r="C197" s="9">
        <f>_xlfn.XLOOKUP(Log!A197, 'Daily Summary'!A:A, 'Daily Summary'!D:D, "Not found!")</f>
        <v>0</v>
      </c>
      <c r="E197" s="6" t="str">
        <f t="shared" si="8"/>
        <v/>
      </c>
      <c r="H197" s="2" t="str">
        <f t="shared" si="7"/>
        <v/>
      </c>
    </row>
    <row r="198" spans="3:8" x14ac:dyDescent="0.3">
      <c r="C198" s="9">
        <f>_xlfn.XLOOKUP(Log!A198, 'Daily Summary'!A:A, 'Daily Summary'!D:D, "Not found!")</f>
        <v>0</v>
      </c>
      <c r="E198" s="6" t="str">
        <f t="shared" si="8"/>
        <v/>
      </c>
      <c r="H198" s="2" t="str">
        <f t="shared" si="7"/>
        <v/>
      </c>
    </row>
    <row r="199" spans="3:8" x14ac:dyDescent="0.3">
      <c r="C199" s="9">
        <f>_xlfn.XLOOKUP(Log!A199, 'Daily Summary'!A:A, 'Daily Summary'!D:D, "Not found!")</f>
        <v>0</v>
      </c>
      <c r="E199" s="6" t="str">
        <f t="shared" si="8"/>
        <v/>
      </c>
      <c r="H199" s="2" t="str">
        <f t="shared" si="7"/>
        <v/>
      </c>
    </row>
    <row r="200" spans="3:8" x14ac:dyDescent="0.3">
      <c r="C200" s="9">
        <f>_xlfn.XLOOKUP(Log!A200, 'Daily Summary'!A:A, 'Daily Summary'!D:D, "Not found!")</f>
        <v>0</v>
      </c>
      <c r="E200" s="6" t="str">
        <f t="shared" si="8"/>
        <v/>
      </c>
      <c r="H200" s="2" t="str">
        <f t="shared" si="7"/>
        <v/>
      </c>
    </row>
    <row r="201" spans="3:8" x14ac:dyDescent="0.3">
      <c r="C201" s="9">
        <f>_xlfn.XLOOKUP(Log!A201, 'Daily Summary'!A:A, 'Daily Summary'!D:D, "Not found!")</f>
        <v>0</v>
      </c>
      <c r="E201" s="6" t="str">
        <f t="shared" si="8"/>
        <v/>
      </c>
      <c r="H201" s="2" t="str">
        <f t="shared" si="7"/>
        <v/>
      </c>
    </row>
    <row r="202" spans="3:8" x14ac:dyDescent="0.3">
      <c r="C202" s="9">
        <f>_xlfn.XLOOKUP(Log!A202, 'Daily Summary'!A:A, 'Daily Summary'!D:D, "Not found!")</f>
        <v>0</v>
      </c>
      <c r="E202" s="6" t="str">
        <f t="shared" si="8"/>
        <v/>
      </c>
      <c r="H202" s="2" t="str">
        <f t="shared" si="7"/>
        <v/>
      </c>
    </row>
    <row r="203" spans="3:8" x14ac:dyDescent="0.3">
      <c r="C203" s="9">
        <f>_xlfn.XLOOKUP(Log!A203, 'Daily Summary'!A:A, 'Daily Summary'!D:D, "Not found!")</f>
        <v>0</v>
      </c>
      <c r="E203" s="6" t="str">
        <f t="shared" si="8"/>
        <v/>
      </c>
      <c r="H203" s="2" t="str">
        <f t="shared" si="7"/>
        <v/>
      </c>
    </row>
    <row r="204" spans="3:8" x14ac:dyDescent="0.3">
      <c r="C204" s="9">
        <f>_xlfn.XLOOKUP(Log!A204, 'Daily Summary'!A:A, 'Daily Summary'!D:D, "Not found!")</f>
        <v>0</v>
      </c>
      <c r="E204" s="6" t="str">
        <f t="shared" si="8"/>
        <v/>
      </c>
      <c r="H204" s="2" t="str">
        <f t="shared" si="7"/>
        <v/>
      </c>
    </row>
    <row r="205" spans="3:8" x14ac:dyDescent="0.3">
      <c r="C205" s="9">
        <f>_xlfn.XLOOKUP(Log!A205, 'Daily Summary'!A:A, 'Daily Summary'!D:D, "Not found!")</f>
        <v>0</v>
      </c>
      <c r="E205" s="6" t="str">
        <f t="shared" si="8"/>
        <v/>
      </c>
      <c r="H205" s="2" t="str">
        <f t="shared" si="7"/>
        <v/>
      </c>
    </row>
    <row r="206" spans="3:8" x14ac:dyDescent="0.3">
      <c r="C206" s="9">
        <f>_xlfn.XLOOKUP(Log!A206, 'Daily Summary'!A:A, 'Daily Summary'!D:D, "Not found!")</f>
        <v>0</v>
      </c>
      <c r="E206" s="6" t="str">
        <f t="shared" si="8"/>
        <v/>
      </c>
      <c r="H206" s="2" t="str">
        <f t="shared" si="7"/>
        <v/>
      </c>
    </row>
    <row r="207" spans="3:8" x14ac:dyDescent="0.3">
      <c r="C207" s="9">
        <f>_xlfn.XLOOKUP(Log!A207, 'Daily Summary'!A:A, 'Daily Summary'!D:D, "Not found!")</f>
        <v>0</v>
      </c>
      <c r="E207" s="6" t="str">
        <f t="shared" si="8"/>
        <v/>
      </c>
      <c r="H207" s="2" t="str">
        <f t="shared" si="7"/>
        <v/>
      </c>
    </row>
    <row r="208" spans="3:8" x14ac:dyDescent="0.3">
      <c r="C208" s="9">
        <f>_xlfn.XLOOKUP(Log!A208, 'Daily Summary'!A:A, 'Daily Summary'!D:D, "Not found!")</f>
        <v>0</v>
      </c>
      <c r="E208" s="6" t="str">
        <f t="shared" si="8"/>
        <v/>
      </c>
      <c r="H208" s="2" t="str">
        <f t="shared" si="7"/>
        <v/>
      </c>
    </row>
    <row r="209" spans="3:8" x14ac:dyDescent="0.3">
      <c r="C209" s="9">
        <f>_xlfn.XLOOKUP(Log!A209, 'Daily Summary'!A:A, 'Daily Summary'!D:D, "Not found!")</f>
        <v>0</v>
      </c>
      <c r="E209" s="6" t="str">
        <f t="shared" si="8"/>
        <v/>
      </c>
      <c r="H209" s="2" t="str">
        <f t="shared" si="7"/>
        <v/>
      </c>
    </row>
    <row r="210" spans="3:8" x14ac:dyDescent="0.3">
      <c r="C210" s="9">
        <f>_xlfn.XLOOKUP(Log!A210, 'Daily Summary'!A:A, 'Daily Summary'!D:D, "Not found!")</f>
        <v>0</v>
      </c>
      <c r="E210" s="6" t="str">
        <f t="shared" si="8"/>
        <v/>
      </c>
      <c r="H210" s="2" t="str">
        <f t="shared" si="7"/>
        <v/>
      </c>
    </row>
    <row r="211" spans="3:8" x14ac:dyDescent="0.3">
      <c r="C211" s="9">
        <f>_xlfn.XLOOKUP(Log!A211, 'Daily Summary'!A:A, 'Daily Summary'!D:D, "Not found!")</f>
        <v>0</v>
      </c>
      <c r="E211" s="6" t="str">
        <f t="shared" si="8"/>
        <v/>
      </c>
      <c r="H211" s="2" t="str">
        <f t="shared" si="7"/>
        <v/>
      </c>
    </row>
    <row r="212" spans="3:8" x14ac:dyDescent="0.3">
      <c r="C212" s="9">
        <f>_xlfn.XLOOKUP(Log!A212, 'Daily Summary'!A:A, 'Daily Summary'!D:D, "Not found!")</f>
        <v>0</v>
      </c>
      <c r="E212" s="6" t="str">
        <f t="shared" si="8"/>
        <v/>
      </c>
      <c r="H212" s="2" t="str">
        <f t="shared" si="7"/>
        <v/>
      </c>
    </row>
    <row r="213" spans="3:8" x14ac:dyDescent="0.3">
      <c r="C213" s="9">
        <f>_xlfn.XLOOKUP(Log!A213, 'Daily Summary'!A:A, 'Daily Summary'!D:D, "Not found!")</f>
        <v>0</v>
      </c>
      <c r="E213" s="6" t="str">
        <f t="shared" si="8"/>
        <v/>
      </c>
      <c r="H213" s="2" t="str">
        <f t="shared" si="7"/>
        <v/>
      </c>
    </row>
    <row r="214" spans="3:8" x14ac:dyDescent="0.3">
      <c r="C214" s="9">
        <f>_xlfn.XLOOKUP(Log!A214, 'Daily Summary'!A:A, 'Daily Summary'!D:D, "Not found!")</f>
        <v>0</v>
      </c>
      <c r="E214" s="6" t="str">
        <f t="shared" si="8"/>
        <v/>
      </c>
      <c r="H214" s="2" t="str">
        <f t="shared" si="7"/>
        <v/>
      </c>
    </row>
    <row r="215" spans="3:8" x14ac:dyDescent="0.3">
      <c r="C215" s="9">
        <f>_xlfn.XLOOKUP(Log!A215, 'Daily Summary'!A:A, 'Daily Summary'!D:D, "Not found!")</f>
        <v>0</v>
      </c>
      <c r="E215" s="6" t="str">
        <f t="shared" si="8"/>
        <v/>
      </c>
      <c r="H215" s="2" t="str">
        <f t="shared" si="7"/>
        <v/>
      </c>
    </row>
    <row r="216" spans="3:8" x14ac:dyDescent="0.3">
      <c r="C216" s="9">
        <f>_xlfn.XLOOKUP(Log!A216, 'Daily Summary'!A:A, 'Daily Summary'!D:D, "Not found!")</f>
        <v>0</v>
      </c>
      <c r="E216" s="6" t="str">
        <f t="shared" si="8"/>
        <v/>
      </c>
      <c r="H216" s="2" t="str">
        <f t="shared" si="7"/>
        <v/>
      </c>
    </row>
    <row r="217" spans="3:8" x14ac:dyDescent="0.3">
      <c r="C217" s="9">
        <f>_xlfn.XLOOKUP(Log!A217, 'Daily Summary'!A:A, 'Daily Summary'!D:D, "Not found!")</f>
        <v>0</v>
      </c>
      <c r="E217" s="6" t="str">
        <f t="shared" si="8"/>
        <v/>
      </c>
      <c r="H217" s="2" t="str">
        <f t="shared" si="7"/>
        <v/>
      </c>
    </row>
    <row r="218" spans="3:8" x14ac:dyDescent="0.3">
      <c r="C218" s="9">
        <f>_xlfn.XLOOKUP(Log!A218, 'Daily Summary'!A:A, 'Daily Summary'!D:D, "Not found!")</f>
        <v>0</v>
      </c>
      <c r="E218" s="6" t="str">
        <f t="shared" si="8"/>
        <v/>
      </c>
      <c r="H218" s="2" t="str">
        <f t="shared" si="7"/>
        <v/>
      </c>
    </row>
    <row r="219" spans="3:8" x14ac:dyDescent="0.3">
      <c r="C219" s="9">
        <f>_xlfn.XLOOKUP(Log!A219, 'Daily Summary'!A:A, 'Daily Summary'!D:D, "Not found!")</f>
        <v>0</v>
      </c>
      <c r="E219" s="6" t="str">
        <f t="shared" si="8"/>
        <v/>
      </c>
      <c r="H219" s="2" t="str">
        <f t="shared" si="7"/>
        <v/>
      </c>
    </row>
    <row r="220" spans="3:8" x14ac:dyDescent="0.3">
      <c r="C220" s="9">
        <f>_xlfn.XLOOKUP(Log!A220, 'Daily Summary'!A:A, 'Daily Summary'!D:D, "Not found!")</f>
        <v>0</v>
      </c>
      <c r="E220" s="6" t="str">
        <f t="shared" si="8"/>
        <v/>
      </c>
      <c r="H220" s="2" t="str">
        <f t="shared" si="7"/>
        <v/>
      </c>
    </row>
    <row r="221" spans="3:8" x14ac:dyDescent="0.3">
      <c r="C221" s="9">
        <f>_xlfn.XLOOKUP(Log!A221, 'Daily Summary'!A:A, 'Daily Summary'!D:D, "Not found!")</f>
        <v>0</v>
      </c>
      <c r="E221" s="6" t="str">
        <f t="shared" si="8"/>
        <v/>
      </c>
      <c r="H221" s="2" t="str">
        <f t="shared" si="7"/>
        <v/>
      </c>
    </row>
    <row r="222" spans="3:8" x14ac:dyDescent="0.3">
      <c r="C222" s="9">
        <f>_xlfn.XLOOKUP(Log!A222, 'Daily Summary'!A:A, 'Daily Summary'!D:D, "Not found!")</f>
        <v>0</v>
      </c>
      <c r="E222" s="6" t="str">
        <f t="shared" si="8"/>
        <v/>
      </c>
      <c r="H222" s="2" t="str">
        <f t="shared" si="7"/>
        <v/>
      </c>
    </row>
    <row r="223" spans="3:8" x14ac:dyDescent="0.3">
      <c r="C223" s="9">
        <f>_xlfn.XLOOKUP(Log!A223, 'Daily Summary'!A:A, 'Daily Summary'!D:D, "Not found!")</f>
        <v>0</v>
      </c>
      <c r="E223" s="6" t="str">
        <f t="shared" si="8"/>
        <v/>
      </c>
      <c r="H223" s="2" t="str">
        <f t="shared" si="7"/>
        <v/>
      </c>
    </row>
    <row r="224" spans="3:8" x14ac:dyDescent="0.3">
      <c r="C224" s="9">
        <f>_xlfn.XLOOKUP(Log!A224, 'Daily Summary'!A:A, 'Daily Summary'!D:D, "Not found!")</f>
        <v>0</v>
      </c>
      <c r="E224" s="6" t="str">
        <f t="shared" si="8"/>
        <v/>
      </c>
      <c r="H224" s="2" t="str">
        <f t="shared" si="7"/>
        <v/>
      </c>
    </row>
    <row r="225" spans="3:8" x14ac:dyDescent="0.3">
      <c r="C225" s="9">
        <f>_xlfn.XLOOKUP(Log!A225, 'Daily Summary'!A:A, 'Daily Summary'!D:D, "Not found!")</f>
        <v>0</v>
      </c>
      <c r="E225" s="6" t="str">
        <f t="shared" si="8"/>
        <v/>
      </c>
      <c r="H225" s="2" t="str">
        <f t="shared" ref="H225:H288" si="9">IF(AND(G225&lt;&gt;"",F225&lt;&gt;""),G225-F225,"")</f>
        <v/>
      </c>
    </row>
    <row r="226" spans="3:8" x14ac:dyDescent="0.3">
      <c r="C226" s="9">
        <f>_xlfn.XLOOKUP(Log!A226, 'Daily Summary'!A:A, 'Daily Summary'!D:D, "Not found!")</f>
        <v>0</v>
      </c>
      <c r="E226" s="6" t="str">
        <f t="shared" si="8"/>
        <v/>
      </c>
      <c r="H226" s="2" t="str">
        <f t="shared" si="9"/>
        <v/>
      </c>
    </row>
    <row r="227" spans="3:8" x14ac:dyDescent="0.3">
      <c r="C227" s="9">
        <f>_xlfn.XLOOKUP(Log!A227, 'Daily Summary'!A:A, 'Daily Summary'!D:D, "Not found!")</f>
        <v>0</v>
      </c>
      <c r="E227" s="6" t="str">
        <f t="shared" si="8"/>
        <v/>
      </c>
      <c r="H227" s="2" t="str">
        <f t="shared" si="9"/>
        <v/>
      </c>
    </row>
    <row r="228" spans="3:8" x14ac:dyDescent="0.3">
      <c r="C228" s="9">
        <f>_xlfn.XLOOKUP(Log!A228, 'Daily Summary'!A:A, 'Daily Summary'!D:D, "Not found!")</f>
        <v>0</v>
      </c>
      <c r="E228" s="6" t="str">
        <f t="shared" si="8"/>
        <v/>
      </c>
      <c r="H228" s="2" t="str">
        <f t="shared" si="9"/>
        <v/>
      </c>
    </row>
    <row r="229" spans="3:8" x14ac:dyDescent="0.3">
      <c r="C229" s="9">
        <f>_xlfn.XLOOKUP(Log!A229, 'Daily Summary'!A:A, 'Daily Summary'!D:D, "Not found!")</f>
        <v>0</v>
      </c>
      <c r="E229" s="6" t="str">
        <f t="shared" si="8"/>
        <v/>
      </c>
      <c r="H229" s="2" t="str">
        <f t="shared" si="9"/>
        <v/>
      </c>
    </row>
    <row r="230" spans="3:8" x14ac:dyDescent="0.3">
      <c r="C230" s="9">
        <f>_xlfn.XLOOKUP(Log!A230, 'Daily Summary'!A:A, 'Daily Summary'!D:D, "Not found!")</f>
        <v>0</v>
      </c>
      <c r="E230" s="6" t="str">
        <f t="shared" si="8"/>
        <v/>
      </c>
      <c r="H230" s="2" t="str">
        <f t="shared" si="9"/>
        <v/>
      </c>
    </row>
    <row r="231" spans="3:8" x14ac:dyDescent="0.3">
      <c r="C231" s="9">
        <f>_xlfn.XLOOKUP(Log!A231, 'Daily Summary'!A:A, 'Daily Summary'!D:D, "Not found!")</f>
        <v>0</v>
      </c>
      <c r="E231" s="6" t="str">
        <f t="shared" si="8"/>
        <v/>
      </c>
      <c r="H231" s="2" t="str">
        <f t="shared" si="9"/>
        <v/>
      </c>
    </row>
    <row r="232" spans="3:8" x14ac:dyDescent="0.3">
      <c r="C232" s="9">
        <f>_xlfn.XLOOKUP(Log!A232, 'Daily Summary'!A:A, 'Daily Summary'!D:D, "Not found!")</f>
        <v>0</v>
      </c>
      <c r="E232" s="6" t="str">
        <f t="shared" si="8"/>
        <v/>
      </c>
      <c r="H232" s="2" t="str">
        <f t="shared" si="9"/>
        <v/>
      </c>
    </row>
    <row r="233" spans="3:8" x14ac:dyDescent="0.3">
      <c r="C233" s="9">
        <f>_xlfn.XLOOKUP(Log!A233, 'Daily Summary'!A:A, 'Daily Summary'!D:D, "Not found!")</f>
        <v>0</v>
      </c>
      <c r="E233" s="6" t="str">
        <f t="shared" si="8"/>
        <v/>
      </c>
      <c r="H233" s="2" t="str">
        <f t="shared" si="9"/>
        <v/>
      </c>
    </row>
    <row r="234" spans="3:8" x14ac:dyDescent="0.3">
      <c r="C234" s="9">
        <f>_xlfn.XLOOKUP(Log!A234, 'Daily Summary'!A:A, 'Daily Summary'!D:D, "Not found!")</f>
        <v>0</v>
      </c>
      <c r="E234" s="6" t="str">
        <f t="shared" si="8"/>
        <v/>
      </c>
      <c r="H234" s="2" t="str">
        <f t="shared" si="9"/>
        <v/>
      </c>
    </row>
    <row r="235" spans="3:8" x14ac:dyDescent="0.3">
      <c r="C235" s="9">
        <f>_xlfn.XLOOKUP(Log!A235, 'Daily Summary'!A:A, 'Daily Summary'!D:D, "Not found!")</f>
        <v>0</v>
      </c>
      <c r="E235" s="6" t="str">
        <f t="shared" si="8"/>
        <v/>
      </c>
      <c r="H235" s="2" t="str">
        <f t="shared" si="9"/>
        <v/>
      </c>
    </row>
    <row r="236" spans="3:8" x14ac:dyDescent="0.3">
      <c r="C236" s="9">
        <f>_xlfn.XLOOKUP(Log!A236, 'Daily Summary'!A:A, 'Daily Summary'!D:D, "Not found!")</f>
        <v>0</v>
      </c>
      <c r="E236" s="6" t="str">
        <f t="shared" si="8"/>
        <v/>
      </c>
      <c r="H236" s="2" t="str">
        <f t="shared" si="9"/>
        <v/>
      </c>
    </row>
    <row r="237" spans="3:8" x14ac:dyDescent="0.3">
      <c r="C237" s="9">
        <f>_xlfn.XLOOKUP(Log!A237, 'Daily Summary'!A:A, 'Daily Summary'!D:D, "Not found!")</f>
        <v>0</v>
      </c>
      <c r="E237" s="6" t="str">
        <f t="shared" si="8"/>
        <v/>
      </c>
      <c r="H237" s="2" t="str">
        <f t="shared" si="9"/>
        <v/>
      </c>
    </row>
    <row r="238" spans="3:8" x14ac:dyDescent="0.3">
      <c r="C238" s="9">
        <f>_xlfn.XLOOKUP(Log!A238, 'Daily Summary'!A:A, 'Daily Summary'!D:D, "Not found!")</f>
        <v>0</v>
      </c>
      <c r="E238" s="6" t="str">
        <f t="shared" si="8"/>
        <v/>
      </c>
      <c r="H238" s="2" t="str">
        <f t="shared" si="9"/>
        <v/>
      </c>
    </row>
    <row r="239" spans="3:8" x14ac:dyDescent="0.3">
      <c r="C239" s="9">
        <f>_xlfn.XLOOKUP(Log!A239, 'Daily Summary'!A:A, 'Daily Summary'!D:D, "Not found!")</f>
        <v>0</v>
      </c>
      <c r="E239" s="6" t="str">
        <f t="shared" si="8"/>
        <v/>
      </c>
      <c r="H239" s="2" t="str">
        <f t="shared" si="9"/>
        <v/>
      </c>
    </row>
    <row r="240" spans="3:8" x14ac:dyDescent="0.3">
      <c r="C240" s="9">
        <f>_xlfn.XLOOKUP(Log!A240, 'Daily Summary'!A:A, 'Daily Summary'!D:D, "Not found!")</f>
        <v>0</v>
      </c>
      <c r="E240" s="6" t="str">
        <f t="shared" si="8"/>
        <v/>
      </c>
      <c r="H240" s="2" t="str">
        <f t="shared" si="9"/>
        <v/>
      </c>
    </row>
    <row r="241" spans="3:8" x14ac:dyDescent="0.3">
      <c r="C241" s="9">
        <f>_xlfn.XLOOKUP(Log!A241, 'Daily Summary'!A:A, 'Daily Summary'!D:D, "Not found!")</f>
        <v>0</v>
      </c>
      <c r="E241" s="6" t="str">
        <f t="shared" si="8"/>
        <v/>
      </c>
      <c r="H241" s="2" t="str">
        <f t="shared" si="9"/>
        <v/>
      </c>
    </row>
    <row r="242" spans="3:8" x14ac:dyDescent="0.3">
      <c r="C242" s="9">
        <f>_xlfn.XLOOKUP(Log!A242, 'Daily Summary'!A:A, 'Daily Summary'!D:D, "Not found!")</f>
        <v>0</v>
      </c>
      <c r="E242" s="6" t="str">
        <f t="shared" si="8"/>
        <v/>
      </c>
      <c r="H242" s="2" t="str">
        <f t="shared" si="9"/>
        <v/>
      </c>
    </row>
    <row r="243" spans="3:8" x14ac:dyDescent="0.3">
      <c r="C243" s="9">
        <f>_xlfn.XLOOKUP(Log!A243, 'Daily Summary'!A:A, 'Daily Summary'!D:D, "Not found!")</f>
        <v>0</v>
      </c>
      <c r="E243" s="6" t="str">
        <f t="shared" si="8"/>
        <v/>
      </c>
      <c r="H243" s="2" t="str">
        <f t="shared" si="9"/>
        <v/>
      </c>
    </row>
    <row r="244" spans="3:8" x14ac:dyDescent="0.3">
      <c r="C244" s="9">
        <f>_xlfn.XLOOKUP(Log!A244, 'Daily Summary'!A:A, 'Daily Summary'!D:D, "Not found!")</f>
        <v>0</v>
      </c>
      <c r="E244" s="6" t="str">
        <f t="shared" si="8"/>
        <v/>
      </c>
      <c r="H244" s="2" t="str">
        <f t="shared" si="9"/>
        <v/>
      </c>
    </row>
    <row r="245" spans="3:8" x14ac:dyDescent="0.3">
      <c r="C245" s="9">
        <f>_xlfn.XLOOKUP(Log!A245, 'Daily Summary'!A:A, 'Daily Summary'!D:D, "Not found!")</f>
        <v>0</v>
      </c>
      <c r="E245" s="6" t="str">
        <f t="shared" si="8"/>
        <v/>
      </c>
      <c r="H245" s="2" t="str">
        <f t="shared" si="9"/>
        <v/>
      </c>
    </row>
    <row r="246" spans="3:8" x14ac:dyDescent="0.3">
      <c r="C246" s="9">
        <f>_xlfn.XLOOKUP(Log!A246, 'Daily Summary'!A:A, 'Daily Summary'!D:D, "Not found!")</f>
        <v>0</v>
      </c>
      <c r="E246" s="6" t="str">
        <f t="shared" si="8"/>
        <v/>
      </c>
      <c r="H246" s="2" t="str">
        <f t="shared" si="9"/>
        <v/>
      </c>
    </row>
    <row r="247" spans="3:8" x14ac:dyDescent="0.3">
      <c r="C247" s="9">
        <f>_xlfn.XLOOKUP(Log!A247, 'Daily Summary'!A:A, 'Daily Summary'!D:D, "Not found!")</f>
        <v>0</v>
      </c>
      <c r="E247" s="6" t="str">
        <f t="shared" si="8"/>
        <v/>
      </c>
      <c r="H247" s="2" t="str">
        <f t="shared" si="9"/>
        <v/>
      </c>
    </row>
    <row r="248" spans="3:8" x14ac:dyDescent="0.3">
      <c r="C248" s="9">
        <f>_xlfn.XLOOKUP(Log!A248, 'Daily Summary'!A:A, 'Daily Summary'!D:D, "Not found!")</f>
        <v>0</v>
      </c>
      <c r="E248" s="6" t="str">
        <f t="shared" si="8"/>
        <v/>
      </c>
      <c r="H248" s="2" t="str">
        <f t="shared" si="9"/>
        <v/>
      </c>
    </row>
    <row r="249" spans="3:8" x14ac:dyDescent="0.3">
      <c r="C249" s="9">
        <f>_xlfn.XLOOKUP(Log!A249, 'Daily Summary'!A:A, 'Daily Summary'!D:D, "Not found!")</f>
        <v>0</v>
      </c>
      <c r="E249" s="6" t="str">
        <f t="shared" si="8"/>
        <v/>
      </c>
      <c r="H249" s="2" t="str">
        <f t="shared" si="9"/>
        <v/>
      </c>
    </row>
    <row r="250" spans="3:8" x14ac:dyDescent="0.3">
      <c r="C250" s="9">
        <f>_xlfn.XLOOKUP(Log!A250, 'Daily Summary'!A:A, 'Daily Summary'!D:D, "Not found!")</f>
        <v>0</v>
      </c>
      <c r="E250" s="6" t="str">
        <f t="shared" si="8"/>
        <v/>
      </c>
      <c r="H250" s="2" t="str">
        <f t="shared" si="9"/>
        <v/>
      </c>
    </row>
    <row r="251" spans="3:8" x14ac:dyDescent="0.3">
      <c r="C251" s="9">
        <f>_xlfn.XLOOKUP(Log!A251, 'Daily Summary'!A:A, 'Daily Summary'!D:D, "Not found!")</f>
        <v>0</v>
      </c>
      <c r="E251" s="6" t="str">
        <f t="shared" si="8"/>
        <v/>
      </c>
      <c r="H251" s="2" t="str">
        <f t="shared" si="9"/>
        <v/>
      </c>
    </row>
    <row r="252" spans="3:8" x14ac:dyDescent="0.3">
      <c r="C252" s="9">
        <f>_xlfn.XLOOKUP(Log!A252, 'Daily Summary'!A:A, 'Daily Summary'!D:D, "Not found!")</f>
        <v>0</v>
      </c>
      <c r="E252" s="6" t="str">
        <f t="shared" si="8"/>
        <v/>
      </c>
      <c r="H252" s="2" t="str">
        <f t="shared" si="9"/>
        <v/>
      </c>
    </row>
    <row r="253" spans="3:8" x14ac:dyDescent="0.3">
      <c r="C253" s="9">
        <f>_xlfn.XLOOKUP(Log!A253, 'Daily Summary'!A:A, 'Daily Summary'!D:D, "Not found!")</f>
        <v>0</v>
      </c>
      <c r="E253" s="6" t="str">
        <f t="shared" si="8"/>
        <v/>
      </c>
      <c r="H253" s="2" t="str">
        <f t="shared" si="9"/>
        <v/>
      </c>
    </row>
    <row r="254" spans="3:8" x14ac:dyDescent="0.3">
      <c r="C254" s="9">
        <f>_xlfn.XLOOKUP(Log!A254, 'Daily Summary'!A:A, 'Daily Summary'!D:D, "Not found!")</f>
        <v>0</v>
      </c>
      <c r="E254" s="6" t="str">
        <f t="shared" si="8"/>
        <v/>
      </c>
      <c r="H254" s="2" t="str">
        <f t="shared" si="9"/>
        <v/>
      </c>
    </row>
    <row r="255" spans="3:8" x14ac:dyDescent="0.3">
      <c r="C255" s="9">
        <f>_xlfn.XLOOKUP(Log!A255, 'Daily Summary'!A:A, 'Daily Summary'!D:D, "Not found!")</f>
        <v>0</v>
      </c>
      <c r="E255" s="6" t="str">
        <f t="shared" si="8"/>
        <v/>
      </c>
      <c r="H255" s="2" t="str">
        <f t="shared" si="9"/>
        <v/>
      </c>
    </row>
    <row r="256" spans="3:8" x14ac:dyDescent="0.3">
      <c r="C256" s="9">
        <f>_xlfn.XLOOKUP(Log!A256, 'Daily Summary'!A:A, 'Daily Summary'!D:D, "Not found!")</f>
        <v>0</v>
      </c>
      <c r="E256" s="6" t="str">
        <f t="shared" si="8"/>
        <v/>
      </c>
      <c r="H256" s="2" t="str">
        <f t="shared" si="9"/>
        <v/>
      </c>
    </row>
    <row r="257" spans="3:8" x14ac:dyDescent="0.3">
      <c r="C257" s="9">
        <f>_xlfn.XLOOKUP(Log!A257, 'Daily Summary'!A:A, 'Daily Summary'!D:D, "Not found!")</f>
        <v>0</v>
      </c>
      <c r="E257" s="6" t="str">
        <f t="shared" si="8"/>
        <v/>
      </c>
      <c r="H257" s="2" t="str">
        <f t="shared" si="9"/>
        <v/>
      </c>
    </row>
    <row r="258" spans="3:8" x14ac:dyDescent="0.3">
      <c r="C258" s="9">
        <f>_xlfn.XLOOKUP(Log!A258, 'Daily Summary'!A:A, 'Daily Summary'!D:D, "Not found!")</f>
        <v>0</v>
      </c>
      <c r="E258" s="6" t="str">
        <f t="shared" si="8"/>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D3:XFD32 D33:L40 D41:XFD44 D45:H45 D46:XFD1048576 A1 I1:XFD1 D2:I2 K2:XFD2 O33:XFD40 J45:XFD45 A2:C1048576">
    <cfRule type="expression" dxfId="2" priority="2">
      <formula>AND(ROW()&gt;2, COLUMN()&lt;8, MOD(ROW(),2)=0)</formula>
    </cfRule>
  </conditionalFormatting>
  <conditionalFormatting sqref="A3:H9999">
    <cfRule type="expression" dxfId="1" priority="1">
      <formula>$B3&lt;&gt;""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100"/>
  <sheetViews>
    <sheetView zoomScaleNormal="100" workbookViewId="0">
      <pane ySplit="1" topLeftCell="A2" activePane="bottomLeft" state="frozen"/>
      <selection pane="bottomLeft" activeCell="E12" sqref="E12"/>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9"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41.4" x14ac:dyDescent="0.3">
      <c r="A6" s="1" t="s">
        <v>12</v>
      </c>
      <c r="B6" s="1"/>
      <c r="C6" s="2">
        <v>24.5</v>
      </c>
      <c r="D6" s="8">
        <v>0.4284722222222222</v>
      </c>
      <c r="E6" s="25" t="str">
        <f>IF(AND(D6&lt;&gt;"", C6&lt;&gt;""), IF(COUNTIFS(Log!$A$3:$A$9999,B6,Log!$F$3:$F$9999,"&gt;=50")=0,"–",_xlfn.MINIFS(Log!$E$3:$E$9999,Log!$A$3:$A$9999,B6,Log!$F$3:$F$9999,"&gt;=50")), "")</f>
        <v>–</v>
      </c>
      <c r="F6" s="16" t="s">
        <v>17</v>
      </c>
    </row>
    <row r="7" spans="1:6" ht="28.8" x14ac:dyDescent="0.3">
      <c r="A7" s="1">
        <v>46232</v>
      </c>
      <c r="B7" s="1">
        <v>46232</v>
      </c>
      <c r="C7" s="2">
        <v>25.5</v>
      </c>
      <c r="D7" s="8">
        <v>0.73472222222222228</v>
      </c>
      <c r="E7" s="25">
        <f>IF(AND(D7&lt;&gt;"", C7&lt;&gt;""), IF(COUNTIFS(Log!$A$3:$A$9999,B7,Log!$F$3:$F$9999,"&gt;=50")=0,"–",_xlfn.MINIFS(Log!$E$3:$E$9999,Log!$A$3:$A$9999,B7,Log!$F$3:$F$9999,"&gt;=50")), "")</f>
        <v>15.999999999999943</v>
      </c>
      <c r="F7" s="15" t="s">
        <v>10</v>
      </c>
    </row>
    <row r="8" spans="1:6" ht="43.2" x14ac:dyDescent="0.3">
      <c r="A8" s="1">
        <f t="shared" si="0"/>
        <v>46233</v>
      </c>
      <c r="B8" s="1">
        <f t="shared" si="0"/>
        <v>46233</v>
      </c>
      <c r="C8" s="2">
        <v>24.5</v>
      </c>
      <c r="D8" s="8">
        <v>0.40972222222222221</v>
      </c>
      <c r="E8" s="25">
        <f>IF(AND(D8&lt;&gt;"", C8&lt;&gt;""), IF(COUNTIFS(Log!$A$3:$A$9999,B8,Log!$F$3:$F$9999,"&gt;=50")=0,"–",_xlfn.MINIFS(Log!$E$3:$E$9999,Log!$A$3:$A$9999,B8,Log!$F$3:$F$9999,"&gt;=50")), "")</f>
        <v>19.000000000000014</v>
      </c>
      <c r="F8" s="15" t="s">
        <v>21</v>
      </c>
    </row>
    <row r="9" spans="1:6" x14ac:dyDescent="0.3">
      <c r="A9" s="1">
        <f t="shared" si="0"/>
        <v>46234</v>
      </c>
      <c r="B9" s="1">
        <f t="shared" si="0"/>
        <v>46234</v>
      </c>
      <c r="C9" s="2">
        <v>24</v>
      </c>
      <c r="D9" s="8">
        <v>0.43055555555555558</v>
      </c>
      <c r="E9" s="25">
        <f>IF(AND(D9&lt;&gt;"", C9&lt;&gt;""), IF(COUNTIFS(Log!$A$3:$A$9999,B9,Log!$F$3:$F$9999,"&gt;=50")=0,"–",_xlfn.MINIFS(Log!$E$3:$E$9999,Log!$A$3:$A$9999,B9,Log!$F$3:$F$9999,"&gt;=50")), "")</f>
        <v>20.999999999999925</v>
      </c>
      <c r="F9" s="15" t="s">
        <v>19</v>
      </c>
    </row>
    <row r="10" spans="1:6" x14ac:dyDescent="0.3">
      <c r="A10" s="1">
        <v>46235</v>
      </c>
      <c r="B10" s="1">
        <v>46235</v>
      </c>
      <c r="C10" s="2">
        <v>24</v>
      </c>
      <c r="D10" s="8">
        <v>0.70625000000000004</v>
      </c>
      <c r="E10" s="25">
        <f>IF(AND(D10&lt;&gt;"", C10&lt;&gt;""), IF(COUNTIFS(Log!$A$3:$A$9999,B10,Log!$F$3:$F$9999,"&gt;=50")=0,"–",_xlfn.MINIFS(Log!$E$3:$E$9999,Log!$A$3:$A$9999,B10,Log!$F$3:$F$9999,"&gt;=50")), "")</f>
        <v>21.583333333333243</v>
      </c>
      <c r="F10" s="28" t="s">
        <v>44</v>
      </c>
    </row>
    <row r="11" spans="1:6" x14ac:dyDescent="0.3">
      <c r="A11" s="1">
        <v>46237</v>
      </c>
      <c r="B11" s="1">
        <v>46237</v>
      </c>
      <c r="C11" s="2">
        <v>23.5</v>
      </c>
      <c r="D11" s="8">
        <v>0.40972222222222221</v>
      </c>
      <c r="E11" s="25">
        <f>IF(AND(D11&lt;&gt;"", C11&lt;&gt;""), IF(COUNTIFS(Log!$A$3:$A$9999,B11,Log!$F$3:$F$9999,"&gt;=50")=0,"–",_xlfn.MINIFS(Log!$E$3:$E$9999,Log!$A$3:$A$9999,B11,Log!$F$3:$F$9999,"&gt;=50")), "")</f>
        <v>21.216666666666654</v>
      </c>
    </row>
    <row r="12" spans="1:6" ht="43.2" x14ac:dyDescent="0.3">
      <c r="A12" s="1">
        <v>46238</v>
      </c>
      <c r="B12" s="1">
        <v>46238</v>
      </c>
      <c r="C12" s="2">
        <v>24.5</v>
      </c>
      <c r="D12" s="8">
        <v>0.42986111111111114</v>
      </c>
      <c r="E12" s="25" t="str">
        <f>IF(AND(D12&lt;&gt;"", C12&lt;&gt;""), IF(COUNTIFS(Log!$A$3:$A$9999,B12,Log!$F$3:$F$9999,"&gt;=50")=0,"–",_xlfn.MINIFS(Log!$E$3:$E$9999,Log!$A$3:$A$9999,B12,Log!$F$3:$F$9999,"&gt;=50")), "")</f>
        <v>–</v>
      </c>
      <c r="F12" s="15" t="s">
        <v>45</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x14ac:dyDescent="0.3">
      <c r="A17" s="1"/>
      <c r="B17" s="1"/>
      <c r="E17" s="25" t="str">
        <f>IF(AND(D17&lt;&gt;"", C17&lt;&gt;""), IF(COUNTIFS(Log!$A$3:$A$9999,B17,Log!$F$3:$F$9999,"&gt;=50")=0,"–",_xlfn.MINIFS(Log!$E$3:$E$9999,Log!$A$3:$A$9999,B17,Log!$F$3:$F$9999,"&gt;=50")), "")</f>
        <v/>
      </c>
    </row>
    <row r="18" spans="1:5" x14ac:dyDescent="0.3">
      <c r="A18" s="1"/>
      <c r="B18" s="1"/>
      <c r="E18" s="25" t="str">
        <f>IF(AND(D18&lt;&gt;"", C18&lt;&gt;""), IF(COUNTIFS(Log!$A$3:$A$9999,B18,Log!$F$3:$F$9999,"&gt;=50")=0,"–",_xlfn.MINIFS(Log!$E$3:$E$9999,Log!$A$3:$A$9999,B18,Log!$F$3:$F$9999,"&gt;=50")), "")</f>
        <v/>
      </c>
    </row>
    <row r="19" spans="1:5" x14ac:dyDescent="0.3">
      <c r="A19" s="1"/>
      <c r="B19" s="1"/>
      <c r="E19" s="25" t="str">
        <f>IF(AND(D19&lt;&gt;"", C19&lt;&gt;""), IF(COUNTIFS(Log!$A$3:$A$9999,B19,Log!$F$3:$F$9999,"&gt;=50")=0,"–",_xlfn.MINIFS(Log!$E$3:$E$9999,Log!$A$3:$A$9999,B19,Log!$F$3:$F$9999,"&gt;=50")), "")</f>
        <v/>
      </c>
    </row>
    <row r="20" spans="1:5" x14ac:dyDescent="0.3">
      <c r="A20" s="1"/>
      <c r="B20" s="1"/>
      <c r="E20" s="25" t="str">
        <f>IF(AND(D20&lt;&gt;"", C20&lt;&gt;""), IF(COUNTIFS(Log!$A$3:$A$9999,B20,Log!$F$3:$F$9999,"&gt;=50")=0,"–",_xlfn.MINIFS(Log!$E$3:$E$9999,Log!$A$3:$A$9999,B20,Log!$F$3:$F$9999,"&gt;=50")), "")</f>
        <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A58" s="1"/>
      <c r="B58" s="1"/>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row r="100" spans="5:5" x14ac:dyDescent="0.3">
      <c r="E100" s="25" t="str">
        <f>IF(AND(D100&lt;&gt;"", C100&lt;&gt;""), IF(COUNTIFS(Log!$A$3:$A$9999,B100,Log!$F$3:$F$9999,"&gt;=50")=0,"–",_xlfn.MINIFS(Log!$E$3:$E$9999,Log!$A$3:$A$9999,B100,Log!$F$3:$F$9999,"&gt;=50")),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D21" sqref="D21"/>
    </sheetView>
  </sheetViews>
  <sheetFormatPr defaultRowHeight="14.4" x14ac:dyDescent="0.3"/>
  <sheetData>
    <row r="18" spans="3:11" x14ac:dyDescent="0.3">
      <c r="C18" t="s">
        <v>42</v>
      </c>
    </row>
    <row r="19" spans="3:11" x14ac:dyDescent="0.3">
      <c r="C19" s="26" t="s">
        <v>43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7"/>
  <sheetViews>
    <sheetView tabSelected="1" workbookViewId="0">
      <selection activeCell="G13" sqref="G13"/>
    </sheetView>
  </sheetViews>
  <sheetFormatPr defaultRowHeight="14.4" x14ac:dyDescent="0.3"/>
  <cols>
    <col min="1" max="1" width="25.77734375" style="43" customWidth="1"/>
    <col min="2" max="2" width="8.88671875" style="41"/>
    <col min="3" max="20" width="6.77734375" style="42" customWidth="1"/>
    <col min="21" max="21" width="2.77734375" style="38" customWidth="1"/>
    <col min="22" max="22" width="8.88671875" style="39"/>
    <col min="23" max="25" width="10.77734375" style="38" customWidth="1"/>
    <col min="26" max="16384" width="8.88671875" style="38"/>
  </cols>
  <sheetData>
    <row r="1" spans="1:25" s="31" customFormat="1" ht="15" thickBot="1" x14ac:dyDescent="0.35">
      <c r="A1" s="29" t="s">
        <v>48</v>
      </c>
      <c r="B1" s="30"/>
      <c r="C1" s="30"/>
      <c r="D1" s="30"/>
      <c r="E1" s="30"/>
      <c r="F1" s="30"/>
      <c r="G1" s="30"/>
      <c r="H1" s="30"/>
      <c r="I1" s="30"/>
      <c r="J1" s="30"/>
      <c r="K1" s="30"/>
      <c r="L1" s="30"/>
      <c r="M1" s="30"/>
      <c r="N1" s="30"/>
      <c r="O1" s="30"/>
      <c r="P1" s="30"/>
      <c r="Q1" s="30"/>
      <c r="R1" s="30"/>
      <c r="S1" s="30"/>
      <c r="T1" s="30"/>
      <c r="V1" s="32"/>
    </row>
    <row r="2" spans="1:25" customFormat="1" ht="15" customHeight="1" x14ac:dyDescent="0.3">
      <c r="A2" s="45" t="s">
        <v>49</v>
      </c>
      <c r="B2" s="46"/>
      <c r="C2" s="46"/>
      <c r="D2" s="46"/>
      <c r="E2" s="46"/>
      <c r="F2" s="46"/>
      <c r="G2" s="46"/>
      <c r="H2" s="46"/>
      <c r="I2" s="46"/>
      <c r="J2" s="46"/>
      <c r="K2" s="46"/>
      <c r="L2" s="46"/>
      <c r="M2" s="46"/>
      <c r="N2" s="46"/>
      <c r="O2" s="46"/>
      <c r="P2" s="46"/>
      <c r="Q2" s="46"/>
      <c r="R2" s="46"/>
      <c r="S2" s="46"/>
      <c r="T2" s="47"/>
      <c r="V2" s="33"/>
    </row>
    <row r="3" spans="1:25" ht="26.4" customHeight="1" x14ac:dyDescent="0.3">
      <c r="A3" s="34" t="s">
        <v>46</v>
      </c>
      <c r="B3" s="35" t="s">
        <v>47</v>
      </c>
      <c r="C3" s="36" t="str" cm="1">
        <f t="array" ref="C3:T3">LEFT(TRANSPOSE([1]Lists!A2:A19), 3)</f>
        <v xml:space="preserve">#1 </v>
      </c>
      <c r="D3" s="36" t="str">
        <v xml:space="preserve">#2 </v>
      </c>
      <c r="E3" s="36" t="str">
        <v xml:space="preserve">#3 </v>
      </c>
      <c r="F3" s="36" t="str">
        <v xml:space="preserve">#4 </v>
      </c>
      <c r="G3" s="36" t="str">
        <v xml:space="preserve">#5 </v>
      </c>
      <c r="H3" s="36" t="str">
        <v xml:space="preserve">#6 </v>
      </c>
      <c r="I3" s="36" t="str">
        <v xml:space="preserve">#7 </v>
      </c>
      <c r="J3" s="37" t="str">
        <v xml:space="preserve">#8 </v>
      </c>
      <c r="K3" s="36" t="str">
        <v xml:space="preserve">#9 </v>
      </c>
      <c r="L3" s="36" t="str">
        <v>#10</v>
      </c>
      <c r="M3" s="36" t="str">
        <v>#11</v>
      </c>
      <c r="N3" s="36" t="str">
        <v>#12</v>
      </c>
      <c r="O3" s="37" t="str">
        <v>#13</v>
      </c>
      <c r="P3" s="36" t="str">
        <v>#14</v>
      </c>
      <c r="Q3" s="36" t="str">
        <v>#15</v>
      </c>
      <c r="R3" s="36" t="str">
        <v>#16</v>
      </c>
      <c r="S3" s="36" t="str">
        <v>#17</v>
      </c>
      <c r="T3" s="36" t="str">
        <v>#18</v>
      </c>
    </row>
    <row r="4" spans="1:25" x14ac:dyDescent="0.3">
      <c r="A4" s="40">
        <v>46238</v>
      </c>
      <c r="C4" s="44">
        <v>3</v>
      </c>
      <c r="D4" s="44">
        <v>3</v>
      </c>
      <c r="E4" s="44"/>
      <c r="F4" s="44"/>
      <c r="G4" s="44"/>
      <c r="H4" s="44"/>
      <c r="I4" s="44"/>
      <c r="J4" s="44"/>
      <c r="K4" s="44"/>
      <c r="L4" s="44"/>
      <c r="M4" s="44"/>
      <c r="N4" s="44"/>
      <c r="O4" s="44"/>
      <c r="P4" s="44"/>
      <c r="Q4" s="44"/>
      <c r="R4" s="44">
        <v>1</v>
      </c>
      <c r="S4" s="44">
        <v>1</v>
      </c>
      <c r="T4" s="44">
        <v>2</v>
      </c>
      <c r="V4" s="48"/>
      <c r="W4" s="52" t="s">
        <v>50</v>
      </c>
      <c r="X4" s="51"/>
      <c r="Y4" s="51"/>
    </row>
    <row r="5" spans="1:25" x14ac:dyDescent="0.3">
      <c r="A5" s="40"/>
      <c r="V5" s="48"/>
      <c r="W5" s="50"/>
      <c r="X5" s="50"/>
      <c r="Y5" s="49"/>
    </row>
    <row r="6" spans="1:25" x14ac:dyDescent="0.3">
      <c r="V6" s="48"/>
      <c r="W6" s="49"/>
      <c r="X6" s="50"/>
      <c r="Y6" s="49"/>
    </row>
    <row r="7" spans="1:25" x14ac:dyDescent="0.3">
      <c r="V7" s="48"/>
      <c r="W7" s="50"/>
      <c r="X7" s="50"/>
      <c r="Y7" s="49"/>
    </row>
  </sheetData>
  <mergeCells count="1">
    <mergeCell ref="A2:T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2026-08-04T09:58:35Z</dcterms:modified>
</cp:coreProperties>
</file>