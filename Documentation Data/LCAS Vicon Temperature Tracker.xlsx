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ewwb\Documents\brain\professional\university\LCAS\Vicon (EPSURIS) Main\Public Files\Documentation Data\"/>
    </mc:Choice>
  </mc:AlternateContent>
  <xr:revisionPtr revIDLastSave="0" documentId="13_ncr:1_{9A1DC83B-A84B-47A7-B756-9B2F8EB23AB2}" xr6:coauthVersionLast="47" xr6:coauthVersionMax="47" xr10:uidLastSave="{00000000-0000-0000-0000-000000000000}"/>
  <bookViews>
    <workbookView xWindow="-108" yWindow="-108" windowWidth="23256" windowHeight="13896" activeTab="4" xr2:uid="{00000000-000D-0000-FFFF-FFFF00000000}"/>
  </bookViews>
  <sheets>
    <sheet name="Instructions" sheetId="4" r:id="rId1"/>
    <sheet name="Log" sheetId="1" r:id="rId2"/>
    <sheet name="Daily Summary" sheetId="2" r:id="rId3"/>
    <sheet name="Error Summary" sheetId="6" r:id="rId4"/>
    <sheet name="Visualisations" sheetId="3" r:id="rId5"/>
    <sheet name="DevScriptErrors" sheetId="5"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5" i="1" l="1"/>
  <c r="E245" i="1" s="1"/>
  <c r="C246" i="1"/>
  <c r="E246" i="1" s="1"/>
  <c r="C247" i="1"/>
  <c r="E247" i="1" s="1"/>
  <c r="C248" i="1"/>
  <c r="E248" i="1" s="1"/>
  <c r="C249" i="1"/>
  <c r="E249" i="1" s="1"/>
  <c r="C250" i="1"/>
  <c r="E250" i="1" s="1"/>
  <c r="C251" i="1"/>
  <c r="E251" i="1" s="1"/>
  <c r="C252" i="1"/>
  <c r="E252" i="1" s="1"/>
  <c r="C253" i="1"/>
  <c r="E253" i="1" s="1"/>
  <c r="C254" i="1"/>
  <c r="E254" i="1" s="1"/>
  <c r="C255" i="1"/>
  <c r="E255" i="1" s="1"/>
  <c r="C256" i="1"/>
  <c r="E256" i="1" s="1"/>
  <c r="C257" i="1"/>
  <c r="E257" i="1" s="1"/>
  <c r="C258" i="1"/>
  <c r="E258" i="1" s="1"/>
  <c r="C259" i="1"/>
  <c r="E259" i="1" s="1"/>
  <c r="C260" i="1"/>
  <c r="E260" i="1" s="1"/>
  <c r="H245" i="1"/>
  <c r="H246" i="1"/>
  <c r="H247" i="1"/>
  <c r="H248" i="1"/>
  <c r="H249" i="1"/>
  <c r="H250" i="1"/>
  <c r="H251" i="1"/>
  <c r="H252" i="1"/>
  <c r="H253" i="1"/>
  <c r="H254" i="1"/>
  <c r="H255" i="1"/>
  <c r="H256" i="1"/>
  <c r="H257" i="1"/>
  <c r="H258" i="1"/>
  <c r="H259" i="1"/>
  <c r="H260" i="1"/>
  <c r="H212" i="1" l="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61" i="1"/>
  <c r="H262" i="1"/>
  <c r="H263" i="1"/>
  <c r="H264" i="1"/>
  <c r="H265" i="1"/>
  <c r="H266" i="1"/>
  <c r="H267" i="1"/>
  <c r="H268" i="1"/>
  <c r="H269" i="1"/>
  <c r="H270" i="1"/>
  <c r="H271" i="1"/>
  <c r="H272" i="1"/>
  <c r="H273" i="1"/>
  <c r="H274"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3" i="1"/>
  <c r="E84" i="6" l="1"/>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C3" i="5" a="1"/>
  <c r="C3" i="5" s="1"/>
  <c r="C3" i="1" l="1"/>
  <c r="E3" i="1" s="1"/>
  <c r="C4" i="1"/>
  <c r="E4" i="1" s="1"/>
  <c r="C5" i="1"/>
  <c r="E5" i="1" s="1"/>
  <c r="C6" i="1"/>
  <c r="E6" i="1" s="1"/>
  <c r="C7" i="1"/>
  <c r="E7" i="1" s="1"/>
  <c r="C8" i="1"/>
  <c r="E8" i="1" s="1"/>
  <c r="C221" i="1"/>
  <c r="C222" i="1"/>
  <c r="C336" i="1"/>
  <c r="C344" i="1"/>
  <c r="C470" i="1"/>
  <c r="C474" i="1"/>
  <c r="A7" i="2"/>
  <c r="A8" i="2" s="1"/>
  <c r="A3" i="2"/>
  <c r="A4" i="2" s="1"/>
  <c r="A5" i="2" s="1"/>
  <c r="E3" i="2"/>
  <c r="E22"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B3" i="2"/>
  <c r="B4" i="2" s="1"/>
  <c r="C442" i="1" l="1"/>
  <c r="C335" i="1"/>
  <c r="C209" i="1"/>
  <c r="C208" i="1"/>
  <c r="C420" i="1"/>
  <c r="C293" i="1"/>
  <c r="C167" i="1"/>
  <c r="C419" i="1"/>
  <c r="C292" i="1"/>
  <c r="C166" i="1"/>
  <c r="C288" i="1"/>
  <c r="C152" i="1"/>
  <c r="C489" i="1"/>
  <c r="C278" i="1"/>
  <c r="C488" i="1"/>
  <c r="C21" i="1"/>
  <c r="C484" i="1"/>
  <c r="C376" i="1"/>
  <c r="C231" i="1"/>
  <c r="C13" i="1"/>
  <c r="E13" i="1" s="1"/>
  <c r="C391" i="1"/>
  <c r="C153" i="1"/>
  <c r="C390" i="1"/>
  <c r="C280" i="1"/>
  <c r="C386" i="1"/>
  <c r="C27" i="1"/>
  <c r="C378" i="1"/>
  <c r="C274" i="1"/>
  <c r="C476" i="1"/>
  <c r="C372" i="1"/>
  <c r="C223" i="1"/>
  <c r="C11" i="1"/>
  <c r="E11" i="1" s="1"/>
  <c r="C434" i="1"/>
  <c r="C334" i="1"/>
  <c r="C433" i="1"/>
  <c r="C322" i="1"/>
  <c r="C180" i="1"/>
  <c r="C432" i="1"/>
  <c r="C321" i="1"/>
  <c r="C175" i="1"/>
  <c r="C26" i="1"/>
  <c r="C462" i="1"/>
  <c r="C418" i="1"/>
  <c r="C364" i="1"/>
  <c r="C320" i="1"/>
  <c r="C266" i="1"/>
  <c r="C207" i="1"/>
  <c r="C147" i="1"/>
  <c r="C25" i="1"/>
  <c r="C124" i="1"/>
  <c r="C461" i="1"/>
  <c r="C414" i="1"/>
  <c r="C363" i="1"/>
  <c r="C316" i="1"/>
  <c r="C265" i="1"/>
  <c r="C203" i="1"/>
  <c r="C139" i="1"/>
  <c r="C504" i="1"/>
  <c r="C460" i="1"/>
  <c r="C406" i="1"/>
  <c r="C362" i="1"/>
  <c r="C308" i="1"/>
  <c r="C264" i="1"/>
  <c r="C195" i="1"/>
  <c r="C138" i="1"/>
  <c r="C503" i="1"/>
  <c r="C456" i="1"/>
  <c r="C405" i="1"/>
  <c r="C358" i="1"/>
  <c r="C307" i="1"/>
  <c r="C194" i="1"/>
  <c r="C125" i="1"/>
  <c r="C502" i="1"/>
  <c r="C448" i="1"/>
  <c r="C404" i="1"/>
  <c r="C350" i="1"/>
  <c r="C306" i="1"/>
  <c r="C237" i="1"/>
  <c r="C193" i="1"/>
  <c r="C498" i="1"/>
  <c r="C447" i="1"/>
  <c r="C400" i="1"/>
  <c r="C349" i="1"/>
  <c r="C302" i="1"/>
  <c r="C236" i="1"/>
  <c r="C189" i="1"/>
  <c r="C111" i="1"/>
  <c r="C490" i="1"/>
  <c r="C446" i="1"/>
  <c r="C392" i="1"/>
  <c r="C348" i="1"/>
  <c r="C294" i="1"/>
  <c r="C235" i="1"/>
  <c r="C181" i="1"/>
  <c r="C110" i="1"/>
  <c r="C97" i="1"/>
  <c r="C83" i="1"/>
  <c r="C69" i="1"/>
  <c r="C55" i="1"/>
  <c r="C475" i="1"/>
  <c r="C428" i="1"/>
  <c r="C377" i="1"/>
  <c r="C330" i="1"/>
  <c r="C279" i="1"/>
  <c r="C217" i="1"/>
  <c r="C161" i="1"/>
  <c r="C41" i="1"/>
  <c r="C96" i="1"/>
  <c r="C82" i="1"/>
  <c r="C68" i="1"/>
  <c r="C54" i="1"/>
  <c r="C40" i="1"/>
  <c r="C12" i="1"/>
  <c r="C179" i="1"/>
  <c r="C165" i="1"/>
  <c r="C151" i="1"/>
  <c r="C137" i="1"/>
  <c r="C123" i="1"/>
  <c r="C109" i="1"/>
  <c r="C95" i="1"/>
  <c r="C81" i="1"/>
  <c r="C67" i="1"/>
  <c r="C53" i="1"/>
  <c r="C39" i="1"/>
  <c r="C501" i="1"/>
  <c r="C487" i="1"/>
  <c r="C473" i="1"/>
  <c r="C459" i="1"/>
  <c r="C445" i="1"/>
  <c r="C431" i="1"/>
  <c r="C417" i="1"/>
  <c r="C403" i="1"/>
  <c r="C389" i="1"/>
  <c r="C375" i="1"/>
  <c r="C361" i="1"/>
  <c r="C347" i="1"/>
  <c r="C333" i="1"/>
  <c r="C319" i="1"/>
  <c r="C305" i="1"/>
  <c r="C291" i="1"/>
  <c r="C277" i="1"/>
  <c r="C263" i="1"/>
  <c r="C234" i="1"/>
  <c r="C220" i="1"/>
  <c r="C206" i="1"/>
  <c r="C192" i="1"/>
  <c r="C178" i="1"/>
  <c r="C164" i="1"/>
  <c r="C150" i="1"/>
  <c r="C136" i="1"/>
  <c r="C122" i="1"/>
  <c r="C108" i="1"/>
  <c r="C94" i="1"/>
  <c r="C80" i="1"/>
  <c r="C66" i="1"/>
  <c r="C52" i="1"/>
  <c r="C38" i="1"/>
  <c r="C24" i="1"/>
  <c r="C10" i="1"/>
  <c r="E10" i="1" s="1"/>
  <c r="C500" i="1"/>
  <c r="C486" i="1"/>
  <c r="C472" i="1"/>
  <c r="C458" i="1"/>
  <c r="C444" i="1"/>
  <c r="C430" i="1"/>
  <c r="C416" i="1"/>
  <c r="C402" i="1"/>
  <c r="C388" i="1"/>
  <c r="C374" i="1"/>
  <c r="C360" i="1"/>
  <c r="C346" i="1"/>
  <c r="C332" i="1"/>
  <c r="C318" i="1"/>
  <c r="C304" i="1"/>
  <c r="C290" i="1"/>
  <c r="C276" i="1"/>
  <c r="C262" i="1"/>
  <c r="C233" i="1"/>
  <c r="C219" i="1"/>
  <c r="C205" i="1"/>
  <c r="C191" i="1"/>
  <c r="C177" i="1"/>
  <c r="C163" i="1"/>
  <c r="C149" i="1"/>
  <c r="C135" i="1"/>
  <c r="C121" i="1"/>
  <c r="C107" i="1"/>
  <c r="C93" i="1"/>
  <c r="C79" i="1"/>
  <c r="C65" i="1"/>
  <c r="C51" i="1"/>
  <c r="C37" i="1"/>
  <c r="C23" i="1"/>
  <c r="C9" i="1"/>
  <c r="E9" i="1" s="1"/>
  <c r="C499" i="1"/>
  <c r="C485" i="1"/>
  <c r="C471" i="1"/>
  <c r="C457" i="1"/>
  <c r="C443" i="1"/>
  <c r="C429" i="1"/>
  <c r="C415" i="1"/>
  <c r="C401" i="1"/>
  <c r="C387" i="1"/>
  <c r="C373" i="1"/>
  <c r="C359" i="1"/>
  <c r="C345" i="1"/>
  <c r="C331" i="1"/>
  <c r="C317" i="1"/>
  <c r="C303" i="1"/>
  <c r="C289" i="1"/>
  <c r="C275" i="1"/>
  <c r="C261" i="1"/>
  <c r="E261" i="1" s="1"/>
  <c r="C232" i="1"/>
  <c r="C218" i="1"/>
  <c r="C204" i="1"/>
  <c r="C190" i="1"/>
  <c r="C176" i="1"/>
  <c r="C162" i="1"/>
  <c r="C148" i="1"/>
  <c r="C134" i="1"/>
  <c r="C120" i="1"/>
  <c r="C106" i="1"/>
  <c r="C92" i="1"/>
  <c r="C78" i="1"/>
  <c r="C64" i="1"/>
  <c r="C50" i="1"/>
  <c r="C36" i="1"/>
  <c r="C22" i="1"/>
  <c r="C133" i="1"/>
  <c r="C119" i="1"/>
  <c r="C105" i="1"/>
  <c r="C91" i="1"/>
  <c r="C77" i="1"/>
  <c r="C63" i="1"/>
  <c r="C49" i="1"/>
  <c r="C35" i="1"/>
  <c r="C497" i="1"/>
  <c r="C455" i="1"/>
  <c r="C427" i="1"/>
  <c r="C385" i="1"/>
  <c r="C357" i="1"/>
  <c r="C329" i="1"/>
  <c r="C273" i="1"/>
  <c r="C230" i="1"/>
  <c r="C216" i="1"/>
  <c r="C202" i="1"/>
  <c r="C188" i="1"/>
  <c r="C174" i="1"/>
  <c r="C160" i="1"/>
  <c r="C146" i="1"/>
  <c r="C132" i="1"/>
  <c r="C104" i="1"/>
  <c r="C90" i="1"/>
  <c r="C76" i="1"/>
  <c r="C62" i="1"/>
  <c r="C48" i="1"/>
  <c r="C34" i="1"/>
  <c r="C20" i="1"/>
  <c r="C301" i="1"/>
  <c r="C496" i="1"/>
  <c r="C454" i="1"/>
  <c r="C426" i="1"/>
  <c r="C384" i="1"/>
  <c r="C356" i="1"/>
  <c r="C314" i="1"/>
  <c r="C272" i="1"/>
  <c r="C215" i="1"/>
  <c r="C187" i="1"/>
  <c r="C145" i="1"/>
  <c r="C103" i="1"/>
  <c r="C75" i="1"/>
  <c r="C61" i="1"/>
  <c r="C47" i="1"/>
  <c r="C19" i="1"/>
  <c r="C483" i="1"/>
  <c r="C469" i="1"/>
  <c r="C441" i="1"/>
  <c r="C413" i="1"/>
  <c r="C399" i="1"/>
  <c r="C371" i="1"/>
  <c r="C343" i="1"/>
  <c r="C287" i="1"/>
  <c r="C244" i="1"/>
  <c r="C118" i="1"/>
  <c r="C482" i="1"/>
  <c r="C468" i="1"/>
  <c r="C440" i="1"/>
  <c r="C412" i="1"/>
  <c r="C398" i="1"/>
  <c r="C370" i="1"/>
  <c r="C342" i="1"/>
  <c r="C328" i="1"/>
  <c r="C300" i="1"/>
  <c r="C286" i="1"/>
  <c r="C243" i="1"/>
  <c r="C229" i="1"/>
  <c r="C201" i="1"/>
  <c r="C173" i="1"/>
  <c r="C159" i="1"/>
  <c r="C131" i="1"/>
  <c r="C117" i="1"/>
  <c r="C89" i="1"/>
  <c r="C33" i="1"/>
  <c r="C495" i="1"/>
  <c r="C481" i="1"/>
  <c r="C467" i="1"/>
  <c r="C453" i="1"/>
  <c r="C439" i="1"/>
  <c r="C425" i="1"/>
  <c r="C411" i="1"/>
  <c r="C397" i="1"/>
  <c r="C383" i="1"/>
  <c r="C369" i="1"/>
  <c r="C355" i="1"/>
  <c r="C341" i="1"/>
  <c r="C327" i="1"/>
  <c r="C313" i="1"/>
  <c r="C299" i="1"/>
  <c r="C285" i="1"/>
  <c r="C271" i="1"/>
  <c r="C242" i="1"/>
  <c r="C228" i="1"/>
  <c r="C214" i="1"/>
  <c r="C200" i="1"/>
  <c r="C186" i="1"/>
  <c r="C172" i="1"/>
  <c r="C158" i="1"/>
  <c r="C144" i="1"/>
  <c r="C130" i="1"/>
  <c r="C116" i="1"/>
  <c r="C102" i="1"/>
  <c r="C88" i="1"/>
  <c r="C74" i="1"/>
  <c r="C60" i="1"/>
  <c r="C46" i="1"/>
  <c r="C32" i="1"/>
  <c r="C18" i="1"/>
  <c r="C315" i="1"/>
  <c r="C494" i="1"/>
  <c r="C480" i="1"/>
  <c r="C466" i="1"/>
  <c r="C452" i="1"/>
  <c r="C438" i="1"/>
  <c r="C424" i="1"/>
  <c r="C410" i="1"/>
  <c r="C396" i="1"/>
  <c r="C382" i="1"/>
  <c r="C368" i="1"/>
  <c r="C354" i="1"/>
  <c r="C340" i="1"/>
  <c r="C326" i="1"/>
  <c r="C312" i="1"/>
  <c r="C298" i="1"/>
  <c r="C284" i="1"/>
  <c r="C270" i="1"/>
  <c r="C241" i="1"/>
  <c r="C227" i="1"/>
  <c r="C213" i="1"/>
  <c r="C199" i="1"/>
  <c r="C185" i="1"/>
  <c r="C171" i="1"/>
  <c r="C157" i="1"/>
  <c r="C143" i="1"/>
  <c r="C129" i="1"/>
  <c r="C115" i="1"/>
  <c r="C101" i="1"/>
  <c r="E101" i="1" s="1"/>
  <c r="C87" i="1"/>
  <c r="C73" i="1"/>
  <c r="C59" i="1"/>
  <c r="C45" i="1"/>
  <c r="C31" i="1"/>
  <c r="C17" i="1"/>
  <c r="C493" i="1"/>
  <c r="C479" i="1"/>
  <c r="C465" i="1"/>
  <c r="C451" i="1"/>
  <c r="C437" i="1"/>
  <c r="C423" i="1"/>
  <c r="C409" i="1"/>
  <c r="C395" i="1"/>
  <c r="C381" i="1"/>
  <c r="C367" i="1"/>
  <c r="C353" i="1"/>
  <c r="C339" i="1"/>
  <c r="C325" i="1"/>
  <c r="C311" i="1"/>
  <c r="C297" i="1"/>
  <c r="C283" i="1"/>
  <c r="C269" i="1"/>
  <c r="C240" i="1"/>
  <c r="C226" i="1"/>
  <c r="C212" i="1"/>
  <c r="C198" i="1"/>
  <c r="C184" i="1"/>
  <c r="C170" i="1"/>
  <c r="C156" i="1"/>
  <c r="C142" i="1"/>
  <c r="C128" i="1"/>
  <c r="C114" i="1"/>
  <c r="C100" i="1"/>
  <c r="C86" i="1"/>
  <c r="C72" i="1"/>
  <c r="C58" i="1"/>
  <c r="C44" i="1"/>
  <c r="C30" i="1"/>
  <c r="C16" i="1"/>
  <c r="C155" i="1"/>
  <c r="C141" i="1"/>
  <c r="C127" i="1"/>
  <c r="C113" i="1"/>
  <c r="C99" i="1"/>
  <c r="C85" i="1"/>
  <c r="C71" i="1"/>
  <c r="C57" i="1"/>
  <c r="C43" i="1"/>
  <c r="C29" i="1"/>
  <c r="C15" i="1"/>
  <c r="C492" i="1"/>
  <c r="C478" i="1"/>
  <c r="C464" i="1"/>
  <c r="C450" i="1"/>
  <c r="C436" i="1"/>
  <c r="C422" i="1"/>
  <c r="C408" i="1"/>
  <c r="C394" i="1"/>
  <c r="C380" i="1"/>
  <c r="C366" i="1"/>
  <c r="C352" i="1"/>
  <c r="C338" i="1"/>
  <c r="C324" i="1"/>
  <c r="C310" i="1"/>
  <c r="C296" i="1"/>
  <c r="C282" i="1"/>
  <c r="C268" i="1"/>
  <c r="C239" i="1"/>
  <c r="C225" i="1"/>
  <c r="C211" i="1"/>
  <c r="C197" i="1"/>
  <c r="C183" i="1"/>
  <c r="C169" i="1"/>
  <c r="C505" i="1"/>
  <c r="C491" i="1"/>
  <c r="C477" i="1"/>
  <c r="C463" i="1"/>
  <c r="C449" i="1"/>
  <c r="C435" i="1"/>
  <c r="C421" i="1"/>
  <c r="C407" i="1"/>
  <c r="C393" i="1"/>
  <c r="C379" i="1"/>
  <c r="C365" i="1"/>
  <c r="C351" i="1"/>
  <c r="C337" i="1"/>
  <c r="C323" i="1"/>
  <c r="C309" i="1"/>
  <c r="C295" i="1"/>
  <c r="C281" i="1"/>
  <c r="C267" i="1"/>
  <c r="C238" i="1"/>
  <c r="C224" i="1"/>
  <c r="C210" i="1"/>
  <c r="C196" i="1"/>
  <c r="C182" i="1"/>
  <c r="C168" i="1"/>
  <c r="C154" i="1"/>
  <c r="C140" i="1"/>
  <c r="C126" i="1"/>
  <c r="C112" i="1"/>
  <c r="C98" i="1"/>
  <c r="C84" i="1"/>
  <c r="C70" i="1"/>
  <c r="C56" i="1"/>
  <c r="C42" i="1"/>
  <c r="C28" i="1"/>
  <c r="C14" i="1"/>
  <c r="E2" i="2"/>
  <c r="E12" i="1"/>
  <c r="B5" i="2"/>
  <c r="E4" i="2" l="1"/>
  <c r="E16" i="1"/>
  <c r="E15" i="1"/>
  <c r="E18" i="1"/>
  <c r="E17" i="1"/>
  <c r="E14" i="1"/>
  <c r="E5" i="2" l="1"/>
  <c r="B7" i="2" l="1"/>
  <c r="B8" i="2" l="1"/>
  <c r="E96" i="1" l="1"/>
  <c r="E484" i="1" l="1"/>
  <c r="E224" i="1"/>
  <c r="E174" i="1"/>
  <c r="E310" i="1"/>
  <c r="E200" i="1"/>
  <c r="E519" i="1"/>
  <c r="E541" i="1"/>
  <c r="E264" i="1"/>
  <c r="E95" i="1"/>
  <c r="E266" i="1"/>
  <c r="E38" i="1"/>
  <c r="E282" i="1"/>
  <c r="E569" i="1"/>
  <c r="E397" i="1"/>
  <c r="E233" i="1"/>
  <c r="E425" i="1"/>
  <c r="E87" i="1"/>
  <c r="E100" i="1"/>
  <c r="E338" i="1"/>
  <c r="E25" i="1"/>
  <c r="E125" i="1"/>
  <c r="E339" i="1"/>
  <c r="E692" i="1"/>
  <c r="E348" i="1"/>
  <c r="E309" i="1"/>
  <c r="E82" i="1"/>
  <c r="E26" i="1"/>
  <c r="E313" i="1"/>
  <c r="E439" i="1"/>
  <c r="E659" i="1"/>
  <c r="E192" i="1"/>
  <c r="E278" i="1"/>
  <c r="E663" i="1"/>
  <c r="E416" i="1"/>
  <c r="E84" i="1"/>
  <c r="E103" i="1"/>
  <c r="E63" i="1"/>
  <c r="E415" i="1"/>
  <c r="E206" i="1"/>
  <c r="E366" i="1"/>
  <c r="E91" i="1"/>
  <c r="E148" i="1"/>
  <c r="E139" i="1"/>
  <c r="E162" i="1"/>
  <c r="E367" i="1"/>
  <c r="E66" i="1"/>
  <c r="E368" i="1"/>
  <c r="E329" i="1"/>
  <c r="E388" i="1"/>
  <c r="E453" i="1"/>
  <c r="E357" i="1"/>
  <c r="E358" i="1"/>
  <c r="E34" i="1"/>
  <c r="E323" i="1"/>
  <c r="E75" i="1"/>
  <c r="E50" i="1"/>
  <c r="E407" i="1"/>
  <c r="E213" i="1"/>
  <c r="E81" i="1"/>
  <c r="E436" i="1"/>
  <c r="E136" i="1"/>
  <c r="E317" i="1"/>
  <c r="E604" i="1"/>
  <c r="E568" i="1"/>
  <c r="E32" i="1"/>
  <c r="E666" i="1"/>
  <c r="E41" i="1"/>
  <c r="E482" i="1"/>
  <c r="E389" i="1"/>
  <c r="E86" i="1"/>
  <c r="E636" i="1"/>
  <c r="E346" i="1"/>
  <c r="E350" i="1"/>
  <c r="E109" i="1"/>
  <c r="E163" i="1"/>
  <c r="E632" i="1"/>
  <c r="E20" i="1"/>
  <c r="E69" i="1"/>
  <c r="E566" i="1"/>
  <c r="E605" i="1"/>
  <c r="E355" i="1"/>
  <c r="E269" i="1"/>
  <c r="E141" i="1"/>
  <c r="E460" i="1"/>
  <c r="E40" i="1"/>
  <c r="E341" i="1"/>
  <c r="E123" i="1"/>
  <c r="E207" i="1"/>
  <c r="E623" i="1"/>
  <c r="E379" i="1"/>
  <c r="E658" i="1"/>
  <c r="E486" i="1"/>
  <c r="E538" i="1"/>
  <c r="E288" i="1"/>
  <c r="E688" i="1"/>
  <c r="E133" i="1"/>
  <c r="E49" i="1"/>
  <c r="E196" i="1"/>
  <c r="E330" i="1"/>
  <c r="E590" i="1"/>
  <c r="E361" i="1"/>
  <c r="E212" i="1"/>
  <c r="E217" i="1"/>
  <c r="E359" i="1"/>
  <c r="E424" i="1"/>
  <c r="E452" i="1"/>
  <c r="E510" i="1"/>
  <c r="E651" i="1"/>
  <c r="E308" i="1"/>
  <c r="E524" i="1"/>
  <c r="E441" i="1"/>
  <c r="E552" i="1"/>
  <c r="E263" i="1"/>
  <c r="E533" i="1"/>
  <c r="E593" i="1"/>
  <c r="E31" i="1"/>
  <c r="E182" i="1"/>
  <c r="E413" i="1"/>
  <c r="E394" i="1"/>
  <c r="E391" i="1"/>
  <c r="E180" i="1"/>
  <c r="E580" i="1"/>
  <c r="E384" i="1"/>
  <c r="E94" i="1"/>
  <c r="E127" i="1"/>
  <c r="E144" i="1"/>
  <c r="E583" i="1"/>
  <c r="E372" i="1"/>
  <c r="E585" i="1"/>
  <c r="E114" i="1"/>
  <c r="E655" i="1"/>
  <c r="E175" i="1"/>
  <c r="E290" i="1"/>
  <c r="E158" i="1"/>
  <c r="E281" i="1"/>
  <c r="E228" i="1"/>
  <c r="E428" i="1"/>
  <c r="E502" i="1"/>
  <c r="E610" i="1"/>
  <c r="E73" i="1"/>
  <c r="E111" i="1"/>
  <c r="E466" i="1"/>
  <c r="E170" i="1"/>
  <c r="E369" i="1"/>
  <c r="E167" i="1"/>
  <c r="E616" i="1"/>
  <c r="E340" i="1"/>
  <c r="E185" i="1"/>
  <c r="E678" i="1"/>
  <c r="E676" i="1"/>
  <c r="E594" i="1"/>
  <c r="E662" i="1"/>
  <c r="E284" i="1"/>
  <c r="E287" i="1"/>
  <c r="E637" i="1"/>
  <c r="E190" i="1"/>
  <c r="E178" i="1"/>
  <c r="E203" i="1"/>
  <c r="E539" i="1"/>
  <c r="E271" i="1"/>
  <c r="E65" i="1"/>
  <c r="E44" i="1"/>
  <c r="E325" i="1"/>
  <c r="E270" i="1"/>
  <c r="E408" i="1"/>
  <c r="E454" i="1"/>
  <c r="E311" i="1"/>
  <c r="E239" i="1"/>
  <c r="E85" i="1"/>
  <c r="E472" i="1"/>
  <c r="E468" i="1"/>
  <c r="E400" i="1"/>
  <c r="E642" i="1"/>
  <c r="E237" i="1"/>
  <c r="E191" i="1"/>
  <c r="E557" i="1"/>
  <c r="E105" i="1"/>
  <c r="E574" i="1"/>
  <c r="E504" i="1"/>
  <c r="E164" i="1"/>
  <c r="E420" i="1"/>
  <c r="E390" i="1"/>
  <c r="E535" i="1"/>
  <c r="E277" i="1"/>
  <c r="E122" i="1"/>
  <c r="E619" i="1"/>
  <c r="E473" i="1"/>
  <c r="E166" i="1"/>
  <c r="E47" i="1"/>
  <c r="E559" i="1"/>
  <c r="E675" i="1"/>
  <c r="E23" i="1"/>
  <c r="E118" i="1"/>
  <c r="E383" i="1"/>
  <c r="E140" i="1"/>
  <c r="E61" i="1"/>
  <c r="E274" i="1"/>
  <c r="E132" i="1"/>
  <c r="E654" i="1"/>
  <c r="E496" i="1"/>
  <c r="E267" i="1"/>
  <c r="E286" i="1"/>
  <c r="E363" i="1"/>
  <c r="E491" i="1"/>
  <c r="E173" i="1"/>
  <c r="E120" i="1"/>
  <c r="E115" i="1"/>
  <c r="E650" i="1"/>
  <c r="E480" i="1"/>
  <c r="E154" i="1"/>
  <c r="E291" i="1"/>
  <c r="E21" i="1"/>
  <c r="E690" i="1"/>
  <c r="E27" i="1"/>
  <c r="E168" i="1"/>
  <c r="E437" i="1"/>
  <c r="E219" i="1"/>
  <c r="E443" i="1"/>
  <c r="E564" i="1"/>
  <c r="E567" i="1"/>
  <c r="E660" i="1"/>
  <c r="E634" i="1"/>
  <c r="E336" i="1"/>
  <c r="E497" i="1"/>
  <c r="E544" i="1"/>
  <c r="E52" i="1"/>
  <c r="E417" i="1"/>
  <c r="E230" i="1"/>
  <c r="E681" i="1"/>
  <c r="E429" i="1"/>
  <c r="E83" i="1"/>
  <c r="E644" i="1"/>
  <c r="E577" i="1"/>
  <c r="E303" i="1"/>
  <c r="E618" i="1"/>
  <c r="E463" i="1"/>
  <c r="E37" i="1"/>
  <c r="E627" i="1"/>
  <c r="E684" i="1"/>
  <c r="E612" i="1"/>
  <c r="E514" i="1"/>
  <c r="E592" i="1"/>
  <c r="E695" i="1"/>
  <c r="E117" i="1"/>
  <c r="E88" i="1"/>
  <c r="E53" i="1"/>
  <c r="E354" i="1"/>
  <c r="E171" i="1"/>
  <c r="E652" i="1"/>
  <c r="E679" i="1"/>
  <c r="E229" i="1"/>
  <c r="E134" i="1"/>
  <c r="E320" i="1"/>
  <c r="E507" i="1"/>
  <c r="E687" i="1"/>
  <c r="E670" i="1"/>
  <c r="E686" i="1"/>
  <c r="E458" i="1"/>
  <c r="E494" i="1"/>
  <c r="E395" i="1"/>
  <c r="E24" i="1"/>
  <c r="E342" i="1"/>
  <c r="E64" i="1"/>
  <c r="E595" i="1"/>
  <c r="E546" i="1"/>
  <c r="E152" i="1"/>
  <c r="E578" i="1"/>
  <c r="E589" i="1"/>
  <c r="E521" i="1"/>
  <c r="E326" i="1"/>
  <c r="E19" i="1"/>
  <c r="E438" i="1"/>
  <c r="E35" i="1"/>
  <c r="E414" i="1"/>
  <c r="E265" i="1"/>
  <c r="E629" i="1"/>
  <c r="E540" i="1"/>
  <c r="E440" i="1"/>
  <c r="E153" i="1"/>
  <c r="E28" i="1"/>
  <c r="E548" i="1"/>
  <c r="E474" i="1"/>
  <c r="E667" i="1"/>
  <c r="E294" i="1"/>
  <c r="E244" i="1"/>
  <c r="E534" i="1"/>
  <c r="E385" i="1"/>
  <c r="E321" i="1"/>
  <c r="E135" i="1"/>
  <c r="E198" i="1"/>
  <c r="E149" i="1"/>
  <c r="E495" i="1"/>
  <c r="E51" i="1"/>
  <c r="E155" i="1"/>
  <c r="E293" i="1"/>
  <c r="E529" i="1"/>
  <c r="E515" i="1"/>
  <c r="E121" i="1"/>
  <c r="E297" i="1"/>
  <c r="E77" i="1"/>
  <c r="E314" i="1"/>
  <c r="E68" i="1"/>
  <c r="E613" i="1"/>
  <c r="E432" i="1"/>
  <c r="E211" i="1"/>
  <c r="E549" i="1"/>
  <c r="E512" i="1"/>
  <c r="E517" i="1"/>
  <c r="E630" i="1"/>
  <c r="E691" i="1"/>
  <c r="E113" i="1"/>
  <c r="E107" i="1"/>
  <c r="E607" i="1"/>
  <c r="E262" i="1"/>
  <c r="E462" i="1"/>
  <c r="E527" i="1"/>
  <c r="E377" i="1"/>
  <c r="E318" i="1"/>
  <c r="E664" i="1"/>
  <c r="E528" i="1"/>
  <c r="E488" i="1"/>
  <c r="E280" i="1"/>
  <c r="E70" i="1"/>
  <c r="E392" i="1"/>
  <c r="E418" i="1"/>
  <c r="E275" i="1"/>
  <c r="E547" i="1"/>
  <c r="E598" i="1"/>
  <c r="E327" i="1"/>
  <c r="E176" i="1"/>
  <c r="E483" i="1"/>
  <c r="E542" i="1"/>
  <c r="E622" i="1"/>
  <c r="E412" i="1"/>
  <c r="E570" i="1"/>
  <c r="E382" i="1"/>
  <c r="E633" i="1"/>
  <c r="E608" i="1"/>
  <c r="E543" i="1"/>
  <c r="E316" i="1"/>
  <c r="E380" i="1"/>
  <c r="E364" i="1"/>
  <c r="E617" i="1"/>
  <c r="E231" i="1"/>
  <c r="E238" i="1"/>
  <c r="E631" i="1"/>
  <c r="E56" i="1"/>
  <c r="E362" i="1"/>
  <c r="E597" i="1"/>
  <c r="E516" i="1"/>
  <c r="E645" i="1"/>
  <c r="E461" i="1"/>
  <c r="E615" i="1"/>
  <c r="E685" i="1"/>
  <c r="E447" i="1"/>
  <c r="E187" i="1"/>
  <c r="E58" i="1"/>
  <c r="E393" i="1"/>
  <c r="E551" i="1"/>
  <c r="E657" i="1"/>
  <c r="E478" i="1"/>
  <c r="E509" i="1"/>
  <c r="E215" i="1"/>
  <c r="E344" i="1"/>
  <c r="E523" i="1"/>
  <c r="E635" i="1"/>
  <c r="E59" i="1"/>
  <c r="E647" i="1"/>
  <c r="E467" i="1"/>
  <c r="E423" i="1"/>
  <c r="E501" i="1"/>
  <c r="E131" i="1"/>
  <c r="E33" i="1"/>
  <c r="E298" i="1"/>
  <c r="E29" i="1"/>
  <c r="E2" i="6" s="1"/>
  <c r="E345" i="1"/>
  <c r="E108" i="1"/>
  <c r="E680" i="1"/>
  <c r="E587" i="1"/>
  <c r="E201" i="1"/>
  <c r="E353" i="1"/>
  <c r="E571" i="1"/>
  <c r="E186" i="1"/>
  <c r="E92" i="1"/>
  <c r="E241" i="1"/>
  <c r="E46" i="1"/>
  <c r="E531" i="1"/>
  <c r="E530" i="1"/>
  <c r="E209" i="1"/>
  <c r="E421" i="1"/>
  <c r="E668" i="1"/>
  <c r="E146" i="1"/>
  <c r="E57" i="1"/>
  <c r="E242" i="1"/>
  <c r="E334" i="1"/>
  <c r="E656" i="1"/>
  <c r="E696" i="1"/>
  <c r="E181" i="1"/>
  <c r="E306" i="1"/>
  <c r="E381" i="1"/>
  <c r="E72" i="1"/>
  <c r="E204" i="1"/>
  <c r="E661" i="1"/>
  <c r="E76" i="1"/>
  <c r="E699" i="1"/>
  <c r="E304" i="1"/>
  <c r="E603" i="1"/>
  <c r="E459" i="1"/>
  <c r="E225" i="1"/>
  <c r="E490" i="1"/>
  <c r="E45" i="1"/>
  <c r="E513" i="1"/>
  <c r="E42" i="1"/>
  <c r="E448" i="1"/>
  <c r="E602" i="1"/>
  <c r="E285" i="1"/>
  <c r="E333" i="1"/>
  <c r="E518" i="1"/>
  <c r="E319" i="1"/>
  <c r="E343" i="1"/>
  <c r="E558" i="1"/>
  <c r="E406" i="1"/>
  <c r="E147" i="1"/>
  <c r="E300" i="1"/>
  <c r="E422" i="1"/>
  <c r="E464" i="1"/>
  <c r="E214" i="1"/>
  <c r="E511" i="1"/>
  <c r="E79" i="1"/>
  <c r="E119" i="1"/>
  <c r="E104" i="1"/>
  <c r="E43" i="1"/>
  <c r="E189" i="1"/>
  <c r="E80" i="1"/>
  <c r="E102" i="1"/>
  <c r="E487" i="1"/>
  <c r="E177" i="1"/>
  <c r="E402" i="1"/>
  <c r="E243" i="1"/>
  <c r="E505" i="1"/>
  <c r="E157" i="1"/>
  <c r="E235" i="1"/>
  <c r="E128" i="1"/>
  <c r="E455" i="1"/>
  <c r="E110" i="1"/>
  <c r="E13" i="2" s="1"/>
  <c r="E648" i="1"/>
  <c r="E537" i="1"/>
  <c r="E197" i="1"/>
  <c r="E581" i="1"/>
  <c r="E276" i="1"/>
  <c r="E562" i="1"/>
  <c r="E677" i="1"/>
  <c r="E399" i="1"/>
  <c r="E156" i="1"/>
  <c r="E150" i="1"/>
  <c r="E532" i="1"/>
  <c r="E199" i="1"/>
  <c r="E553" i="1"/>
  <c r="E450" i="1"/>
  <c r="E609" i="1"/>
  <c r="E442" i="1"/>
  <c r="E138" i="1"/>
  <c r="E451" i="1"/>
  <c r="E457" i="1"/>
  <c r="E165" i="1"/>
  <c r="E332" i="1"/>
  <c r="E526" i="1"/>
  <c r="E202" i="1"/>
  <c r="E97" i="1"/>
  <c r="E48" i="1"/>
  <c r="E106" i="1"/>
  <c r="E312" i="1"/>
  <c r="E584" i="1"/>
  <c r="E638" i="1"/>
  <c r="E403" i="1"/>
  <c r="E649" i="1"/>
  <c r="E227" i="1"/>
  <c r="E54" i="1"/>
  <c r="E646" i="1"/>
  <c r="E435" i="1"/>
  <c r="E98" i="1"/>
  <c r="E697" i="1"/>
  <c r="E479" i="1"/>
  <c r="E506" i="1"/>
  <c r="E671" i="1"/>
  <c r="E159" i="1"/>
  <c r="E324" i="1"/>
  <c r="E470" i="1"/>
  <c r="E606" i="1"/>
  <c r="E126" i="1"/>
  <c r="E272" i="1"/>
  <c r="E620" i="1"/>
  <c r="E419" i="1"/>
  <c r="E195" i="1"/>
  <c r="E698" i="1"/>
  <c r="E279" i="1"/>
  <c r="E337" i="1"/>
  <c r="E611" i="1"/>
  <c r="E614" i="1"/>
  <c r="E640" i="1"/>
  <c r="E184" i="1"/>
  <c r="E240" i="1"/>
  <c r="E493" i="1"/>
  <c r="E335" i="1"/>
  <c r="E30" i="1"/>
  <c r="E520" i="1"/>
  <c r="E445" i="1"/>
  <c r="E143" i="1"/>
  <c r="E682" i="1"/>
  <c r="E374" i="1"/>
  <c r="E522" i="1"/>
  <c r="E386" i="1"/>
  <c r="E401" i="1"/>
  <c r="E315" i="1"/>
  <c r="E434" i="1"/>
  <c r="E331" i="1"/>
  <c r="E360" i="1"/>
  <c r="E628" i="1"/>
  <c r="E55" i="1"/>
  <c r="E565" i="1"/>
  <c r="E545" i="1"/>
  <c r="E137" i="1"/>
  <c r="E621" i="1"/>
  <c r="E349" i="1"/>
  <c r="E561" i="1"/>
  <c r="E188" i="1"/>
  <c r="E431" i="1"/>
  <c r="E78" i="1"/>
  <c r="E62" i="1"/>
  <c r="E669" i="1"/>
  <c r="E232" i="1"/>
  <c r="E356" i="1"/>
  <c r="E626" i="1"/>
  <c r="E572" i="1"/>
  <c r="E405" i="1"/>
  <c r="E112" i="1"/>
  <c r="E469" i="1"/>
  <c r="E700" i="1"/>
  <c r="E289" i="1"/>
  <c r="E216" i="1"/>
  <c r="E599" i="1"/>
  <c r="E465" i="1"/>
  <c r="E643" i="1"/>
  <c r="E145" i="1"/>
  <c r="E193" i="1"/>
  <c r="E625" i="1"/>
  <c r="E492" i="1"/>
  <c r="E89" i="1"/>
  <c r="E60" i="1"/>
  <c r="E560" i="1"/>
  <c r="E489" i="1"/>
  <c r="E22" i="1"/>
  <c r="E639" i="1"/>
  <c r="E508" i="1"/>
  <c r="E576" i="1"/>
  <c r="E90" i="1"/>
  <c r="E99" i="1"/>
  <c r="E536" i="1"/>
  <c r="E556" i="1"/>
  <c r="E283" i="1"/>
  <c r="E409" i="1"/>
  <c r="E694" i="1"/>
  <c r="E588" i="1"/>
  <c r="E476" i="1"/>
  <c r="E169" i="1"/>
  <c r="E328" i="1"/>
  <c r="E573" i="1"/>
  <c r="E665" i="1"/>
  <c r="E693" i="1"/>
  <c r="E322" i="1"/>
  <c r="E347" i="1"/>
  <c r="E563" i="1"/>
  <c r="E575" i="1"/>
  <c r="E130" i="1"/>
  <c r="E236" i="1"/>
  <c r="E194" i="1"/>
  <c r="E396" i="1"/>
  <c r="E503" i="1"/>
  <c r="E124" i="1"/>
  <c r="E485" i="1"/>
  <c r="E499" i="1"/>
  <c r="E471" i="1"/>
  <c r="E129" i="1"/>
  <c r="E221" i="1"/>
  <c r="E550" i="1"/>
  <c r="E579" i="1"/>
  <c r="E295" i="1"/>
  <c r="E205" i="1"/>
  <c r="E74" i="1"/>
  <c r="E672" i="1"/>
  <c r="E430" i="1"/>
  <c r="E39" i="1"/>
  <c r="E93" i="1"/>
  <c r="E183" i="1"/>
  <c r="E525" i="1"/>
  <c r="E116" i="1"/>
  <c r="E449" i="1"/>
  <c r="E586" i="1"/>
  <c r="E226" i="1"/>
  <c r="E71" i="1"/>
  <c r="E67" i="1"/>
  <c r="E683" i="1"/>
  <c r="E427" i="1"/>
  <c r="E404" i="1"/>
  <c r="E179" i="1"/>
  <c r="E210" i="1"/>
  <c r="E292" i="1"/>
  <c r="E160" i="1"/>
  <c r="E234" i="1"/>
  <c r="E411" i="1"/>
  <c r="E426" i="1"/>
  <c r="E268" i="1"/>
  <c r="E307" i="1"/>
  <c r="E398" i="1"/>
  <c r="E371" i="1"/>
  <c r="E273" i="1"/>
  <c r="E500" i="1"/>
  <c r="E673" i="1"/>
  <c r="E172" i="1"/>
  <c r="E222" i="1"/>
  <c r="E410" i="1"/>
  <c r="E596" i="1"/>
  <c r="E365" i="1"/>
  <c r="E601" i="1"/>
  <c r="E446" i="1"/>
  <c r="E299" i="1"/>
  <c r="E370" i="1"/>
  <c r="E352" i="1"/>
  <c r="E582" i="1"/>
  <c r="E301" i="1"/>
  <c r="E444" i="1"/>
  <c r="E475" i="1"/>
  <c r="E218" i="1"/>
  <c r="E387" i="1"/>
  <c r="E600" i="1"/>
  <c r="E689" i="1"/>
  <c r="E36" i="1"/>
  <c r="E220" i="1"/>
  <c r="E151" i="1"/>
  <c r="E351" i="1"/>
  <c r="E653" i="1"/>
  <c r="E378" i="1"/>
  <c r="E296" i="1"/>
  <c r="E302" i="1"/>
  <c r="E376" i="1"/>
  <c r="E591" i="1"/>
  <c r="E305" i="1"/>
  <c r="E373" i="1"/>
  <c r="E554" i="1"/>
  <c r="E223" i="1"/>
  <c r="E433" i="1"/>
  <c r="E674" i="1"/>
  <c r="E641" i="1"/>
  <c r="E375" i="1"/>
  <c r="E498" i="1"/>
  <c r="E142" i="1"/>
  <c r="E624" i="1"/>
  <c r="E456" i="1"/>
  <c r="E481" i="1"/>
  <c r="E555" i="1"/>
  <c r="E161" i="1"/>
  <c r="E208" i="1"/>
  <c r="E477" i="1"/>
  <c r="E23" i="2" l="1"/>
  <c r="E21" i="2"/>
  <c r="E19" i="2"/>
  <c r="E18" i="2"/>
  <c r="E20" i="2"/>
  <c r="E16" i="2"/>
  <c r="E17" i="2"/>
  <c r="E12" i="2"/>
  <c r="E15" i="2"/>
  <c r="E14" i="2"/>
  <c r="E11" i="2"/>
  <c r="E10" i="2"/>
  <c r="E9" i="2"/>
  <c r="E8" i="2"/>
  <c r="E7" i="2"/>
  <c r="E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A2" authorId="0" shapeId="0" xr:uid="{212B7CA1-1D60-441F-B72D-2455352A7338}">
      <text>
        <r>
          <rPr>
            <b/>
            <sz val="9"/>
            <color indexed="81"/>
            <rFont val="Tahoma"/>
            <family val="2"/>
          </rPr>
          <t>Daniel Newby:</t>
        </r>
        <r>
          <rPr>
            <sz val="9"/>
            <color indexed="81"/>
            <rFont val="Tahoma"/>
            <family val="2"/>
          </rPr>
          <t xml:space="preserve">
From 28/07/2026 bumping experiment, recorded above cameras. Cameras without a value were unaffected by disturbances in the room.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<sst xmlns="http://schemas.openxmlformats.org/spreadsheetml/2006/main" count="73" uniqueCount="57">
  <si>
    <t>Starting Time</t>
  </si>
  <si>
    <t>Blue columns are data to enter, orange columns are automatically calculated!</t>
  </si>
  <si>
    <t>Logging
Start Time</t>
  </si>
  <si>
    <t>Timestamp</t>
  </si>
  <si>
    <t>Minutes Passed</t>
  </si>
  <si>
    <t>Lowest Temperature</t>
  </si>
  <si>
    <t>Highest Temperature</t>
  </si>
  <si>
    <t>Range</t>
  </si>
  <si>
    <t>Notes</t>
  </si>
  <si>
    <r>
      <t xml:space="preserve">Minutes to Ready
</t>
    </r>
    <r>
      <rPr>
        <i/>
        <sz val="10"/>
        <color rgb="FFFFFFFF"/>
        <rFont val="Arial"/>
        <family val="2"/>
      </rPr>
      <t>(earliest minutes &gt;= 50°)</t>
    </r>
  </si>
  <si>
    <t>Cameras active 1m faster, at 'ready' temp 6-10m faster, 2° difference appears to have an impact on startup time</t>
  </si>
  <si>
    <r>
      <t xml:space="preserve">Key
</t>
    </r>
    <r>
      <rPr>
        <i/>
        <sz val="8"/>
        <color rgb="FFFFFFFF"/>
        <rFont val="Arial"/>
        <family val="2"/>
      </rPr>
      <t>invalid data recorded as non-date instead</t>
    </r>
  </si>
  <si>
    <t>sheet crash 29/07</t>
  </si>
  <si>
    <r>
      <t xml:space="preserve">Key
</t>
    </r>
    <r>
      <rPr>
        <i/>
        <sz val="8"/>
        <color rgb="FFFFFFFF"/>
        <rFont val="Arial"/>
        <family val="2"/>
      </rPr>
      <t>usually date, but invalid data is labelled</t>
    </r>
  </si>
  <si>
    <r>
      <t xml:space="preserve">Date
</t>
    </r>
    <r>
      <rPr>
        <i/>
        <sz val="8"/>
        <color rgb="FFFFFFFF"/>
        <rFont val="Arial"/>
        <family val="2"/>
      </rPr>
      <t>valid data only</t>
    </r>
  </si>
  <si>
    <t>Yes</t>
  </si>
  <si>
    <r>
      <t xml:space="preserve">Is Invalid?
</t>
    </r>
    <r>
      <rPr>
        <i/>
        <sz val="8"/>
        <color rgb="FFFFFFFF"/>
        <rFont val="Arial"/>
        <family val="2"/>
      </rPr>
      <t>Mark if data is broken</t>
    </r>
  </si>
  <si>
    <r>
      <rPr>
        <b/>
        <sz val="10"/>
        <color theme="1"/>
        <rFont val="Calibri"/>
        <family val="2"/>
        <scheme val="minor"/>
      </rPr>
      <t>Excluded from trends</t>
    </r>
    <r>
      <rPr>
        <sz val="10"/>
        <color theme="1"/>
        <rFont val="Calibri"/>
        <family val="2"/>
        <scheme val="minor"/>
      </rPr>
      <t xml:space="preserve"> -Sheet didn't save, first 3 log entries re-added from memory, but recollection imperfect. Data after (marked invalid rows) suggests it hit ready in 17m however.</t>
    </r>
  </si>
  <si>
    <r>
      <rPr>
        <b/>
        <u/>
        <sz val="8"/>
        <color theme="1"/>
        <rFont val="Calibri"/>
        <family val="2"/>
        <scheme val="minor"/>
      </rPr>
      <t>Note</t>
    </r>
    <r>
      <rPr>
        <b/>
        <sz val="8"/>
        <color theme="1"/>
        <rFont val="Calibri"/>
        <family val="2"/>
        <scheme val="minor"/>
      </rPr>
      <t xml:space="preserve">: </t>
    </r>
    <r>
      <rPr>
        <i/>
        <sz val="8"/>
        <color theme="1"/>
        <rFont val="Calibri"/>
        <family val="2"/>
        <scheme val="minor"/>
      </rPr>
      <t>Dark/red rows (see column B) are invalid data, and keys in A column/daily summary should not be dates if there's a data problem</t>
    </r>
  </si>
  <si>
    <t>About 2.5min startup</t>
  </si>
  <si>
    <t>Starting Temperature (°C)</t>
  </si>
  <si>
    <r>
      <t xml:space="preserve">Also 2m vs 3m startup - is possible I'm reacting faster to camera startup now I'm used to it or is temperature diff minimal?
</t>
    </r>
    <r>
      <rPr>
        <i/>
        <sz val="11"/>
        <color theme="1"/>
        <rFont val="Calibri"/>
        <family val="2"/>
        <scheme val="minor"/>
      </rPr>
      <t xml:space="preserve">(Starting at a </t>
    </r>
    <r>
      <rPr>
        <b/>
        <i/>
        <sz val="11"/>
        <color theme="1"/>
        <rFont val="Calibri"/>
        <family val="2"/>
        <scheme val="minor"/>
      </rPr>
      <t>lower</t>
    </r>
    <r>
      <rPr>
        <i/>
        <sz val="11"/>
        <color theme="1"/>
        <rFont val="Calibri"/>
        <family val="2"/>
        <scheme val="minor"/>
      </rPr>
      <t xml:space="preserve"> temp would be good data)</t>
    </r>
  </si>
  <si>
    <t>Step</t>
  </si>
  <si>
    <t>Task</t>
  </si>
  <si>
    <t>Record to 'Daily Summary' the starting time and temperature (use INB0104 thermostat room temperature, turn it on to read then off again if previously off to maintain temp)</t>
  </si>
  <si>
    <t>Open Nexus 2.18</t>
  </si>
  <si>
    <t>1 new</t>
  </si>
  <si>
    <t>Open VSCodium and start the nexus temp reader script AFTER cameras online</t>
  </si>
  <si>
    <t>4 old</t>
  </si>
  <si>
    <t>4 new</t>
  </si>
  <si>
    <t>Wait for cameras to turn on (all cameras reading enabled ADD SCREENSHOT OF STARTUP) then record the initial log entry manually to 'Log' sheet (add lowest temperature and highest temperature for range as well as timestamp and date key</t>
  </si>
  <si>
    <t>Every x minutes record the temp range as a new entry (5-10 mins is usually good enough but when the range gets close to 50deg try to record the minute it reaches all cameras 50 or higher)</t>
  </si>
  <si>
    <t>WIP</t>
  </si>
  <si>
    <t>In case anyone else has to use this sheet</t>
  </si>
  <si>
    <t>Ranges that can be edited</t>
  </si>
  <si>
    <t>Ranges that are calculated &amp; should not be edited</t>
  </si>
  <si>
    <r>
      <t xml:space="preserve">todo </t>
    </r>
    <r>
      <rPr>
        <sz val="11"/>
        <color theme="1"/>
        <rFont val="Calibri"/>
        <family val="2"/>
        <scheme val="minor"/>
      </rPr>
      <t>add sheet protection to orange ranges</t>
    </r>
  </si>
  <si>
    <t>from 01/08/26 started using camera script (more granular timestamps and regular measurements vs manual)</t>
  </si>
  <si>
    <t>Need to recalculate 'Camera temperature vs minutes since start' ,</t>
  </si>
  <si>
    <t>Not clearly useful data and manually adding series daily is time-consuming</t>
  </si>
  <si>
    <t>What other charts to plot from this data?</t>
  </si>
  <si>
    <t>Measuring initial camera temperature against room/startup?</t>
  </si>
  <si>
    <r>
      <rPr>
        <b/>
        <sz val="11"/>
        <color theme="1"/>
        <rFont val="Calibri"/>
        <family val="2"/>
        <scheme val="minor"/>
      </rPr>
      <t xml:space="preserve">Note on above chart: </t>
    </r>
    <r>
      <rPr>
        <sz val="11"/>
        <color theme="1"/>
        <rFont val="Calibri"/>
        <family val="2"/>
        <scheme val="minor"/>
      </rPr>
      <t>from 01/08 tracked by script not manual</t>
    </r>
  </si>
  <si>
    <t>Earlier recordings are not as granular &amp; have irregular time steps</t>
  </si>
  <si>
    <t>Recording with camera temperature tracking script from this day</t>
  </si>
  <si>
    <t>Date</t>
  </si>
  <si>
    <t>Camera by ID</t>
  </si>
  <si>
    <t>This is a dev troubleshooting record for the camera temperature script, checking which cameras are dropped from readings</t>
  </si>
  <si>
    <t>Cameras Missing from Temperature Script Log</t>
  </si>
  <si>
    <t>(04/08 is first day recording these errors)</t>
  </si>
  <si>
    <r>
      <t xml:space="preserve">(tested script against non-active system configs) - on selecting VCS on init, 1 cam active, temp not shown. </t>
    </r>
    <r>
      <rPr>
        <b/>
        <sz val="11"/>
        <color theme="1"/>
        <rFont val="Calibri"/>
        <family val="2"/>
        <scheme val="minor"/>
      </rPr>
      <t>Mix of auto &amp; manual logs!</t>
    </r>
    <r>
      <rPr>
        <sz val="11"/>
        <color theme="1"/>
        <rFont val="Calibri"/>
        <family val="2"/>
        <scheme val="minor"/>
      </rPr>
      <t xml:space="preserve">
</t>
    </r>
    <r>
      <rPr>
        <b/>
        <sz val="11"/>
        <color theme="1"/>
        <rFont val="Calibri"/>
        <family val="2"/>
        <scheme val="minor"/>
      </rPr>
      <t>note</t>
    </r>
    <r>
      <rPr>
        <sz val="11"/>
        <color theme="1"/>
        <rFont val="Calibri"/>
        <family val="2"/>
        <scheme val="minor"/>
      </rPr>
      <t xml:space="preserve"> - polling errors with camera temp script (</t>
    </r>
    <r>
      <rPr>
        <b/>
        <i/>
        <sz val="11"/>
        <color theme="1"/>
        <rFont val="Calibri"/>
        <family val="2"/>
        <scheme val="minor"/>
      </rPr>
      <t>window not selected!</t>
    </r>
    <r>
      <rPr>
        <sz val="11"/>
        <color theme="1"/>
        <rFont val="Calibri"/>
        <family val="2"/>
        <scheme val="minor"/>
      </rPr>
      <t xml:space="preserve">)
</t>
    </r>
    <r>
      <rPr>
        <b/>
        <i/>
        <sz val="11"/>
        <color theme="1"/>
        <rFont val="Calibri"/>
        <family val="2"/>
        <scheme val="minor"/>
      </rPr>
      <t>time to ready wasn't faster than yesterday despite higher starting temp</t>
    </r>
  </si>
  <si>
    <t>startup time may be off by 30 seconds, recorded after start</t>
  </si>
  <si>
    <t>no longer tracking - bug fixed</t>
  </si>
  <si>
    <r>
      <rPr>
        <b/>
        <sz val="11"/>
        <color theme="1"/>
        <rFont val="Calibri"/>
        <family val="2"/>
        <scheme val="minor"/>
      </rPr>
      <t>Next chart</t>
    </r>
    <r>
      <rPr>
        <sz val="11"/>
        <color theme="1"/>
        <rFont val="Calibri"/>
        <family val="2"/>
        <scheme val="minor"/>
      </rPr>
      <t xml:space="preserve"> - camera temperature at time (avg. between low/high no error data) cross-referenced against starting temperature</t>
    </r>
  </si>
  <si>
    <t>Attempted to cool room prior to test but thermostat is locked to 23° range and does not cool room quickly - room temperature used</t>
  </si>
  <si>
    <t>initial recording/camera startup time slightly delayed by interruption</t>
  </si>
  <si>
    <t>lab interruption, delay in starting reader &amp; adjusting window - script read for 12 cameras instead of 18 for several read cycles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</si>
</sst>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C\)"/>
    <numFmt numFmtId="165" formatCode="hh:mm:ss;@"/>
    <numFmt numFmtId="166" formatCode="h:mm:ss;@"/>
  </numFmts>
  <fonts count="29" x14ac:knownFonts="1">
    <font>
      <sz val="11"/>
      <color theme="1"/>
      <name val="Calibri"/>
      <family val="2"/>
      <scheme val="minor"/>
    </font>
    <font>
      <b/>
      <sz val="11"/>
      <color theme="1"/>
      <name val="Calibri"/>
      <family val="2"/>
      <scheme val="minor"/>
    </font>
    <font>
      <sz val="11"/>
      <color theme="1"/>
      <name val="Calibri"/>
      <family val="2"/>
      <charset val="1"/>
    </font>
    <font>
      <b/>
      <sz val="12"/>
      <color rgb="FFFFFFFF"/>
      <name val="Arial"/>
      <family val="2"/>
    </font>
    <font>
      <sz val="10"/>
      <color theme="1"/>
      <name val="Calibri"/>
      <family val="2"/>
      <scheme val="minor"/>
    </font>
    <font>
      <i/>
      <sz val="8"/>
      <color rgb="FFFFFFFF"/>
      <name val="Arial"/>
      <family val="2"/>
    </font>
    <font>
      <i/>
      <sz val="10"/>
      <color rgb="FFFFFFFF"/>
      <name val="Arial"/>
      <family val="2"/>
    </font>
    <font>
      <b/>
      <i/>
      <sz val="11"/>
      <color theme="1"/>
      <name val="Calibri"/>
      <family val="2"/>
      <scheme val="minor"/>
    </font>
    <font>
      <i/>
      <sz val="11"/>
      <color theme="1"/>
      <name val="Calibri"/>
      <family val="2"/>
      <scheme val="minor"/>
    </font>
    <font>
      <sz val="8"/>
      <name val="Calibri"/>
      <family val="2"/>
      <scheme val="minor"/>
    </font>
    <font>
      <b/>
      <sz val="10"/>
      <color theme="1"/>
      <name val="Calibri"/>
      <family val="2"/>
      <scheme val="minor"/>
    </font>
    <font>
      <i/>
      <sz val="8"/>
      <color theme="1"/>
      <name val="Calibri"/>
      <family val="2"/>
      <scheme val="minor"/>
    </font>
    <font>
      <b/>
      <u/>
      <sz val="8"/>
      <color theme="1"/>
      <name val="Calibri"/>
      <family val="2"/>
      <scheme val="minor"/>
    </font>
    <font>
      <b/>
      <sz val="8"/>
      <color theme="1"/>
      <name val="Calibri"/>
      <family val="2"/>
      <scheme val="minor"/>
    </font>
    <font>
      <b/>
      <u/>
      <sz val="11"/>
      <color theme="1"/>
      <name val="Calibri"/>
      <family val="2"/>
      <scheme val="minor"/>
    </font>
    <font>
      <sz val="11"/>
      <color theme="1"/>
      <name val="Calibri"/>
      <family val="2"/>
    </font>
    <font>
      <i/>
      <sz val="10"/>
      <color theme="1"/>
      <name val="Arial"/>
      <family val="2"/>
    </font>
    <font>
      <i/>
      <sz val="11"/>
      <color theme="1"/>
      <name val="Arial"/>
      <family val="2"/>
    </font>
    <font>
      <sz val="11"/>
      <color theme="0"/>
      <name val="Calibri"/>
      <family val="2"/>
      <charset val="1"/>
    </font>
    <font>
      <b/>
      <sz val="10"/>
      <color theme="0"/>
      <name val="Arial"/>
      <family val="2"/>
    </font>
    <font>
      <b/>
      <sz val="11"/>
      <color theme="0"/>
      <name val="Calibri"/>
      <family val="2"/>
      <charset val="1"/>
    </font>
    <font>
      <b/>
      <sz val="10"/>
      <color theme="1"/>
      <name val="Arial"/>
      <family val="2"/>
    </font>
    <font>
      <b/>
      <sz val="10"/>
      <color theme="1"/>
      <name val="Calibri"/>
      <family val="2"/>
    </font>
    <font>
      <sz val="11"/>
      <color theme="1"/>
      <name val="Arial"/>
      <family val="2"/>
    </font>
    <font>
      <sz val="10"/>
      <color theme="1"/>
      <name val="Calibri"/>
      <family val="2"/>
    </font>
    <font>
      <b/>
      <sz val="11"/>
      <color rgb="FFFF0000"/>
      <name val="Calibri"/>
      <family val="2"/>
      <charset val="1"/>
    </font>
    <font>
      <b/>
      <sz val="9"/>
      <color indexed="81"/>
      <name val="Tahoma"/>
      <family val="2"/>
    </font>
    <font>
      <sz val="9"/>
      <color indexed="81"/>
      <name val="Tahoma"/>
      <family val="2"/>
    </font>
    <font>
      <b/>
      <sz val="16"/>
      <color rgb="FFFF0000"/>
      <name val="Calibri"/>
      <family val="2"/>
    </font>
  </fonts>
  <fills count="11">
    <fill>
      <patternFill patternType="none"/>
    </fill>
    <fill>
      <patternFill patternType="gray125"/>
    </fill>
    <fill>
      <patternFill patternType="solid">
        <fgColor rgb="FF1F4E78"/>
        <bgColor rgb="FF003366"/>
      </patternFill>
    </fill>
    <fill>
      <patternFill patternType="solid">
        <fgColor theme="0" tint="-0.14999847407452621"/>
        <bgColor indexed="64"/>
      </patternFill>
    </fill>
    <fill>
      <patternFill patternType="solid">
        <fgColor theme="5" tint="-0.249977111117893"/>
        <bgColor rgb="FF003366"/>
      </patternFill>
    </fill>
    <fill>
      <patternFill patternType="solid">
        <fgColor rgb="FFC65911"/>
        <bgColor rgb="FF003366"/>
      </patternFill>
    </fill>
    <fill>
      <patternFill patternType="solid">
        <fgColor rgb="FFC65911"/>
        <bgColor indexed="64"/>
      </patternFill>
    </fill>
    <fill>
      <patternFill patternType="solid">
        <fgColor rgb="FF1F4E78"/>
        <bgColor indexed="64"/>
      </patternFill>
    </fill>
    <fill>
      <patternFill patternType="solid">
        <fgColor theme="4" tint="0.39997558519241921"/>
        <bgColor rgb="FF003366"/>
      </patternFill>
    </fill>
    <fill>
      <patternFill patternType="solid">
        <fgColor theme="4" tint="0.59999389629810485"/>
        <bgColor indexed="64"/>
      </patternFill>
    </fill>
    <fill>
      <patternFill patternType="solid">
        <fgColor rgb="FFBDD7EE"/>
        <bgColor indexed="64"/>
      </patternFill>
    </fill>
  </fills>
  <borders count="11">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2" fillId="0" borderId="0"/>
  </cellStyleXfs>
  <cellXfs count="52">
    <xf numFmtId="0" fontId="0" fillId="0" borderId="0" xfId="0"/>
    <xf numFmtId="14" fontId="0" fillId="0" borderId="2" xfId="0" applyNumberFormat="1" applyBorder="1" applyAlignment="1">
      <alignment horizontal="center" vertical="center" wrapText="1"/>
    </xf>
    <xf numFmtId="164" fontId="0" fillId="0" borderId="1" xfId="0" applyNumberFormat="1" applyBorder="1" applyAlignment="1">
      <alignment horizontal="center" vertical="center"/>
    </xf>
    <xf numFmtId="0" fontId="0" fillId="0" borderId="2" xfId="0" applyBorder="1" applyAlignment="1">
      <alignment horizontal="center" vertical="center"/>
    </xf>
    <xf numFmtId="0" fontId="3" fillId="2" borderId="3" xfId="1" applyFont="1" applyFill="1" applyBorder="1" applyAlignment="1">
      <alignment horizontal="center" vertical="center" wrapText="1"/>
    </xf>
    <xf numFmtId="49" fontId="3" fillId="2" borderId="3" xfId="1" applyNumberFormat="1" applyFont="1" applyFill="1" applyBorder="1" applyAlignment="1">
      <alignment horizontal="center" vertical="center" wrapText="1"/>
    </xf>
    <xf numFmtId="1" fontId="0" fillId="0" borderId="2" xfId="0" applyNumberFormat="1" applyBorder="1" applyAlignment="1">
      <alignment horizontal="center" vertical="center" wrapText="1"/>
    </xf>
    <xf numFmtId="164" fontId="0" fillId="0" borderId="2" xfId="0" applyNumberFormat="1" applyBorder="1" applyAlignment="1">
      <alignment horizontal="center" vertical="center"/>
    </xf>
    <xf numFmtId="165" fontId="0" fillId="0" borderId="1" xfId="0" applyNumberFormat="1" applyBorder="1" applyAlignment="1">
      <alignment horizontal="center" vertical="center"/>
    </xf>
    <xf numFmtId="166" fontId="0" fillId="0" borderId="2" xfId="0" applyNumberFormat="1" applyBorder="1" applyAlignment="1">
      <alignment horizontal="center" vertical="center" wrapText="1"/>
    </xf>
    <xf numFmtId="49" fontId="3" fillId="2" borderId="4" xfId="1" applyNumberFormat="1" applyFont="1" applyFill="1" applyBorder="1" applyAlignment="1">
      <alignment horizontal="center" vertical="center" wrapText="1"/>
    </xf>
    <xf numFmtId="166" fontId="3" fillId="2" borderId="4" xfId="1" applyNumberFormat="1" applyFont="1" applyFill="1" applyBorder="1" applyAlignment="1">
      <alignment horizontal="center" vertical="center" wrapText="1"/>
    </xf>
    <xf numFmtId="0" fontId="0" fillId="3" borderId="5" xfId="0" applyFill="1" applyBorder="1"/>
    <xf numFmtId="49" fontId="3" fillId="4" borderId="4" xfId="1" applyNumberFormat="1" applyFont="1" applyFill="1" applyBorder="1" applyAlignment="1">
      <alignment horizontal="center" vertical="center" wrapText="1"/>
    </xf>
    <xf numFmtId="1" fontId="3" fillId="4" borderId="4" xfId="1" applyNumberFormat="1" applyFont="1" applyFill="1" applyBorder="1" applyAlignment="1">
      <alignment horizontal="center" vertical="center" wrapText="1"/>
    </xf>
    <xf numFmtId="49" fontId="0" fillId="0" borderId="1" xfId="0" applyNumberFormat="1" applyBorder="1" applyAlignment="1">
      <alignment horizontal="center" vertical="center" wrapText="1"/>
    </xf>
    <xf numFmtId="49" fontId="4" fillId="0" borderId="1" xfId="0" applyNumberFormat="1" applyFont="1" applyBorder="1" applyAlignment="1">
      <alignment horizontal="left" vertical="center" wrapText="1"/>
    </xf>
    <xf numFmtId="0" fontId="1" fillId="0" borderId="0" xfId="0" applyFont="1"/>
    <xf numFmtId="49" fontId="0" fillId="0" borderId="2" xfId="0" applyNumberFormat="1" applyBorder="1" applyAlignment="1">
      <alignment horizontal="center" vertical="center" wrapText="1"/>
    </xf>
    <xf numFmtId="0" fontId="11" fillId="3" borderId="5" xfId="0" applyFont="1" applyFill="1" applyBorder="1"/>
    <xf numFmtId="0" fontId="14" fillId="0" borderId="0" xfId="0" applyFont="1"/>
    <xf numFmtId="49" fontId="3" fillId="5" borderId="4" xfId="1" applyNumberFormat="1" applyFont="1" applyFill="1" applyBorder="1" applyAlignment="1">
      <alignment horizontal="center" vertical="center" wrapText="1"/>
    </xf>
    <xf numFmtId="0" fontId="0" fillId="6" borderId="0" xfId="0" applyFill="1"/>
    <xf numFmtId="0" fontId="0" fillId="7" borderId="0" xfId="0" applyFill="1"/>
    <xf numFmtId="1" fontId="3" fillId="2" borderId="3" xfId="1" applyNumberFormat="1" applyFont="1" applyFill="1" applyBorder="1" applyAlignment="1">
      <alignment horizontal="center" vertical="center" wrapText="1"/>
    </xf>
    <xf numFmtId="1" fontId="0" fillId="0" borderId="0" xfId="0" applyNumberFormat="1" applyAlignment="1">
      <alignment horizontal="center" vertical="center"/>
    </xf>
    <xf numFmtId="0" fontId="8" fillId="0" borderId="0" xfId="0" applyFont="1"/>
    <xf numFmtId="49" fontId="1" fillId="0" borderId="1" xfId="0" applyNumberFormat="1" applyFont="1" applyBorder="1" applyAlignment="1">
      <alignment horizontal="center" vertical="center" wrapText="1"/>
    </xf>
    <xf numFmtId="14" fontId="16" fillId="3" borderId="7" xfId="0" applyNumberFormat="1" applyFont="1" applyFill="1" applyBorder="1" applyAlignment="1">
      <alignment horizontal="left" vertical="center" indent="1"/>
    </xf>
    <xf numFmtId="14" fontId="17" fillId="3" borderId="7" xfId="0" applyNumberFormat="1" applyFont="1" applyFill="1" applyBorder="1" applyAlignment="1">
      <alignment horizontal="left" vertical="center" indent="1"/>
    </xf>
    <xf numFmtId="0" fontId="18" fillId="3" borderId="7" xfId="0" applyFont="1" applyFill="1" applyBorder="1" applyAlignment="1">
      <alignment horizontal="left" indent="1"/>
    </xf>
    <xf numFmtId="0" fontId="18" fillId="3" borderId="7" xfId="0" applyFont="1" applyFill="1" applyBorder="1" applyAlignment="1">
      <alignment horizontal="left" vertical="center" indent="1"/>
    </xf>
    <xf numFmtId="0" fontId="0" fillId="0" borderId="0" xfId="0" applyAlignment="1">
      <alignment horizontal="center" vertical="center"/>
    </xf>
    <xf numFmtId="0" fontId="19" fillId="2" borderId="6" xfId="0" applyFont="1" applyFill="1" applyBorder="1" applyAlignment="1">
      <alignment horizontal="center" vertical="center" wrapText="1"/>
    </xf>
    <xf numFmtId="0" fontId="21" fillId="8" borderId="6" xfId="0" applyFont="1" applyFill="1" applyBorder="1" applyAlignment="1">
      <alignment horizontal="center" vertical="center" wrapText="1"/>
    </xf>
    <xf numFmtId="0" fontId="22" fillId="9" borderId="6" xfId="0" applyFont="1" applyFill="1" applyBorder="1" applyAlignment="1">
      <alignment horizontal="center" vertical="center" wrapText="1"/>
    </xf>
    <xf numFmtId="0" fontId="18" fillId="0" borderId="0" xfId="0" applyFont="1"/>
    <xf numFmtId="0" fontId="18" fillId="0" borderId="0" xfId="0" applyFont="1" applyAlignment="1">
      <alignment horizontal="center" vertical="center"/>
    </xf>
    <xf numFmtId="14" fontId="23" fillId="0" borderId="0" xfId="0" applyNumberFormat="1" applyFont="1" applyAlignment="1">
      <alignment horizontal="center" vertical="center"/>
    </xf>
    <xf numFmtId="0" fontId="20" fillId="0" borderId="0" xfId="0" applyFont="1"/>
    <xf numFmtId="0" fontId="20" fillId="0" borderId="0" xfId="0" applyFont="1" applyAlignment="1">
      <alignment horizontal="center" vertical="center" wrapText="1"/>
    </xf>
    <xf numFmtId="14" fontId="0" fillId="0" borderId="0" xfId="0" applyNumberFormat="1"/>
    <xf numFmtId="0" fontId="25" fillId="0" borderId="0" xfId="0" applyFont="1" applyAlignment="1">
      <alignment horizontal="center" vertical="center" wrapText="1"/>
    </xf>
    <xf numFmtId="0" fontId="15" fillId="0" borderId="0" xfId="0" applyFont="1"/>
    <xf numFmtId="0" fontId="24" fillId="0" borderId="0" xfId="0" applyFont="1" applyAlignment="1">
      <alignment horizontal="left" indent="1"/>
    </xf>
    <xf numFmtId="0" fontId="22" fillId="0" borderId="0" xfId="0" applyFont="1" applyAlignment="1">
      <alignment horizontal="left"/>
    </xf>
    <xf numFmtId="0" fontId="22" fillId="10" borderId="6" xfId="0" applyFont="1" applyFill="1" applyBorder="1" applyAlignment="1">
      <alignment horizontal="center" vertical="center" wrapText="1"/>
    </xf>
    <xf numFmtId="14" fontId="1" fillId="3" borderId="6" xfId="0" applyNumberFormat="1" applyFont="1" applyFill="1" applyBorder="1" applyAlignment="1">
      <alignment horizontal="center" vertical="center" wrapText="1"/>
    </xf>
    <xf numFmtId="0" fontId="19" fillId="4" borderId="8" xfId="0" applyFont="1" applyFill="1" applyBorder="1" applyAlignment="1">
      <alignment horizontal="center" vertical="center" wrapText="1"/>
    </xf>
    <xf numFmtId="0" fontId="19" fillId="4" borderId="9" xfId="0" applyFont="1" applyFill="1" applyBorder="1" applyAlignment="1">
      <alignment horizontal="center" vertical="center" wrapText="1"/>
    </xf>
    <xf numFmtId="0" fontId="19" fillId="4" borderId="10" xfId="0" applyFont="1" applyFill="1" applyBorder="1" applyAlignment="1">
      <alignment horizontal="center" vertical="center" wrapText="1"/>
    </xf>
    <xf numFmtId="0" fontId="28" fillId="0" borderId="0" xfId="0" applyFont="1" applyAlignment="1">
      <alignment horizontal="center" vertical="center" wrapText="1"/>
    </xf>
  </cellXfs>
  <cellStyles count="2">
    <cellStyle name="Normal" xfId="0" builtinId="0"/>
    <cellStyle name="Normal 2" xfId="1" xr:uid="{00000000-0005-0000-0000-000001000000}"/>
  </cellStyles>
  <dxfs count="4">
    <dxf>
      <fill>
        <patternFill>
          <bgColor theme="0" tint="-4.9989318521683403E-2"/>
        </patternFill>
      </fill>
    </dxf>
    <dxf>
      <fill>
        <patternFill>
          <bgColor theme="5" tint="-0.24994659260841701"/>
        </patternFill>
      </fill>
    </dxf>
    <dxf>
      <fill>
        <patternFill>
          <bgColor theme="5" tint="-0.24994659260841701"/>
        </patternFill>
      </fill>
    </dxf>
    <dxf>
      <fill>
        <patternFill>
          <bgColor theme="0" tint="-4.9989318521683403E-2"/>
        </patternFill>
      </fill>
    </dxf>
  </dxfs>
  <tableStyles count="0" defaultTableStyle="TableStyleMedium2" defaultPivotStyle="PivotStyleLight16"/>
  <colors>
    <mruColors>
      <color rgb="FFC65911"/>
      <color rgb="FFFF9B9B"/>
      <color rgb="FFBDD7EE"/>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Temperature</a:t>
            </a:r>
            <a:r>
              <a:rPr lang="en-GB" baseline="0"/>
              <a:t> Effect on Startup Time</a:t>
            </a:r>
          </a:p>
        </c:rich>
      </c:tx>
      <c:layout>
        <c:manualLayout>
          <c:xMode val="edge"/>
          <c:yMode val="edge"/>
          <c:x val="1.4270778652668405E-2"/>
          <c:y val="2.46305418719211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358705161854772E-2"/>
          <c:y val="0.20151888341543514"/>
          <c:w val="0.86683814523184599"/>
          <c:h val="0.58522781635054233"/>
        </c:manualLayout>
      </c:layout>
      <c:scatterChart>
        <c:scatterStyle val="lineMarker"/>
        <c:varyColors val="0"/>
        <c:ser>
          <c:idx val="0"/>
          <c:order val="0"/>
          <c:tx>
            <c:strRef>
              <c:f>'Daily Summary'!$C$1</c:f>
              <c:strCache>
                <c:ptCount val="1"/>
                <c:pt idx="0">
                  <c:v>Starting Temperature (°C)</c:v>
                </c:pt>
              </c:strCache>
            </c:strRef>
          </c:tx>
          <c:spPr>
            <a:ln w="19050" cap="rnd">
              <a:solidFill>
                <a:schemeClr val="accent2">
                  <a:lumMod val="75000"/>
                </a:schemeClr>
              </a:solidFill>
              <a:round/>
            </a:ln>
            <a:effectLst/>
          </c:spPr>
          <c:marker>
            <c:symbol val="square"/>
            <c:size val="5"/>
            <c:spPr>
              <a:solidFill>
                <a:schemeClr val="accent2">
                  <a:lumMod val="75000"/>
                </a:schemeClr>
              </a:solidFill>
              <a:ln w="9525">
                <a:solidFill>
                  <a:srgbClr val="C65911"/>
                </a:solidFill>
              </a:ln>
              <a:effectLst/>
            </c:spPr>
          </c:marker>
          <c:xVal>
            <c:numRef>
              <c:f>'Daily Summary'!$B$2:$B$99</c:f>
              <c:numCache>
                <c:formatCode>m/d/yyyy</c:formatCode>
                <c:ptCount val="97"/>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46252</c:v>
                </c:pt>
                <c:pt idx="19">
                  <c:v>46253</c:v>
                </c:pt>
                <c:pt idx="20">
                  <c:v>46254</c:v>
                </c:pt>
                <c:pt idx="21">
                  <c:v>46255</c:v>
                </c:pt>
              </c:numCache>
            </c:numRef>
          </c:xVal>
          <c:yVal>
            <c:numRef>
              <c:f>'Daily Summary'!$C$2:$C$99</c:f>
              <c:numCache>
                <c:formatCode>0.0\°\ \(\C\)</c:formatCode>
                <c:ptCount val="97"/>
                <c:pt idx="0">
                  <c:v>23.5</c:v>
                </c:pt>
                <c:pt idx="1">
                  <c:v>23.5</c:v>
                </c:pt>
                <c:pt idx="2">
                  <c:v>23.5</c:v>
                </c:pt>
                <c:pt idx="3">
                  <c:v>25.5</c:v>
                </c:pt>
                <c:pt idx="4">
                  <c:v>24.5</c:v>
                </c:pt>
                <c:pt idx="5">
                  <c:v>24</c:v>
                </c:pt>
                <c:pt idx="6">
                  <c:v>24</c:v>
                </c:pt>
                <c:pt idx="7">
                  <c:v>23.5</c:v>
                </c:pt>
                <c:pt idx="8">
                  <c:v>24.5</c:v>
                </c:pt>
                <c:pt idx="9">
                  <c:v>24.5</c:v>
                </c:pt>
                <c:pt idx="10">
                  <c:v>24</c:v>
                </c:pt>
                <c:pt idx="11">
                  <c:v>24</c:v>
                </c:pt>
                <c:pt idx="12">
                  <c:v>24</c:v>
                </c:pt>
                <c:pt idx="13">
                  <c:v>23.5</c:v>
                </c:pt>
                <c:pt idx="14">
                  <c:v>24</c:v>
                </c:pt>
                <c:pt idx="15">
                  <c:v>24.5</c:v>
                </c:pt>
                <c:pt idx="16">
                  <c:v>25</c:v>
                </c:pt>
                <c:pt idx="17">
                  <c:v>24.5</c:v>
                </c:pt>
                <c:pt idx="18">
                  <c:v>24.5</c:v>
                </c:pt>
                <c:pt idx="19">
                  <c:v>24.5</c:v>
                </c:pt>
                <c:pt idx="20">
                  <c:v>24.5</c:v>
                </c:pt>
                <c:pt idx="21">
                  <c:v>23.5</c:v>
                </c:pt>
              </c:numCache>
            </c:numRef>
          </c:yVal>
          <c:smooth val="0"/>
          <c:extLst>
            <c:ext xmlns:c16="http://schemas.microsoft.com/office/drawing/2014/chart" uri="{C3380CC4-5D6E-409C-BE32-E72D297353CC}">
              <c16:uniqueId val="{00000000-F0FC-4467-A617-2617B7DA2AFF}"/>
            </c:ext>
          </c:extLst>
        </c:ser>
        <c:dLbls>
          <c:showLegendKey val="0"/>
          <c:showVal val="0"/>
          <c:showCatName val="0"/>
          <c:showSerName val="0"/>
          <c:showPercent val="0"/>
          <c:showBubbleSize val="0"/>
        </c:dLbls>
        <c:axId val="1072957472"/>
        <c:axId val="1072952192"/>
      </c:scatterChart>
      <c:scatterChart>
        <c:scatterStyle val="lineMarker"/>
        <c:varyColors val="0"/>
        <c:ser>
          <c:idx val="1"/>
          <c:order val="1"/>
          <c:tx>
            <c:strRef>
              <c:f>'Daily Summary'!$E$1</c:f>
              <c:strCache>
                <c:ptCount val="1"/>
                <c:pt idx="0">
                  <c:v>Minutes to Ready
(earliest minutes &gt;= 50°)</c:v>
                </c:pt>
              </c:strCache>
            </c:strRef>
          </c:tx>
          <c:spPr>
            <a:ln w="19050" cap="rnd">
              <a:solidFill>
                <a:srgbClr val="00B0F0"/>
              </a:solidFill>
              <a:round/>
            </a:ln>
            <a:effectLst/>
          </c:spPr>
          <c:marker>
            <c:symbol val="square"/>
            <c:size val="5"/>
            <c:spPr>
              <a:solidFill>
                <a:srgbClr val="00B0F0"/>
              </a:solidFill>
              <a:ln w="9525">
                <a:solidFill>
                  <a:srgbClr val="0070C0"/>
                </a:solidFill>
              </a:ln>
              <a:effectLst/>
            </c:spPr>
          </c:marker>
          <c:xVal>
            <c:numRef>
              <c:f>'Daily Summary'!$B$2:$B$99</c:f>
              <c:numCache>
                <c:formatCode>m/d/yyyy</c:formatCode>
                <c:ptCount val="97"/>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46252</c:v>
                </c:pt>
                <c:pt idx="19">
                  <c:v>46253</c:v>
                </c:pt>
                <c:pt idx="20">
                  <c:v>46254</c:v>
                </c:pt>
                <c:pt idx="21">
                  <c:v>46255</c:v>
                </c:pt>
              </c:numCache>
            </c:numRef>
          </c:xVal>
          <c:yVal>
            <c:numRef>
              <c:f>'Daily Summary'!$E$2:$E$99</c:f>
              <c:numCache>
                <c:formatCode>0</c:formatCode>
                <c:ptCount val="97"/>
                <c:pt idx="0">
                  <c:v>25.000000000000071</c:v>
                </c:pt>
                <c:pt idx="1">
                  <c:v>24.000000000000234</c:v>
                </c:pt>
                <c:pt idx="2">
                  <c:v>26.000000000000068</c:v>
                </c:pt>
                <c:pt idx="3">
                  <c:v>15.999999999999943</c:v>
                </c:pt>
                <c:pt idx="4">
                  <c:v>19.000000000000014</c:v>
                </c:pt>
                <c:pt idx="5">
                  <c:v>20.999999999999925</c:v>
                </c:pt>
                <c:pt idx="6">
                  <c:v>21.583333333333243</c:v>
                </c:pt>
                <c:pt idx="7">
                  <c:v>21.216666666666654</c:v>
                </c:pt>
                <c:pt idx="8">
                  <c:v>21.066666666666627</c:v>
                </c:pt>
                <c:pt idx="9">
                  <c:v>19.600000000000026</c:v>
                </c:pt>
                <c:pt idx="10">
                  <c:v>20.133333333333336</c:v>
                </c:pt>
                <c:pt idx="11">
                  <c:v>19.616666666666642</c:v>
                </c:pt>
                <c:pt idx="12">
                  <c:v>18.850000000000069</c:v>
                </c:pt>
                <c:pt idx="13">
                  <c:v>21.350000000000058</c:v>
                </c:pt>
                <c:pt idx="14">
                  <c:v>21.449999999999996</c:v>
                </c:pt>
                <c:pt idx="15">
                  <c:v>19.000000000000014</c:v>
                </c:pt>
                <c:pt idx="16">
                  <c:v>17.899999999999999</c:v>
                </c:pt>
                <c:pt idx="17">
                  <c:v>21.483333333333388</c:v>
                </c:pt>
                <c:pt idx="18">
                  <c:v>19.63333333333334</c:v>
                </c:pt>
                <c:pt idx="19">
                  <c:v>20.11666666666672</c:v>
                </c:pt>
                <c:pt idx="20">
                  <c:v>20.883333333333454</c:v>
                </c:pt>
                <c:pt idx="21">
                  <c:v>18.816666666666677</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numCache>
            </c:numRef>
          </c:yVal>
          <c:smooth val="0"/>
          <c:extLst>
            <c:ext xmlns:c16="http://schemas.microsoft.com/office/drawing/2014/chart" uri="{C3380CC4-5D6E-409C-BE32-E72D297353CC}">
              <c16:uniqueId val="{00000001-F0FC-4467-A617-2617B7DA2AFF}"/>
            </c:ext>
          </c:extLst>
        </c:ser>
        <c:dLbls>
          <c:showLegendKey val="0"/>
          <c:showVal val="0"/>
          <c:showCatName val="0"/>
          <c:showSerName val="0"/>
          <c:showPercent val="0"/>
          <c:showBubbleSize val="0"/>
        </c:dLbls>
        <c:axId val="1965629424"/>
        <c:axId val="1965623184"/>
      </c:scatterChart>
      <c:valAx>
        <c:axId val="1072957472"/>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72952192"/>
        <c:crosses val="autoZero"/>
        <c:crossBetween val="midCat"/>
      </c:valAx>
      <c:valAx>
        <c:axId val="1072952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957472"/>
        <c:crosses val="autoZero"/>
        <c:crossBetween val="midCat"/>
      </c:valAx>
      <c:valAx>
        <c:axId val="1965623184"/>
        <c:scaling>
          <c:orientation val="minMax"/>
        </c:scaling>
        <c:delete val="0"/>
        <c:axPos val="r"/>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629424"/>
        <c:crosses val="max"/>
        <c:crossBetween val="midCat"/>
      </c:valAx>
      <c:valAx>
        <c:axId val="1965629424"/>
        <c:scaling>
          <c:orientation val="minMax"/>
        </c:scaling>
        <c:delete val="1"/>
        <c:axPos val="b"/>
        <c:numFmt formatCode="m/d/yyyy" sourceLinked="1"/>
        <c:majorTickMark val="out"/>
        <c:minorTickMark val="none"/>
        <c:tickLblPos val="nextTo"/>
        <c:crossAx val="1965623184"/>
        <c:crosses val="autoZero"/>
        <c:crossBetween val="midCat"/>
      </c:valAx>
      <c:spPr>
        <a:noFill/>
        <a:ln>
          <a:noFill/>
        </a:ln>
        <a:effectLst/>
      </c:spPr>
    </c:plotArea>
    <c:legend>
      <c:legendPos val="b"/>
      <c:layout>
        <c:manualLayout>
          <c:xMode val="edge"/>
          <c:yMode val="edge"/>
          <c:x val="0.66121281714785651"/>
          <c:y val="1.1698537682789651E-2"/>
          <c:w val="0.3359076990376203"/>
          <c:h val="0.1426528580479164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505666224"/>
        <c:axId val="512736368"/>
      </c:lineChart>
      <c:catAx>
        <c:axId val="5056662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736368"/>
        <c:crosses val="autoZero"/>
        <c:auto val="1"/>
        <c:lblAlgn val="ctr"/>
        <c:lblOffset val="100"/>
        <c:noMultiLvlLbl val="0"/>
      </c:catAx>
      <c:valAx>
        <c:axId val="51273636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66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121920</xdr:colOff>
      <xdr:row>1</xdr:row>
      <xdr:rowOff>53340</xdr:rowOff>
    </xdr:from>
    <xdr:to>
      <xdr:col>8</xdr:col>
      <xdr:colOff>426720</xdr:colOff>
      <xdr:row>18</xdr:row>
      <xdr:rowOff>38100</xdr:rowOff>
    </xdr:to>
    <xdr:graphicFrame macro="">
      <xdr:nvGraphicFramePr>
        <xdr:cNvPr id="2" name="Chart 1">
          <a:extLst>
            <a:ext uri="{FF2B5EF4-FFF2-40B4-BE49-F238E27FC236}">
              <a16:creationId xmlns:a16="http://schemas.microsoft.com/office/drawing/2014/main" id="{80CAB3DB-791D-4F73-85EC-9F03EAE9E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259080</xdr:colOff>
      <xdr:row>1</xdr:row>
      <xdr:rowOff>179070</xdr:rowOff>
    </xdr:from>
    <xdr:to>
      <xdr:col>16</xdr:col>
      <xdr:colOff>563880</xdr:colOff>
      <xdr:row>16</xdr:row>
      <xdr:rowOff>179070</xdr:rowOff>
    </xdr:to>
    <xdr:graphicFrame macro="">
      <xdr:nvGraphicFramePr>
        <xdr:cNvPr id="4" name="Chart 3">
          <a:extLst>
            <a:ext uri="{FF2B5EF4-FFF2-40B4-BE49-F238E27FC236}">
              <a16:creationId xmlns:a16="http://schemas.microsoft.com/office/drawing/2014/main" id="{5F46A80B-2967-17AE-2CEC-2B53FF16C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089DF-FA48-4B21-8D7E-AA398C394437}">
  <sheetPr>
    <tabColor theme="7" tint="0.59999389629810485"/>
  </sheetPr>
  <dimension ref="C2:D17"/>
  <sheetViews>
    <sheetView workbookViewId="0">
      <selection activeCell="C18" sqref="C18"/>
    </sheetView>
  </sheetViews>
  <sheetFormatPr defaultRowHeight="14.4" x14ac:dyDescent="0.3"/>
  <sheetData>
    <row r="2" spans="3:4" x14ac:dyDescent="0.3">
      <c r="C2" t="s">
        <v>22</v>
      </c>
      <c r="D2" s="17" t="s">
        <v>23</v>
      </c>
    </row>
    <row r="3" spans="3:4" x14ac:dyDescent="0.3">
      <c r="C3">
        <v>1</v>
      </c>
      <c r="D3" t="s">
        <v>25</v>
      </c>
    </row>
    <row r="4" spans="3:4" x14ac:dyDescent="0.3">
      <c r="C4" t="s">
        <v>26</v>
      </c>
      <c r="D4" t="s">
        <v>27</v>
      </c>
    </row>
    <row r="5" spans="3:4" x14ac:dyDescent="0.3">
      <c r="C5">
        <v>2</v>
      </c>
      <c r="D5" t="s">
        <v>24</v>
      </c>
    </row>
    <row r="7" spans="3:4" x14ac:dyDescent="0.3">
      <c r="C7">
        <v>3</v>
      </c>
      <c r="D7" t="s">
        <v>30</v>
      </c>
    </row>
    <row r="8" spans="3:4" x14ac:dyDescent="0.3">
      <c r="C8" t="s">
        <v>28</v>
      </c>
      <c r="D8" t="s">
        <v>31</v>
      </c>
    </row>
    <row r="9" spans="3:4" x14ac:dyDescent="0.3">
      <c r="C9" t="s">
        <v>29</v>
      </c>
      <c r="D9" t="s">
        <v>27</v>
      </c>
    </row>
    <row r="12" spans="3:4" x14ac:dyDescent="0.3">
      <c r="C12" s="20" t="s">
        <v>32</v>
      </c>
    </row>
    <row r="13" spans="3:4" x14ac:dyDescent="0.3">
      <c r="C13" t="s">
        <v>33</v>
      </c>
    </row>
    <row r="15" spans="3:4" x14ac:dyDescent="0.3">
      <c r="C15" s="23"/>
      <c r="D15" t="s">
        <v>34</v>
      </c>
    </row>
    <row r="16" spans="3:4" x14ac:dyDescent="0.3">
      <c r="C16" s="22"/>
      <c r="D16" t="s">
        <v>35</v>
      </c>
    </row>
    <row r="17" spans="3:3" x14ac:dyDescent="0.3">
      <c r="C17" s="17" t="s">
        <v>36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J700"/>
  <sheetViews>
    <sheetView workbookViewId="0">
      <pane ySplit="2" topLeftCell="A275" activePane="bottomLeft" state="frozen"/>
      <selection activeCell="B46" sqref="B46"/>
      <selection pane="bottomLeft" activeCell="J279" sqref="J279"/>
    </sheetView>
  </sheetViews>
  <sheetFormatPr defaultRowHeight="14.4" x14ac:dyDescent="0.3"/>
  <cols>
    <col min="1" max="1" width="15.77734375" style="1" customWidth="1"/>
    <col min="2" max="2" width="12.77734375" style="18" hidden="1" customWidth="1"/>
    <col min="3" max="3" width="15.77734375" style="9" hidden="1" customWidth="1"/>
    <col min="4" max="4" width="12.77734375" style="9" customWidth="1"/>
    <col min="5" max="5" width="12.77734375" style="6" customWidth="1"/>
    <col min="6" max="6" width="20.77734375" style="7" customWidth="1"/>
    <col min="7" max="8" width="20.77734375" style="2" customWidth="1"/>
    <col min="13" max="13" width="8.88671875" customWidth="1"/>
  </cols>
  <sheetData>
    <row r="1" spans="1:9" s="12" customFormat="1" x14ac:dyDescent="0.3">
      <c r="A1" s="47" t="s">
        <v>1</v>
      </c>
      <c r="B1" s="47"/>
      <c r="C1" s="47"/>
      <c r="D1" s="47"/>
      <c r="E1" s="47"/>
      <c r="F1" s="47"/>
      <c r="G1" s="47"/>
      <c r="H1" s="47"/>
      <c r="I1" s="19" t="s">
        <v>18</v>
      </c>
    </row>
    <row r="2" spans="1:9" ht="36.6" thickBot="1" x14ac:dyDescent="0.35">
      <c r="A2" s="10" t="s">
        <v>13</v>
      </c>
      <c r="B2" s="10" t="s">
        <v>16</v>
      </c>
      <c r="C2" s="13" t="s">
        <v>2</v>
      </c>
      <c r="D2" s="11" t="s">
        <v>3</v>
      </c>
      <c r="E2" s="14" t="s">
        <v>4</v>
      </c>
      <c r="F2" s="10" t="s">
        <v>5</v>
      </c>
      <c r="G2" s="10" t="s">
        <v>6</v>
      </c>
      <c r="H2" s="21" t="s">
        <v>7</v>
      </c>
    </row>
    <row r="3" spans="1:9" x14ac:dyDescent="0.3">
      <c r="A3" s="1">
        <v>46228</v>
      </c>
      <c r="C3" s="9">
        <f>_xlfn.XLOOKUP(Log!A3, 'Daily Summary'!A:A, 'Daily Summary'!D:D, "Not found!")</f>
        <v>0.78819444444444442</v>
      </c>
      <c r="D3" s="9">
        <v>0.79027777777777775</v>
      </c>
      <c r="E3" s="6">
        <f t="shared" ref="E3:E66" si="0">IF(AND($D3&lt;&gt;"", $C3&lt;&gt;""), ($D3-$C3)*1440, "")</f>
        <v>2.9999999999999893</v>
      </c>
      <c r="F3" s="7">
        <v>32</v>
      </c>
      <c r="G3" s="2">
        <v>35</v>
      </c>
      <c r="H3" s="2">
        <f>IF(AND($G3&lt;&gt;"",$F3&lt;&gt;""), $G3-$F3, "")</f>
        <v>3</v>
      </c>
    </row>
    <row r="4" spans="1:9" x14ac:dyDescent="0.3">
      <c r="A4" s="1">
        <v>46228</v>
      </c>
      <c r="C4" s="9">
        <f>_xlfn.XLOOKUP(Log!A4, 'Daily Summary'!A:A, 'Daily Summary'!D:D, "Not found!")</f>
        <v>0.78819444444444442</v>
      </c>
      <c r="D4" s="9">
        <v>0.7944444444444444</v>
      </c>
      <c r="E4" s="6">
        <f t="shared" si="0"/>
        <v>8.999999999999968</v>
      </c>
      <c r="F4" s="7">
        <v>41</v>
      </c>
      <c r="G4" s="2">
        <v>44</v>
      </c>
      <c r="H4" s="2">
        <f t="shared" ref="H4:H67" si="1">IF(AND($G4&lt;&gt;"",$F4&lt;&gt;""), $G4-$F4, "")</f>
        <v>3</v>
      </c>
    </row>
    <row r="5" spans="1:9" x14ac:dyDescent="0.3">
      <c r="A5" s="1">
        <v>46228</v>
      </c>
      <c r="C5" s="9">
        <f>_xlfn.XLOOKUP(Log!A5, 'Daily Summary'!A:A, 'Daily Summary'!D:D, "Not found!")</f>
        <v>0.78819444444444442</v>
      </c>
      <c r="D5" s="9">
        <v>0.80138888888888893</v>
      </c>
      <c r="E5" s="6">
        <f t="shared" si="0"/>
        <v>19.000000000000092</v>
      </c>
      <c r="F5" s="7">
        <v>49</v>
      </c>
      <c r="G5" s="2">
        <v>52</v>
      </c>
      <c r="H5" s="2">
        <f t="shared" si="1"/>
        <v>3</v>
      </c>
    </row>
    <row r="6" spans="1:9" x14ac:dyDescent="0.3">
      <c r="A6" s="1">
        <v>46228</v>
      </c>
      <c r="C6" s="9">
        <f>_xlfn.XLOOKUP(Log!A6, 'Daily Summary'!A:A, 'Daily Summary'!D:D, "Not found!")</f>
        <v>0.78819444444444442</v>
      </c>
      <c r="D6" s="9">
        <v>0.80555555555555558</v>
      </c>
      <c r="E6" s="6">
        <f t="shared" si="0"/>
        <v>25.000000000000071</v>
      </c>
      <c r="F6" s="7">
        <v>52</v>
      </c>
      <c r="G6" s="2">
        <v>55</v>
      </c>
      <c r="H6" s="2">
        <f t="shared" si="1"/>
        <v>3</v>
      </c>
    </row>
    <row r="7" spans="1:9" x14ac:dyDescent="0.3">
      <c r="A7" s="1">
        <v>46228</v>
      </c>
      <c r="C7" s="9">
        <f>_xlfn.XLOOKUP(Log!A7, 'Daily Summary'!A:A, 'Daily Summary'!D:D, "Not found!")</f>
        <v>0.78819444444444442</v>
      </c>
      <c r="D7" s="9">
        <v>0.81597222222222221</v>
      </c>
      <c r="E7" s="6">
        <f t="shared" si="0"/>
        <v>40.000000000000014</v>
      </c>
      <c r="F7" s="7">
        <v>57</v>
      </c>
      <c r="G7" s="2">
        <v>58</v>
      </c>
      <c r="H7" s="2">
        <f t="shared" si="1"/>
        <v>1</v>
      </c>
    </row>
    <row r="8" spans="1:9" x14ac:dyDescent="0.3">
      <c r="A8" s="1">
        <v>46228</v>
      </c>
      <c r="C8" s="9">
        <f>_xlfn.XLOOKUP(Log!A8, 'Daily Summary'!A:A, 'Daily Summary'!D:D, "Not found!")</f>
        <v>0.78819444444444442</v>
      </c>
      <c r="D8" s="9">
        <v>0.83194444444444449</v>
      </c>
      <c r="E8" s="6">
        <f t="shared" si="0"/>
        <v>63.000000000000099</v>
      </c>
      <c r="F8" s="7">
        <v>60</v>
      </c>
      <c r="G8" s="2">
        <v>61</v>
      </c>
      <c r="H8" s="2">
        <f t="shared" si="1"/>
        <v>1</v>
      </c>
    </row>
    <row r="9" spans="1:9" x14ac:dyDescent="0.3">
      <c r="A9" s="1">
        <v>46230</v>
      </c>
      <c r="C9" s="9">
        <f>_xlfn.XLOOKUP(Log!A9, 'Daily Summary'!A:A, 'Daily Summary'!D:D, "Not found!")</f>
        <v>0.42916666666666659</v>
      </c>
      <c r="D9" s="9">
        <v>0.43125000000000002</v>
      </c>
      <c r="E9" s="6">
        <f t="shared" si="0"/>
        <v>3.0000000000001492</v>
      </c>
      <c r="F9" s="7">
        <v>32</v>
      </c>
      <c r="G9" s="2">
        <v>33</v>
      </c>
      <c r="H9" s="2">
        <f t="shared" si="1"/>
        <v>1</v>
      </c>
    </row>
    <row r="10" spans="1:9" x14ac:dyDescent="0.3">
      <c r="A10" s="1">
        <v>46230</v>
      </c>
      <c r="C10" s="9">
        <f>_xlfn.XLOOKUP(Log!A10, 'Daily Summary'!A:A, 'Daily Summary'!D:D, "Not found!")</f>
        <v>0.42916666666666659</v>
      </c>
      <c r="D10" s="9">
        <v>0.43611111111111112</v>
      </c>
      <c r="E10" s="6">
        <f t="shared" si="0"/>
        <v>10.000000000000124</v>
      </c>
      <c r="F10" s="7">
        <v>42</v>
      </c>
      <c r="G10" s="2">
        <v>44</v>
      </c>
      <c r="H10" s="2">
        <f t="shared" si="1"/>
        <v>2</v>
      </c>
    </row>
    <row r="11" spans="1:9" x14ac:dyDescent="0.3">
      <c r="A11" s="1">
        <v>46230</v>
      </c>
      <c r="C11" s="9">
        <f>_xlfn.XLOOKUP(Log!A11, 'Daily Summary'!A:A, 'Daily Summary'!D:D, "Not found!")</f>
        <v>0.42916666666666659</v>
      </c>
      <c r="D11" s="9">
        <v>0.44027777777777782</v>
      </c>
      <c r="E11" s="6">
        <f t="shared" si="0"/>
        <v>16.000000000000185</v>
      </c>
      <c r="F11" s="7">
        <v>48</v>
      </c>
      <c r="G11" s="2">
        <v>49</v>
      </c>
      <c r="H11" s="2">
        <f t="shared" si="1"/>
        <v>1</v>
      </c>
    </row>
    <row r="12" spans="1:9" x14ac:dyDescent="0.3">
      <c r="A12" s="1">
        <v>46230</v>
      </c>
      <c r="C12" s="9">
        <f>_xlfn.XLOOKUP(Log!A12, 'Daily Summary'!A:A, 'Daily Summary'!D:D, "Not found!")</f>
        <v>0.42916666666666659</v>
      </c>
      <c r="D12" s="9">
        <v>0.44583333333333341</v>
      </c>
      <c r="E12" s="6">
        <f t="shared" si="0"/>
        <v>24.000000000000234</v>
      </c>
      <c r="F12" s="7">
        <v>51</v>
      </c>
      <c r="G12" s="2">
        <v>54</v>
      </c>
      <c r="H12" s="2">
        <f t="shared" si="1"/>
        <v>3</v>
      </c>
    </row>
    <row r="13" spans="1:9" x14ac:dyDescent="0.3">
      <c r="A13" s="1">
        <v>46230</v>
      </c>
      <c r="C13" s="9">
        <f>_xlfn.XLOOKUP(Log!A13, 'Daily Summary'!A:A, 'Daily Summary'!D:D, "Not found!")</f>
        <v>0.42916666666666659</v>
      </c>
      <c r="D13" s="9">
        <v>0.45902777777777781</v>
      </c>
      <c r="E13" s="6">
        <f t="shared" si="0"/>
        <v>43.000000000000171</v>
      </c>
      <c r="F13" s="7">
        <v>57</v>
      </c>
      <c r="G13" s="2">
        <v>60</v>
      </c>
      <c r="H13" s="2">
        <f t="shared" si="1"/>
        <v>3</v>
      </c>
    </row>
    <row r="14" spans="1:9" x14ac:dyDescent="0.3">
      <c r="A14" s="1">
        <v>46231</v>
      </c>
      <c r="C14" s="9">
        <f>_xlfn.XLOOKUP(Log!A14, 'Daily Summary'!A:A, 'Daily Summary'!D:D, "Not found!")</f>
        <v>0.38194444444444442</v>
      </c>
      <c r="D14" s="9">
        <v>0.3840277777777778</v>
      </c>
      <c r="E14" s="6">
        <f t="shared" si="0"/>
        <v>3.0000000000000693</v>
      </c>
      <c r="F14" s="7">
        <v>31</v>
      </c>
      <c r="G14" s="2">
        <v>32</v>
      </c>
      <c r="H14" s="2">
        <f t="shared" si="1"/>
        <v>1</v>
      </c>
    </row>
    <row r="15" spans="1:9" x14ac:dyDescent="0.3">
      <c r="A15" s="1">
        <v>46231</v>
      </c>
      <c r="C15" s="9">
        <f>_xlfn.XLOOKUP(Log!A15, 'Daily Summary'!A:A, 'Daily Summary'!D:D, "Not found!")</f>
        <v>0.38194444444444442</v>
      </c>
      <c r="D15" s="9">
        <v>0.3923611111111111</v>
      </c>
      <c r="E15" s="6">
        <f t="shared" si="0"/>
        <v>15.000000000000027</v>
      </c>
      <c r="F15" s="7">
        <v>47</v>
      </c>
      <c r="G15" s="2">
        <v>49</v>
      </c>
      <c r="H15" s="2">
        <f t="shared" si="1"/>
        <v>2</v>
      </c>
    </row>
    <row r="16" spans="1:9" x14ac:dyDescent="0.3">
      <c r="A16" s="1">
        <v>46231</v>
      </c>
      <c r="C16" s="9">
        <f>_xlfn.XLOOKUP(Log!A16, 'Daily Summary'!A:A, 'Daily Summary'!D:D, "Not found!")</f>
        <v>0.38194444444444442</v>
      </c>
      <c r="D16" s="9">
        <v>0.4</v>
      </c>
      <c r="E16" s="6">
        <f t="shared" si="0"/>
        <v>26.000000000000068</v>
      </c>
      <c r="F16" s="7">
        <v>52</v>
      </c>
      <c r="G16" s="2">
        <v>54</v>
      </c>
      <c r="H16" s="2">
        <f t="shared" si="1"/>
        <v>2</v>
      </c>
    </row>
    <row r="17" spans="1:8" x14ac:dyDescent="0.3">
      <c r="A17" s="1">
        <v>46231</v>
      </c>
      <c r="C17" s="9">
        <f>_xlfn.XLOOKUP(Log!A17, 'Daily Summary'!A:A, 'Daily Summary'!D:D, "Not found!")</f>
        <v>0.38194444444444442</v>
      </c>
      <c r="D17" s="9">
        <v>0.40555555555555561</v>
      </c>
      <c r="E17" s="6">
        <f t="shared" si="0"/>
        <v>34.000000000000121</v>
      </c>
      <c r="F17" s="7">
        <v>54</v>
      </c>
      <c r="G17" s="2">
        <v>58</v>
      </c>
      <c r="H17" s="2">
        <f t="shared" si="1"/>
        <v>4</v>
      </c>
    </row>
    <row r="18" spans="1:8" x14ac:dyDescent="0.3">
      <c r="A18" s="1">
        <v>46231</v>
      </c>
      <c r="C18" s="9">
        <f>_xlfn.XLOOKUP(Log!A18, 'Daily Summary'!A:A, 'Daily Summary'!D:D, "Not found!")</f>
        <v>0.38194444444444442</v>
      </c>
      <c r="D18" s="9">
        <v>0.41319444444444442</v>
      </c>
      <c r="E18" s="6">
        <f t="shared" si="0"/>
        <v>45</v>
      </c>
      <c r="F18" s="7">
        <v>57</v>
      </c>
      <c r="G18" s="2">
        <v>61</v>
      </c>
      <c r="H18" s="2">
        <f t="shared" si="1"/>
        <v>4</v>
      </c>
    </row>
    <row r="19" spans="1:8" x14ac:dyDescent="0.3">
      <c r="A19" s="1" t="s">
        <v>12</v>
      </c>
      <c r="B19" s="18" t="s">
        <v>15</v>
      </c>
      <c r="C19" s="9" t="str">
        <f>_xlfn.XLOOKUP(Log!A19, 'Daily Summary'!A:A, 'Daily Summary'!D:D, "Not found!")</f>
        <v>Not found!</v>
      </c>
      <c r="D19" s="9">
        <v>0.43055555555555558</v>
      </c>
      <c r="E19" s="6" t="e">
        <f t="shared" si="0"/>
        <v>#VALUE!</v>
      </c>
      <c r="F19" s="7">
        <v>32</v>
      </c>
      <c r="G19" s="2">
        <v>32</v>
      </c>
      <c r="H19" s="2">
        <f t="shared" si="1"/>
        <v>0</v>
      </c>
    </row>
    <row r="20" spans="1:8" x14ac:dyDescent="0.3">
      <c r="A20" s="1" t="s">
        <v>12</v>
      </c>
      <c r="B20" s="18" t="s">
        <v>15</v>
      </c>
      <c r="C20" s="9" t="str">
        <f>_xlfn.XLOOKUP(Log!A20, 'Daily Summary'!A:A, 'Daily Summary'!D:D, "Not found!")</f>
        <v>Not found!</v>
      </c>
      <c r="D20" s="9">
        <v>0.43402777777777779</v>
      </c>
      <c r="E20" s="6" t="e">
        <f t="shared" si="0"/>
        <v>#VALUE!</v>
      </c>
      <c r="F20" s="7">
        <v>40</v>
      </c>
      <c r="G20" s="2">
        <v>42</v>
      </c>
      <c r="H20" s="2">
        <f t="shared" si="1"/>
        <v>2</v>
      </c>
    </row>
    <row r="21" spans="1:8" x14ac:dyDescent="0.3">
      <c r="A21" s="1" t="s">
        <v>12</v>
      </c>
      <c r="B21" s="18" t="s">
        <v>15</v>
      </c>
      <c r="C21" s="9" t="str">
        <f>_xlfn.XLOOKUP(Log!A21, 'Daily Summary'!A:A, 'Daily Summary'!D:D, "Not found!")</f>
        <v>Not found!</v>
      </c>
      <c r="D21" s="9">
        <v>0.43680555555555556</v>
      </c>
      <c r="E21" s="6" t="e">
        <f t="shared" si="0"/>
        <v>#VALUE!</v>
      </c>
      <c r="F21" s="7">
        <v>44</v>
      </c>
      <c r="G21" s="2">
        <v>47</v>
      </c>
      <c r="H21" s="2">
        <f t="shared" si="1"/>
        <v>3</v>
      </c>
    </row>
    <row r="22" spans="1:8" x14ac:dyDescent="0.3">
      <c r="A22" s="1" t="s">
        <v>12</v>
      </c>
      <c r="C22" s="9" t="str">
        <f>_xlfn.XLOOKUP(Log!A22, 'Daily Summary'!A:A, 'Daily Summary'!D:D, "Not found!")</f>
        <v>Not found!</v>
      </c>
      <c r="D22" s="9">
        <v>0.44027777777777777</v>
      </c>
      <c r="E22" s="6" t="e">
        <f t="shared" si="0"/>
        <v>#VALUE!</v>
      </c>
      <c r="F22" s="7">
        <v>49</v>
      </c>
      <c r="G22" s="2">
        <v>52</v>
      </c>
      <c r="H22" s="2">
        <f t="shared" si="1"/>
        <v>3</v>
      </c>
    </row>
    <row r="23" spans="1:8" x14ac:dyDescent="0.3">
      <c r="A23" s="1" t="s">
        <v>12</v>
      </c>
      <c r="C23" s="9" t="str">
        <f>_xlfn.XLOOKUP(Log!A23, 'Daily Summary'!A:A, 'Daily Summary'!D:D, "Not found!")</f>
        <v>Not found!</v>
      </c>
      <c r="D23" s="9">
        <v>0.44374999999999998</v>
      </c>
      <c r="E23" s="6" t="e">
        <f t="shared" si="0"/>
        <v>#VALUE!</v>
      </c>
      <c r="F23" s="7">
        <v>52</v>
      </c>
      <c r="G23" s="2">
        <v>55</v>
      </c>
      <c r="H23" s="2">
        <f t="shared" si="1"/>
        <v>3</v>
      </c>
    </row>
    <row r="24" spans="1:8" x14ac:dyDescent="0.3">
      <c r="A24" s="1" t="s">
        <v>12</v>
      </c>
      <c r="C24" s="9" t="str">
        <f>_xlfn.XLOOKUP(Log!A24, 'Daily Summary'!A:A, 'Daily Summary'!D:D, "Not found!")</f>
        <v>Not found!</v>
      </c>
      <c r="D24" s="9">
        <v>0.4465277777777778</v>
      </c>
      <c r="E24" s="6" t="e">
        <f t="shared" si="0"/>
        <v>#VALUE!</v>
      </c>
      <c r="F24" s="7">
        <v>54</v>
      </c>
      <c r="G24" s="2">
        <v>55</v>
      </c>
      <c r="H24" s="2">
        <f t="shared" si="1"/>
        <v>1</v>
      </c>
    </row>
    <row r="25" spans="1:8" x14ac:dyDescent="0.3">
      <c r="A25" s="1" t="s">
        <v>12</v>
      </c>
      <c r="C25" s="9" t="str">
        <f>_xlfn.XLOOKUP(Log!A25, 'Daily Summary'!A:A, 'Daily Summary'!D:D, "Not found!")</f>
        <v>Not found!</v>
      </c>
      <c r="D25" s="9">
        <v>0.45069444444444445</v>
      </c>
      <c r="E25" s="6" t="e">
        <f t="shared" si="0"/>
        <v>#VALUE!</v>
      </c>
      <c r="F25" s="7">
        <v>55</v>
      </c>
      <c r="G25" s="2">
        <v>58</v>
      </c>
      <c r="H25" s="2">
        <f t="shared" si="1"/>
        <v>3</v>
      </c>
    </row>
    <row r="26" spans="1:8" x14ac:dyDescent="0.3">
      <c r="A26" s="1">
        <v>46232</v>
      </c>
      <c r="C26" s="9">
        <f>_xlfn.XLOOKUP(Log!A26, 'Daily Summary'!A:A, 'Daily Summary'!D:D, "Not found!")</f>
        <v>0.73472222222222228</v>
      </c>
      <c r="D26" s="9">
        <v>0.73611111111111116</v>
      </c>
      <c r="E26" s="6">
        <f t="shared" si="0"/>
        <v>1.9999999999999929</v>
      </c>
      <c r="F26" s="7">
        <v>32</v>
      </c>
      <c r="G26" s="2">
        <v>33</v>
      </c>
      <c r="H26" s="2">
        <f t="shared" si="1"/>
        <v>1</v>
      </c>
    </row>
    <row r="27" spans="1:8" x14ac:dyDescent="0.3">
      <c r="A27" s="1">
        <v>46232</v>
      </c>
      <c r="C27" s="9">
        <f>_xlfn.XLOOKUP(Log!A27, 'Daily Summary'!A:A, 'Daily Summary'!D:D, "Not found!")</f>
        <v>0.73472222222222228</v>
      </c>
      <c r="D27" s="9">
        <v>0.73888888888888893</v>
      </c>
      <c r="E27" s="6">
        <f t="shared" si="0"/>
        <v>5.9999999999999787</v>
      </c>
      <c r="F27" s="7">
        <v>41</v>
      </c>
      <c r="G27" s="2">
        <v>42</v>
      </c>
      <c r="H27" s="2">
        <f t="shared" si="1"/>
        <v>1</v>
      </c>
    </row>
    <row r="28" spans="1:8" x14ac:dyDescent="0.3">
      <c r="A28" s="1">
        <v>46232</v>
      </c>
      <c r="C28" s="9">
        <f>_xlfn.XLOOKUP(Log!A28, 'Daily Summary'!A:A, 'Daily Summary'!D:D, "Not found!")</f>
        <v>0.73472222222222228</v>
      </c>
      <c r="D28" s="9">
        <v>0.7416666666666667</v>
      </c>
      <c r="E28" s="6">
        <f t="shared" si="0"/>
        <v>9.9999999999999645</v>
      </c>
      <c r="F28" s="7">
        <v>45</v>
      </c>
      <c r="G28" s="2">
        <v>48</v>
      </c>
      <c r="H28" s="2">
        <f t="shared" si="1"/>
        <v>3</v>
      </c>
    </row>
    <row r="29" spans="1:8" x14ac:dyDescent="0.3">
      <c r="A29" s="1">
        <v>46232</v>
      </c>
      <c r="C29" s="9">
        <f>_xlfn.XLOOKUP(Log!A29, 'Daily Summary'!A:A, 'Daily Summary'!D:D, "Not found!")</f>
        <v>0.73472222222222228</v>
      </c>
      <c r="D29" s="9">
        <v>0.74583333333333335</v>
      </c>
      <c r="E29" s="6">
        <f t="shared" si="0"/>
        <v>15.999999999999943</v>
      </c>
      <c r="F29" s="7">
        <v>50</v>
      </c>
      <c r="G29" s="2">
        <v>52</v>
      </c>
      <c r="H29" s="2">
        <f t="shared" si="1"/>
        <v>2</v>
      </c>
    </row>
    <row r="30" spans="1:8" x14ac:dyDescent="0.3">
      <c r="A30" s="1">
        <v>46232</v>
      </c>
      <c r="C30" s="9">
        <f>_xlfn.XLOOKUP(Log!A30, 'Daily Summary'!A:A, 'Daily Summary'!D:D, "Not found!")</f>
        <v>0.73472222222222228</v>
      </c>
      <c r="D30" s="9">
        <v>0.74930555555555556</v>
      </c>
      <c r="E30" s="6">
        <f t="shared" si="0"/>
        <v>20.999999999999925</v>
      </c>
      <c r="F30" s="7">
        <v>52</v>
      </c>
      <c r="G30" s="2">
        <v>55</v>
      </c>
      <c r="H30" s="2">
        <f t="shared" si="1"/>
        <v>3</v>
      </c>
    </row>
    <row r="31" spans="1:8" x14ac:dyDescent="0.3">
      <c r="A31" s="1">
        <v>46233</v>
      </c>
      <c r="C31" s="9">
        <f>_xlfn.XLOOKUP(Log!A31, 'Daily Summary'!A:A, 'Daily Summary'!D:D, "Not found!")</f>
        <v>0.40972222222222221</v>
      </c>
      <c r="D31" s="9">
        <v>0.41111111111111109</v>
      </c>
      <c r="E31" s="6">
        <f t="shared" si="0"/>
        <v>1.9999999999999929</v>
      </c>
      <c r="F31" s="7">
        <v>32</v>
      </c>
      <c r="G31" s="2">
        <v>33</v>
      </c>
      <c r="H31" s="2">
        <f t="shared" si="1"/>
        <v>1</v>
      </c>
    </row>
    <row r="32" spans="1:8" x14ac:dyDescent="0.3">
      <c r="A32" s="1">
        <v>46233</v>
      </c>
      <c r="C32" s="9">
        <f>_xlfn.XLOOKUP(Log!A32, 'Daily Summary'!A:A, 'Daily Summary'!D:D, "Not found!")</f>
        <v>0.40972222222222221</v>
      </c>
      <c r="D32" s="9">
        <v>0.41319444444444442</v>
      </c>
      <c r="E32" s="6">
        <f t="shared" si="0"/>
        <v>4.9999999999999822</v>
      </c>
      <c r="F32" s="7">
        <v>38</v>
      </c>
      <c r="G32" s="2">
        <v>41</v>
      </c>
      <c r="H32" s="2">
        <f t="shared" si="1"/>
        <v>3</v>
      </c>
    </row>
    <row r="33" spans="1:10" x14ac:dyDescent="0.3">
      <c r="A33" s="1">
        <v>46233</v>
      </c>
      <c r="C33" s="9">
        <f>_xlfn.XLOOKUP(Log!A33, 'Daily Summary'!A:A, 'Daily Summary'!D:D, "Not found!")</f>
        <v>0.40972222222222221</v>
      </c>
      <c r="D33" s="9">
        <v>0.41666666666666669</v>
      </c>
      <c r="E33" s="6">
        <f t="shared" si="0"/>
        <v>10.000000000000044</v>
      </c>
      <c r="F33" s="7">
        <v>44</v>
      </c>
      <c r="G33" s="2">
        <v>45</v>
      </c>
      <c r="H33" s="2">
        <f t="shared" si="1"/>
        <v>1</v>
      </c>
    </row>
    <row r="34" spans="1:10" x14ac:dyDescent="0.3">
      <c r="A34" s="1">
        <v>46233</v>
      </c>
      <c r="C34" s="9">
        <f>_xlfn.XLOOKUP(Log!A34, 'Daily Summary'!A:A, 'Daily Summary'!D:D, "Not found!")</f>
        <v>0.40972222222222221</v>
      </c>
      <c r="D34" s="9">
        <v>0.41944444444444445</v>
      </c>
      <c r="E34" s="6">
        <f t="shared" si="0"/>
        <v>14.00000000000003</v>
      </c>
      <c r="F34" s="7">
        <v>47</v>
      </c>
      <c r="G34" s="2">
        <v>49</v>
      </c>
      <c r="H34" s="2">
        <f t="shared" si="1"/>
        <v>2</v>
      </c>
    </row>
    <row r="35" spans="1:10" x14ac:dyDescent="0.3">
      <c r="A35" s="1">
        <v>46233</v>
      </c>
      <c r="C35" s="9">
        <f>_xlfn.XLOOKUP(Log!A35, 'Daily Summary'!A:A, 'Daily Summary'!D:D, "Not found!")</f>
        <v>0.40972222222222221</v>
      </c>
      <c r="D35" s="9">
        <v>0.42222222222222222</v>
      </c>
      <c r="E35" s="6">
        <f t="shared" si="0"/>
        <v>18.000000000000014</v>
      </c>
      <c r="F35" s="7">
        <v>49</v>
      </c>
      <c r="G35" s="2">
        <v>52</v>
      </c>
      <c r="H35" s="2">
        <f t="shared" si="1"/>
        <v>3</v>
      </c>
    </row>
    <row r="36" spans="1:10" x14ac:dyDescent="0.3">
      <c r="A36" s="1">
        <v>46233</v>
      </c>
      <c r="C36" s="9">
        <f>_xlfn.XLOOKUP(Log!A36, 'Daily Summary'!A:A, 'Daily Summary'!D:D, "Not found!")</f>
        <v>0.40972222222222221</v>
      </c>
      <c r="D36" s="9">
        <v>0.42291666666666666</v>
      </c>
      <c r="E36" s="6">
        <f t="shared" si="0"/>
        <v>19.000000000000014</v>
      </c>
      <c r="F36" s="7">
        <v>51</v>
      </c>
      <c r="G36" s="2">
        <v>52</v>
      </c>
      <c r="H36" s="2">
        <f t="shared" si="1"/>
        <v>1</v>
      </c>
    </row>
    <row r="37" spans="1:10" x14ac:dyDescent="0.3">
      <c r="A37" s="1">
        <v>46233</v>
      </c>
      <c r="C37" s="9">
        <f>_xlfn.XLOOKUP(Log!A37, 'Daily Summary'!A:A, 'Daily Summary'!D:D, "Not found!")</f>
        <v>0.40972222222222221</v>
      </c>
      <c r="D37" s="9">
        <v>0.42638888888888887</v>
      </c>
      <c r="E37" s="6">
        <f t="shared" si="0"/>
        <v>23.999999999999993</v>
      </c>
      <c r="F37" s="7">
        <v>52</v>
      </c>
      <c r="G37" s="2">
        <v>55</v>
      </c>
      <c r="H37" s="2">
        <f t="shared" si="1"/>
        <v>3</v>
      </c>
    </row>
    <row r="38" spans="1:10" x14ac:dyDescent="0.3">
      <c r="A38" s="1">
        <v>46233</v>
      </c>
      <c r="C38" s="9">
        <f>_xlfn.XLOOKUP(Log!A38, 'Daily Summary'!A:A, 'Daily Summary'!D:D, "Not found!")</f>
        <v>0.40972222222222221</v>
      </c>
      <c r="D38" s="9">
        <v>0.4284722222222222</v>
      </c>
      <c r="E38" s="6">
        <f t="shared" si="0"/>
        <v>26.999999999999986</v>
      </c>
      <c r="F38" s="7">
        <v>54</v>
      </c>
      <c r="G38" s="2">
        <v>55</v>
      </c>
      <c r="H38" s="2">
        <f t="shared" si="1"/>
        <v>1</v>
      </c>
    </row>
    <row r="39" spans="1:10" x14ac:dyDescent="0.3">
      <c r="A39" s="1">
        <v>46234</v>
      </c>
      <c r="C39" s="9">
        <f>_xlfn.XLOOKUP(Log!A39, 'Daily Summary'!A:A, 'Daily Summary'!D:D, "Not found!")</f>
        <v>0.43055555555555558</v>
      </c>
      <c r="D39" s="9">
        <v>0.43194444444444446</v>
      </c>
      <c r="E39" s="6">
        <f t="shared" si="0"/>
        <v>1.9999999999999929</v>
      </c>
      <c r="F39" s="7">
        <v>29</v>
      </c>
      <c r="G39" s="2">
        <v>32</v>
      </c>
      <c r="H39" s="2">
        <f t="shared" si="1"/>
        <v>3</v>
      </c>
    </row>
    <row r="40" spans="1:10" x14ac:dyDescent="0.3">
      <c r="A40" s="1">
        <v>46234</v>
      </c>
      <c r="C40" s="9">
        <f>_xlfn.XLOOKUP(Log!A40, 'Daily Summary'!A:A, 'Daily Summary'!D:D, "Not found!")</f>
        <v>0.43055555555555558</v>
      </c>
      <c r="D40" s="9">
        <v>0.43472222222222223</v>
      </c>
      <c r="E40" s="6">
        <f t="shared" si="0"/>
        <v>5.9999999999999787</v>
      </c>
      <c r="F40" s="7">
        <v>39</v>
      </c>
      <c r="G40" s="2">
        <v>41</v>
      </c>
      <c r="H40" s="2">
        <f t="shared" si="1"/>
        <v>2</v>
      </c>
    </row>
    <row r="41" spans="1:10" x14ac:dyDescent="0.3">
      <c r="A41" s="1">
        <v>46234</v>
      </c>
      <c r="C41" s="9">
        <f>_xlfn.XLOOKUP(Log!A41, 'Daily Summary'!A:A, 'Daily Summary'!D:D, "Not found!")</f>
        <v>0.43055555555555558</v>
      </c>
      <c r="D41" s="9">
        <v>0.43888888888888888</v>
      </c>
      <c r="E41" s="6">
        <f t="shared" si="0"/>
        <v>11.999999999999957</v>
      </c>
      <c r="F41" s="7">
        <v>44</v>
      </c>
      <c r="G41" s="2">
        <v>47</v>
      </c>
      <c r="H41" s="2">
        <f t="shared" si="1"/>
        <v>3</v>
      </c>
    </row>
    <row r="42" spans="1:10" x14ac:dyDescent="0.3">
      <c r="A42" s="1">
        <v>46234</v>
      </c>
      <c r="C42" s="9">
        <f>_xlfn.XLOOKUP(Log!A42, 'Daily Summary'!A:A, 'Daily Summary'!D:D, "Not found!")</f>
        <v>0.43055555555555558</v>
      </c>
      <c r="D42" s="9">
        <v>0.44027777777777777</v>
      </c>
      <c r="E42" s="6">
        <f t="shared" si="0"/>
        <v>13.99999999999995</v>
      </c>
      <c r="F42" s="7">
        <v>47</v>
      </c>
      <c r="G42" s="2">
        <v>49</v>
      </c>
      <c r="H42" s="2">
        <f t="shared" si="1"/>
        <v>2</v>
      </c>
    </row>
    <row r="43" spans="1:10" x14ac:dyDescent="0.3">
      <c r="A43" s="1">
        <v>46234</v>
      </c>
      <c r="C43" s="9">
        <f>_xlfn.XLOOKUP(Log!A43, 'Daily Summary'!A:A, 'Daily Summary'!D:D, "Not found!")</f>
        <v>0.43055555555555558</v>
      </c>
      <c r="D43" s="9">
        <v>0.44513888888888886</v>
      </c>
      <c r="E43" s="6">
        <f t="shared" si="0"/>
        <v>20.999999999999925</v>
      </c>
      <c r="F43" s="7">
        <v>51</v>
      </c>
      <c r="G43" s="2">
        <v>52</v>
      </c>
      <c r="H43" s="2">
        <f t="shared" si="1"/>
        <v>1</v>
      </c>
    </row>
    <row r="44" spans="1:10" x14ac:dyDescent="0.3">
      <c r="A44" s="1">
        <v>46234</v>
      </c>
      <c r="C44" s="9">
        <f>_xlfn.XLOOKUP(Log!A44, 'Daily Summary'!A:A, 'Daily Summary'!D:D, "Not found!")</f>
        <v>0.43055555555555558</v>
      </c>
      <c r="D44" s="9">
        <v>0.44861111111111113</v>
      </c>
      <c r="E44" s="6">
        <f t="shared" si="0"/>
        <v>25.999999999999986</v>
      </c>
      <c r="F44" s="7">
        <v>54</v>
      </c>
      <c r="G44" s="2">
        <v>55</v>
      </c>
      <c r="H44" s="2">
        <f t="shared" si="1"/>
        <v>1</v>
      </c>
    </row>
    <row r="45" spans="1:10" x14ac:dyDescent="0.3">
      <c r="A45" s="1">
        <v>46235</v>
      </c>
      <c r="C45" s="9">
        <f>_xlfn.XLOOKUP(Log!A45, 'Daily Summary'!A:A, 'Daily Summary'!D:D, "Not found!")</f>
        <v>0.70625000000000004</v>
      </c>
      <c r="D45" s="9">
        <v>0.70763888888888893</v>
      </c>
      <c r="E45" s="6">
        <f t="shared" si="0"/>
        <v>1.9999999999999929</v>
      </c>
      <c r="F45" s="7">
        <v>28</v>
      </c>
      <c r="G45" s="2">
        <v>30</v>
      </c>
      <c r="H45" s="2">
        <f t="shared" si="1"/>
        <v>2</v>
      </c>
      <c r="J45" s="17" t="s">
        <v>37</v>
      </c>
    </row>
    <row r="46" spans="1:10" x14ac:dyDescent="0.3">
      <c r="A46" s="1">
        <v>46235</v>
      </c>
      <c r="C46" s="9">
        <f>_xlfn.XLOOKUP(Log!A46, 'Daily Summary'!A:A, 'Daily Summary'!D:D, "Not found!")</f>
        <v>0.70625000000000004</v>
      </c>
      <c r="D46" s="9">
        <v>0.7086689814814815</v>
      </c>
      <c r="E46" s="6">
        <f t="shared" si="0"/>
        <v>3.4833333333332916</v>
      </c>
      <c r="F46" s="7">
        <v>32</v>
      </c>
      <c r="G46" s="2">
        <v>35</v>
      </c>
      <c r="H46" s="2">
        <f t="shared" si="1"/>
        <v>3</v>
      </c>
    </row>
    <row r="47" spans="1:10" x14ac:dyDescent="0.3">
      <c r="A47" s="1">
        <v>46235</v>
      </c>
      <c r="C47" s="9">
        <f>_xlfn.XLOOKUP(Log!A47, 'Daily Summary'!A:A, 'Daily Summary'!D:D, "Not found!")</f>
        <v>0.70625000000000004</v>
      </c>
      <c r="D47" s="9">
        <v>0.71006944444444442</v>
      </c>
      <c r="E47" s="6">
        <f t="shared" si="0"/>
        <v>5.4999999999999005</v>
      </c>
      <c r="F47" s="7">
        <v>36</v>
      </c>
      <c r="G47" s="2">
        <v>39</v>
      </c>
      <c r="H47" s="2">
        <f t="shared" si="1"/>
        <v>3</v>
      </c>
    </row>
    <row r="48" spans="1:10" x14ac:dyDescent="0.3">
      <c r="A48" s="1">
        <v>46235</v>
      </c>
      <c r="C48" s="9">
        <f>_xlfn.XLOOKUP(Log!A48, 'Daily Summary'!A:A, 'Daily Summary'!D:D, "Not found!")</f>
        <v>0.70625000000000004</v>
      </c>
      <c r="D48" s="9">
        <v>0.71146990740740745</v>
      </c>
      <c r="E48" s="6">
        <f t="shared" si="0"/>
        <v>7.5166666666666693</v>
      </c>
      <c r="F48" s="7">
        <v>39</v>
      </c>
      <c r="G48" s="2">
        <v>42</v>
      </c>
      <c r="H48" s="2">
        <f t="shared" si="1"/>
        <v>3</v>
      </c>
    </row>
    <row r="49" spans="1:8" x14ac:dyDescent="0.3">
      <c r="A49" s="1">
        <v>46235</v>
      </c>
      <c r="C49" s="9">
        <f>_xlfn.XLOOKUP(Log!A49, 'Daily Summary'!A:A, 'Daily Summary'!D:D, "Not found!")</f>
        <v>0.70625000000000004</v>
      </c>
      <c r="D49" s="9">
        <v>0.71285879629629634</v>
      </c>
      <c r="E49" s="6">
        <f t="shared" si="0"/>
        <v>9.5166666666666622</v>
      </c>
      <c r="F49" s="7">
        <v>42</v>
      </c>
      <c r="G49" s="2">
        <v>45</v>
      </c>
      <c r="H49" s="2">
        <f t="shared" si="1"/>
        <v>3</v>
      </c>
    </row>
    <row r="50" spans="1:8" x14ac:dyDescent="0.3">
      <c r="A50" s="1">
        <v>46235</v>
      </c>
      <c r="C50" s="9">
        <f>_xlfn.XLOOKUP(Log!A50, 'Daily Summary'!A:A, 'Daily Summary'!D:D, "Not found!")</f>
        <v>0.70625000000000004</v>
      </c>
      <c r="D50" s="9">
        <v>0.71425925925925926</v>
      </c>
      <c r="E50" s="6">
        <f t="shared" si="0"/>
        <v>11.533333333333271</v>
      </c>
      <c r="F50" s="7">
        <v>44</v>
      </c>
      <c r="G50" s="2">
        <v>45</v>
      </c>
      <c r="H50" s="2">
        <f t="shared" si="1"/>
        <v>1</v>
      </c>
    </row>
    <row r="51" spans="1:8" x14ac:dyDescent="0.3">
      <c r="A51" s="1">
        <v>46235</v>
      </c>
      <c r="C51" s="9">
        <f>_xlfn.XLOOKUP(Log!A51, 'Daily Summary'!A:A, 'Daily Summary'!D:D, "Not found!")</f>
        <v>0.70625000000000004</v>
      </c>
      <c r="D51" s="9">
        <v>0.71564814814814814</v>
      </c>
      <c r="E51" s="6">
        <f t="shared" si="0"/>
        <v>13.533333333333264</v>
      </c>
      <c r="F51" s="7">
        <v>45</v>
      </c>
      <c r="G51" s="2">
        <v>48</v>
      </c>
      <c r="H51" s="2">
        <f t="shared" si="1"/>
        <v>3</v>
      </c>
    </row>
    <row r="52" spans="1:8" x14ac:dyDescent="0.3">
      <c r="A52" s="1">
        <v>46235</v>
      </c>
      <c r="C52" s="9">
        <f>_xlfn.XLOOKUP(Log!A52, 'Daily Summary'!A:A, 'Daily Summary'!D:D, "Not found!")</f>
        <v>0.70625000000000004</v>
      </c>
      <c r="D52" s="9">
        <v>0.71704861111111107</v>
      </c>
      <c r="E52" s="6">
        <f t="shared" si="0"/>
        <v>15.549999999999873</v>
      </c>
      <c r="F52" s="7">
        <v>48</v>
      </c>
      <c r="G52" s="2">
        <v>49</v>
      </c>
      <c r="H52" s="2">
        <f t="shared" si="1"/>
        <v>1</v>
      </c>
    </row>
    <row r="53" spans="1:8" x14ac:dyDescent="0.3">
      <c r="A53" s="1">
        <v>46235</v>
      </c>
      <c r="C53" s="9">
        <f>_xlfn.XLOOKUP(Log!A53, 'Daily Summary'!A:A, 'Daily Summary'!D:D, "Not found!")</f>
        <v>0.70625000000000004</v>
      </c>
      <c r="D53" s="9">
        <v>0.71843749999999995</v>
      </c>
      <c r="E53" s="6">
        <f t="shared" si="0"/>
        <v>17.549999999999866</v>
      </c>
      <c r="F53" s="7">
        <v>48</v>
      </c>
      <c r="G53" s="2">
        <v>51</v>
      </c>
      <c r="H53" s="2">
        <f t="shared" si="1"/>
        <v>3</v>
      </c>
    </row>
    <row r="54" spans="1:8" x14ac:dyDescent="0.3">
      <c r="A54" s="1">
        <v>46235</v>
      </c>
      <c r="C54" s="9">
        <f>_xlfn.XLOOKUP(Log!A54, 'Daily Summary'!A:A, 'Daily Summary'!D:D, "Not found!")</f>
        <v>0.70625000000000004</v>
      </c>
      <c r="D54" s="9">
        <v>0.71983796296296299</v>
      </c>
      <c r="E54" s="6">
        <f t="shared" si="0"/>
        <v>19.566666666666634</v>
      </c>
      <c r="F54" s="7">
        <v>49</v>
      </c>
      <c r="G54" s="2">
        <v>52</v>
      </c>
      <c r="H54" s="2">
        <f t="shared" si="1"/>
        <v>3</v>
      </c>
    </row>
    <row r="55" spans="1:8" x14ac:dyDescent="0.3">
      <c r="A55" s="1">
        <v>46235</v>
      </c>
      <c r="C55" s="9">
        <f>_xlfn.XLOOKUP(Log!A55, 'Daily Summary'!A:A, 'Daily Summary'!D:D, "Not found!")</f>
        <v>0.70625000000000004</v>
      </c>
      <c r="D55" s="9">
        <v>0.72123842592592591</v>
      </c>
      <c r="E55" s="6">
        <f t="shared" si="0"/>
        <v>21.583333333333243</v>
      </c>
      <c r="F55" s="7">
        <v>51</v>
      </c>
      <c r="G55" s="2">
        <v>52</v>
      </c>
      <c r="H55" s="2">
        <f t="shared" si="1"/>
        <v>1</v>
      </c>
    </row>
    <row r="56" spans="1:8" x14ac:dyDescent="0.3">
      <c r="A56" s="1">
        <v>46235</v>
      </c>
      <c r="C56" s="9">
        <f>_xlfn.XLOOKUP(Log!A56, 'Daily Summary'!A:A, 'Daily Summary'!D:D, "Not found!")</f>
        <v>0.70625000000000004</v>
      </c>
      <c r="D56" s="9">
        <v>0.72262731481481479</v>
      </c>
      <c r="E56" s="6">
        <f t="shared" si="0"/>
        <v>23.583333333333236</v>
      </c>
      <c r="F56" s="7">
        <v>51</v>
      </c>
      <c r="G56" s="2">
        <v>54</v>
      </c>
      <c r="H56" s="2">
        <f t="shared" si="1"/>
        <v>3</v>
      </c>
    </row>
    <row r="57" spans="1:8" x14ac:dyDescent="0.3">
      <c r="A57" s="1">
        <v>46235</v>
      </c>
      <c r="C57" s="9">
        <f>_xlfn.XLOOKUP(Log!A57, 'Daily Summary'!A:A, 'Daily Summary'!D:D, "Not found!")</f>
        <v>0.70625000000000004</v>
      </c>
      <c r="D57" s="9">
        <v>0.72401620370370368</v>
      </c>
      <c r="E57" s="6">
        <f t="shared" si="0"/>
        <v>25.583333333333229</v>
      </c>
      <c r="F57" s="7">
        <v>52</v>
      </c>
      <c r="G57" s="2">
        <v>55</v>
      </c>
      <c r="H57" s="2">
        <f t="shared" si="1"/>
        <v>3</v>
      </c>
    </row>
    <row r="58" spans="1:8" x14ac:dyDescent="0.3">
      <c r="A58" s="1">
        <v>46237</v>
      </c>
      <c r="C58" s="9">
        <f>_xlfn.XLOOKUP(Log!A58, 'Daily Summary'!A:A, 'Daily Summary'!D:D, "Not found!")</f>
        <v>0.40972222222222221</v>
      </c>
      <c r="D58" s="9">
        <v>0.41188657407407409</v>
      </c>
      <c r="E58" s="6">
        <f t="shared" si="0"/>
        <v>3.1166666666667009</v>
      </c>
      <c r="F58" s="7">
        <v>32</v>
      </c>
      <c r="G58" s="2">
        <v>35</v>
      </c>
      <c r="H58" s="2">
        <f t="shared" si="1"/>
        <v>3</v>
      </c>
    </row>
    <row r="59" spans="1:8" x14ac:dyDescent="0.3">
      <c r="A59" s="1">
        <v>46237</v>
      </c>
      <c r="C59" s="9">
        <f>_xlfn.XLOOKUP(Log!A59, 'Daily Summary'!A:A, 'Daily Summary'!D:D, "Not found!")</f>
        <v>0.40972222222222221</v>
      </c>
      <c r="D59" s="9">
        <v>0.41328703703703706</v>
      </c>
      <c r="E59" s="6">
        <f t="shared" si="0"/>
        <v>5.1333333333333897</v>
      </c>
      <c r="F59" s="7">
        <v>38</v>
      </c>
      <c r="G59" s="2">
        <v>38</v>
      </c>
      <c r="H59" s="2">
        <f t="shared" si="1"/>
        <v>0</v>
      </c>
    </row>
    <row r="60" spans="1:8" x14ac:dyDescent="0.3">
      <c r="A60" s="1">
        <v>46237</v>
      </c>
      <c r="C60" s="9">
        <f>_xlfn.XLOOKUP(Log!A60, 'Daily Summary'!A:A, 'Daily Summary'!D:D, "Not found!")</f>
        <v>0.40972222222222221</v>
      </c>
      <c r="D60" s="9">
        <v>0.41467592592592595</v>
      </c>
      <c r="E60" s="6">
        <f t="shared" si="0"/>
        <v>7.1333333333333826</v>
      </c>
      <c r="F60" s="7">
        <v>41</v>
      </c>
      <c r="G60" s="2">
        <v>41</v>
      </c>
      <c r="H60" s="2">
        <f t="shared" si="1"/>
        <v>0</v>
      </c>
    </row>
    <row r="61" spans="1:8" x14ac:dyDescent="0.3">
      <c r="A61" s="1">
        <v>46237</v>
      </c>
      <c r="C61" s="9">
        <f>_xlfn.XLOOKUP(Log!A61, 'Daily Summary'!A:A, 'Daily Summary'!D:D, "Not found!")</f>
        <v>0.40972222222222221</v>
      </c>
      <c r="D61" s="9">
        <v>0.41607638888888887</v>
      </c>
      <c r="E61" s="6">
        <f t="shared" si="0"/>
        <v>9.1499999999999915</v>
      </c>
      <c r="F61" s="7">
        <v>41</v>
      </c>
      <c r="G61" s="2">
        <v>44</v>
      </c>
      <c r="H61" s="2">
        <f t="shared" si="1"/>
        <v>3</v>
      </c>
    </row>
    <row r="62" spans="1:8" x14ac:dyDescent="0.3">
      <c r="A62" s="1">
        <v>46237</v>
      </c>
      <c r="C62" s="9">
        <f>_xlfn.XLOOKUP(Log!A62, 'Daily Summary'!A:A, 'Daily Summary'!D:D, "Not found!")</f>
        <v>0.40972222222222221</v>
      </c>
      <c r="D62" s="9">
        <v>0.41747685185185185</v>
      </c>
      <c r="E62" s="6">
        <f t="shared" si="0"/>
        <v>11.16666666666668</v>
      </c>
      <c r="F62" s="7">
        <v>44</v>
      </c>
      <c r="G62" s="2">
        <v>44</v>
      </c>
      <c r="H62" s="2">
        <f t="shared" si="1"/>
        <v>0</v>
      </c>
    </row>
    <row r="63" spans="1:8" x14ac:dyDescent="0.3">
      <c r="A63" s="1">
        <v>46237</v>
      </c>
      <c r="C63" s="9">
        <f>_xlfn.XLOOKUP(Log!A63, 'Daily Summary'!A:A, 'Daily Summary'!D:D, "Not found!")</f>
        <v>0.40972222222222221</v>
      </c>
      <c r="D63" s="9">
        <v>0.41886574074074073</v>
      </c>
      <c r="E63" s="6">
        <f t="shared" si="0"/>
        <v>13.166666666666673</v>
      </c>
      <c r="F63" s="7">
        <v>47</v>
      </c>
      <c r="G63" s="2">
        <v>47</v>
      </c>
      <c r="H63" s="2">
        <f t="shared" si="1"/>
        <v>0</v>
      </c>
    </row>
    <row r="64" spans="1:8" x14ac:dyDescent="0.3">
      <c r="A64" s="1">
        <v>46237</v>
      </c>
      <c r="C64" s="9">
        <f>_xlfn.XLOOKUP(Log!A64, 'Daily Summary'!A:A, 'Daily Summary'!D:D, "Not found!")</f>
        <v>0.40972222222222221</v>
      </c>
      <c r="D64" s="9">
        <v>0.42026620370370371</v>
      </c>
      <c r="E64" s="6">
        <f t="shared" si="0"/>
        <v>15.183333333333362</v>
      </c>
      <c r="F64" s="7">
        <v>47</v>
      </c>
      <c r="G64" s="2">
        <v>49</v>
      </c>
      <c r="H64" s="2">
        <f t="shared" si="1"/>
        <v>2</v>
      </c>
    </row>
    <row r="65" spans="1:8" x14ac:dyDescent="0.3">
      <c r="A65" s="1">
        <v>46237</v>
      </c>
      <c r="C65" s="9">
        <f>_xlfn.XLOOKUP(Log!A65, 'Daily Summary'!A:A, 'Daily Summary'!D:D, "Not found!")</f>
        <v>0.40972222222222221</v>
      </c>
      <c r="D65" s="9">
        <v>0.42166666666666669</v>
      </c>
      <c r="E65" s="6">
        <f t="shared" si="0"/>
        <v>17.200000000000053</v>
      </c>
      <c r="F65" s="7">
        <v>49</v>
      </c>
      <c r="G65" s="2">
        <v>49</v>
      </c>
      <c r="H65" s="2">
        <f t="shared" si="1"/>
        <v>0</v>
      </c>
    </row>
    <row r="66" spans="1:8" x14ac:dyDescent="0.3">
      <c r="A66" s="1">
        <v>46237</v>
      </c>
      <c r="C66" s="9">
        <f>_xlfn.XLOOKUP(Log!A66, 'Daily Summary'!A:A, 'Daily Summary'!D:D, "Not found!")</f>
        <v>0.40972222222222221</v>
      </c>
      <c r="D66" s="9">
        <v>0.42306712962962961</v>
      </c>
      <c r="E66" s="6">
        <f t="shared" si="0"/>
        <v>19.216666666666661</v>
      </c>
      <c r="F66" s="7">
        <v>49</v>
      </c>
      <c r="G66" s="2">
        <v>52</v>
      </c>
      <c r="H66" s="2">
        <f t="shared" si="1"/>
        <v>3</v>
      </c>
    </row>
    <row r="67" spans="1:8" x14ac:dyDescent="0.3">
      <c r="A67" s="1">
        <v>46237</v>
      </c>
      <c r="C67" s="9">
        <f>_xlfn.XLOOKUP(Log!A67, 'Daily Summary'!A:A, 'Daily Summary'!D:D, "Not found!")</f>
        <v>0.40972222222222221</v>
      </c>
      <c r="D67" s="9">
        <v>0.4244560185185185</v>
      </c>
      <c r="E67" s="6">
        <f t="shared" ref="E67:E130" si="2">IF(AND($D67&lt;&gt;"", $C67&lt;&gt;""), ($D67-$C67)*1440, "")</f>
        <v>21.216666666666654</v>
      </c>
      <c r="F67" s="7">
        <v>52</v>
      </c>
      <c r="G67" s="2">
        <v>52</v>
      </c>
      <c r="H67" s="2">
        <f t="shared" si="1"/>
        <v>0</v>
      </c>
    </row>
    <row r="68" spans="1:8" x14ac:dyDescent="0.3">
      <c r="A68" s="1">
        <v>46237</v>
      </c>
      <c r="C68" s="9">
        <f>_xlfn.XLOOKUP(Log!A68, 'Daily Summary'!A:A, 'Daily Summary'!D:D, "Not found!")</f>
        <v>0.40972222222222221</v>
      </c>
      <c r="D68" s="9">
        <v>0.42584490740740738</v>
      </c>
      <c r="E68" s="6">
        <f t="shared" si="2"/>
        <v>23.216666666666647</v>
      </c>
      <c r="F68" s="7">
        <v>52</v>
      </c>
      <c r="G68" s="2">
        <v>55</v>
      </c>
      <c r="H68" s="2">
        <f t="shared" ref="H68:H131" si="3">IF(AND($G68&lt;&gt;"",$F68&lt;&gt;""), $G68-$F68, "")</f>
        <v>3</v>
      </c>
    </row>
    <row r="69" spans="1:8" x14ac:dyDescent="0.3">
      <c r="A69" s="1">
        <v>46237</v>
      </c>
      <c r="C69" s="9">
        <f>_xlfn.XLOOKUP(Log!A69, 'Daily Summary'!A:A, 'Daily Summary'!D:D, "Not found!")</f>
        <v>0.40972222222222221</v>
      </c>
      <c r="D69" s="9">
        <v>0.42724537037037036</v>
      </c>
      <c r="E69" s="6">
        <f t="shared" si="2"/>
        <v>25.233333333333334</v>
      </c>
      <c r="F69" s="7">
        <v>52</v>
      </c>
      <c r="G69" s="2">
        <v>55</v>
      </c>
      <c r="H69" s="2">
        <f t="shared" si="3"/>
        <v>3</v>
      </c>
    </row>
    <row r="70" spans="1:8" x14ac:dyDescent="0.3">
      <c r="A70" s="1">
        <v>46237</v>
      </c>
      <c r="C70" s="9">
        <f>_xlfn.XLOOKUP(Log!A70, 'Daily Summary'!A:A, 'Daily Summary'!D:D, "Not found!")</f>
        <v>0.40972222222222221</v>
      </c>
      <c r="D70" s="9">
        <v>0.42863425925925924</v>
      </c>
      <c r="E70" s="6">
        <f t="shared" si="2"/>
        <v>27.233333333333327</v>
      </c>
      <c r="F70" s="7">
        <v>55</v>
      </c>
      <c r="G70" s="2">
        <v>55</v>
      </c>
      <c r="H70" s="2">
        <f t="shared" si="3"/>
        <v>0</v>
      </c>
    </row>
    <row r="71" spans="1:8" x14ac:dyDescent="0.3">
      <c r="A71" s="1">
        <v>46238</v>
      </c>
      <c r="C71" s="9">
        <f>_xlfn.XLOOKUP(Log!A71, 'Daily Summary'!A:A, 'Daily Summary'!D:D, "Not found!")</f>
        <v>0.42986111111111114</v>
      </c>
      <c r="D71" s="9">
        <v>0.43125000000000002</v>
      </c>
      <c r="E71" s="6">
        <f t="shared" si="2"/>
        <v>1.9999999999999929</v>
      </c>
      <c r="F71" s="7">
        <v>29</v>
      </c>
      <c r="G71" s="2">
        <v>31</v>
      </c>
      <c r="H71" s="2">
        <f t="shared" si="3"/>
        <v>2</v>
      </c>
    </row>
    <row r="72" spans="1:8" x14ac:dyDescent="0.3">
      <c r="A72" s="1">
        <v>46238</v>
      </c>
      <c r="C72" s="9">
        <f>_xlfn.XLOOKUP(Log!A72, 'Daily Summary'!A:A, 'Daily Summary'!D:D, "Not found!")</f>
        <v>0.42986111111111114</v>
      </c>
      <c r="D72" s="9">
        <v>0.43263888888888891</v>
      </c>
      <c r="E72" s="6">
        <f t="shared" si="2"/>
        <v>3.9999999999999858</v>
      </c>
      <c r="F72" s="7">
        <v>35</v>
      </c>
      <c r="G72" s="2">
        <v>38</v>
      </c>
      <c r="H72" s="2">
        <f t="shared" si="3"/>
        <v>3</v>
      </c>
    </row>
    <row r="73" spans="1:8" x14ac:dyDescent="0.3">
      <c r="A73" s="1">
        <v>46238</v>
      </c>
      <c r="C73" s="9">
        <f>_xlfn.XLOOKUP(Log!A73, 'Daily Summary'!A:A, 'Daily Summary'!D:D, "Not found!")</f>
        <v>0.42986111111111114</v>
      </c>
      <c r="D73" s="9">
        <v>0.43611111111111112</v>
      </c>
      <c r="E73" s="6">
        <f t="shared" si="2"/>
        <v>8.999999999999968</v>
      </c>
      <c r="F73" s="7">
        <v>41</v>
      </c>
      <c r="G73" s="2">
        <v>44</v>
      </c>
      <c r="H73" s="2">
        <f t="shared" si="3"/>
        <v>3</v>
      </c>
    </row>
    <row r="74" spans="1:8" x14ac:dyDescent="0.3">
      <c r="A74" s="1">
        <v>46238</v>
      </c>
      <c r="C74" s="9">
        <f>_xlfn.XLOOKUP(Log!A74, 'Daily Summary'!A:A, 'Daily Summary'!D:D, "Not found!")</f>
        <v>0.42986111111111114</v>
      </c>
      <c r="D74" s="9">
        <v>0.44166666666666665</v>
      </c>
      <c r="E74" s="6">
        <f t="shared" si="2"/>
        <v>16.99999999999994</v>
      </c>
      <c r="F74" s="7">
        <v>49</v>
      </c>
      <c r="G74" s="2">
        <v>51</v>
      </c>
      <c r="H74" s="2">
        <f t="shared" si="3"/>
        <v>2</v>
      </c>
    </row>
    <row r="75" spans="1:8" x14ac:dyDescent="0.3">
      <c r="A75" s="1">
        <v>46238</v>
      </c>
      <c r="C75" s="9">
        <f>_xlfn.XLOOKUP(Log!A75, 'Daily Summary'!A:A, 'Daily Summary'!D:D, "Not found!")</f>
        <v>0.42986111111111114</v>
      </c>
      <c r="D75" s="9">
        <v>0.43334490740740739</v>
      </c>
      <c r="E75" s="6">
        <f t="shared" si="2"/>
        <v>5.0166666666665982</v>
      </c>
      <c r="F75" s="7">
        <v>38</v>
      </c>
      <c r="G75" s="2">
        <v>39</v>
      </c>
      <c r="H75" s="2">
        <f t="shared" si="3"/>
        <v>1</v>
      </c>
    </row>
    <row r="76" spans="1:8" x14ac:dyDescent="0.3">
      <c r="A76" s="1">
        <v>46238</v>
      </c>
      <c r="C76" s="9">
        <f>_xlfn.XLOOKUP(Log!A76, 'Daily Summary'!A:A, 'Daily Summary'!D:D, "Not found!")</f>
        <v>0.42986111111111114</v>
      </c>
      <c r="D76" s="9">
        <v>0.43752314814814813</v>
      </c>
      <c r="E76" s="6">
        <f t="shared" si="2"/>
        <v>11.033333333333273</v>
      </c>
      <c r="F76" s="7">
        <v>44</v>
      </c>
      <c r="G76" s="2">
        <v>45</v>
      </c>
      <c r="H76" s="2">
        <f t="shared" si="3"/>
        <v>1</v>
      </c>
    </row>
    <row r="77" spans="1:8" x14ac:dyDescent="0.3">
      <c r="A77" s="1">
        <v>46238</v>
      </c>
      <c r="C77" s="9">
        <f>_xlfn.XLOOKUP(Log!A77, 'Daily Summary'!A:A, 'Daily Summary'!D:D, "Not found!")</f>
        <v>0.42986111111111114</v>
      </c>
      <c r="D77" s="9">
        <v>0.43892361111111111</v>
      </c>
      <c r="E77" s="6">
        <f t="shared" si="2"/>
        <v>13.049999999999962</v>
      </c>
      <c r="F77" s="7">
        <v>47</v>
      </c>
      <c r="G77" s="2">
        <v>48</v>
      </c>
      <c r="H77" s="2">
        <f t="shared" si="3"/>
        <v>1</v>
      </c>
    </row>
    <row r="78" spans="1:8" x14ac:dyDescent="0.3">
      <c r="A78" s="1">
        <v>46238</v>
      </c>
      <c r="C78" s="9">
        <f>_xlfn.XLOOKUP(Log!A78, 'Daily Summary'!A:A, 'Daily Summary'!D:D, "Not found!")</f>
        <v>0.42986111111111114</v>
      </c>
      <c r="D78" s="9">
        <v>0.4403125</v>
      </c>
      <c r="E78" s="6">
        <f t="shared" si="2"/>
        <v>15.049999999999955</v>
      </c>
      <c r="F78" s="7">
        <v>47</v>
      </c>
      <c r="G78" s="2">
        <v>49</v>
      </c>
      <c r="H78" s="2">
        <f t="shared" si="3"/>
        <v>2</v>
      </c>
    </row>
    <row r="79" spans="1:8" x14ac:dyDescent="0.3">
      <c r="A79" s="1">
        <v>46238</v>
      </c>
      <c r="C79" s="9">
        <f>_xlfn.XLOOKUP(Log!A79, 'Daily Summary'!A:A, 'Daily Summary'!D:D, "Not found!")</f>
        <v>0.42986111111111114</v>
      </c>
      <c r="D79" s="9">
        <v>0.44310185185185186</v>
      </c>
      <c r="E79" s="6">
        <f t="shared" si="2"/>
        <v>19.066666666666634</v>
      </c>
      <c r="F79" s="7">
        <v>49</v>
      </c>
      <c r="G79" s="2">
        <v>52</v>
      </c>
      <c r="H79" s="2">
        <f t="shared" si="3"/>
        <v>3</v>
      </c>
    </row>
    <row r="80" spans="1:8" x14ac:dyDescent="0.3">
      <c r="A80" s="1">
        <v>46238</v>
      </c>
      <c r="C80" s="9">
        <f>_xlfn.XLOOKUP(Log!A80, 'Daily Summary'!A:A, 'Daily Summary'!D:D, "Not found!")</f>
        <v>0.42986111111111114</v>
      </c>
      <c r="D80" s="9">
        <v>0.44449074074074074</v>
      </c>
      <c r="E80" s="6">
        <f t="shared" si="2"/>
        <v>21.066666666666627</v>
      </c>
      <c r="F80" s="7">
        <v>51</v>
      </c>
      <c r="G80" s="2">
        <v>52</v>
      </c>
      <c r="H80" s="2">
        <f t="shared" si="3"/>
        <v>1</v>
      </c>
    </row>
    <row r="81" spans="1:8" x14ac:dyDescent="0.3">
      <c r="A81" s="1">
        <v>46238</v>
      </c>
      <c r="C81" s="9">
        <f>_xlfn.XLOOKUP(Log!A81, 'Daily Summary'!A:A, 'Daily Summary'!D:D, "Not found!")</f>
        <v>0.42986111111111114</v>
      </c>
      <c r="D81" s="9">
        <v>0.44589120370370372</v>
      </c>
      <c r="E81" s="6">
        <f t="shared" si="2"/>
        <v>23.083333333333318</v>
      </c>
      <c r="F81" s="7">
        <v>52</v>
      </c>
      <c r="G81" s="2">
        <v>55</v>
      </c>
      <c r="H81" s="2">
        <f t="shared" si="3"/>
        <v>3</v>
      </c>
    </row>
    <row r="82" spans="1:8" x14ac:dyDescent="0.3">
      <c r="A82" s="1">
        <v>46238</v>
      </c>
      <c r="C82" s="9">
        <f>_xlfn.XLOOKUP(Log!A82, 'Daily Summary'!A:A, 'Daily Summary'!D:D, "Not found!")</f>
        <v>0.42986111111111114</v>
      </c>
      <c r="D82" s="9">
        <v>0.4472800925925926</v>
      </c>
      <c r="E82" s="6">
        <f t="shared" si="2"/>
        <v>25.083333333333311</v>
      </c>
      <c r="F82" s="7">
        <v>52</v>
      </c>
      <c r="G82" s="2">
        <v>55</v>
      </c>
      <c r="H82" s="2">
        <f t="shared" si="3"/>
        <v>3</v>
      </c>
    </row>
    <row r="83" spans="1:8" x14ac:dyDescent="0.3">
      <c r="A83" s="1">
        <v>46238</v>
      </c>
      <c r="C83" s="9">
        <f>_xlfn.XLOOKUP(Log!A83, 'Daily Summary'!A:A, 'Daily Summary'!D:D, "Not found!")</f>
        <v>0.42986111111111114</v>
      </c>
      <c r="D83" s="9">
        <v>0.44866898148148149</v>
      </c>
      <c r="E83" s="6">
        <f t="shared" si="2"/>
        <v>27.083333333333304</v>
      </c>
      <c r="F83" s="7">
        <v>54</v>
      </c>
      <c r="G83" s="2">
        <v>55</v>
      </c>
      <c r="H83" s="2">
        <f t="shared" si="3"/>
        <v>1</v>
      </c>
    </row>
    <row r="84" spans="1:8" x14ac:dyDescent="0.3">
      <c r="A84" s="1">
        <v>46238</v>
      </c>
      <c r="C84" s="9">
        <f>_xlfn.XLOOKUP(Log!A84, 'Daily Summary'!A:A, 'Daily Summary'!D:D, "Not found!")</f>
        <v>0.42986111111111114</v>
      </c>
      <c r="D84" s="9">
        <v>0.45005787037037037</v>
      </c>
      <c r="E84" s="6">
        <f t="shared" si="2"/>
        <v>29.083333333333297</v>
      </c>
      <c r="F84" s="7">
        <v>54</v>
      </c>
      <c r="G84" s="2">
        <v>55</v>
      </c>
      <c r="H84" s="2">
        <f t="shared" si="3"/>
        <v>1</v>
      </c>
    </row>
    <row r="85" spans="1:8" x14ac:dyDescent="0.3">
      <c r="A85" s="1">
        <v>46238</v>
      </c>
      <c r="C85" s="9">
        <f>_xlfn.XLOOKUP(Log!A85, 'Daily Summary'!A:A, 'Daily Summary'!D:D, "Not found!")</f>
        <v>0.42986111111111114</v>
      </c>
      <c r="D85" s="9">
        <v>0.45145833333333335</v>
      </c>
      <c r="E85" s="6">
        <f t="shared" si="2"/>
        <v>31.099999999999987</v>
      </c>
      <c r="F85" s="7">
        <v>55</v>
      </c>
      <c r="G85" s="2">
        <v>58</v>
      </c>
      <c r="H85" s="2">
        <f t="shared" si="3"/>
        <v>3</v>
      </c>
    </row>
    <row r="86" spans="1:8" x14ac:dyDescent="0.3">
      <c r="A86" s="1">
        <v>46239</v>
      </c>
      <c r="C86" s="9">
        <f>_xlfn.XLOOKUP(Log!A86, 'Daily Summary'!A:A, 'Daily Summary'!D:D, "Not found!")</f>
        <v>0.48333333333333334</v>
      </c>
      <c r="D86" s="9">
        <v>0.48472222222222222</v>
      </c>
      <c r="E86" s="6">
        <f t="shared" si="2"/>
        <v>1.9999999999999929</v>
      </c>
      <c r="F86" s="7">
        <v>30</v>
      </c>
      <c r="G86" s="2">
        <v>31</v>
      </c>
      <c r="H86" s="2">
        <f t="shared" si="3"/>
        <v>1</v>
      </c>
    </row>
    <row r="87" spans="1:8" x14ac:dyDescent="0.3">
      <c r="A87" s="1">
        <v>46239</v>
      </c>
      <c r="C87" s="9">
        <f>_xlfn.XLOOKUP(Log!A87, 'Daily Summary'!A:A, 'Daily Summary'!D:D, "Not found!")</f>
        <v>0.48333333333333334</v>
      </c>
      <c r="D87" s="9">
        <v>0.48716435185185186</v>
      </c>
      <c r="E87" s="6">
        <f t="shared" si="2"/>
        <v>5.5166666666666764</v>
      </c>
      <c r="F87" s="7">
        <v>38</v>
      </c>
      <c r="G87" s="2">
        <v>39</v>
      </c>
      <c r="H87" s="2">
        <f t="shared" si="3"/>
        <v>1</v>
      </c>
    </row>
    <row r="88" spans="1:8" x14ac:dyDescent="0.3">
      <c r="A88" s="1">
        <v>46239</v>
      </c>
      <c r="C88" s="9">
        <f>_xlfn.XLOOKUP(Log!A88, 'Daily Summary'!A:A, 'Daily Summary'!D:D, "Not found!")</f>
        <v>0.48333333333333334</v>
      </c>
      <c r="D88" s="9">
        <v>0.48856481481481484</v>
      </c>
      <c r="E88" s="6">
        <f t="shared" si="2"/>
        <v>7.5333333333333652</v>
      </c>
      <c r="F88" s="7">
        <v>41</v>
      </c>
      <c r="G88" s="2">
        <v>42</v>
      </c>
      <c r="H88" s="2">
        <f t="shared" si="3"/>
        <v>1</v>
      </c>
    </row>
    <row r="89" spans="1:8" x14ac:dyDescent="0.3">
      <c r="A89" s="1">
        <v>46239</v>
      </c>
      <c r="C89" s="9">
        <f>_xlfn.XLOOKUP(Log!A89, 'Daily Summary'!A:A, 'Daily Summary'!D:D, "Not found!")</f>
        <v>0.48333333333333334</v>
      </c>
      <c r="D89" s="9">
        <v>0.48995370370370372</v>
      </c>
      <c r="E89" s="6">
        <f t="shared" si="2"/>
        <v>9.5333333333333581</v>
      </c>
      <c r="F89" s="7">
        <v>42</v>
      </c>
      <c r="G89" s="2">
        <v>45</v>
      </c>
      <c r="H89" s="2">
        <f t="shared" si="3"/>
        <v>3</v>
      </c>
    </row>
    <row r="90" spans="1:8" x14ac:dyDescent="0.3">
      <c r="A90" s="1">
        <v>46239</v>
      </c>
      <c r="C90" s="9">
        <f>_xlfn.XLOOKUP(Log!A90, 'Daily Summary'!A:A, 'Daily Summary'!D:D, "Not found!")</f>
        <v>0.48333333333333334</v>
      </c>
      <c r="D90" s="9">
        <v>0.49135416666666665</v>
      </c>
      <c r="E90" s="6">
        <f t="shared" si="2"/>
        <v>11.549999999999967</v>
      </c>
      <c r="F90" s="7">
        <v>44</v>
      </c>
      <c r="G90" s="2">
        <v>47</v>
      </c>
      <c r="H90" s="2">
        <f t="shared" si="3"/>
        <v>3</v>
      </c>
    </row>
    <row r="91" spans="1:8" x14ac:dyDescent="0.3">
      <c r="A91" s="1">
        <v>46239</v>
      </c>
      <c r="C91" s="9">
        <f>_xlfn.XLOOKUP(Log!A91, 'Daily Summary'!A:A, 'Daily Summary'!D:D, "Not found!")</f>
        <v>0.48333333333333334</v>
      </c>
      <c r="D91" s="9">
        <v>0.49275462962962963</v>
      </c>
      <c r="E91" s="6">
        <f t="shared" si="2"/>
        <v>13.566666666666656</v>
      </c>
      <c r="F91" s="7">
        <v>47</v>
      </c>
      <c r="G91" s="2">
        <v>48</v>
      </c>
      <c r="H91" s="2">
        <f t="shared" si="3"/>
        <v>1</v>
      </c>
    </row>
    <row r="92" spans="1:8" x14ac:dyDescent="0.3">
      <c r="A92" s="1">
        <v>46239</v>
      </c>
      <c r="C92" s="9">
        <f>_xlfn.XLOOKUP(Log!A92, 'Daily Summary'!A:A, 'Daily Summary'!D:D, "Not found!")</f>
        <v>0.48333333333333334</v>
      </c>
      <c r="D92" s="9">
        <v>0.4941550925925926</v>
      </c>
      <c r="E92" s="6">
        <f t="shared" si="2"/>
        <v>15.583333333333345</v>
      </c>
      <c r="F92" s="7">
        <v>48</v>
      </c>
      <c r="G92" s="2">
        <v>49</v>
      </c>
      <c r="H92" s="2">
        <f t="shared" si="3"/>
        <v>1</v>
      </c>
    </row>
    <row r="93" spans="1:8" x14ac:dyDescent="0.3">
      <c r="A93" s="1">
        <v>46239</v>
      </c>
      <c r="C93" s="9">
        <f>_xlfn.XLOOKUP(Log!A93, 'Daily Summary'!A:A, 'Daily Summary'!D:D, "Not found!")</f>
        <v>0.48333333333333334</v>
      </c>
      <c r="D93" s="9">
        <v>0.49554398148148149</v>
      </c>
      <c r="E93" s="6">
        <f t="shared" si="2"/>
        <v>17.583333333333336</v>
      </c>
      <c r="F93" s="7">
        <v>49</v>
      </c>
      <c r="G93" s="2">
        <v>51</v>
      </c>
      <c r="H93" s="2">
        <f t="shared" si="3"/>
        <v>2</v>
      </c>
    </row>
    <row r="94" spans="1:8" x14ac:dyDescent="0.3">
      <c r="A94" s="1">
        <v>46239</v>
      </c>
      <c r="C94" s="9">
        <f>_xlfn.XLOOKUP(Log!A94, 'Daily Summary'!A:A, 'Daily Summary'!D:D, "Not found!")</f>
        <v>0.48333333333333334</v>
      </c>
      <c r="D94" s="9">
        <v>0.49694444444444447</v>
      </c>
      <c r="E94" s="6">
        <f t="shared" si="2"/>
        <v>19.600000000000026</v>
      </c>
      <c r="F94" s="7">
        <v>51</v>
      </c>
      <c r="G94" s="2">
        <v>52</v>
      </c>
      <c r="H94" s="2">
        <f t="shared" si="3"/>
        <v>1</v>
      </c>
    </row>
    <row r="95" spans="1:8" x14ac:dyDescent="0.3">
      <c r="A95" s="1">
        <v>46239</v>
      </c>
      <c r="C95" s="9">
        <f>_xlfn.XLOOKUP(Log!A95, 'Daily Summary'!A:A, 'Daily Summary'!D:D, "Not found!")</f>
        <v>0.48333333333333334</v>
      </c>
      <c r="D95" s="9">
        <v>0.49833333333333335</v>
      </c>
      <c r="E95" s="6">
        <f t="shared" si="2"/>
        <v>21.600000000000019</v>
      </c>
      <c r="F95" s="7">
        <v>51</v>
      </c>
      <c r="G95" s="2">
        <v>54</v>
      </c>
      <c r="H95" s="2">
        <f t="shared" si="3"/>
        <v>3</v>
      </c>
    </row>
    <row r="96" spans="1:8" x14ac:dyDescent="0.3">
      <c r="A96" s="1">
        <v>46239</v>
      </c>
      <c r="C96" s="9">
        <f>_xlfn.XLOOKUP(Log!A96, 'Daily Summary'!A:A, 'Daily Summary'!D:D, "Not found!")</f>
        <v>0.48333333333333334</v>
      </c>
      <c r="D96" s="9">
        <v>0.49972222222222223</v>
      </c>
      <c r="E96" s="6">
        <f t="shared" si="2"/>
        <v>23.600000000000012</v>
      </c>
      <c r="F96" s="7">
        <v>52</v>
      </c>
      <c r="G96" s="2">
        <v>55</v>
      </c>
      <c r="H96" s="2">
        <f t="shared" si="3"/>
        <v>3</v>
      </c>
    </row>
    <row r="97" spans="1:8" x14ac:dyDescent="0.3">
      <c r="A97" s="1">
        <v>46239</v>
      </c>
      <c r="C97" s="9">
        <f>_xlfn.XLOOKUP(Log!A97, 'Daily Summary'!A:A, 'Daily Summary'!D:D, "Not found!")</f>
        <v>0.48333333333333334</v>
      </c>
      <c r="D97" s="9">
        <v>0.50111111111111106</v>
      </c>
      <c r="E97" s="6">
        <f t="shared" si="2"/>
        <v>25.599999999999923</v>
      </c>
      <c r="F97" s="7">
        <v>54</v>
      </c>
      <c r="G97" s="2">
        <v>55</v>
      </c>
      <c r="H97" s="2">
        <f t="shared" si="3"/>
        <v>1</v>
      </c>
    </row>
    <row r="98" spans="1:8" x14ac:dyDescent="0.3">
      <c r="A98" s="1">
        <v>46239</v>
      </c>
      <c r="C98" s="9">
        <f>_xlfn.XLOOKUP(Log!A98, 'Daily Summary'!A:A, 'Daily Summary'!D:D, "Not found!")</f>
        <v>0.48333333333333334</v>
      </c>
      <c r="D98" s="9">
        <v>0.5025115740740741</v>
      </c>
      <c r="E98" s="6">
        <f t="shared" si="2"/>
        <v>27.616666666666696</v>
      </c>
      <c r="F98" s="7">
        <v>54</v>
      </c>
      <c r="G98" s="2">
        <v>57</v>
      </c>
      <c r="H98" s="2">
        <f t="shared" si="3"/>
        <v>3</v>
      </c>
    </row>
    <row r="99" spans="1:8" x14ac:dyDescent="0.3">
      <c r="A99" s="1">
        <v>46239</v>
      </c>
      <c r="C99" s="9">
        <f>_xlfn.XLOOKUP(Log!A99, 'Daily Summary'!A:A, 'Daily Summary'!D:D, "Not found!")</f>
        <v>0.48333333333333334</v>
      </c>
      <c r="D99" s="9">
        <v>0.50391203703703702</v>
      </c>
      <c r="E99" s="6">
        <f t="shared" si="2"/>
        <v>29.633333333333304</v>
      </c>
      <c r="F99" s="7">
        <v>55</v>
      </c>
      <c r="G99" s="2">
        <v>57</v>
      </c>
      <c r="H99" s="2">
        <f t="shared" si="3"/>
        <v>2</v>
      </c>
    </row>
    <row r="100" spans="1:8" x14ac:dyDescent="0.3">
      <c r="A100" s="1">
        <v>46239</v>
      </c>
      <c r="C100" s="9">
        <f>_xlfn.XLOOKUP(Log!A100, 'Daily Summary'!A:A, 'Daily Summary'!D:D, "Not found!")</f>
        <v>0.48333333333333334</v>
      </c>
      <c r="D100" s="9">
        <v>0.5053009259259259</v>
      </c>
      <c r="E100" s="6">
        <f t="shared" si="2"/>
        <v>31.633333333333297</v>
      </c>
      <c r="F100" s="7">
        <v>55</v>
      </c>
      <c r="G100" s="2">
        <v>58</v>
      </c>
      <c r="H100" s="2">
        <f t="shared" si="3"/>
        <v>3</v>
      </c>
    </row>
    <row r="101" spans="1:8" x14ac:dyDescent="0.3">
      <c r="A101" s="1">
        <v>46240</v>
      </c>
      <c r="C101" s="9">
        <f>_xlfn.XLOOKUP(Log!A101, 'Daily Summary'!A:A, 'Daily Summary'!D:D, "Not found!")</f>
        <v>0.43888888888888888</v>
      </c>
      <c r="D101" s="9">
        <v>0.44027777777777777</v>
      </c>
      <c r="E101" s="6">
        <f t="shared" si="2"/>
        <v>1.9999999999999929</v>
      </c>
      <c r="F101" s="7">
        <v>32</v>
      </c>
      <c r="G101" s="2">
        <v>33</v>
      </c>
      <c r="H101" s="2">
        <f t="shared" si="3"/>
        <v>1</v>
      </c>
    </row>
    <row r="102" spans="1:8" x14ac:dyDescent="0.3">
      <c r="A102" s="1">
        <v>46240</v>
      </c>
      <c r="C102" s="9">
        <f>_xlfn.XLOOKUP(Log!A102, 'Daily Summary'!A:A, 'Daily Summary'!D:D, "Not found!")</f>
        <v>0.43888888888888888</v>
      </c>
      <c r="D102" s="9">
        <v>0.44170138888888888</v>
      </c>
      <c r="E102" s="6">
        <f t="shared" si="2"/>
        <v>4.0499999999999936</v>
      </c>
      <c r="F102" s="7">
        <v>35</v>
      </c>
      <c r="G102" s="2">
        <v>36</v>
      </c>
      <c r="H102" s="2">
        <f t="shared" si="3"/>
        <v>1</v>
      </c>
    </row>
    <row r="103" spans="1:8" x14ac:dyDescent="0.3">
      <c r="A103" s="1">
        <v>46240</v>
      </c>
      <c r="C103" s="9">
        <f>_xlfn.XLOOKUP(Log!A103, 'Daily Summary'!A:A, 'Daily Summary'!D:D, "Not found!")</f>
        <v>0.43888888888888888</v>
      </c>
      <c r="D103" s="9">
        <v>0.44310185185185186</v>
      </c>
      <c r="E103" s="6">
        <f t="shared" si="2"/>
        <v>6.0666666666666824</v>
      </c>
      <c r="F103" s="7">
        <v>38</v>
      </c>
      <c r="G103" s="2">
        <v>41</v>
      </c>
      <c r="H103" s="2">
        <f t="shared" si="3"/>
        <v>3</v>
      </c>
    </row>
    <row r="104" spans="1:8" x14ac:dyDescent="0.3">
      <c r="A104" s="1">
        <v>46240</v>
      </c>
      <c r="C104" s="9">
        <f>_xlfn.XLOOKUP(Log!A104, 'Daily Summary'!A:A, 'Daily Summary'!D:D, "Not found!")</f>
        <v>0.43888888888888888</v>
      </c>
      <c r="D104" s="9">
        <v>0.44450231481481484</v>
      </c>
      <c r="E104" s="6">
        <f t="shared" si="2"/>
        <v>8.0833333333333712</v>
      </c>
      <c r="F104" s="7">
        <v>41</v>
      </c>
      <c r="G104" s="2">
        <v>44</v>
      </c>
      <c r="H104" s="2">
        <f t="shared" si="3"/>
        <v>3</v>
      </c>
    </row>
    <row r="105" spans="1:8" x14ac:dyDescent="0.3">
      <c r="A105" s="1">
        <v>46240</v>
      </c>
      <c r="C105" s="9">
        <f>_xlfn.XLOOKUP(Log!A105, 'Daily Summary'!A:A, 'Daily Summary'!D:D, "Not found!")</f>
        <v>0.43888888888888888</v>
      </c>
      <c r="D105" s="9">
        <v>0.44590277777777776</v>
      </c>
      <c r="E105" s="6">
        <f t="shared" si="2"/>
        <v>10.09999999999998</v>
      </c>
      <c r="F105" s="7">
        <v>44</v>
      </c>
      <c r="G105" s="2">
        <v>45</v>
      </c>
      <c r="H105" s="2">
        <f t="shared" si="3"/>
        <v>1</v>
      </c>
    </row>
    <row r="106" spans="1:8" x14ac:dyDescent="0.3">
      <c r="A106" s="1">
        <v>46240</v>
      </c>
      <c r="C106" s="9">
        <f>_xlfn.XLOOKUP(Log!A106, 'Daily Summary'!A:A, 'Daily Summary'!D:D, "Not found!")</f>
        <v>0.43888888888888888</v>
      </c>
      <c r="D106" s="9">
        <v>0.44729166666666664</v>
      </c>
      <c r="E106" s="6">
        <f t="shared" si="2"/>
        <v>12.099999999999973</v>
      </c>
      <c r="F106" s="7">
        <v>44</v>
      </c>
      <c r="G106" s="2">
        <v>47</v>
      </c>
      <c r="H106" s="2">
        <f t="shared" si="3"/>
        <v>3</v>
      </c>
    </row>
    <row r="107" spans="1:8" x14ac:dyDescent="0.3">
      <c r="A107" s="1">
        <v>46240</v>
      </c>
      <c r="C107" s="9">
        <f>_xlfn.XLOOKUP(Log!A107, 'Daily Summary'!A:A, 'Daily Summary'!D:D, "Not found!")</f>
        <v>0.43888888888888888</v>
      </c>
      <c r="D107" s="9">
        <v>0.44868055555555558</v>
      </c>
      <c r="E107" s="6">
        <f t="shared" si="2"/>
        <v>14.100000000000046</v>
      </c>
      <c r="F107" s="7">
        <v>47</v>
      </c>
      <c r="G107" s="2">
        <v>49</v>
      </c>
      <c r="H107" s="2">
        <f t="shared" si="3"/>
        <v>2</v>
      </c>
    </row>
    <row r="108" spans="1:8" x14ac:dyDescent="0.3">
      <c r="A108" s="1">
        <v>46240</v>
      </c>
      <c r="C108" s="9">
        <f>_xlfn.XLOOKUP(Log!A108, 'Daily Summary'!A:A, 'Daily Summary'!D:D, "Not found!")</f>
        <v>0.43888888888888888</v>
      </c>
      <c r="D108" s="9">
        <v>0.45008101851851851</v>
      </c>
      <c r="E108" s="6">
        <f t="shared" si="2"/>
        <v>16.116666666666653</v>
      </c>
      <c r="F108" s="7">
        <v>48</v>
      </c>
      <c r="G108" s="2">
        <v>51</v>
      </c>
      <c r="H108" s="2">
        <f t="shared" si="3"/>
        <v>3</v>
      </c>
    </row>
    <row r="109" spans="1:8" x14ac:dyDescent="0.3">
      <c r="A109" s="1">
        <v>46240</v>
      </c>
      <c r="C109" s="9">
        <f>_xlfn.XLOOKUP(Log!A109, 'Daily Summary'!A:A, 'Daily Summary'!D:D, "Not found!")</f>
        <v>0.43888888888888888</v>
      </c>
      <c r="D109" s="9">
        <v>0.45148148148148148</v>
      </c>
      <c r="E109" s="6">
        <f t="shared" si="2"/>
        <v>18.133333333333344</v>
      </c>
      <c r="F109" s="7">
        <v>49</v>
      </c>
      <c r="G109" s="2">
        <v>52</v>
      </c>
      <c r="H109" s="2">
        <f t="shared" si="3"/>
        <v>3</v>
      </c>
    </row>
    <row r="110" spans="1:8" x14ac:dyDescent="0.3">
      <c r="A110" s="1">
        <v>46240</v>
      </c>
      <c r="C110" s="9">
        <f>_xlfn.XLOOKUP(Log!A110, 'Daily Summary'!A:A, 'Daily Summary'!D:D, "Not found!")</f>
        <v>0.43888888888888888</v>
      </c>
      <c r="D110" s="9">
        <v>0.45287037037037037</v>
      </c>
      <c r="E110" s="6">
        <f t="shared" si="2"/>
        <v>20.133333333333336</v>
      </c>
      <c r="F110" s="7">
        <v>51</v>
      </c>
      <c r="G110" s="2">
        <v>52</v>
      </c>
      <c r="H110" s="2">
        <f t="shared" si="3"/>
        <v>1</v>
      </c>
    </row>
    <row r="111" spans="1:8" x14ac:dyDescent="0.3">
      <c r="A111" s="1">
        <v>46240</v>
      </c>
      <c r="C111" s="9">
        <f>_xlfn.XLOOKUP(Log!A111, 'Daily Summary'!A:A, 'Daily Summary'!D:D, "Not found!")</f>
        <v>0.43888888888888888</v>
      </c>
      <c r="D111" s="9">
        <v>0.45425925925925925</v>
      </c>
      <c r="E111" s="6">
        <f t="shared" si="2"/>
        <v>22.133333333333329</v>
      </c>
      <c r="F111" s="7">
        <v>51</v>
      </c>
      <c r="G111" s="2">
        <v>54</v>
      </c>
      <c r="H111" s="2">
        <f t="shared" si="3"/>
        <v>3</v>
      </c>
    </row>
    <row r="112" spans="1:8" x14ac:dyDescent="0.3">
      <c r="A112" s="1">
        <v>46240</v>
      </c>
      <c r="C112" s="9">
        <f>_xlfn.XLOOKUP(Log!A112, 'Daily Summary'!A:A, 'Daily Summary'!D:D, "Not found!")</f>
        <v>0.43888888888888888</v>
      </c>
      <c r="D112" s="9">
        <v>0.45565972222222223</v>
      </c>
      <c r="E112" s="6">
        <f t="shared" si="2"/>
        <v>24.15000000000002</v>
      </c>
      <c r="F112" s="7">
        <v>52</v>
      </c>
      <c r="G112" s="2">
        <v>55</v>
      </c>
      <c r="H112" s="2">
        <f t="shared" si="3"/>
        <v>3</v>
      </c>
    </row>
    <row r="113" spans="1:8" x14ac:dyDescent="0.3">
      <c r="A113" s="1">
        <v>46240</v>
      </c>
      <c r="C113" s="9">
        <f>_xlfn.XLOOKUP(Log!A113, 'Daily Summary'!A:A, 'Daily Summary'!D:D, "Not found!")</f>
        <v>0.43888888888888888</v>
      </c>
      <c r="D113" s="9">
        <v>0.45704861111111111</v>
      </c>
      <c r="E113" s="6">
        <f t="shared" si="2"/>
        <v>26.150000000000013</v>
      </c>
      <c r="F113" s="7">
        <v>54</v>
      </c>
      <c r="G113" s="2">
        <v>55</v>
      </c>
      <c r="H113" s="2">
        <f t="shared" si="3"/>
        <v>1</v>
      </c>
    </row>
    <row r="114" spans="1:8" x14ac:dyDescent="0.3">
      <c r="A114" s="1">
        <v>46240</v>
      </c>
      <c r="C114" s="9">
        <f>_xlfn.XLOOKUP(Log!A114, 'Daily Summary'!A:A, 'Daily Summary'!D:D, "Not found!")</f>
        <v>0.43888888888888888</v>
      </c>
      <c r="D114" s="9">
        <v>0.4584375</v>
      </c>
      <c r="E114" s="6">
        <f t="shared" si="2"/>
        <v>28.150000000000006</v>
      </c>
      <c r="F114" s="7">
        <v>54</v>
      </c>
      <c r="G114" s="2">
        <v>57</v>
      </c>
      <c r="H114" s="2">
        <f t="shared" si="3"/>
        <v>3</v>
      </c>
    </row>
    <row r="115" spans="1:8" x14ac:dyDescent="0.3">
      <c r="A115" s="1">
        <v>46240</v>
      </c>
      <c r="C115" s="9">
        <f>_xlfn.XLOOKUP(Log!A115, 'Daily Summary'!A:A, 'Daily Summary'!D:D, "Not found!")</f>
        <v>0.43888888888888888</v>
      </c>
      <c r="D115" s="9">
        <v>0.45983796296296298</v>
      </c>
      <c r="E115" s="6">
        <f t="shared" si="2"/>
        <v>30.166666666666693</v>
      </c>
      <c r="F115" s="7">
        <v>55</v>
      </c>
      <c r="G115" s="2">
        <v>58</v>
      </c>
      <c r="H115" s="2">
        <f t="shared" si="3"/>
        <v>3</v>
      </c>
    </row>
    <row r="116" spans="1:8" x14ac:dyDescent="0.3">
      <c r="A116" s="1">
        <v>46240</v>
      </c>
      <c r="C116" s="9">
        <f>_xlfn.XLOOKUP(Log!A116, 'Daily Summary'!A:A, 'Daily Summary'!D:D, "Not found!")</f>
        <v>0.43888888888888888</v>
      </c>
      <c r="D116" s="9">
        <v>0.46122685185185186</v>
      </c>
      <c r="E116" s="6">
        <f t="shared" si="2"/>
        <v>32.166666666666686</v>
      </c>
      <c r="F116" s="7">
        <v>55</v>
      </c>
      <c r="G116" s="2">
        <v>58</v>
      </c>
      <c r="H116" s="2">
        <f t="shared" si="3"/>
        <v>3</v>
      </c>
    </row>
    <row r="117" spans="1:8" x14ac:dyDescent="0.3">
      <c r="A117" s="1">
        <v>46242</v>
      </c>
      <c r="C117" s="9">
        <f>_xlfn.XLOOKUP(Log!A117, 'Daily Summary'!A:A, 'Daily Summary'!D:D, "Not found!")</f>
        <v>0.55833333333333335</v>
      </c>
      <c r="D117" s="9">
        <v>0.55972222222222223</v>
      </c>
      <c r="E117" s="6">
        <f t="shared" si="2"/>
        <v>1.9999999999999929</v>
      </c>
      <c r="F117" s="7">
        <v>31</v>
      </c>
      <c r="G117" s="2">
        <v>33</v>
      </c>
      <c r="H117" s="2">
        <f t="shared" si="3"/>
        <v>2</v>
      </c>
    </row>
    <row r="118" spans="1:8" x14ac:dyDescent="0.3">
      <c r="A118" s="1">
        <v>46242</v>
      </c>
      <c r="C118" s="9">
        <f>_xlfn.XLOOKUP(Log!A118, 'Daily Summary'!A:A, 'Daily Summary'!D:D, "Not found!")</f>
        <v>0.55833333333333335</v>
      </c>
      <c r="D118" s="9">
        <v>0.56081018518518522</v>
      </c>
      <c r="E118" s="6">
        <f t="shared" si="2"/>
        <v>3.5666666666666913</v>
      </c>
      <c r="F118" s="7">
        <v>33</v>
      </c>
      <c r="G118" s="2">
        <v>35</v>
      </c>
      <c r="H118" s="2">
        <f t="shared" si="3"/>
        <v>2</v>
      </c>
    </row>
    <row r="119" spans="1:8" x14ac:dyDescent="0.3">
      <c r="A119" s="1">
        <v>46242</v>
      </c>
      <c r="C119" s="9">
        <f>_xlfn.XLOOKUP(Log!A119, 'Daily Summary'!A:A, 'Daily Summary'!D:D, "Not found!")</f>
        <v>0.55833333333333335</v>
      </c>
      <c r="D119" s="9">
        <v>0.5621990740740741</v>
      </c>
      <c r="E119" s="6">
        <f t="shared" si="2"/>
        <v>5.5666666666666842</v>
      </c>
      <c r="F119" s="7">
        <v>38</v>
      </c>
      <c r="G119" s="2">
        <v>39</v>
      </c>
      <c r="H119" s="2">
        <f t="shared" si="3"/>
        <v>1</v>
      </c>
    </row>
    <row r="120" spans="1:8" x14ac:dyDescent="0.3">
      <c r="A120" s="1">
        <v>46242</v>
      </c>
      <c r="C120" s="9">
        <f>_xlfn.XLOOKUP(Log!A120, 'Daily Summary'!A:A, 'Daily Summary'!D:D, "Not found!")</f>
        <v>0.55833333333333335</v>
      </c>
      <c r="D120" s="9">
        <v>0.56359953703703702</v>
      </c>
      <c r="E120" s="6">
        <f t="shared" si="2"/>
        <v>7.5833333333332931</v>
      </c>
      <c r="F120" s="7">
        <v>39</v>
      </c>
      <c r="G120" s="2">
        <v>42</v>
      </c>
      <c r="H120" s="2">
        <f t="shared" si="3"/>
        <v>3</v>
      </c>
    </row>
    <row r="121" spans="1:8" x14ac:dyDescent="0.3">
      <c r="A121" s="1">
        <v>46242</v>
      </c>
      <c r="C121" s="9">
        <f>_xlfn.XLOOKUP(Log!A121, 'Daily Summary'!A:A, 'Daily Summary'!D:D, "Not found!")</f>
        <v>0.55833333333333335</v>
      </c>
      <c r="D121" s="9">
        <v>0.56498842592592591</v>
      </c>
      <c r="E121" s="6">
        <f t="shared" si="2"/>
        <v>9.583333333333286</v>
      </c>
      <c r="F121" s="7">
        <v>42</v>
      </c>
      <c r="G121" s="2">
        <v>45</v>
      </c>
      <c r="H121" s="2">
        <f t="shared" si="3"/>
        <v>3</v>
      </c>
    </row>
    <row r="122" spans="1:8" x14ac:dyDescent="0.3">
      <c r="A122" s="1">
        <v>46242</v>
      </c>
      <c r="C122" s="9">
        <f>_xlfn.XLOOKUP(Log!A122, 'Daily Summary'!A:A, 'Daily Summary'!D:D, "Not found!")</f>
        <v>0.55833333333333335</v>
      </c>
      <c r="D122" s="9">
        <v>0.56637731481481479</v>
      </c>
      <c r="E122" s="6">
        <f t="shared" si="2"/>
        <v>11.583333333333279</v>
      </c>
      <c r="F122" s="7">
        <v>44</v>
      </c>
      <c r="G122" s="2">
        <v>47</v>
      </c>
      <c r="H122" s="2">
        <f t="shared" si="3"/>
        <v>3</v>
      </c>
    </row>
    <row r="123" spans="1:8" x14ac:dyDescent="0.3">
      <c r="A123" s="1">
        <v>46242</v>
      </c>
      <c r="C123" s="9">
        <f>_xlfn.XLOOKUP(Log!A123, 'Daily Summary'!A:A, 'Daily Summary'!D:D, "Not found!")</f>
        <v>0.55833333333333335</v>
      </c>
      <c r="D123" s="9">
        <v>0.56777777777777783</v>
      </c>
      <c r="E123" s="6">
        <f t="shared" si="2"/>
        <v>13.600000000000048</v>
      </c>
      <c r="F123" s="7">
        <v>45</v>
      </c>
      <c r="G123" s="2">
        <v>49</v>
      </c>
      <c r="H123" s="2">
        <f t="shared" si="3"/>
        <v>4</v>
      </c>
    </row>
    <row r="124" spans="1:8" x14ac:dyDescent="0.3">
      <c r="A124" s="1">
        <v>46242</v>
      </c>
      <c r="C124" s="9">
        <f>_xlfn.XLOOKUP(Log!A124, 'Daily Summary'!A:A, 'Daily Summary'!D:D, "Not found!")</f>
        <v>0.55833333333333335</v>
      </c>
      <c r="D124" s="9">
        <v>0.56916666666666671</v>
      </c>
      <c r="E124" s="6">
        <f t="shared" si="2"/>
        <v>15.600000000000041</v>
      </c>
      <c r="F124" s="7">
        <v>48</v>
      </c>
      <c r="G124" s="2">
        <v>49</v>
      </c>
      <c r="H124" s="2">
        <f t="shared" si="3"/>
        <v>1</v>
      </c>
    </row>
    <row r="125" spans="1:8" x14ac:dyDescent="0.3">
      <c r="A125" s="1">
        <v>46242</v>
      </c>
      <c r="C125" s="9">
        <f>_xlfn.XLOOKUP(Log!A125, 'Daily Summary'!A:A, 'Daily Summary'!D:D, "Not found!")</f>
        <v>0.55833333333333335</v>
      </c>
      <c r="D125" s="9">
        <v>0.57056712962962963</v>
      </c>
      <c r="E125" s="6">
        <f t="shared" si="2"/>
        <v>17.616666666666649</v>
      </c>
      <c r="F125" s="7">
        <v>48</v>
      </c>
      <c r="G125" s="2">
        <v>52</v>
      </c>
      <c r="H125" s="2">
        <f t="shared" si="3"/>
        <v>4</v>
      </c>
    </row>
    <row r="126" spans="1:8" x14ac:dyDescent="0.3">
      <c r="A126" s="1">
        <v>46242</v>
      </c>
      <c r="C126" s="9">
        <f>_xlfn.XLOOKUP(Log!A126, 'Daily Summary'!A:A, 'Daily Summary'!D:D, "Not found!")</f>
        <v>0.55833333333333335</v>
      </c>
      <c r="D126" s="9">
        <v>0.57195601851851852</v>
      </c>
      <c r="E126" s="6">
        <f t="shared" si="2"/>
        <v>19.616666666666642</v>
      </c>
      <c r="F126" s="7">
        <v>51</v>
      </c>
      <c r="G126" s="2">
        <v>52</v>
      </c>
      <c r="H126" s="2">
        <f t="shared" si="3"/>
        <v>1</v>
      </c>
    </row>
    <row r="127" spans="1:8" x14ac:dyDescent="0.3">
      <c r="A127" s="1">
        <v>46242</v>
      </c>
      <c r="C127" s="9">
        <f>_xlfn.XLOOKUP(Log!A127, 'Daily Summary'!A:A, 'Daily Summary'!D:D, "Not found!")</f>
        <v>0.55833333333333335</v>
      </c>
      <c r="D127" s="9">
        <v>0.5733449074074074</v>
      </c>
      <c r="E127" s="6">
        <f t="shared" si="2"/>
        <v>21.616666666666635</v>
      </c>
      <c r="F127" s="7">
        <v>51</v>
      </c>
      <c r="G127" s="2">
        <v>54</v>
      </c>
      <c r="H127" s="2">
        <f t="shared" si="3"/>
        <v>3</v>
      </c>
    </row>
    <row r="128" spans="1:8" x14ac:dyDescent="0.3">
      <c r="A128" s="1">
        <v>46242</v>
      </c>
      <c r="C128" s="9">
        <f>_xlfn.XLOOKUP(Log!A128, 'Daily Summary'!A:A, 'Daily Summary'!D:D, "Not found!")</f>
        <v>0.55833333333333335</v>
      </c>
      <c r="D128" s="9">
        <v>0.57473379629629628</v>
      </c>
      <c r="E128" s="6">
        <f t="shared" si="2"/>
        <v>23.616666666666628</v>
      </c>
      <c r="F128" s="7">
        <v>52</v>
      </c>
      <c r="G128" s="2">
        <v>55</v>
      </c>
      <c r="H128" s="2">
        <f t="shared" si="3"/>
        <v>3</v>
      </c>
    </row>
    <row r="129" spans="1:8" x14ac:dyDescent="0.3">
      <c r="A129" s="1">
        <v>46242</v>
      </c>
      <c r="C129" s="9">
        <f>_xlfn.XLOOKUP(Log!A129, 'Daily Summary'!A:A, 'Daily Summary'!D:D, "Not found!")</f>
        <v>0.55833333333333335</v>
      </c>
      <c r="D129" s="9">
        <v>0.57613425925925921</v>
      </c>
      <c r="E129" s="6">
        <f t="shared" si="2"/>
        <v>25.633333333333237</v>
      </c>
      <c r="F129" s="7">
        <v>54</v>
      </c>
      <c r="G129" s="2">
        <v>55</v>
      </c>
      <c r="H129" s="2">
        <f t="shared" si="3"/>
        <v>1</v>
      </c>
    </row>
    <row r="130" spans="1:8" x14ac:dyDescent="0.3">
      <c r="A130" s="1">
        <v>46242</v>
      </c>
      <c r="C130" s="9">
        <f>_xlfn.XLOOKUP(Log!A130, 'Daily Summary'!A:A, 'Daily Summary'!D:D, "Not found!")</f>
        <v>0.55833333333333335</v>
      </c>
      <c r="D130" s="9">
        <v>0.5775231481481482</v>
      </c>
      <c r="E130" s="6">
        <f t="shared" si="2"/>
        <v>27.63333333333339</v>
      </c>
      <c r="F130" s="7">
        <v>54</v>
      </c>
      <c r="G130" s="2">
        <v>57</v>
      </c>
      <c r="H130" s="2">
        <f t="shared" si="3"/>
        <v>3</v>
      </c>
    </row>
    <row r="131" spans="1:8" x14ac:dyDescent="0.3">
      <c r="A131" s="1">
        <v>46242</v>
      </c>
      <c r="C131" s="9">
        <f>_xlfn.XLOOKUP(Log!A131, 'Daily Summary'!A:A, 'Daily Summary'!D:D, "Not found!")</f>
        <v>0.55833333333333335</v>
      </c>
      <c r="D131" s="9">
        <v>0.57892361111111112</v>
      </c>
      <c r="E131" s="6">
        <f t="shared" ref="E131:E194" si="4">IF(AND($D131&lt;&gt;"", $C131&lt;&gt;""), ($D131-$C131)*1440, "")</f>
        <v>29.65</v>
      </c>
      <c r="F131" s="7">
        <v>54</v>
      </c>
      <c r="G131" s="2">
        <v>58</v>
      </c>
      <c r="H131" s="2">
        <f t="shared" si="3"/>
        <v>4</v>
      </c>
    </row>
    <row r="132" spans="1:8" x14ac:dyDescent="0.3">
      <c r="A132" s="1">
        <v>46242</v>
      </c>
      <c r="C132" s="9">
        <f>_xlfn.XLOOKUP(Log!A132, 'Daily Summary'!A:A, 'Daily Summary'!D:D, "Not found!")</f>
        <v>0.55833333333333335</v>
      </c>
      <c r="D132" s="9">
        <v>0.58031250000000001</v>
      </c>
      <c r="E132" s="6">
        <f t="shared" si="4"/>
        <v>31.649999999999991</v>
      </c>
      <c r="F132" s="7">
        <v>55</v>
      </c>
      <c r="G132" s="2">
        <v>58</v>
      </c>
      <c r="H132" s="2">
        <f t="shared" ref="H132:H195" si="5">IF(AND($G132&lt;&gt;"",$F132&lt;&gt;""), $G132-$F132, "")</f>
        <v>3</v>
      </c>
    </row>
    <row r="133" spans="1:8" x14ac:dyDescent="0.3">
      <c r="A133" s="1">
        <v>46244</v>
      </c>
      <c r="C133" s="9">
        <f>_xlfn.XLOOKUP(Log!A133, 'Daily Summary'!A:A, 'Daily Summary'!D:D, "Not found!")</f>
        <v>0.44374999999999998</v>
      </c>
      <c r="D133" s="9">
        <v>0.44513888888888886</v>
      </c>
      <c r="E133" s="6">
        <f t="shared" si="4"/>
        <v>1.9999999999999929</v>
      </c>
      <c r="F133" s="7">
        <v>28</v>
      </c>
      <c r="G133" s="2">
        <v>30</v>
      </c>
      <c r="H133" s="2">
        <f t="shared" si="5"/>
        <v>2</v>
      </c>
    </row>
    <row r="134" spans="1:8" x14ac:dyDescent="0.3">
      <c r="A134" s="1">
        <v>46244</v>
      </c>
      <c r="C134" s="9">
        <f>_xlfn.XLOOKUP(Log!A134, 'Daily Summary'!A:A, 'Daily Summary'!D:D, "Not found!")</f>
        <v>0.44374999999999998</v>
      </c>
      <c r="D134" s="9">
        <v>0.44570601851851854</v>
      </c>
      <c r="E134" s="6">
        <f t="shared" si="4"/>
        <v>2.8166666666667339</v>
      </c>
      <c r="F134" s="7">
        <v>32</v>
      </c>
      <c r="G134" s="2">
        <v>33</v>
      </c>
      <c r="H134" s="2">
        <f t="shared" si="5"/>
        <v>1</v>
      </c>
    </row>
    <row r="135" spans="1:8" x14ac:dyDescent="0.3">
      <c r="A135" s="1">
        <v>46244</v>
      </c>
      <c r="C135" s="9">
        <f>_xlfn.XLOOKUP(Log!A135, 'Daily Summary'!A:A, 'Daily Summary'!D:D, "Not found!")</f>
        <v>0.44374999999999998</v>
      </c>
      <c r="D135" s="9">
        <v>0.44709490740740743</v>
      </c>
      <c r="E135" s="6">
        <f t="shared" si="4"/>
        <v>4.8166666666667268</v>
      </c>
      <c r="F135" s="7">
        <v>38</v>
      </c>
      <c r="G135" s="2">
        <v>39</v>
      </c>
      <c r="H135" s="2">
        <f t="shared" si="5"/>
        <v>1</v>
      </c>
    </row>
    <row r="136" spans="1:8" x14ac:dyDescent="0.3">
      <c r="A136" s="1">
        <v>46244</v>
      </c>
      <c r="C136" s="9">
        <f>_xlfn.XLOOKUP(Log!A136, 'Daily Summary'!A:A, 'Daily Summary'!D:D, "Not found!")</f>
        <v>0.44374999999999998</v>
      </c>
      <c r="D136" s="9">
        <v>0.44848379629629631</v>
      </c>
      <c r="E136" s="6">
        <f t="shared" si="4"/>
        <v>6.8166666666667197</v>
      </c>
      <c r="F136" s="7">
        <v>39</v>
      </c>
      <c r="G136" s="2">
        <v>42</v>
      </c>
      <c r="H136" s="2">
        <f t="shared" si="5"/>
        <v>3</v>
      </c>
    </row>
    <row r="137" spans="1:8" x14ac:dyDescent="0.3">
      <c r="A137" s="1">
        <v>46244</v>
      </c>
      <c r="C137" s="9">
        <f>_xlfn.XLOOKUP(Log!A137, 'Daily Summary'!A:A, 'Daily Summary'!D:D, "Not found!")</f>
        <v>0.44374999999999998</v>
      </c>
      <c r="D137" s="9">
        <v>0.44988425925925923</v>
      </c>
      <c r="E137" s="6">
        <f t="shared" si="4"/>
        <v>8.8333333333333286</v>
      </c>
      <c r="F137" s="7">
        <v>41</v>
      </c>
      <c r="G137" s="2">
        <v>45</v>
      </c>
      <c r="H137" s="2">
        <f t="shared" si="5"/>
        <v>4</v>
      </c>
    </row>
    <row r="138" spans="1:8" x14ac:dyDescent="0.3">
      <c r="A138" s="1">
        <v>46244</v>
      </c>
      <c r="C138" s="9">
        <f>_xlfn.XLOOKUP(Log!A138, 'Daily Summary'!A:A, 'Daily Summary'!D:D, "Not found!")</f>
        <v>0.44374999999999998</v>
      </c>
      <c r="D138" s="9">
        <v>0.45127314814814817</v>
      </c>
      <c r="E138" s="6">
        <f t="shared" si="4"/>
        <v>10.833333333333401</v>
      </c>
      <c r="F138" s="7">
        <v>44</v>
      </c>
      <c r="G138" s="2">
        <v>45</v>
      </c>
      <c r="H138" s="2">
        <f t="shared" si="5"/>
        <v>1</v>
      </c>
    </row>
    <row r="139" spans="1:8" x14ac:dyDescent="0.3">
      <c r="A139" s="1">
        <v>46244</v>
      </c>
      <c r="C139" s="9">
        <f>_xlfn.XLOOKUP(Log!A139, 'Daily Summary'!A:A, 'Daily Summary'!D:D, "Not found!")</f>
        <v>0.44374999999999998</v>
      </c>
      <c r="D139" s="9">
        <v>0.45266203703703706</v>
      </c>
      <c r="E139" s="6">
        <f t="shared" si="4"/>
        <v>12.833333333333394</v>
      </c>
      <c r="F139" s="7">
        <v>45</v>
      </c>
      <c r="G139" s="2">
        <v>48</v>
      </c>
      <c r="H139" s="2">
        <f t="shared" si="5"/>
        <v>3</v>
      </c>
    </row>
    <row r="140" spans="1:8" x14ac:dyDescent="0.3">
      <c r="A140" s="1">
        <v>46244</v>
      </c>
      <c r="C140" s="9">
        <f>_xlfn.XLOOKUP(Log!A140, 'Daily Summary'!A:A, 'Daily Summary'!D:D, "Not found!")</f>
        <v>0.44374999999999998</v>
      </c>
      <c r="D140" s="9">
        <v>0.45406249999999998</v>
      </c>
      <c r="E140" s="6">
        <f t="shared" si="4"/>
        <v>14.850000000000003</v>
      </c>
      <c r="F140" s="7">
        <v>48</v>
      </c>
      <c r="G140" s="2">
        <v>49</v>
      </c>
      <c r="H140" s="2">
        <f t="shared" si="5"/>
        <v>1</v>
      </c>
    </row>
    <row r="141" spans="1:8" x14ac:dyDescent="0.3">
      <c r="A141" s="1">
        <v>46244</v>
      </c>
      <c r="C141" s="9">
        <f>_xlfn.XLOOKUP(Log!A141, 'Daily Summary'!A:A, 'Daily Summary'!D:D, "Not found!")</f>
        <v>0.44374999999999998</v>
      </c>
      <c r="D141" s="9">
        <v>0.45545138888888886</v>
      </c>
      <c r="E141" s="6">
        <f t="shared" si="4"/>
        <v>16.849999999999994</v>
      </c>
      <c r="F141" s="7">
        <v>48</v>
      </c>
      <c r="G141" s="2">
        <v>51</v>
      </c>
      <c r="H141" s="2">
        <f t="shared" si="5"/>
        <v>3</v>
      </c>
    </row>
    <row r="142" spans="1:8" x14ac:dyDescent="0.3">
      <c r="A142" s="1">
        <v>46244</v>
      </c>
      <c r="C142" s="9">
        <f>_xlfn.XLOOKUP(Log!A142, 'Daily Summary'!A:A, 'Daily Summary'!D:D, "Not found!")</f>
        <v>0.44374999999999998</v>
      </c>
      <c r="D142" s="9">
        <v>0.4568402777777778</v>
      </c>
      <c r="E142" s="6">
        <f t="shared" si="4"/>
        <v>18.850000000000069</v>
      </c>
      <c r="F142" s="7">
        <v>51</v>
      </c>
      <c r="G142" s="2">
        <v>52</v>
      </c>
      <c r="H142" s="2">
        <f t="shared" si="5"/>
        <v>1</v>
      </c>
    </row>
    <row r="143" spans="1:8" x14ac:dyDescent="0.3">
      <c r="A143" s="1">
        <v>46244</v>
      </c>
      <c r="C143" s="9">
        <f>_xlfn.XLOOKUP(Log!A143, 'Daily Summary'!A:A, 'Daily Summary'!D:D, "Not found!")</f>
        <v>0.44374999999999998</v>
      </c>
      <c r="D143" s="9">
        <v>0.45824074074074073</v>
      </c>
      <c r="E143" s="6">
        <f t="shared" si="4"/>
        <v>20.866666666666678</v>
      </c>
      <c r="F143" s="7">
        <v>51</v>
      </c>
      <c r="G143" s="2">
        <v>54</v>
      </c>
      <c r="H143" s="2">
        <f t="shared" si="5"/>
        <v>3</v>
      </c>
    </row>
    <row r="144" spans="1:8" x14ac:dyDescent="0.3">
      <c r="A144" s="1">
        <v>46244</v>
      </c>
      <c r="C144" s="9">
        <f>_xlfn.XLOOKUP(Log!A144, 'Daily Summary'!A:A, 'Daily Summary'!D:D, "Not found!")</f>
        <v>0.44374999999999998</v>
      </c>
      <c r="D144" s="9">
        <v>0.45962962962962961</v>
      </c>
      <c r="E144" s="6">
        <f t="shared" si="4"/>
        <v>22.866666666666671</v>
      </c>
      <c r="F144" s="7">
        <v>52</v>
      </c>
      <c r="G144" s="2">
        <v>55</v>
      </c>
      <c r="H144" s="2">
        <f t="shared" si="5"/>
        <v>3</v>
      </c>
    </row>
    <row r="145" spans="1:8" x14ac:dyDescent="0.3">
      <c r="A145" s="1">
        <v>46244</v>
      </c>
      <c r="C145" s="9">
        <f>_xlfn.XLOOKUP(Log!A145, 'Daily Summary'!A:A, 'Daily Summary'!D:D, "Not found!")</f>
        <v>0.44374999999999998</v>
      </c>
      <c r="D145" s="9">
        <v>0.46103009259259259</v>
      </c>
      <c r="E145" s="6">
        <f t="shared" si="4"/>
        <v>24.883333333333361</v>
      </c>
      <c r="F145" s="7">
        <v>54</v>
      </c>
      <c r="G145" s="2">
        <v>55</v>
      </c>
      <c r="H145" s="2">
        <f t="shared" si="5"/>
        <v>1</v>
      </c>
    </row>
    <row r="146" spans="1:8" x14ac:dyDescent="0.3">
      <c r="A146" s="1">
        <v>46244</v>
      </c>
      <c r="C146" s="9">
        <f>_xlfn.XLOOKUP(Log!A146, 'Daily Summary'!A:A, 'Daily Summary'!D:D, "Not found!")</f>
        <v>0.44374999999999998</v>
      </c>
      <c r="D146" s="9">
        <v>0.46241898148148147</v>
      </c>
      <c r="E146" s="6">
        <f t="shared" si="4"/>
        <v>26.883333333333354</v>
      </c>
      <c r="F146" s="7">
        <v>54</v>
      </c>
      <c r="G146" s="2">
        <v>57</v>
      </c>
      <c r="H146" s="2">
        <f t="shared" si="5"/>
        <v>3</v>
      </c>
    </row>
    <row r="147" spans="1:8" x14ac:dyDescent="0.3">
      <c r="A147" s="1">
        <v>46244</v>
      </c>
      <c r="C147" s="9">
        <f>_xlfn.XLOOKUP(Log!A147, 'Daily Summary'!A:A, 'Daily Summary'!D:D, "Not found!")</f>
        <v>0.44374999999999998</v>
      </c>
      <c r="D147" s="9">
        <v>0.46380787037037036</v>
      </c>
      <c r="E147" s="6">
        <f t="shared" si="4"/>
        <v>28.883333333333347</v>
      </c>
      <c r="F147" s="7">
        <v>54</v>
      </c>
      <c r="G147" s="2">
        <v>58</v>
      </c>
      <c r="H147" s="2">
        <f t="shared" si="5"/>
        <v>4</v>
      </c>
    </row>
    <row r="148" spans="1:8" x14ac:dyDescent="0.3">
      <c r="A148" s="1">
        <v>46244</v>
      </c>
      <c r="C148" s="9">
        <f>_xlfn.XLOOKUP(Log!A148, 'Daily Summary'!A:A, 'Daily Summary'!D:D, "Not found!")</f>
        <v>0.44374999999999998</v>
      </c>
      <c r="D148" s="9">
        <v>0.46520833333333333</v>
      </c>
      <c r="E148" s="6">
        <f t="shared" si="4"/>
        <v>30.900000000000034</v>
      </c>
      <c r="F148" s="7">
        <v>55</v>
      </c>
      <c r="G148" s="2">
        <v>58</v>
      </c>
      <c r="H148" s="2">
        <f t="shared" si="5"/>
        <v>3</v>
      </c>
    </row>
    <row r="149" spans="1:8" x14ac:dyDescent="0.3">
      <c r="A149" s="1">
        <v>46245</v>
      </c>
      <c r="C149" s="9">
        <f>_xlfn.XLOOKUP(Log!A149, 'Daily Summary'!A:A, 'Daily Summary'!D:D, "Not found!")</f>
        <v>0.38194444444444442</v>
      </c>
      <c r="D149" s="9">
        <v>0.38472222222222224</v>
      </c>
      <c r="E149" s="6">
        <f t="shared" si="4"/>
        <v>4.0000000000000657</v>
      </c>
      <c r="F149" s="7">
        <v>35</v>
      </c>
      <c r="G149" s="2">
        <v>36</v>
      </c>
      <c r="H149" s="2">
        <f t="shared" si="5"/>
        <v>1</v>
      </c>
    </row>
    <row r="150" spans="1:8" x14ac:dyDescent="0.3">
      <c r="A150" s="1">
        <v>46245</v>
      </c>
      <c r="C150" s="9">
        <f>_xlfn.XLOOKUP(Log!A150, 'Daily Summary'!A:A, 'Daily Summary'!D:D, "Not found!")</f>
        <v>0.38194444444444442</v>
      </c>
      <c r="D150" s="9">
        <v>0.385625</v>
      </c>
      <c r="E150" s="6">
        <f t="shared" si="4"/>
        <v>5.3000000000000291</v>
      </c>
      <c r="F150" s="7">
        <v>35</v>
      </c>
      <c r="G150" s="2">
        <v>38</v>
      </c>
      <c r="H150" s="2">
        <f t="shared" si="5"/>
        <v>3</v>
      </c>
    </row>
    <row r="151" spans="1:8" x14ac:dyDescent="0.3">
      <c r="A151" s="1">
        <v>46245</v>
      </c>
      <c r="C151" s="9">
        <f>_xlfn.XLOOKUP(Log!A151, 'Daily Summary'!A:A, 'Daily Summary'!D:D, "Not found!")</f>
        <v>0.38194444444444442</v>
      </c>
      <c r="D151" s="9">
        <v>0.38702546296296297</v>
      </c>
      <c r="E151" s="6">
        <f t="shared" si="4"/>
        <v>7.3166666666667179</v>
      </c>
      <c r="F151" s="7">
        <v>38</v>
      </c>
      <c r="G151" s="2">
        <v>41</v>
      </c>
      <c r="H151" s="2">
        <f t="shared" si="5"/>
        <v>3</v>
      </c>
    </row>
    <row r="152" spans="1:8" x14ac:dyDescent="0.3">
      <c r="A152" s="1">
        <v>46245</v>
      </c>
      <c r="C152" s="9">
        <f>_xlfn.XLOOKUP(Log!A152, 'Daily Summary'!A:A, 'Daily Summary'!D:D, "Not found!")</f>
        <v>0.38194444444444442</v>
      </c>
      <c r="D152" s="9">
        <v>0.38841435185185186</v>
      </c>
      <c r="E152" s="6">
        <f t="shared" si="4"/>
        <v>9.3166666666667108</v>
      </c>
      <c r="F152" s="7">
        <v>41</v>
      </c>
      <c r="G152" s="2">
        <v>44</v>
      </c>
      <c r="H152" s="2">
        <f t="shared" si="5"/>
        <v>3</v>
      </c>
    </row>
    <row r="153" spans="1:8" x14ac:dyDescent="0.3">
      <c r="A153" s="1">
        <v>46245</v>
      </c>
      <c r="C153" s="9">
        <f>_xlfn.XLOOKUP(Log!A153, 'Daily Summary'!A:A, 'Daily Summary'!D:D, "Not found!")</f>
        <v>0.38194444444444442</v>
      </c>
      <c r="D153" s="9">
        <v>0.38980324074074074</v>
      </c>
      <c r="E153" s="6">
        <f t="shared" si="4"/>
        <v>11.316666666666704</v>
      </c>
      <c r="F153" s="7">
        <v>42</v>
      </c>
      <c r="G153" s="2">
        <v>45</v>
      </c>
      <c r="H153" s="2">
        <f t="shared" si="5"/>
        <v>3</v>
      </c>
    </row>
    <row r="154" spans="1:8" x14ac:dyDescent="0.3">
      <c r="A154" s="1">
        <v>46245</v>
      </c>
      <c r="C154" s="9">
        <f>_xlfn.XLOOKUP(Log!A154, 'Daily Summary'!A:A, 'Daily Summary'!D:D, "Not found!")</f>
        <v>0.38194444444444442</v>
      </c>
      <c r="D154" s="9">
        <v>0.39119212962962963</v>
      </c>
      <c r="E154" s="6">
        <f t="shared" si="4"/>
        <v>13.316666666666697</v>
      </c>
      <c r="F154" s="7">
        <v>44</v>
      </c>
      <c r="G154" s="2">
        <v>47</v>
      </c>
      <c r="H154" s="2">
        <f t="shared" si="5"/>
        <v>3</v>
      </c>
    </row>
    <row r="155" spans="1:8" x14ac:dyDescent="0.3">
      <c r="A155" s="1">
        <v>46245</v>
      </c>
      <c r="C155" s="9">
        <f>_xlfn.XLOOKUP(Log!A155, 'Daily Summary'!A:A, 'Daily Summary'!D:D, "Not found!")</f>
        <v>0.38194444444444442</v>
      </c>
      <c r="D155" s="9">
        <v>0.3925925925925926</v>
      </c>
      <c r="E155" s="6">
        <f t="shared" si="4"/>
        <v>15.333333333333385</v>
      </c>
      <c r="F155" s="7">
        <v>45</v>
      </c>
      <c r="G155" s="2">
        <v>49</v>
      </c>
      <c r="H155" s="2">
        <f t="shared" si="5"/>
        <v>4</v>
      </c>
    </row>
    <row r="156" spans="1:8" x14ac:dyDescent="0.3">
      <c r="A156" s="1">
        <v>46245</v>
      </c>
      <c r="C156" s="9">
        <f>_xlfn.XLOOKUP(Log!A156, 'Daily Summary'!A:A, 'Daily Summary'!D:D, "Not found!")</f>
        <v>0.38194444444444442</v>
      </c>
      <c r="D156" s="9">
        <v>0.39398148148148149</v>
      </c>
      <c r="E156" s="6">
        <f t="shared" si="4"/>
        <v>17.333333333333378</v>
      </c>
      <c r="F156" s="7">
        <v>48</v>
      </c>
      <c r="G156" s="2">
        <v>49</v>
      </c>
      <c r="H156" s="2">
        <f t="shared" si="5"/>
        <v>1</v>
      </c>
    </row>
    <row r="157" spans="1:8" x14ac:dyDescent="0.3">
      <c r="A157" s="1">
        <v>46245</v>
      </c>
      <c r="C157" s="9">
        <f>_xlfn.XLOOKUP(Log!A157, 'Daily Summary'!A:A, 'Daily Summary'!D:D, "Not found!")</f>
        <v>0.38194444444444442</v>
      </c>
      <c r="D157" s="9">
        <v>0.39538194444444447</v>
      </c>
      <c r="E157" s="6">
        <f t="shared" si="4"/>
        <v>19.350000000000065</v>
      </c>
      <c r="F157" s="7">
        <v>48</v>
      </c>
      <c r="G157" s="2">
        <v>52</v>
      </c>
      <c r="H157" s="2">
        <f t="shared" si="5"/>
        <v>4</v>
      </c>
    </row>
    <row r="158" spans="1:8" x14ac:dyDescent="0.3">
      <c r="A158" s="1">
        <v>46245</v>
      </c>
      <c r="C158" s="9">
        <f>_xlfn.XLOOKUP(Log!A158, 'Daily Summary'!A:A, 'Daily Summary'!D:D, "Not found!")</f>
        <v>0.38194444444444442</v>
      </c>
      <c r="D158" s="9">
        <v>0.39677083333333335</v>
      </c>
      <c r="E158" s="6">
        <f t="shared" si="4"/>
        <v>21.350000000000058</v>
      </c>
      <c r="F158" s="7">
        <v>51</v>
      </c>
      <c r="G158" s="2">
        <v>52</v>
      </c>
      <c r="H158" s="2">
        <f t="shared" si="5"/>
        <v>1</v>
      </c>
    </row>
    <row r="159" spans="1:8" x14ac:dyDescent="0.3">
      <c r="A159" s="1">
        <v>46245</v>
      </c>
      <c r="C159" s="9">
        <f>_xlfn.XLOOKUP(Log!A159, 'Daily Summary'!A:A, 'Daily Summary'!D:D, "Not found!")</f>
        <v>0.38194444444444442</v>
      </c>
      <c r="D159" s="9">
        <v>0.39815972222222223</v>
      </c>
      <c r="E159" s="6">
        <f t="shared" si="4"/>
        <v>23.350000000000051</v>
      </c>
      <c r="F159" s="7">
        <v>51</v>
      </c>
      <c r="G159" s="2">
        <v>54</v>
      </c>
      <c r="H159" s="2">
        <f t="shared" si="5"/>
        <v>3</v>
      </c>
    </row>
    <row r="160" spans="1:8" x14ac:dyDescent="0.3">
      <c r="A160" s="1">
        <v>46245</v>
      </c>
      <c r="C160" s="9">
        <f>_xlfn.XLOOKUP(Log!A160, 'Daily Summary'!A:A, 'Daily Summary'!D:D, "Not found!")</f>
        <v>0.38194444444444442</v>
      </c>
      <c r="D160" s="9">
        <v>0.39956018518518521</v>
      </c>
      <c r="E160" s="6">
        <f t="shared" si="4"/>
        <v>25.366666666666742</v>
      </c>
      <c r="F160" s="7">
        <v>51</v>
      </c>
      <c r="G160" s="2">
        <v>55</v>
      </c>
      <c r="H160" s="2">
        <f t="shared" si="5"/>
        <v>4</v>
      </c>
    </row>
    <row r="161" spans="1:8" x14ac:dyDescent="0.3">
      <c r="A161" s="1">
        <v>46245</v>
      </c>
      <c r="C161" s="9">
        <f>_xlfn.XLOOKUP(Log!A161, 'Daily Summary'!A:A, 'Daily Summary'!D:D, "Not found!")</f>
        <v>0.38194444444444442</v>
      </c>
      <c r="D161" s="9">
        <v>0.40096064814814814</v>
      </c>
      <c r="E161" s="6">
        <f t="shared" si="4"/>
        <v>27.383333333333351</v>
      </c>
      <c r="F161" s="7">
        <v>54</v>
      </c>
      <c r="G161" s="2">
        <v>55</v>
      </c>
      <c r="H161" s="2">
        <f t="shared" si="5"/>
        <v>1</v>
      </c>
    </row>
    <row r="162" spans="1:8" x14ac:dyDescent="0.3">
      <c r="A162" s="1">
        <v>46245</v>
      </c>
      <c r="C162" s="9">
        <f>_xlfn.XLOOKUP(Log!A162, 'Daily Summary'!A:A, 'Daily Summary'!D:D, "Not found!")</f>
        <v>0.38194444444444442</v>
      </c>
      <c r="D162" s="9">
        <v>0.40234953703703702</v>
      </c>
      <c r="E162" s="6">
        <f t="shared" si="4"/>
        <v>29.383333333333344</v>
      </c>
      <c r="F162" s="7">
        <v>54</v>
      </c>
      <c r="G162" s="2">
        <v>57</v>
      </c>
      <c r="H162" s="2">
        <f t="shared" si="5"/>
        <v>3</v>
      </c>
    </row>
    <row r="163" spans="1:8" x14ac:dyDescent="0.3">
      <c r="A163" s="1">
        <v>46245</v>
      </c>
      <c r="C163" s="9">
        <f>_xlfn.XLOOKUP(Log!A163, 'Daily Summary'!A:A, 'Daily Summary'!D:D, "Not found!")</f>
        <v>0.38194444444444442</v>
      </c>
      <c r="D163" s="9">
        <v>0.40375</v>
      </c>
      <c r="E163" s="6">
        <f t="shared" si="4"/>
        <v>31.400000000000034</v>
      </c>
      <c r="F163" s="7">
        <v>54</v>
      </c>
      <c r="G163" s="2">
        <v>57</v>
      </c>
      <c r="H163" s="2">
        <f t="shared" si="5"/>
        <v>3</v>
      </c>
    </row>
    <row r="164" spans="1:8" x14ac:dyDescent="0.3">
      <c r="A164" s="1">
        <v>46245</v>
      </c>
      <c r="C164" s="9">
        <f>_xlfn.XLOOKUP(Log!A164, 'Daily Summary'!A:A, 'Daily Summary'!D:D, "Not found!")</f>
        <v>0.38194444444444442</v>
      </c>
      <c r="D164" s="9">
        <v>0.40513888888888888</v>
      </c>
      <c r="E164" s="6">
        <f t="shared" si="4"/>
        <v>33.400000000000027</v>
      </c>
      <c r="F164" s="7">
        <v>54</v>
      </c>
      <c r="G164" s="2">
        <v>58</v>
      </c>
      <c r="H164" s="2">
        <f t="shared" si="5"/>
        <v>4</v>
      </c>
    </row>
    <row r="165" spans="1:8" x14ac:dyDescent="0.3">
      <c r="A165" s="1">
        <v>46246</v>
      </c>
      <c r="C165" s="9">
        <f>_xlfn.XLOOKUP(Log!A165, 'Daily Summary'!A:A, 'Daily Summary'!D:D, "Not found!")</f>
        <v>0.41597222222222224</v>
      </c>
      <c r="D165" s="9">
        <v>0.41736111111111113</v>
      </c>
      <c r="E165" s="6">
        <f t="shared" si="4"/>
        <v>1.9999999999999929</v>
      </c>
      <c r="F165" s="7">
        <v>27</v>
      </c>
      <c r="G165" s="2">
        <v>29</v>
      </c>
      <c r="H165" s="2">
        <f t="shared" si="5"/>
        <v>2</v>
      </c>
    </row>
    <row r="166" spans="1:8" x14ac:dyDescent="0.3">
      <c r="A166" s="1">
        <v>46246</v>
      </c>
      <c r="C166" s="9">
        <f>_xlfn.XLOOKUP(Log!A166, 'Daily Summary'!A:A, 'Daily Summary'!D:D, "Not found!")</f>
        <v>0.41597222222222224</v>
      </c>
      <c r="D166" s="9">
        <v>0.4183101851851852</v>
      </c>
      <c r="E166" s="6">
        <f t="shared" si="4"/>
        <v>3.36666666666666</v>
      </c>
      <c r="F166" s="7">
        <v>32</v>
      </c>
      <c r="G166" s="2">
        <v>33</v>
      </c>
      <c r="H166" s="2">
        <f t="shared" si="5"/>
        <v>1</v>
      </c>
    </row>
    <row r="167" spans="1:8" x14ac:dyDescent="0.3">
      <c r="A167" s="1">
        <v>46246</v>
      </c>
      <c r="C167" s="9">
        <f>_xlfn.XLOOKUP(Log!A167, 'Daily Summary'!A:A, 'Daily Summary'!D:D, "Not found!")</f>
        <v>0.41597222222222224</v>
      </c>
      <c r="D167" s="9">
        <v>0.41969907407407409</v>
      </c>
      <c r="E167" s="6">
        <f t="shared" si="4"/>
        <v>5.3666666666666529</v>
      </c>
      <c r="F167" s="7">
        <v>36</v>
      </c>
      <c r="G167" s="2">
        <v>39</v>
      </c>
      <c r="H167" s="2">
        <f t="shared" si="5"/>
        <v>3</v>
      </c>
    </row>
    <row r="168" spans="1:8" x14ac:dyDescent="0.3">
      <c r="A168" s="1">
        <v>46246</v>
      </c>
      <c r="C168" s="9">
        <f>_xlfn.XLOOKUP(Log!A168, 'Daily Summary'!A:A, 'Daily Summary'!D:D, "Not found!")</f>
        <v>0.41597222222222224</v>
      </c>
      <c r="D168" s="9">
        <v>0.42109953703703706</v>
      </c>
      <c r="E168" s="6">
        <f t="shared" si="4"/>
        <v>7.3833333333333417</v>
      </c>
      <c r="F168" s="7">
        <v>39</v>
      </c>
      <c r="G168" s="2">
        <v>42</v>
      </c>
      <c r="H168" s="2">
        <f t="shared" si="5"/>
        <v>3</v>
      </c>
    </row>
    <row r="169" spans="1:8" x14ac:dyDescent="0.3">
      <c r="A169" s="1">
        <v>46246</v>
      </c>
      <c r="C169" s="9">
        <f>_xlfn.XLOOKUP(Log!A169, 'Daily Summary'!A:A, 'Daily Summary'!D:D, "Not found!")</f>
        <v>0.41597222222222224</v>
      </c>
      <c r="D169" s="9">
        <v>0.42248842592592595</v>
      </c>
      <c r="E169" s="6">
        <f t="shared" si="4"/>
        <v>9.3833333333333346</v>
      </c>
      <c r="F169" s="7">
        <v>41</v>
      </c>
      <c r="G169" s="2">
        <v>44</v>
      </c>
      <c r="H169" s="2">
        <f t="shared" si="5"/>
        <v>3</v>
      </c>
    </row>
    <row r="170" spans="1:8" x14ac:dyDescent="0.3">
      <c r="A170" s="1">
        <v>46246</v>
      </c>
      <c r="C170" s="9">
        <f>_xlfn.XLOOKUP(Log!A170, 'Daily Summary'!A:A, 'Daily Summary'!D:D, "Not found!")</f>
        <v>0.41597222222222224</v>
      </c>
      <c r="D170" s="9">
        <v>0.42387731481481483</v>
      </c>
      <c r="E170" s="6">
        <f t="shared" si="4"/>
        <v>11.383333333333328</v>
      </c>
      <c r="F170" s="7">
        <v>44</v>
      </c>
      <c r="G170" s="2">
        <v>45</v>
      </c>
      <c r="H170" s="2">
        <f t="shared" si="5"/>
        <v>1</v>
      </c>
    </row>
    <row r="171" spans="1:8" x14ac:dyDescent="0.3">
      <c r="A171" s="1">
        <v>46246</v>
      </c>
      <c r="C171" s="9">
        <f>_xlfn.XLOOKUP(Log!A171, 'Daily Summary'!A:A, 'Daily Summary'!D:D, "Not found!")</f>
        <v>0.41597222222222224</v>
      </c>
      <c r="D171" s="9">
        <v>0.42526620370370372</v>
      </c>
      <c r="E171" s="6">
        <f t="shared" si="4"/>
        <v>13.38333333333332</v>
      </c>
      <c r="F171" s="7">
        <v>45</v>
      </c>
      <c r="G171" s="2">
        <v>48</v>
      </c>
      <c r="H171" s="2">
        <f t="shared" si="5"/>
        <v>3</v>
      </c>
    </row>
    <row r="172" spans="1:8" x14ac:dyDescent="0.3">
      <c r="A172" s="1">
        <v>46246</v>
      </c>
      <c r="C172" s="9">
        <f>_xlfn.XLOOKUP(Log!A172, 'Daily Summary'!A:A, 'Daily Summary'!D:D, "Not found!")</f>
        <v>0.41597222222222224</v>
      </c>
      <c r="D172" s="9">
        <v>0.42666666666666669</v>
      </c>
      <c r="E172" s="6">
        <f t="shared" si="4"/>
        <v>15.400000000000009</v>
      </c>
      <c r="F172" s="7">
        <v>47</v>
      </c>
      <c r="G172" s="2">
        <v>49</v>
      </c>
      <c r="H172" s="2">
        <f t="shared" si="5"/>
        <v>2</v>
      </c>
    </row>
    <row r="173" spans="1:8" x14ac:dyDescent="0.3">
      <c r="A173" s="1">
        <v>46246</v>
      </c>
      <c r="C173" s="9">
        <f>_xlfn.XLOOKUP(Log!A173, 'Daily Summary'!A:A, 'Daily Summary'!D:D, "Not found!")</f>
        <v>0.41597222222222224</v>
      </c>
      <c r="D173" s="9">
        <v>0.42806712962962962</v>
      </c>
      <c r="E173" s="6">
        <f t="shared" si="4"/>
        <v>17.416666666666618</v>
      </c>
      <c r="F173" s="7">
        <v>48</v>
      </c>
      <c r="G173" s="2">
        <v>51</v>
      </c>
      <c r="H173" s="2">
        <f t="shared" si="5"/>
        <v>3</v>
      </c>
    </row>
    <row r="174" spans="1:8" x14ac:dyDescent="0.3">
      <c r="A174" s="1">
        <v>46246</v>
      </c>
      <c r="C174" s="9">
        <f>_xlfn.XLOOKUP(Log!A174, 'Daily Summary'!A:A, 'Daily Summary'!D:D, "Not found!")</f>
        <v>0.41597222222222224</v>
      </c>
      <c r="D174" s="9">
        <v>0.4294675925925926</v>
      </c>
      <c r="E174" s="6">
        <f t="shared" si="4"/>
        <v>19.433333333333309</v>
      </c>
      <c r="F174" s="7">
        <v>49</v>
      </c>
      <c r="G174" s="2">
        <v>52</v>
      </c>
      <c r="H174" s="2">
        <f t="shared" si="5"/>
        <v>3</v>
      </c>
    </row>
    <row r="175" spans="1:8" x14ac:dyDescent="0.3">
      <c r="A175" s="1">
        <v>46246</v>
      </c>
      <c r="C175" s="9">
        <f>_xlfn.XLOOKUP(Log!A175, 'Daily Summary'!A:A, 'Daily Summary'!D:D, "Not found!")</f>
        <v>0.41597222222222224</v>
      </c>
      <c r="D175" s="9">
        <v>0.43086805555555557</v>
      </c>
      <c r="E175" s="6">
        <f t="shared" si="4"/>
        <v>21.449999999999996</v>
      </c>
      <c r="F175" s="7">
        <v>51</v>
      </c>
      <c r="G175" s="2">
        <v>54</v>
      </c>
      <c r="H175" s="2">
        <f t="shared" si="5"/>
        <v>3</v>
      </c>
    </row>
    <row r="176" spans="1:8" x14ac:dyDescent="0.3">
      <c r="A176" s="1">
        <v>46246</v>
      </c>
      <c r="C176" s="9">
        <f>_xlfn.XLOOKUP(Log!A176, 'Daily Summary'!A:A, 'Daily Summary'!D:D, "Not found!")</f>
        <v>0.41597222222222224</v>
      </c>
      <c r="D176" s="9">
        <v>0.43225694444444446</v>
      </c>
      <c r="E176" s="6">
        <f t="shared" si="4"/>
        <v>23.449999999999989</v>
      </c>
      <c r="F176" s="7">
        <v>51</v>
      </c>
      <c r="G176" s="2">
        <v>55</v>
      </c>
      <c r="H176" s="2">
        <f t="shared" si="5"/>
        <v>4</v>
      </c>
    </row>
    <row r="177" spans="1:8" x14ac:dyDescent="0.3">
      <c r="A177" s="1">
        <v>46246</v>
      </c>
      <c r="C177" s="9">
        <f>_xlfn.XLOOKUP(Log!A177, 'Daily Summary'!A:A, 'Daily Summary'!D:D, "Not found!")</f>
        <v>0.41597222222222224</v>
      </c>
      <c r="D177" s="9">
        <v>0.43364583333333334</v>
      </c>
      <c r="E177" s="6">
        <f t="shared" si="4"/>
        <v>25.449999999999982</v>
      </c>
      <c r="F177" s="7">
        <v>52</v>
      </c>
      <c r="G177" s="2">
        <v>55</v>
      </c>
      <c r="H177" s="2">
        <f t="shared" si="5"/>
        <v>3</v>
      </c>
    </row>
    <row r="178" spans="1:8" x14ac:dyDescent="0.3">
      <c r="A178" s="1">
        <v>46246</v>
      </c>
      <c r="C178" s="9">
        <f>_xlfn.XLOOKUP(Log!A178, 'Daily Summary'!A:A, 'Daily Summary'!D:D, "Not found!")</f>
        <v>0.41597222222222224</v>
      </c>
      <c r="D178" s="9">
        <v>0.43504629629629632</v>
      </c>
      <c r="E178" s="6">
        <f t="shared" si="4"/>
        <v>27.466666666666669</v>
      </c>
      <c r="F178" s="7">
        <v>54</v>
      </c>
      <c r="G178" s="2">
        <v>55</v>
      </c>
      <c r="H178" s="2">
        <f t="shared" si="5"/>
        <v>1</v>
      </c>
    </row>
    <row r="179" spans="1:8" x14ac:dyDescent="0.3">
      <c r="A179" s="1">
        <v>46246</v>
      </c>
      <c r="C179" s="9">
        <f>_xlfn.XLOOKUP(Log!A179, 'Daily Summary'!A:A, 'Daily Summary'!D:D, "Not found!")</f>
        <v>0.41597222222222224</v>
      </c>
      <c r="D179" s="9">
        <v>0.4364351851851852</v>
      </c>
      <c r="E179" s="6">
        <f t="shared" si="4"/>
        <v>29.466666666666661</v>
      </c>
      <c r="F179" s="7">
        <v>54</v>
      </c>
      <c r="G179" s="2">
        <v>57</v>
      </c>
      <c r="H179" s="2">
        <f t="shared" si="5"/>
        <v>3</v>
      </c>
    </row>
    <row r="180" spans="1:8" x14ac:dyDescent="0.3">
      <c r="A180" s="1">
        <v>46246</v>
      </c>
      <c r="C180" s="9">
        <f>_xlfn.XLOOKUP(Log!A180, 'Daily Summary'!A:A, 'Daily Summary'!D:D, "Not found!")</f>
        <v>0.41597222222222224</v>
      </c>
      <c r="D180" s="9">
        <v>0.43783564814814813</v>
      </c>
      <c r="E180" s="6">
        <f t="shared" si="4"/>
        <v>31.48333333333327</v>
      </c>
      <c r="F180" s="7">
        <v>55</v>
      </c>
      <c r="G180" s="2">
        <v>58</v>
      </c>
      <c r="H180" s="2">
        <f t="shared" si="5"/>
        <v>3</v>
      </c>
    </row>
    <row r="181" spans="1:8" x14ac:dyDescent="0.3">
      <c r="A181" s="1">
        <v>46247</v>
      </c>
      <c r="C181" s="9">
        <f>_xlfn.XLOOKUP(Log!A181, 'Daily Summary'!A:A, 'Daily Summary'!D:D, "Not found!")</f>
        <v>0.40972222222222221</v>
      </c>
      <c r="D181" s="9">
        <v>0.41111111111111109</v>
      </c>
      <c r="E181" s="6">
        <f t="shared" si="4"/>
        <v>1.9999999999999929</v>
      </c>
      <c r="F181" s="7">
        <v>29</v>
      </c>
      <c r="G181" s="2">
        <v>30</v>
      </c>
      <c r="H181" s="2">
        <f t="shared" si="5"/>
        <v>1</v>
      </c>
    </row>
    <row r="182" spans="1:8" x14ac:dyDescent="0.3">
      <c r="A182" s="1">
        <v>46247</v>
      </c>
      <c r="C182" s="9">
        <f>_xlfn.XLOOKUP(Log!A182, 'Daily Summary'!A:A, 'Daily Summary'!D:D, "Not found!")</f>
        <v>0.40972222222222221</v>
      </c>
      <c r="D182" s="9">
        <v>0.4117824074074074</v>
      </c>
      <c r="E182" s="6">
        <f t="shared" si="4"/>
        <v>2.9666666666666774</v>
      </c>
      <c r="F182" s="7">
        <v>35</v>
      </c>
      <c r="G182" s="2">
        <v>35</v>
      </c>
      <c r="H182" s="2">
        <f t="shared" si="5"/>
        <v>0</v>
      </c>
    </row>
    <row r="183" spans="1:8" x14ac:dyDescent="0.3">
      <c r="A183" s="1">
        <v>46247</v>
      </c>
      <c r="C183" s="9">
        <f>_xlfn.XLOOKUP(Log!A183, 'Daily Summary'!A:A, 'Daily Summary'!D:D, "Not found!")</f>
        <v>0.40972222222222221</v>
      </c>
      <c r="D183" s="9">
        <v>0.41317129629629629</v>
      </c>
      <c r="E183" s="6">
        <f t="shared" si="4"/>
        <v>4.9666666666666703</v>
      </c>
      <c r="F183" s="7">
        <v>38</v>
      </c>
      <c r="G183" s="2">
        <v>41</v>
      </c>
      <c r="H183" s="2">
        <f t="shared" si="5"/>
        <v>3</v>
      </c>
    </row>
    <row r="184" spans="1:8" x14ac:dyDescent="0.3">
      <c r="A184" s="1">
        <v>46247</v>
      </c>
      <c r="C184" s="9">
        <f>_xlfn.XLOOKUP(Log!A184, 'Daily Summary'!A:A, 'Daily Summary'!D:D, "Not found!")</f>
        <v>0.40972222222222221</v>
      </c>
      <c r="D184" s="9">
        <v>0.41457175925925926</v>
      </c>
      <c r="E184" s="6">
        <f t="shared" si="4"/>
        <v>6.9833333333333591</v>
      </c>
      <c r="F184" s="7">
        <v>41</v>
      </c>
      <c r="G184" s="2">
        <v>44</v>
      </c>
      <c r="H184" s="2">
        <f t="shared" si="5"/>
        <v>3</v>
      </c>
    </row>
    <row r="185" spans="1:8" x14ac:dyDescent="0.3">
      <c r="A185" s="1">
        <v>46247</v>
      </c>
      <c r="C185" s="9">
        <f>_xlfn.XLOOKUP(Log!A185, 'Daily Summary'!A:A, 'Daily Summary'!D:D, "Not found!")</f>
        <v>0.40972222222222221</v>
      </c>
      <c r="D185" s="9">
        <v>0.41596064814814815</v>
      </c>
      <c r="E185" s="6">
        <f t="shared" si="4"/>
        <v>8.983333333333352</v>
      </c>
      <c r="F185" s="7">
        <v>44</v>
      </c>
      <c r="G185" s="2">
        <v>44</v>
      </c>
      <c r="H185" s="2">
        <f t="shared" si="5"/>
        <v>0</v>
      </c>
    </row>
    <row r="186" spans="1:8" x14ac:dyDescent="0.3">
      <c r="A186" s="1">
        <v>46247</v>
      </c>
      <c r="C186" s="9">
        <f>_xlfn.XLOOKUP(Log!A186, 'Daily Summary'!A:A, 'Daily Summary'!D:D, "Not found!")</f>
        <v>0.40972222222222221</v>
      </c>
      <c r="D186" s="9">
        <v>0.41734953703703703</v>
      </c>
      <c r="E186" s="6">
        <f t="shared" si="4"/>
        <v>10.983333333333345</v>
      </c>
      <c r="F186" s="7">
        <v>44</v>
      </c>
      <c r="G186" s="2">
        <v>47</v>
      </c>
      <c r="H186" s="2">
        <f t="shared" si="5"/>
        <v>3</v>
      </c>
    </row>
    <row r="187" spans="1:8" x14ac:dyDescent="0.3">
      <c r="A187" s="1">
        <v>46247</v>
      </c>
      <c r="C187" s="9">
        <f>_xlfn.XLOOKUP(Log!A187, 'Daily Summary'!A:A, 'Daily Summary'!D:D, "Not found!")</f>
        <v>0.40972222222222221</v>
      </c>
      <c r="D187" s="9">
        <v>0.41873842592592592</v>
      </c>
      <c r="E187" s="6">
        <f t="shared" si="4"/>
        <v>12.983333333333338</v>
      </c>
      <c r="F187" s="7">
        <v>47</v>
      </c>
      <c r="G187" s="2">
        <v>49</v>
      </c>
      <c r="H187" s="2">
        <f t="shared" si="5"/>
        <v>2</v>
      </c>
    </row>
    <row r="188" spans="1:8" x14ac:dyDescent="0.3">
      <c r="A188" s="1">
        <v>46247</v>
      </c>
      <c r="C188" s="9">
        <f>_xlfn.XLOOKUP(Log!A188, 'Daily Summary'!A:A, 'Daily Summary'!D:D, "Not found!")</f>
        <v>0.40972222222222221</v>
      </c>
      <c r="D188" s="9">
        <v>0.4201388888888889</v>
      </c>
      <c r="E188" s="6">
        <f t="shared" si="4"/>
        <v>15.000000000000027</v>
      </c>
      <c r="F188" s="7">
        <v>49</v>
      </c>
      <c r="G188" s="2">
        <v>49</v>
      </c>
      <c r="H188" s="2">
        <f t="shared" si="5"/>
        <v>0</v>
      </c>
    </row>
    <row r="189" spans="1:8" x14ac:dyDescent="0.3">
      <c r="A189" s="1">
        <v>46247</v>
      </c>
      <c r="C189" s="9">
        <f>_xlfn.XLOOKUP(Log!A189, 'Daily Summary'!A:A, 'Daily Summary'!D:D, "Not found!")</f>
        <v>0.40972222222222221</v>
      </c>
      <c r="D189" s="9">
        <v>0.42152777777777778</v>
      </c>
      <c r="E189" s="6">
        <f t="shared" si="4"/>
        <v>17.000000000000021</v>
      </c>
      <c r="F189" s="7">
        <v>49</v>
      </c>
      <c r="G189" s="2">
        <v>52</v>
      </c>
      <c r="H189" s="2">
        <f t="shared" si="5"/>
        <v>3</v>
      </c>
    </row>
    <row r="190" spans="1:8" x14ac:dyDescent="0.3">
      <c r="A190" s="1">
        <v>46247</v>
      </c>
      <c r="C190" s="9">
        <f>_xlfn.XLOOKUP(Log!A190, 'Daily Summary'!A:A, 'Daily Summary'!D:D, "Not found!")</f>
        <v>0.40972222222222221</v>
      </c>
      <c r="D190" s="9">
        <v>0.42291666666666666</v>
      </c>
      <c r="E190" s="6">
        <f t="shared" si="4"/>
        <v>19.000000000000014</v>
      </c>
      <c r="F190" s="7">
        <v>52</v>
      </c>
      <c r="G190" s="2">
        <v>52</v>
      </c>
      <c r="H190" s="2">
        <f t="shared" si="5"/>
        <v>0</v>
      </c>
    </row>
    <row r="191" spans="1:8" x14ac:dyDescent="0.3">
      <c r="A191" s="1">
        <v>46247</v>
      </c>
      <c r="C191" s="9">
        <f>_xlfn.XLOOKUP(Log!A191, 'Daily Summary'!A:A, 'Daily Summary'!D:D, "Not found!")</f>
        <v>0.40972222222222221</v>
      </c>
      <c r="D191" s="9">
        <v>0.42431712962962964</v>
      </c>
      <c r="E191" s="6">
        <f t="shared" si="4"/>
        <v>21.016666666666701</v>
      </c>
      <c r="F191" s="7">
        <v>52</v>
      </c>
      <c r="G191" s="2">
        <v>55</v>
      </c>
      <c r="H191" s="2">
        <f t="shared" si="5"/>
        <v>3</v>
      </c>
    </row>
    <row r="192" spans="1:8" x14ac:dyDescent="0.3">
      <c r="A192" s="1">
        <v>46247</v>
      </c>
      <c r="C192" s="9">
        <f>_xlfn.XLOOKUP(Log!A192, 'Daily Summary'!A:A, 'Daily Summary'!D:D, "Not found!")</f>
        <v>0.40972222222222221</v>
      </c>
      <c r="D192" s="9">
        <v>0.42571759259259262</v>
      </c>
      <c r="E192" s="6">
        <f t="shared" si="4"/>
        <v>23.033333333333388</v>
      </c>
      <c r="F192" s="7">
        <v>52</v>
      </c>
      <c r="G192" s="2">
        <v>55</v>
      </c>
      <c r="H192" s="2">
        <f t="shared" si="5"/>
        <v>3</v>
      </c>
    </row>
    <row r="193" spans="1:8" x14ac:dyDescent="0.3">
      <c r="A193" s="1">
        <v>46247</v>
      </c>
      <c r="C193" s="9">
        <f>_xlfn.XLOOKUP(Log!A193, 'Daily Summary'!A:A, 'Daily Summary'!D:D, "Not found!")</f>
        <v>0.40972222222222221</v>
      </c>
      <c r="D193" s="9">
        <v>0.4271064814814815</v>
      </c>
      <c r="E193" s="6">
        <f t="shared" si="4"/>
        <v>25.033333333333381</v>
      </c>
      <c r="F193" s="7">
        <v>55</v>
      </c>
      <c r="G193" s="2">
        <v>55</v>
      </c>
      <c r="H193" s="2">
        <f t="shared" si="5"/>
        <v>0</v>
      </c>
    </row>
    <row r="194" spans="1:8" x14ac:dyDescent="0.3">
      <c r="A194" s="1">
        <v>46247</v>
      </c>
      <c r="C194" s="9">
        <f>_xlfn.XLOOKUP(Log!A194, 'Daily Summary'!A:A, 'Daily Summary'!D:D, "Not found!")</f>
        <v>0.40972222222222221</v>
      </c>
      <c r="D194" s="9">
        <v>0.42849537037037039</v>
      </c>
      <c r="E194" s="6">
        <f t="shared" si="4"/>
        <v>27.033333333333374</v>
      </c>
      <c r="F194" s="7">
        <v>55</v>
      </c>
      <c r="G194" s="2">
        <v>55</v>
      </c>
      <c r="H194" s="2">
        <f t="shared" si="5"/>
        <v>0</v>
      </c>
    </row>
    <row r="195" spans="1:8" x14ac:dyDescent="0.3">
      <c r="A195" s="1">
        <v>46247</v>
      </c>
      <c r="C195" s="9">
        <f>_xlfn.XLOOKUP(Log!A195, 'Daily Summary'!A:A, 'Daily Summary'!D:D, "Not found!")</f>
        <v>0.40972222222222221</v>
      </c>
      <c r="D195" s="9">
        <v>0.42989583333333331</v>
      </c>
      <c r="E195" s="6">
        <f t="shared" ref="E195:E273" si="6">IF(AND($D195&lt;&gt;"", $C195&lt;&gt;""), ($D195-$C195)*1440, "")</f>
        <v>29.049999999999983</v>
      </c>
      <c r="F195" s="7">
        <v>55</v>
      </c>
      <c r="G195" s="2">
        <v>58</v>
      </c>
      <c r="H195" s="2">
        <f t="shared" si="5"/>
        <v>3</v>
      </c>
    </row>
    <row r="196" spans="1:8" x14ac:dyDescent="0.3">
      <c r="A196" s="1">
        <v>46247</v>
      </c>
      <c r="C196" s="9">
        <f>_xlfn.XLOOKUP(Log!A196, 'Daily Summary'!A:A, 'Daily Summary'!D:D, "Not found!")</f>
        <v>0.40972222222222221</v>
      </c>
      <c r="D196" s="9">
        <v>0.43129629629629629</v>
      </c>
      <c r="E196" s="6">
        <f t="shared" si="6"/>
        <v>31.066666666666674</v>
      </c>
      <c r="F196" s="7">
        <v>55</v>
      </c>
      <c r="G196" s="2">
        <v>58</v>
      </c>
      <c r="H196" s="2">
        <f t="shared" ref="H196:H274" si="7">IF(AND($G196&lt;&gt;"",$F196&lt;&gt;""), $G196-$F196, "")</f>
        <v>3</v>
      </c>
    </row>
    <row r="197" spans="1:8" x14ac:dyDescent="0.3">
      <c r="A197" s="1">
        <v>46248</v>
      </c>
      <c r="C197" s="9">
        <f>_xlfn.XLOOKUP(Log!A197, 'Daily Summary'!A:A, 'Daily Summary'!D:D, "Not found!")</f>
        <v>0.43472222222222223</v>
      </c>
      <c r="D197" s="9">
        <v>0.4375</v>
      </c>
      <c r="E197" s="6">
        <f t="shared" si="6"/>
        <v>3.9999999999999858</v>
      </c>
      <c r="F197" s="7">
        <v>38</v>
      </c>
      <c r="G197" s="2">
        <v>38</v>
      </c>
      <c r="H197" s="2">
        <f t="shared" si="7"/>
        <v>0</v>
      </c>
    </row>
    <row r="198" spans="1:8" x14ac:dyDescent="0.3">
      <c r="A198" s="1">
        <v>46248</v>
      </c>
      <c r="C198" s="9">
        <f>_xlfn.XLOOKUP(Log!A198, 'Daily Summary'!A:A, 'Daily Summary'!D:D, "Not found!")</f>
        <v>0.43472222222222223</v>
      </c>
      <c r="D198" s="9">
        <v>0.4387847222222222</v>
      </c>
      <c r="E198" s="6">
        <f t="shared" si="6"/>
        <v>5.8499999999999552</v>
      </c>
      <c r="F198" s="7">
        <v>41</v>
      </c>
      <c r="G198" s="2">
        <v>41</v>
      </c>
      <c r="H198" s="2">
        <f t="shared" si="7"/>
        <v>0</v>
      </c>
    </row>
    <row r="199" spans="1:8" x14ac:dyDescent="0.3">
      <c r="A199" s="1">
        <v>46248</v>
      </c>
      <c r="C199" s="9">
        <f>_xlfn.XLOOKUP(Log!A199, 'Daily Summary'!A:A, 'Daily Summary'!D:D, "Not found!")</f>
        <v>0.43472222222222223</v>
      </c>
      <c r="D199" s="9">
        <v>0.44018518518518518</v>
      </c>
      <c r="E199" s="6">
        <f t="shared" si="6"/>
        <v>7.866666666666644</v>
      </c>
      <c r="F199" s="7">
        <v>44</v>
      </c>
      <c r="G199" s="2">
        <v>44</v>
      </c>
      <c r="H199" s="2">
        <f t="shared" si="7"/>
        <v>0</v>
      </c>
    </row>
    <row r="200" spans="1:8" x14ac:dyDescent="0.3">
      <c r="A200" s="1">
        <v>46248</v>
      </c>
      <c r="C200" s="9">
        <f>_xlfn.XLOOKUP(Log!A200, 'Daily Summary'!A:A, 'Daily Summary'!D:D, "Not found!")</f>
        <v>0.43472222222222223</v>
      </c>
      <c r="D200" s="9">
        <v>0.44157407407407406</v>
      </c>
      <c r="E200" s="6">
        <f t="shared" si="6"/>
        <v>9.8666666666666369</v>
      </c>
      <c r="F200" s="7">
        <v>44</v>
      </c>
      <c r="G200" s="2">
        <v>47</v>
      </c>
      <c r="H200" s="2">
        <f t="shared" si="7"/>
        <v>3</v>
      </c>
    </row>
    <row r="201" spans="1:8" x14ac:dyDescent="0.3">
      <c r="A201" s="1">
        <v>46248</v>
      </c>
      <c r="C201" s="9">
        <f>_xlfn.XLOOKUP(Log!A201, 'Daily Summary'!A:A, 'Daily Summary'!D:D, "Not found!")</f>
        <v>0.43472222222222223</v>
      </c>
      <c r="D201" s="9">
        <v>0.44436342592592593</v>
      </c>
      <c r="E201" s="6">
        <f t="shared" si="6"/>
        <v>13.883333333333319</v>
      </c>
      <c r="F201" s="7">
        <v>49</v>
      </c>
      <c r="G201" s="2">
        <v>49</v>
      </c>
      <c r="H201" s="2">
        <f t="shared" si="7"/>
        <v>0</v>
      </c>
    </row>
    <row r="202" spans="1:8" x14ac:dyDescent="0.3">
      <c r="A202" s="1">
        <v>46248</v>
      </c>
      <c r="C202" s="9">
        <f>_xlfn.XLOOKUP(Log!A202, 'Daily Summary'!A:A, 'Daily Summary'!D:D, "Not found!")</f>
        <v>0.43472222222222223</v>
      </c>
      <c r="D202" s="9">
        <v>0.44575231481481481</v>
      </c>
      <c r="E202" s="6">
        <f t="shared" si="6"/>
        <v>15.883333333333312</v>
      </c>
      <c r="F202" s="7">
        <v>49</v>
      </c>
      <c r="G202" s="2">
        <v>52</v>
      </c>
      <c r="H202" s="2">
        <f t="shared" si="7"/>
        <v>3</v>
      </c>
    </row>
    <row r="203" spans="1:8" x14ac:dyDescent="0.3">
      <c r="A203" s="1">
        <v>46248</v>
      </c>
      <c r="C203" s="9">
        <f>_xlfn.XLOOKUP(Log!A203, 'Daily Summary'!A:A, 'Daily Summary'!D:D, "Not found!")</f>
        <v>0.43472222222222223</v>
      </c>
      <c r="D203" s="9">
        <v>0.44715277777777779</v>
      </c>
      <c r="E203" s="6">
        <f t="shared" si="6"/>
        <v>17.899999999999999</v>
      </c>
      <c r="F203" s="7">
        <v>52</v>
      </c>
      <c r="G203" s="2">
        <v>52</v>
      </c>
      <c r="H203" s="2">
        <f t="shared" si="7"/>
        <v>0</v>
      </c>
    </row>
    <row r="204" spans="1:8" x14ac:dyDescent="0.3">
      <c r="A204" s="1">
        <v>46248</v>
      </c>
      <c r="C204" s="9">
        <f>_xlfn.XLOOKUP(Log!A204, 'Daily Summary'!A:A, 'Daily Summary'!D:D, "Not found!")</f>
        <v>0.43472222222222223</v>
      </c>
      <c r="D204" s="9">
        <v>0.44855324074074077</v>
      </c>
      <c r="E204" s="6">
        <f t="shared" si="6"/>
        <v>19.916666666666689</v>
      </c>
      <c r="F204" s="7">
        <v>52</v>
      </c>
      <c r="G204" s="2">
        <v>52</v>
      </c>
      <c r="H204" s="2">
        <f t="shared" si="7"/>
        <v>0</v>
      </c>
    </row>
    <row r="205" spans="1:8" x14ac:dyDescent="0.3">
      <c r="A205" s="1">
        <v>46248</v>
      </c>
      <c r="C205" s="9">
        <f>_xlfn.XLOOKUP(Log!A205, 'Daily Summary'!A:A, 'Daily Summary'!D:D, "Not found!")</f>
        <v>0.43472222222222223</v>
      </c>
      <c r="D205" s="9">
        <v>0.44994212962962965</v>
      </c>
      <c r="E205" s="6">
        <f t="shared" si="6"/>
        <v>21.916666666666682</v>
      </c>
      <c r="F205" s="7">
        <v>52</v>
      </c>
      <c r="G205" s="2">
        <v>55</v>
      </c>
      <c r="H205" s="2">
        <f t="shared" si="7"/>
        <v>3</v>
      </c>
    </row>
    <row r="206" spans="1:8" x14ac:dyDescent="0.3">
      <c r="A206" s="1">
        <v>46248</v>
      </c>
      <c r="C206" s="9">
        <f>_xlfn.XLOOKUP(Log!A206, 'Daily Summary'!A:A, 'Daily Summary'!D:D, "Not found!")</f>
        <v>0.43472222222222223</v>
      </c>
      <c r="D206" s="9">
        <v>0.45134259259259257</v>
      </c>
      <c r="E206" s="6">
        <f t="shared" si="6"/>
        <v>23.933333333333291</v>
      </c>
      <c r="F206" s="7">
        <v>55</v>
      </c>
      <c r="G206" s="2">
        <v>55</v>
      </c>
      <c r="H206" s="2">
        <f t="shared" si="7"/>
        <v>0</v>
      </c>
    </row>
    <row r="207" spans="1:8" x14ac:dyDescent="0.3">
      <c r="A207" s="1">
        <v>46248</v>
      </c>
      <c r="C207" s="9">
        <f>_xlfn.XLOOKUP(Log!A207, 'Daily Summary'!A:A, 'Daily Summary'!D:D, "Not found!")</f>
        <v>0.43472222222222223</v>
      </c>
      <c r="D207" s="9">
        <v>0.45274305555555555</v>
      </c>
      <c r="E207" s="6">
        <f t="shared" si="6"/>
        <v>25.949999999999982</v>
      </c>
      <c r="F207" s="7">
        <v>55</v>
      </c>
      <c r="G207" s="2">
        <v>55</v>
      </c>
      <c r="H207" s="2">
        <f t="shared" si="7"/>
        <v>0</v>
      </c>
    </row>
    <row r="208" spans="1:8" x14ac:dyDescent="0.3">
      <c r="A208" s="1">
        <v>46248</v>
      </c>
      <c r="C208" s="9">
        <f>_xlfn.XLOOKUP(Log!A208, 'Daily Summary'!A:A, 'Daily Summary'!D:D, "Not found!")</f>
        <v>0.43472222222222223</v>
      </c>
      <c r="D208" s="9">
        <v>0.45413194444444444</v>
      </c>
      <c r="E208" s="6">
        <f t="shared" si="6"/>
        <v>27.949999999999974</v>
      </c>
      <c r="F208" s="7">
        <v>55</v>
      </c>
      <c r="G208" s="2">
        <v>58</v>
      </c>
      <c r="H208" s="2">
        <f t="shared" si="7"/>
        <v>3</v>
      </c>
    </row>
    <row r="209" spans="1:8" x14ac:dyDescent="0.3">
      <c r="A209" s="1">
        <v>46248</v>
      </c>
      <c r="C209" s="9">
        <f>_xlfn.XLOOKUP(Log!A209, 'Daily Summary'!A:A, 'Daily Summary'!D:D, "Not found!")</f>
        <v>0.43472222222222223</v>
      </c>
      <c r="D209" s="9">
        <v>0.45553240740740741</v>
      </c>
      <c r="E209" s="6">
        <f t="shared" si="6"/>
        <v>29.966666666666661</v>
      </c>
      <c r="F209" s="7">
        <v>55</v>
      </c>
      <c r="G209" s="2">
        <v>58</v>
      </c>
      <c r="H209" s="2">
        <f t="shared" si="7"/>
        <v>3</v>
      </c>
    </row>
    <row r="210" spans="1:8" x14ac:dyDescent="0.3">
      <c r="A210" s="1">
        <v>46248</v>
      </c>
      <c r="C210" s="9">
        <f>_xlfn.XLOOKUP(Log!A210, 'Daily Summary'!A:A, 'Daily Summary'!D:D, "Not found!")</f>
        <v>0.43472222222222223</v>
      </c>
      <c r="D210" s="9">
        <v>0.4569212962962963</v>
      </c>
      <c r="E210" s="6">
        <f t="shared" si="6"/>
        <v>31.966666666666654</v>
      </c>
      <c r="F210" s="7">
        <v>58</v>
      </c>
      <c r="G210" s="2">
        <v>58</v>
      </c>
      <c r="H210" s="2">
        <f t="shared" si="7"/>
        <v>0</v>
      </c>
    </row>
    <row r="211" spans="1:8" x14ac:dyDescent="0.3">
      <c r="A211" s="1">
        <v>46248</v>
      </c>
      <c r="C211" s="9">
        <f>_xlfn.XLOOKUP(Log!A211, 'Daily Summary'!A:A, 'Daily Summary'!D:D, "Not found!")</f>
        <v>0.43472222222222223</v>
      </c>
      <c r="D211" s="9">
        <v>0.45831018518518518</v>
      </c>
      <c r="E211" s="6">
        <f t="shared" si="6"/>
        <v>33.966666666666647</v>
      </c>
      <c r="F211" s="7">
        <v>58</v>
      </c>
      <c r="G211" s="2">
        <v>58</v>
      </c>
      <c r="H211" s="2">
        <f t="shared" si="7"/>
        <v>0</v>
      </c>
    </row>
    <row r="212" spans="1:8" x14ac:dyDescent="0.3">
      <c r="A212" s="1">
        <v>46251</v>
      </c>
      <c r="C212" s="9">
        <f>_xlfn.XLOOKUP(Log!A212, 'Daily Summary'!A:A, 'Daily Summary'!D:D, "Not found!")</f>
        <v>0.55902777777777779</v>
      </c>
      <c r="D212" s="9">
        <v>0.56111111111111112</v>
      </c>
      <c r="E212" s="6">
        <f t="shared" si="6"/>
        <v>2.9999999999999893</v>
      </c>
      <c r="F212" s="7">
        <v>29</v>
      </c>
      <c r="G212" s="2">
        <v>31</v>
      </c>
      <c r="H212" s="2">
        <f t="shared" si="7"/>
        <v>2</v>
      </c>
    </row>
    <row r="213" spans="1:8" x14ac:dyDescent="0.3">
      <c r="A213" s="1">
        <v>46251</v>
      </c>
      <c r="C213" s="9">
        <f>_xlfn.XLOOKUP(Log!A213, 'Daily Summary'!A:A, 'Daily Summary'!D:D, "Not found!")</f>
        <v>0.55902777777777779</v>
      </c>
      <c r="D213" s="9">
        <v>0.56137731481481479</v>
      </c>
      <c r="E213" s="6">
        <f t="shared" si="6"/>
        <v>3.383333333333276</v>
      </c>
      <c r="F213" s="7">
        <v>32</v>
      </c>
      <c r="G213" s="2">
        <v>33</v>
      </c>
      <c r="H213" s="2">
        <f t="shared" si="7"/>
        <v>1</v>
      </c>
    </row>
    <row r="214" spans="1:8" x14ac:dyDescent="0.3">
      <c r="A214" s="1">
        <v>46251</v>
      </c>
      <c r="C214" s="9">
        <f>_xlfn.XLOOKUP(Log!A214, 'Daily Summary'!A:A, 'Daily Summary'!D:D, "Not found!")</f>
        <v>0.55902777777777779</v>
      </c>
      <c r="D214" s="9">
        <v>0.56277777777777782</v>
      </c>
      <c r="E214" s="6">
        <f t="shared" si="6"/>
        <v>5.4000000000000448</v>
      </c>
      <c r="F214" s="7">
        <v>36</v>
      </c>
      <c r="G214" s="2">
        <v>38</v>
      </c>
      <c r="H214" s="2">
        <f t="shared" si="7"/>
        <v>2</v>
      </c>
    </row>
    <row r="215" spans="1:8" x14ac:dyDescent="0.3">
      <c r="A215" s="1">
        <v>46251</v>
      </c>
      <c r="C215" s="9">
        <f>_xlfn.XLOOKUP(Log!A215, 'Daily Summary'!A:A, 'Daily Summary'!D:D, "Not found!")</f>
        <v>0.55902777777777779</v>
      </c>
      <c r="D215" s="9">
        <v>0.56417824074074074</v>
      </c>
      <c r="E215" s="6">
        <f t="shared" si="6"/>
        <v>7.4166666666666536</v>
      </c>
      <c r="F215" s="7">
        <v>39</v>
      </c>
      <c r="G215" s="2">
        <v>41</v>
      </c>
      <c r="H215" s="2">
        <f t="shared" si="7"/>
        <v>2</v>
      </c>
    </row>
    <row r="216" spans="1:8" x14ac:dyDescent="0.3">
      <c r="A216" s="1">
        <v>46251</v>
      </c>
      <c r="C216" s="9">
        <f>_xlfn.XLOOKUP(Log!A216, 'Daily Summary'!A:A, 'Daily Summary'!D:D, "Not found!")</f>
        <v>0.55902777777777779</v>
      </c>
      <c r="D216" s="9">
        <v>0.56557870370370367</v>
      </c>
      <c r="E216" s="6">
        <f t="shared" si="6"/>
        <v>9.4333333333332625</v>
      </c>
      <c r="F216" s="7">
        <v>41</v>
      </c>
      <c r="G216" s="2">
        <v>44</v>
      </c>
      <c r="H216" s="2">
        <f t="shared" si="7"/>
        <v>3</v>
      </c>
    </row>
    <row r="217" spans="1:8" x14ac:dyDescent="0.3">
      <c r="A217" s="1">
        <v>46251</v>
      </c>
      <c r="C217" s="9">
        <f>_xlfn.XLOOKUP(Log!A217, 'Daily Summary'!A:A, 'Daily Summary'!D:D, "Not found!")</f>
        <v>0.55902777777777779</v>
      </c>
      <c r="D217" s="9">
        <v>0.56696759259259255</v>
      </c>
      <c r="E217" s="6">
        <f t="shared" si="6"/>
        <v>11.433333333333255</v>
      </c>
      <c r="F217" s="7">
        <v>44</v>
      </c>
      <c r="G217" s="2">
        <v>45</v>
      </c>
      <c r="H217" s="2">
        <f t="shared" si="7"/>
        <v>1</v>
      </c>
    </row>
    <row r="218" spans="1:8" x14ac:dyDescent="0.3">
      <c r="A218" s="1">
        <v>46251</v>
      </c>
      <c r="C218" s="9">
        <f>_xlfn.XLOOKUP(Log!A218, 'Daily Summary'!A:A, 'Daily Summary'!D:D, "Not found!")</f>
        <v>0.55902777777777779</v>
      </c>
      <c r="D218" s="9">
        <v>0.56836805555555558</v>
      </c>
      <c r="E218" s="6">
        <f t="shared" si="6"/>
        <v>13.450000000000024</v>
      </c>
      <c r="F218" s="7">
        <v>45</v>
      </c>
      <c r="G218" s="2">
        <v>47</v>
      </c>
      <c r="H218" s="2">
        <f t="shared" si="7"/>
        <v>2</v>
      </c>
    </row>
    <row r="219" spans="1:8" x14ac:dyDescent="0.3">
      <c r="A219" s="1">
        <v>46251</v>
      </c>
      <c r="C219" s="9">
        <f>_xlfn.XLOOKUP(Log!A219, 'Daily Summary'!A:A, 'Daily Summary'!D:D, "Not found!")</f>
        <v>0.55902777777777779</v>
      </c>
      <c r="D219" s="9">
        <v>0.56975694444444447</v>
      </c>
      <c r="E219" s="6">
        <f t="shared" si="6"/>
        <v>15.450000000000017</v>
      </c>
      <c r="F219" s="7">
        <v>47</v>
      </c>
      <c r="G219" s="2">
        <v>49</v>
      </c>
      <c r="H219" s="2">
        <f t="shared" si="7"/>
        <v>2</v>
      </c>
    </row>
    <row r="220" spans="1:8" x14ac:dyDescent="0.3">
      <c r="A220" s="1">
        <v>46251</v>
      </c>
      <c r="C220" s="9">
        <f>_xlfn.XLOOKUP(Log!A220, 'Daily Summary'!A:A, 'Daily Summary'!D:D, "Not found!")</f>
        <v>0.55902777777777779</v>
      </c>
      <c r="D220" s="9">
        <v>0.57115740740740739</v>
      </c>
      <c r="E220" s="6">
        <f t="shared" si="6"/>
        <v>17.466666666666626</v>
      </c>
      <c r="F220" s="7">
        <v>48</v>
      </c>
      <c r="G220" s="2">
        <v>49</v>
      </c>
      <c r="H220" s="2">
        <f t="shared" si="7"/>
        <v>1</v>
      </c>
    </row>
    <row r="221" spans="1:8" x14ac:dyDescent="0.3">
      <c r="A221" s="1">
        <v>46251</v>
      </c>
      <c r="C221" s="9">
        <f>_xlfn.XLOOKUP(Log!A221, 'Daily Summary'!A:A, 'Daily Summary'!D:D, "Not found!")</f>
        <v>0.55902777777777779</v>
      </c>
      <c r="D221" s="9">
        <v>0.57255787037037043</v>
      </c>
      <c r="E221" s="6">
        <f t="shared" si="6"/>
        <v>19.483333333333395</v>
      </c>
      <c r="F221" s="7">
        <v>49</v>
      </c>
      <c r="G221" s="2">
        <v>52</v>
      </c>
      <c r="H221" s="2">
        <f t="shared" si="7"/>
        <v>3</v>
      </c>
    </row>
    <row r="222" spans="1:8" x14ac:dyDescent="0.3">
      <c r="A222" s="1">
        <v>46251</v>
      </c>
      <c r="C222" s="9">
        <f>_xlfn.XLOOKUP(Log!A222, 'Daily Summary'!A:A, 'Daily Summary'!D:D, "Not found!")</f>
        <v>0.55902777777777779</v>
      </c>
      <c r="D222" s="9">
        <v>0.57394675925925931</v>
      </c>
      <c r="E222" s="6">
        <f t="shared" si="6"/>
        <v>21.483333333333388</v>
      </c>
      <c r="F222" s="7">
        <v>51</v>
      </c>
      <c r="G222" s="2">
        <v>52</v>
      </c>
      <c r="H222" s="2">
        <f t="shared" si="7"/>
        <v>1</v>
      </c>
    </row>
    <row r="223" spans="1:8" x14ac:dyDescent="0.3">
      <c r="A223" s="1">
        <v>46251</v>
      </c>
      <c r="C223" s="9">
        <f>_xlfn.XLOOKUP(Log!A223, 'Daily Summary'!A:A, 'Daily Summary'!D:D, "Not found!")</f>
        <v>0.55902777777777779</v>
      </c>
      <c r="D223" s="9">
        <v>0.57534722222222223</v>
      </c>
      <c r="E223" s="6">
        <f t="shared" si="6"/>
        <v>23.499999999999996</v>
      </c>
      <c r="F223" s="7">
        <v>51</v>
      </c>
      <c r="G223" s="2">
        <v>52</v>
      </c>
      <c r="H223" s="2">
        <f t="shared" si="7"/>
        <v>1</v>
      </c>
    </row>
    <row r="224" spans="1:8" x14ac:dyDescent="0.3">
      <c r="A224" s="1">
        <v>46251</v>
      </c>
      <c r="C224" s="9">
        <f>_xlfn.XLOOKUP(Log!A224, 'Daily Summary'!A:A, 'Daily Summary'!D:D, "Not found!")</f>
        <v>0.55902777777777779</v>
      </c>
      <c r="D224" s="9">
        <v>0.57673611111111112</v>
      </c>
      <c r="E224" s="6">
        <f t="shared" si="6"/>
        <v>25.499999999999989</v>
      </c>
      <c r="F224" s="7">
        <v>52</v>
      </c>
      <c r="G224" s="2">
        <v>55</v>
      </c>
      <c r="H224" s="2">
        <f t="shared" si="7"/>
        <v>3</v>
      </c>
    </row>
    <row r="225" spans="1:8" x14ac:dyDescent="0.3">
      <c r="A225" s="1">
        <v>46251</v>
      </c>
      <c r="C225" s="9">
        <f>_xlfn.XLOOKUP(Log!A225, 'Daily Summary'!A:A, 'Daily Summary'!D:D, "Not found!")</f>
        <v>0.55902777777777779</v>
      </c>
      <c r="D225" s="9">
        <v>0.578125</v>
      </c>
      <c r="E225" s="6">
        <f t="shared" si="6"/>
        <v>27.499999999999982</v>
      </c>
      <c r="F225" s="7">
        <v>54</v>
      </c>
      <c r="G225" s="2">
        <v>55</v>
      </c>
      <c r="H225" s="2">
        <f t="shared" si="7"/>
        <v>1</v>
      </c>
    </row>
    <row r="226" spans="1:8" x14ac:dyDescent="0.3">
      <c r="A226" s="1">
        <v>46251</v>
      </c>
      <c r="C226" s="9">
        <f>_xlfn.XLOOKUP(Log!A226, 'Daily Summary'!A:A, 'Daily Summary'!D:D, "Not found!")</f>
        <v>0.55902777777777779</v>
      </c>
      <c r="D226" s="9">
        <v>0.57951388888888888</v>
      </c>
      <c r="E226" s="6">
        <f t="shared" si="6"/>
        <v>29.499999999999975</v>
      </c>
      <c r="F226" s="7">
        <v>54</v>
      </c>
      <c r="G226" s="2">
        <v>55</v>
      </c>
      <c r="H226" s="2">
        <f t="shared" si="7"/>
        <v>1</v>
      </c>
    </row>
    <row r="227" spans="1:8" x14ac:dyDescent="0.3">
      <c r="A227" s="1">
        <v>46251</v>
      </c>
      <c r="C227" s="9">
        <f>_xlfn.XLOOKUP(Log!A227, 'Daily Summary'!A:A, 'Daily Summary'!D:D, "Not found!")</f>
        <v>0.55902777777777779</v>
      </c>
      <c r="D227" s="9">
        <v>0.58090277777777777</v>
      </c>
      <c r="E227" s="6">
        <f t="shared" si="6"/>
        <v>31.499999999999968</v>
      </c>
      <c r="F227" s="7">
        <v>54</v>
      </c>
      <c r="G227" s="2">
        <v>55</v>
      </c>
      <c r="H227" s="2">
        <f t="shared" si="7"/>
        <v>1</v>
      </c>
    </row>
    <row r="228" spans="1:8" x14ac:dyDescent="0.3">
      <c r="A228" s="1">
        <v>46252</v>
      </c>
      <c r="C228" s="9">
        <f>_xlfn.XLOOKUP(Log!A228, 'Daily Summary'!A:A, 'Daily Summary'!D:D, "Not found!")</f>
        <v>0.42708333333333331</v>
      </c>
      <c r="D228" s="9">
        <v>0.42708333333333331</v>
      </c>
      <c r="E228" s="6">
        <f t="shared" si="6"/>
        <v>0</v>
      </c>
      <c r="F228" s="7">
        <v>29</v>
      </c>
      <c r="G228" s="2">
        <v>30</v>
      </c>
      <c r="H228" s="2">
        <f t="shared" si="7"/>
        <v>1</v>
      </c>
    </row>
    <row r="229" spans="1:8" x14ac:dyDescent="0.3">
      <c r="A229" s="1">
        <v>46252</v>
      </c>
      <c r="C229" s="9">
        <f>_xlfn.XLOOKUP(Log!A229, 'Daily Summary'!A:A, 'Daily Summary'!D:D, "Not found!")</f>
        <v>0.42708333333333331</v>
      </c>
      <c r="D229" s="9">
        <v>0.42815972222222221</v>
      </c>
      <c r="E229" s="6">
        <f t="shared" si="6"/>
        <v>1.5500000000000025</v>
      </c>
      <c r="F229" s="7">
        <v>33</v>
      </c>
      <c r="G229" s="2">
        <v>35</v>
      </c>
      <c r="H229" s="2">
        <f t="shared" si="7"/>
        <v>2</v>
      </c>
    </row>
    <row r="230" spans="1:8" x14ac:dyDescent="0.3">
      <c r="A230" s="1">
        <v>46252</v>
      </c>
      <c r="C230" s="9">
        <f>_xlfn.XLOOKUP(Log!A230, 'Daily Summary'!A:A, 'Daily Summary'!D:D, "Not found!")</f>
        <v>0.42708333333333331</v>
      </c>
      <c r="D230" s="9">
        <v>0.42956018518518518</v>
      </c>
      <c r="E230" s="6">
        <f t="shared" si="6"/>
        <v>3.5666666666666913</v>
      </c>
      <c r="F230" s="7">
        <v>38</v>
      </c>
      <c r="G230" s="2">
        <v>39</v>
      </c>
      <c r="H230" s="2">
        <f t="shared" si="7"/>
        <v>1</v>
      </c>
    </row>
    <row r="231" spans="1:8" x14ac:dyDescent="0.3">
      <c r="A231" s="1">
        <v>46252</v>
      </c>
      <c r="C231" s="9">
        <f>_xlfn.XLOOKUP(Log!A231, 'Daily Summary'!A:A, 'Daily Summary'!D:D, "Not found!")</f>
        <v>0.42708333333333331</v>
      </c>
      <c r="D231" s="9">
        <v>0.43094907407407407</v>
      </c>
      <c r="E231" s="6">
        <f t="shared" si="6"/>
        <v>5.5666666666666842</v>
      </c>
      <c r="F231" s="7">
        <v>41</v>
      </c>
      <c r="G231" s="2">
        <v>42</v>
      </c>
      <c r="H231" s="2">
        <f t="shared" si="7"/>
        <v>1</v>
      </c>
    </row>
    <row r="232" spans="1:8" x14ac:dyDescent="0.3">
      <c r="A232" s="1">
        <v>46252</v>
      </c>
      <c r="C232" s="9">
        <f>_xlfn.XLOOKUP(Log!A232, 'Daily Summary'!A:A, 'Daily Summary'!D:D, "Not found!")</f>
        <v>0.42708333333333331</v>
      </c>
      <c r="D232" s="9">
        <v>0.43234953703703705</v>
      </c>
      <c r="E232" s="6">
        <f t="shared" si="6"/>
        <v>7.583333333333373</v>
      </c>
      <c r="F232" s="7">
        <v>41</v>
      </c>
      <c r="G232" s="2">
        <v>44</v>
      </c>
      <c r="H232" s="2">
        <f t="shared" si="7"/>
        <v>3</v>
      </c>
    </row>
    <row r="233" spans="1:8" x14ac:dyDescent="0.3">
      <c r="A233" s="1">
        <v>46252</v>
      </c>
      <c r="C233" s="9">
        <f>_xlfn.XLOOKUP(Log!A233, 'Daily Summary'!A:A, 'Daily Summary'!D:D, "Not found!")</f>
        <v>0.42708333333333331</v>
      </c>
      <c r="D233" s="9">
        <v>0.43375000000000002</v>
      </c>
      <c r="E233" s="6">
        <f t="shared" si="6"/>
        <v>9.6000000000000618</v>
      </c>
      <c r="F233" s="7">
        <v>44</v>
      </c>
      <c r="G233" s="2">
        <v>47</v>
      </c>
      <c r="H233" s="2">
        <f t="shared" si="7"/>
        <v>3</v>
      </c>
    </row>
    <row r="234" spans="1:8" x14ac:dyDescent="0.3">
      <c r="A234" s="1">
        <v>46252</v>
      </c>
      <c r="C234" s="9">
        <f>_xlfn.XLOOKUP(Log!A234, 'Daily Summary'!A:A, 'Daily Summary'!D:D, "Not found!")</f>
        <v>0.42708333333333331</v>
      </c>
      <c r="D234" s="9">
        <v>0.43513888888888891</v>
      </c>
      <c r="E234" s="6">
        <f t="shared" si="6"/>
        <v>11.600000000000055</v>
      </c>
      <c r="F234" s="7">
        <v>45</v>
      </c>
      <c r="G234" s="2">
        <v>49</v>
      </c>
      <c r="H234" s="2">
        <f t="shared" si="7"/>
        <v>4</v>
      </c>
    </row>
    <row r="235" spans="1:8" x14ac:dyDescent="0.3">
      <c r="A235" s="1">
        <v>46252</v>
      </c>
      <c r="C235" s="9">
        <f>_xlfn.XLOOKUP(Log!A235, 'Daily Summary'!A:A, 'Daily Summary'!D:D, "Not found!")</f>
        <v>0.42708333333333331</v>
      </c>
      <c r="D235" s="9">
        <v>0.43653935185185183</v>
      </c>
      <c r="E235" s="6">
        <f t="shared" si="6"/>
        <v>13.616666666666664</v>
      </c>
      <c r="F235" s="7">
        <v>48</v>
      </c>
      <c r="G235" s="2">
        <v>49</v>
      </c>
      <c r="H235" s="2">
        <f t="shared" si="7"/>
        <v>1</v>
      </c>
    </row>
    <row r="236" spans="1:8" x14ac:dyDescent="0.3">
      <c r="A236" s="1">
        <v>46252</v>
      </c>
      <c r="C236" s="9">
        <f>_xlfn.XLOOKUP(Log!A236, 'Daily Summary'!A:A, 'Daily Summary'!D:D, "Not found!")</f>
        <v>0.42708333333333331</v>
      </c>
      <c r="D236" s="9">
        <v>0.43793981481481481</v>
      </c>
      <c r="E236" s="6">
        <f t="shared" si="6"/>
        <v>15.633333333333352</v>
      </c>
      <c r="F236" s="7">
        <v>48</v>
      </c>
      <c r="G236" s="2">
        <v>52</v>
      </c>
      <c r="H236" s="2">
        <f t="shared" si="7"/>
        <v>4</v>
      </c>
    </row>
    <row r="237" spans="1:8" x14ac:dyDescent="0.3">
      <c r="A237" s="1">
        <v>46252</v>
      </c>
      <c r="C237" s="9">
        <f>_xlfn.XLOOKUP(Log!A237, 'Daily Summary'!A:A, 'Daily Summary'!D:D, "Not found!")</f>
        <v>0.42708333333333331</v>
      </c>
      <c r="D237" s="9">
        <v>0.43932870370370369</v>
      </c>
      <c r="E237" s="6">
        <f t="shared" si="6"/>
        <v>17.633333333333347</v>
      </c>
      <c r="F237" s="7">
        <v>49</v>
      </c>
      <c r="G237" s="2">
        <v>52</v>
      </c>
      <c r="H237" s="2">
        <f t="shared" si="7"/>
        <v>3</v>
      </c>
    </row>
    <row r="238" spans="1:8" x14ac:dyDescent="0.3">
      <c r="A238" s="1">
        <v>46252</v>
      </c>
      <c r="C238" s="9">
        <f>_xlfn.XLOOKUP(Log!A238, 'Daily Summary'!A:A, 'Daily Summary'!D:D, "Not found!")</f>
        <v>0.42708333333333331</v>
      </c>
      <c r="D238" s="9">
        <v>0.44071759259259258</v>
      </c>
      <c r="E238" s="6">
        <f t="shared" si="6"/>
        <v>19.63333333333334</v>
      </c>
      <c r="F238" s="7">
        <v>51</v>
      </c>
      <c r="G238" s="2">
        <v>52</v>
      </c>
      <c r="H238" s="2">
        <f t="shared" si="7"/>
        <v>1</v>
      </c>
    </row>
    <row r="239" spans="1:8" x14ac:dyDescent="0.3">
      <c r="A239" s="1">
        <v>46252</v>
      </c>
      <c r="C239" s="9">
        <f>_xlfn.XLOOKUP(Log!A239, 'Daily Summary'!A:A, 'Daily Summary'!D:D, "Not found!")</f>
        <v>0.42708333333333331</v>
      </c>
      <c r="D239" s="9">
        <v>0.44211805555555556</v>
      </c>
      <c r="E239" s="6">
        <f t="shared" si="6"/>
        <v>21.650000000000027</v>
      </c>
      <c r="F239" s="7">
        <v>52</v>
      </c>
      <c r="G239" s="2">
        <v>55</v>
      </c>
      <c r="H239" s="2">
        <f t="shared" si="7"/>
        <v>3</v>
      </c>
    </row>
    <row r="240" spans="1:8" x14ac:dyDescent="0.3">
      <c r="A240" s="1">
        <v>46252</v>
      </c>
      <c r="C240" s="9">
        <f>_xlfn.XLOOKUP(Log!A240, 'Daily Summary'!A:A, 'Daily Summary'!D:D, "Not found!")</f>
        <v>0.42708333333333331</v>
      </c>
      <c r="D240" s="9">
        <v>0.44350694444444444</v>
      </c>
      <c r="E240" s="6">
        <f t="shared" si="6"/>
        <v>23.65000000000002</v>
      </c>
      <c r="F240" s="7">
        <v>52</v>
      </c>
      <c r="G240" s="2">
        <v>55</v>
      </c>
      <c r="H240" s="2">
        <f t="shared" si="7"/>
        <v>3</v>
      </c>
    </row>
    <row r="241" spans="1:8" x14ac:dyDescent="0.3">
      <c r="A241" s="1">
        <v>46252</v>
      </c>
      <c r="C241" s="9">
        <f>_xlfn.XLOOKUP(Log!A241, 'Daily Summary'!A:A, 'Daily Summary'!D:D, "Not found!")</f>
        <v>0.42708333333333331</v>
      </c>
      <c r="D241" s="9">
        <v>0.44489583333333332</v>
      </c>
      <c r="E241" s="6">
        <f t="shared" si="6"/>
        <v>25.650000000000013</v>
      </c>
      <c r="F241" s="7">
        <v>54</v>
      </c>
      <c r="G241" s="2">
        <v>55</v>
      </c>
      <c r="H241" s="2">
        <f t="shared" si="7"/>
        <v>1</v>
      </c>
    </row>
    <row r="242" spans="1:8" x14ac:dyDescent="0.3">
      <c r="A242" s="1">
        <v>46252</v>
      </c>
      <c r="C242" s="9">
        <f>_xlfn.XLOOKUP(Log!A242, 'Daily Summary'!A:A, 'Daily Summary'!D:D, "Not found!")</f>
        <v>0.42708333333333331</v>
      </c>
      <c r="D242" s="9">
        <v>0.4462962962962963</v>
      </c>
      <c r="E242" s="6">
        <f t="shared" si="6"/>
        <v>27.6666666666667</v>
      </c>
      <c r="F242" s="7">
        <v>54</v>
      </c>
      <c r="G242" s="2">
        <v>58</v>
      </c>
      <c r="H242" s="2">
        <f t="shared" si="7"/>
        <v>4</v>
      </c>
    </row>
    <row r="243" spans="1:8" x14ac:dyDescent="0.3">
      <c r="A243" s="1">
        <v>46252</v>
      </c>
      <c r="C243" s="9">
        <f>_xlfn.XLOOKUP(Log!A243, 'Daily Summary'!A:A, 'Daily Summary'!D:D, "Not found!")</f>
        <v>0.42708333333333331</v>
      </c>
      <c r="D243" s="9">
        <v>0.44769675925925928</v>
      </c>
      <c r="E243" s="6">
        <f t="shared" si="6"/>
        <v>29.68333333333339</v>
      </c>
      <c r="F243" s="7">
        <v>55</v>
      </c>
      <c r="G243" s="2">
        <v>58</v>
      </c>
      <c r="H243" s="2">
        <f t="shared" si="7"/>
        <v>3</v>
      </c>
    </row>
    <row r="244" spans="1:8" x14ac:dyDescent="0.3">
      <c r="A244" s="1">
        <v>46253</v>
      </c>
      <c r="C244" s="9">
        <f>_xlfn.XLOOKUP(Log!A244, 'Daily Summary'!A:A, 'Daily Summary'!D:D, "Not found!")</f>
        <v>0.45902777777777776</v>
      </c>
      <c r="D244" s="9">
        <v>0.46180555555555558</v>
      </c>
      <c r="E244" s="6">
        <f t="shared" si="6"/>
        <v>4.0000000000000657</v>
      </c>
      <c r="F244" s="7">
        <v>38</v>
      </c>
      <c r="G244" s="2">
        <v>39</v>
      </c>
      <c r="H244" s="2">
        <f t="shared" si="7"/>
        <v>1</v>
      </c>
    </row>
    <row r="245" spans="1:8" x14ac:dyDescent="0.3">
      <c r="A245" s="1">
        <v>46253</v>
      </c>
      <c r="C245" s="9">
        <f>_xlfn.XLOOKUP(Log!A245, 'Daily Summary'!A:A, 'Daily Summary'!D:D, "Not found!")</f>
        <v>0.45902777777777776</v>
      </c>
      <c r="D245" s="9">
        <v>0.46325231481481483</v>
      </c>
      <c r="E245" s="6">
        <f t="shared" si="6"/>
        <v>6.0833333333333783</v>
      </c>
      <c r="F245" s="7">
        <v>38</v>
      </c>
      <c r="G245" s="2">
        <v>41</v>
      </c>
      <c r="H245" s="2">
        <f t="shared" si="7"/>
        <v>3</v>
      </c>
    </row>
    <row r="246" spans="1:8" x14ac:dyDescent="0.3">
      <c r="A246" s="1">
        <v>46253</v>
      </c>
      <c r="C246" s="9">
        <f>_xlfn.XLOOKUP(Log!A246, 'Daily Summary'!A:A, 'Daily Summary'!D:D, "Not found!")</f>
        <v>0.45902777777777776</v>
      </c>
      <c r="D246" s="9">
        <v>0.4646527777777778</v>
      </c>
      <c r="E246" s="6">
        <f t="shared" si="6"/>
        <v>8.1000000000000671</v>
      </c>
      <c r="F246" s="7">
        <v>41</v>
      </c>
      <c r="G246" s="2">
        <v>42</v>
      </c>
      <c r="H246" s="2">
        <f t="shared" si="7"/>
        <v>1</v>
      </c>
    </row>
    <row r="247" spans="1:8" x14ac:dyDescent="0.3">
      <c r="A247" s="1">
        <v>46253</v>
      </c>
      <c r="C247" s="9">
        <f>_xlfn.XLOOKUP(Log!A247, 'Daily Summary'!A:A, 'Daily Summary'!D:D, "Not found!")</f>
        <v>0.45902777777777776</v>
      </c>
      <c r="D247" s="9">
        <v>0.46604166666666669</v>
      </c>
      <c r="E247" s="6">
        <f t="shared" si="6"/>
        <v>10.10000000000006</v>
      </c>
      <c r="F247" s="7">
        <v>42</v>
      </c>
      <c r="G247" s="2">
        <v>45</v>
      </c>
      <c r="H247" s="2">
        <f t="shared" si="7"/>
        <v>3</v>
      </c>
    </row>
    <row r="248" spans="1:8" x14ac:dyDescent="0.3">
      <c r="A248" s="1">
        <v>46253</v>
      </c>
      <c r="C248" s="9">
        <f>_xlfn.XLOOKUP(Log!A248, 'Daily Summary'!A:A, 'Daily Summary'!D:D, "Not found!")</f>
        <v>0.45902777777777776</v>
      </c>
      <c r="D248" s="9">
        <v>0.46743055555555557</v>
      </c>
      <c r="E248" s="6">
        <f t="shared" si="6"/>
        <v>12.100000000000053</v>
      </c>
      <c r="F248" s="7">
        <v>44</v>
      </c>
      <c r="G248" s="2">
        <v>47</v>
      </c>
      <c r="H248" s="2">
        <f t="shared" si="7"/>
        <v>3</v>
      </c>
    </row>
    <row r="249" spans="1:8" x14ac:dyDescent="0.3">
      <c r="A249" s="1">
        <v>46253</v>
      </c>
      <c r="C249" s="9">
        <f>_xlfn.XLOOKUP(Log!A249, 'Daily Summary'!A:A, 'Daily Summary'!D:D, "Not found!")</f>
        <v>0.45902777777777776</v>
      </c>
      <c r="D249" s="9">
        <v>0.46881944444444446</v>
      </c>
      <c r="E249" s="6">
        <f t="shared" si="6"/>
        <v>14.100000000000046</v>
      </c>
      <c r="F249" s="7">
        <v>47</v>
      </c>
      <c r="G249" s="2">
        <v>49</v>
      </c>
      <c r="H249" s="2">
        <f t="shared" si="7"/>
        <v>2</v>
      </c>
    </row>
    <row r="250" spans="1:8" x14ac:dyDescent="0.3">
      <c r="A250" s="1">
        <v>46253</v>
      </c>
      <c r="C250" s="9">
        <f>_xlfn.XLOOKUP(Log!A250, 'Daily Summary'!A:A, 'Daily Summary'!D:D, "Not found!")</f>
        <v>0.45902777777777776</v>
      </c>
      <c r="D250" s="9">
        <v>0.47021990740740743</v>
      </c>
      <c r="E250" s="6">
        <f t="shared" si="6"/>
        <v>16.116666666666735</v>
      </c>
      <c r="F250" s="7">
        <v>48</v>
      </c>
      <c r="G250" s="2">
        <v>51</v>
      </c>
      <c r="H250" s="2">
        <f t="shared" si="7"/>
        <v>3</v>
      </c>
    </row>
    <row r="251" spans="1:8" x14ac:dyDescent="0.3">
      <c r="A251" s="1">
        <v>46253</v>
      </c>
      <c r="C251" s="9">
        <f>_xlfn.XLOOKUP(Log!A251, 'Daily Summary'!A:A, 'Daily Summary'!D:D, "Not found!")</f>
        <v>0.45902777777777776</v>
      </c>
      <c r="D251" s="9">
        <v>0.47160879629629632</v>
      </c>
      <c r="E251" s="6">
        <f t="shared" si="6"/>
        <v>18.116666666666728</v>
      </c>
      <c r="F251" s="7">
        <v>49</v>
      </c>
      <c r="G251" s="2">
        <v>52</v>
      </c>
      <c r="H251" s="2">
        <f t="shared" si="7"/>
        <v>3</v>
      </c>
    </row>
    <row r="252" spans="1:8" x14ac:dyDescent="0.3">
      <c r="A252" s="1">
        <v>46253</v>
      </c>
      <c r="C252" s="9">
        <f>_xlfn.XLOOKUP(Log!A252, 'Daily Summary'!A:A, 'Daily Summary'!D:D, "Not found!")</f>
        <v>0.45902777777777776</v>
      </c>
      <c r="D252" s="9">
        <v>0.4729976851851852</v>
      </c>
      <c r="E252" s="6">
        <f t="shared" si="6"/>
        <v>20.11666666666672</v>
      </c>
      <c r="F252" s="7">
        <v>51</v>
      </c>
      <c r="G252" s="2">
        <v>52</v>
      </c>
      <c r="H252" s="2">
        <f t="shared" si="7"/>
        <v>1</v>
      </c>
    </row>
    <row r="253" spans="1:8" x14ac:dyDescent="0.3">
      <c r="A253" s="1">
        <v>46253</v>
      </c>
      <c r="C253" s="9">
        <f>_xlfn.XLOOKUP(Log!A253, 'Daily Summary'!A:A, 'Daily Summary'!D:D, "Not found!")</f>
        <v>0.45902777777777776</v>
      </c>
      <c r="D253" s="9">
        <v>0.47439814814814812</v>
      </c>
      <c r="E253" s="6">
        <f t="shared" si="6"/>
        <v>22.133333333333329</v>
      </c>
      <c r="F253" s="7">
        <v>51</v>
      </c>
      <c r="G253" s="2">
        <v>54</v>
      </c>
      <c r="H253" s="2">
        <f t="shared" si="7"/>
        <v>3</v>
      </c>
    </row>
    <row r="254" spans="1:8" x14ac:dyDescent="0.3">
      <c r="A254" s="1">
        <v>46253</v>
      </c>
      <c r="C254" s="9">
        <f>_xlfn.XLOOKUP(Log!A254, 'Daily Summary'!A:A, 'Daily Summary'!D:D, "Not found!")</f>
        <v>0.45902777777777776</v>
      </c>
      <c r="D254" s="9">
        <v>0.47578703703703706</v>
      </c>
      <c r="E254" s="6">
        <f t="shared" si="6"/>
        <v>24.133333333333404</v>
      </c>
      <c r="F254" s="7">
        <v>52</v>
      </c>
      <c r="G254" s="2">
        <v>55</v>
      </c>
      <c r="H254" s="2">
        <f t="shared" si="7"/>
        <v>3</v>
      </c>
    </row>
    <row r="255" spans="1:8" x14ac:dyDescent="0.3">
      <c r="A255" s="1">
        <v>46253</v>
      </c>
      <c r="C255" s="9">
        <f>_xlfn.XLOOKUP(Log!A255, 'Daily Summary'!A:A, 'Daily Summary'!D:D, "Not found!")</f>
        <v>0.45902777777777776</v>
      </c>
      <c r="D255" s="9">
        <v>0.47717592592592595</v>
      </c>
      <c r="E255" s="6">
        <f t="shared" si="6"/>
        <v>26.133333333333397</v>
      </c>
      <c r="F255" s="7">
        <v>54</v>
      </c>
      <c r="G255" s="2">
        <v>55</v>
      </c>
      <c r="H255" s="2">
        <f t="shared" si="7"/>
        <v>1</v>
      </c>
    </row>
    <row r="256" spans="1:8" x14ac:dyDescent="0.3">
      <c r="A256" s="1">
        <v>46253</v>
      </c>
      <c r="C256" s="9">
        <f>_xlfn.XLOOKUP(Log!A256, 'Daily Summary'!A:A, 'Daily Summary'!D:D, "Not found!")</f>
        <v>0.45902777777777776</v>
      </c>
      <c r="D256" s="9">
        <v>0.47857638888888887</v>
      </c>
      <c r="E256" s="6">
        <f t="shared" si="6"/>
        <v>28.150000000000006</v>
      </c>
      <c r="F256" s="7">
        <v>54</v>
      </c>
      <c r="G256" s="2">
        <v>57</v>
      </c>
      <c r="H256" s="2">
        <f t="shared" si="7"/>
        <v>3</v>
      </c>
    </row>
    <row r="257" spans="1:10" x14ac:dyDescent="0.3">
      <c r="A257" s="1">
        <v>46253</v>
      </c>
      <c r="C257" s="9">
        <f>_xlfn.XLOOKUP(Log!A257, 'Daily Summary'!A:A, 'Daily Summary'!D:D, "Not found!")</f>
        <v>0.45902777777777776</v>
      </c>
      <c r="D257" s="9">
        <v>0.47997685185185185</v>
      </c>
      <c r="E257" s="6">
        <f t="shared" si="6"/>
        <v>30.166666666666693</v>
      </c>
      <c r="F257" s="7">
        <v>55</v>
      </c>
      <c r="G257" s="2">
        <v>58</v>
      </c>
      <c r="H257" s="2">
        <f t="shared" si="7"/>
        <v>3</v>
      </c>
    </row>
    <row r="258" spans="1:10" x14ac:dyDescent="0.3">
      <c r="A258" s="1">
        <v>46253</v>
      </c>
      <c r="C258" s="9">
        <f>_xlfn.XLOOKUP(Log!A258, 'Daily Summary'!A:A, 'Daily Summary'!D:D, "Not found!")</f>
        <v>0.45902777777777776</v>
      </c>
      <c r="D258" s="9">
        <v>0.48136574074074073</v>
      </c>
      <c r="E258" s="6">
        <f t="shared" si="6"/>
        <v>32.166666666666686</v>
      </c>
      <c r="F258" s="7">
        <v>55</v>
      </c>
      <c r="G258" s="2">
        <v>58</v>
      </c>
      <c r="H258" s="2">
        <f t="shared" si="7"/>
        <v>3</v>
      </c>
    </row>
    <row r="259" spans="1:10" x14ac:dyDescent="0.3">
      <c r="A259" s="1">
        <v>46253</v>
      </c>
      <c r="C259" s="9">
        <f>_xlfn.XLOOKUP(Log!A259, 'Daily Summary'!A:A, 'Daily Summary'!D:D, "Not found!")</f>
        <v>0.45902777777777776</v>
      </c>
      <c r="D259" s="9">
        <v>0.48276620370370371</v>
      </c>
      <c r="E259" s="6">
        <f t="shared" si="6"/>
        <v>34.183333333333373</v>
      </c>
      <c r="F259" s="7">
        <v>55</v>
      </c>
      <c r="G259" s="2">
        <v>58</v>
      </c>
      <c r="H259" s="2">
        <f t="shared" si="7"/>
        <v>3</v>
      </c>
    </row>
    <row r="260" spans="1:10" x14ac:dyDescent="0.3">
      <c r="A260" s="1">
        <v>46254</v>
      </c>
      <c r="C260" s="9">
        <f>_xlfn.XLOOKUP(Log!A260, 'Daily Summary'!A:A, 'Daily Summary'!D:D, "Not found!")</f>
        <v>0.54236111111111107</v>
      </c>
      <c r="D260" s="9">
        <v>0.54374999999999996</v>
      </c>
      <c r="E260" s="6">
        <f t="shared" si="6"/>
        <v>1.9999999999999929</v>
      </c>
      <c r="F260" s="7">
        <v>28</v>
      </c>
      <c r="G260" s="2">
        <v>31</v>
      </c>
      <c r="H260" s="2">
        <f t="shared" si="7"/>
        <v>3</v>
      </c>
    </row>
    <row r="261" spans="1:10" x14ac:dyDescent="0.3">
      <c r="A261" s="1">
        <v>46254</v>
      </c>
      <c r="C261" s="9">
        <f>_xlfn.XLOOKUP(Log!A261, 'Daily Summary'!A:A, 'Daily Summary'!D:D, "Not found!")</f>
        <v>0.54236111111111107</v>
      </c>
      <c r="D261" s="9">
        <v>0.54432870370370368</v>
      </c>
      <c r="E261" s="6">
        <f t="shared" si="6"/>
        <v>2.8333333333333499</v>
      </c>
      <c r="F261" s="7">
        <v>32</v>
      </c>
      <c r="G261" s="2">
        <v>33</v>
      </c>
      <c r="H261" s="2">
        <f t="shared" si="7"/>
        <v>1</v>
      </c>
      <c r="J261" s="17"/>
    </row>
    <row r="262" spans="1:10" x14ac:dyDescent="0.3">
      <c r="A262" s="1">
        <v>46254</v>
      </c>
      <c r="C262" s="9">
        <f>_xlfn.XLOOKUP(Log!A262, 'Daily Summary'!A:A, 'Daily Summary'!D:D, "Not found!")</f>
        <v>0.54236111111111107</v>
      </c>
      <c r="D262" s="9">
        <v>0.54571759259259256</v>
      </c>
      <c r="E262" s="6">
        <f t="shared" si="6"/>
        <v>4.8333333333333428</v>
      </c>
      <c r="F262" s="7">
        <v>36</v>
      </c>
      <c r="G262" s="2">
        <v>39</v>
      </c>
      <c r="H262" s="2">
        <f t="shared" si="7"/>
        <v>3</v>
      </c>
    </row>
    <row r="263" spans="1:10" x14ac:dyDescent="0.3">
      <c r="A263" s="1">
        <v>46254</v>
      </c>
      <c r="C263" s="9">
        <f>_xlfn.XLOOKUP(Log!A263, 'Daily Summary'!A:A, 'Daily Summary'!D:D, "Not found!")</f>
        <v>0.54236111111111107</v>
      </c>
      <c r="D263" s="9">
        <v>0.54710648148148144</v>
      </c>
      <c r="E263" s="6">
        <f t="shared" si="6"/>
        <v>6.8333333333333357</v>
      </c>
      <c r="F263" s="7">
        <v>39</v>
      </c>
      <c r="G263" s="2">
        <v>42</v>
      </c>
      <c r="H263" s="2">
        <f t="shared" si="7"/>
        <v>3</v>
      </c>
    </row>
    <row r="264" spans="1:10" x14ac:dyDescent="0.3">
      <c r="A264" s="1">
        <v>46254</v>
      </c>
      <c r="C264" s="9">
        <f>_xlfn.XLOOKUP(Log!A264, 'Daily Summary'!A:A, 'Daily Summary'!D:D, "Not found!")</f>
        <v>0.54236111111111107</v>
      </c>
      <c r="D264" s="9">
        <v>0.54849537037037033</v>
      </c>
      <c r="E264" s="6">
        <f t="shared" si="6"/>
        <v>8.8333333333333286</v>
      </c>
      <c r="F264" s="7">
        <v>41</v>
      </c>
      <c r="G264" s="2">
        <v>44</v>
      </c>
      <c r="H264" s="2">
        <f t="shared" si="7"/>
        <v>3</v>
      </c>
    </row>
    <row r="265" spans="1:10" x14ac:dyDescent="0.3">
      <c r="A265" s="1">
        <v>46254</v>
      </c>
      <c r="C265" s="9">
        <f>_xlfn.XLOOKUP(Log!A265, 'Daily Summary'!A:A, 'Daily Summary'!D:D, "Not found!")</f>
        <v>0.54236111111111107</v>
      </c>
      <c r="D265" s="9">
        <v>0.54989583333333336</v>
      </c>
      <c r="E265" s="6">
        <f t="shared" si="6"/>
        <v>10.850000000000097</v>
      </c>
      <c r="F265" s="7">
        <v>44</v>
      </c>
      <c r="G265" s="2">
        <v>45</v>
      </c>
      <c r="H265" s="2">
        <f t="shared" si="7"/>
        <v>1</v>
      </c>
    </row>
    <row r="266" spans="1:10" x14ac:dyDescent="0.3">
      <c r="A266" s="1">
        <v>46254</v>
      </c>
      <c r="C266" s="9">
        <f>_xlfn.XLOOKUP(Log!A266, 'Daily Summary'!A:A, 'Daily Summary'!D:D, "Not found!")</f>
        <v>0.54236111111111107</v>
      </c>
      <c r="D266" s="9">
        <v>0.55128472222222225</v>
      </c>
      <c r="E266" s="6">
        <f t="shared" si="6"/>
        <v>12.85000000000009</v>
      </c>
      <c r="F266" s="7">
        <v>45</v>
      </c>
      <c r="G266" s="2">
        <v>48</v>
      </c>
      <c r="H266" s="2">
        <f t="shared" si="7"/>
        <v>3</v>
      </c>
    </row>
    <row r="267" spans="1:10" x14ac:dyDescent="0.3">
      <c r="A267" s="1">
        <v>46254</v>
      </c>
      <c r="C267" s="9">
        <f>_xlfn.XLOOKUP(Log!A267, 'Daily Summary'!A:A, 'Daily Summary'!D:D, "Not found!")</f>
        <v>0.54236111111111107</v>
      </c>
      <c r="D267" s="9">
        <v>0.55268518518518517</v>
      </c>
      <c r="E267" s="6">
        <f t="shared" si="6"/>
        <v>14.866666666666699</v>
      </c>
      <c r="F267" s="7">
        <v>47</v>
      </c>
      <c r="G267" s="2">
        <v>49</v>
      </c>
      <c r="H267" s="2">
        <f t="shared" si="7"/>
        <v>2</v>
      </c>
    </row>
    <row r="268" spans="1:10" x14ac:dyDescent="0.3">
      <c r="A268" s="1">
        <v>46254</v>
      </c>
      <c r="C268" s="9">
        <f>_xlfn.XLOOKUP(Log!A268, 'Daily Summary'!A:A, 'Daily Summary'!D:D, "Not found!")</f>
        <v>0.54236111111111107</v>
      </c>
      <c r="D268" s="9">
        <v>0.55407407407407405</v>
      </c>
      <c r="E268" s="6">
        <f t="shared" si="6"/>
        <v>16.866666666666692</v>
      </c>
      <c r="F268" s="7">
        <v>48</v>
      </c>
      <c r="G268" s="2">
        <v>51</v>
      </c>
      <c r="H268" s="2">
        <f t="shared" si="7"/>
        <v>3</v>
      </c>
    </row>
    <row r="269" spans="1:10" x14ac:dyDescent="0.3">
      <c r="A269" s="1">
        <v>46254</v>
      </c>
      <c r="C269" s="9">
        <f>_xlfn.XLOOKUP(Log!A269, 'Daily Summary'!A:A, 'Daily Summary'!D:D, "Not found!")</f>
        <v>0.54236111111111107</v>
      </c>
      <c r="D269" s="9">
        <v>0.55547453703703709</v>
      </c>
      <c r="E269" s="6">
        <f t="shared" si="6"/>
        <v>18.883333333333461</v>
      </c>
      <c r="F269" s="7">
        <v>49</v>
      </c>
      <c r="G269" s="2">
        <v>52</v>
      </c>
      <c r="H269" s="2">
        <f t="shared" si="7"/>
        <v>3</v>
      </c>
    </row>
    <row r="270" spans="1:10" x14ac:dyDescent="0.3">
      <c r="A270" s="1">
        <v>46254</v>
      </c>
      <c r="C270" s="9">
        <f>_xlfn.XLOOKUP(Log!A270, 'Daily Summary'!A:A, 'Daily Summary'!D:D, "Not found!")</f>
        <v>0.54236111111111107</v>
      </c>
      <c r="D270" s="9">
        <v>0.55686342592592597</v>
      </c>
      <c r="E270" s="6">
        <f t="shared" si="6"/>
        <v>20.883333333333454</v>
      </c>
      <c r="F270" s="7">
        <v>51</v>
      </c>
      <c r="G270" s="2">
        <v>54</v>
      </c>
      <c r="H270" s="2">
        <f t="shared" si="7"/>
        <v>3</v>
      </c>
    </row>
    <row r="271" spans="1:10" x14ac:dyDescent="0.3">
      <c r="A271" s="1">
        <v>46254</v>
      </c>
      <c r="C271" s="9">
        <f>_xlfn.XLOOKUP(Log!A271, 'Daily Summary'!A:A, 'Daily Summary'!D:D, "Not found!")</f>
        <v>0.54236111111111107</v>
      </c>
      <c r="D271" s="9">
        <v>0.55825231481481485</v>
      </c>
      <c r="E271" s="6">
        <f t="shared" si="6"/>
        <v>22.883333333333447</v>
      </c>
      <c r="F271" s="7">
        <v>51</v>
      </c>
      <c r="G271" s="2">
        <v>55</v>
      </c>
      <c r="H271" s="2">
        <f t="shared" si="7"/>
        <v>4</v>
      </c>
    </row>
    <row r="272" spans="1:10" x14ac:dyDescent="0.3">
      <c r="A272" s="1">
        <v>46254</v>
      </c>
      <c r="C272" s="9">
        <f>_xlfn.XLOOKUP(Log!A272, 'Daily Summary'!A:A, 'Daily Summary'!D:D, "Not found!")</f>
        <v>0.54236111111111107</v>
      </c>
      <c r="D272" s="9">
        <v>0.55965277777777778</v>
      </c>
      <c r="E272" s="6">
        <f t="shared" si="6"/>
        <v>24.900000000000055</v>
      </c>
      <c r="F272" s="7">
        <v>52</v>
      </c>
      <c r="G272" s="2">
        <v>55</v>
      </c>
      <c r="H272" s="2">
        <f t="shared" si="7"/>
        <v>3</v>
      </c>
    </row>
    <row r="273" spans="1:8" x14ac:dyDescent="0.3">
      <c r="A273" s="1">
        <v>46254</v>
      </c>
      <c r="C273" s="9">
        <f>_xlfn.XLOOKUP(Log!A273, 'Daily Summary'!A:A, 'Daily Summary'!D:D, "Not found!")</f>
        <v>0.54236111111111107</v>
      </c>
      <c r="D273" s="9">
        <v>0.56104166666666666</v>
      </c>
      <c r="E273" s="6">
        <f t="shared" si="6"/>
        <v>26.900000000000048</v>
      </c>
      <c r="F273" s="7">
        <v>54</v>
      </c>
      <c r="G273" s="2">
        <v>55</v>
      </c>
      <c r="H273" s="2">
        <f t="shared" si="7"/>
        <v>1</v>
      </c>
    </row>
    <row r="274" spans="1:8" x14ac:dyDescent="0.3">
      <c r="A274" s="1">
        <v>46254</v>
      </c>
      <c r="C274" s="9">
        <f>_xlfn.XLOOKUP(Log!A274, 'Daily Summary'!A:A, 'Daily Summary'!D:D, "Not found!")</f>
        <v>0.54236111111111107</v>
      </c>
      <c r="D274" s="9">
        <v>0.56243055555555554</v>
      </c>
      <c r="E274" s="6">
        <f t="shared" ref="E274:E337" si="8">IF(AND($D274&lt;&gt;"", $C274&lt;&gt;""), ($D274-$C274)*1440, "")</f>
        <v>28.900000000000041</v>
      </c>
      <c r="F274" s="7">
        <v>54</v>
      </c>
      <c r="G274" s="2">
        <v>57</v>
      </c>
      <c r="H274" s="2">
        <f t="shared" si="7"/>
        <v>3</v>
      </c>
    </row>
    <row r="275" spans="1:8" x14ac:dyDescent="0.3">
      <c r="A275" s="1">
        <v>46254</v>
      </c>
      <c r="C275" s="9">
        <f>_xlfn.XLOOKUP(Log!A275, 'Daily Summary'!A:A, 'Daily Summary'!D:D, "Not found!")</f>
        <v>0.54236111111111107</v>
      </c>
      <c r="D275" s="9">
        <v>0.56381944444444443</v>
      </c>
      <c r="E275" s="6">
        <f t="shared" si="8"/>
        <v>30.900000000000034</v>
      </c>
      <c r="F275" s="7">
        <v>54</v>
      </c>
      <c r="G275" s="2">
        <v>58</v>
      </c>
      <c r="H275" s="2">
        <f t="shared" ref="H275:H303" si="9">IF(AND(G275&lt;&gt;"",F275&lt;&gt;""),G275-F275,"")</f>
        <v>4</v>
      </c>
    </row>
    <row r="276" spans="1:8" x14ac:dyDescent="0.3">
      <c r="A276" s="1">
        <v>46255</v>
      </c>
      <c r="C276" s="9">
        <f>_xlfn.XLOOKUP(Log!A276, 'Daily Summary'!A:A, 'Daily Summary'!D:D, "Not found!")</f>
        <v>0.59305555555555556</v>
      </c>
      <c r="D276" s="9">
        <v>0.59375</v>
      </c>
      <c r="E276" s="6">
        <f t="shared" si="8"/>
        <v>0.99999999999999645</v>
      </c>
      <c r="F276" s="7">
        <v>29</v>
      </c>
      <c r="G276" s="2">
        <v>31</v>
      </c>
      <c r="H276" s="2">
        <f t="shared" si="9"/>
        <v>2</v>
      </c>
    </row>
    <row r="277" spans="1:8" x14ac:dyDescent="0.3">
      <c r="A277" s="1">
        <v>46255</v>
      </c>
      <c r="C277" s="9">
        <f>_xlfn.XLOOKUP(Log!A277, 'Daily Summary'!A:A, 'Daily Summary'!D:D, "Not found!")</f>
        <v>0.59305555555555556</v>
      </c>
      <c r="D277" s="9">
        <v>0.60334490740740743</v>
      </c>
      <c r="E277" s="6">
        <f t="shared" si="8"/>
        <v>14.816666666666691</v>
      </c>
      <c r="F277" s="7">
        <v>48</v>
      </c>
      <c r="G277" s="2">
        <v>49</v>
      </c>
      <c r="H277" s="2">
        <f t="shared" si="9"/>
        <v>1</v>
      </c>
    </row>
    <row r="278" spans="1:8" x14ac:dyDescent="0.3">
      <c r="A278" s="1">
        <v>46255</v>
      </c>
      <c r="C278" s="9">
        <f>_xlfn.XLOOKUP(Log!A278, 'Daily Summary'!A:A, 'Daily Summary'!D:D, "Not found!")</f>
        <v>0.59305555555555556</v>
      </c>
      <c r="D278" s="9">
        <v>0.60473379629629631</v>
      </c>
      <c r="E278" s="6">
        <f t="shared" si="8"/>
        <v>16.816666666666684</v>
      </c>
      <c r="F278" s="7">
        <v>49</v>
      </c>
      <c r="G278" s="2">
        <v>52</v>
      </c>
      <c r="H278" s="2">
        <f t="shared" si="9"/>
        <v>3</v>
      </c>
    </row>
    <row r="279" spans="1:8" x14ac:dyDescent="0.3">
      <c r="A279" s="1">
        <v>46255</v>
      </c>
      <c r="C279" s="9">
        <f>_xlfn.XLOOKUP(Log!A279, 'Daily Summary'!A:A, 'Daily Summary'!D:D, "Not found!")</f>
        <v>0.59305555555555556</v>
      </c>
      <c r="D279" s="9">
        <v>0.60612268518518519</v>
      </c>
      <c r="E279" s="6">
        <f t="shared" si="8"/>
        <v>18.816666666666677</v>
      </c>
      <c r="F279" s="7">
        <v>51</v>
      </c>
      <c r="G279" s="2">
        <v>52</v>
      </c>
      <c r="H279" s="2">
        <f t="shared" si="9"/>
        <v>1</v>
      </c>
    </row>
    <row r="280" spans="1:8" x14ac:dyDescent="0.3">
      <c r="A280" s="1">
        <v>46255</v>
      </c>
      <c r="C280" s="9">
        <f>_xlfn.XLOOKUP(Log!A280, 'Daily Summary'!A:A, 'Daily Summary'!D:D, "Not found!")</f>
        <v>0.59305555555555556</v>
      </c>
      <c r="D280" s="9">
        <v>0.60752314814814812</v>
      </c>
      <c r="E280" s="6">
        <f t="shared" si="8"/>
        <v>20.833333333333286</v>
      </c>
      <c r="F280" s="7">
        <v>51</v>
      </c>
      <c r="G280" s="2">
        <v>52</v>
      </c>
      <c r="H280" s="2">
        <f t="shared" si="9"/>
        <v>1</v>
      </c>
    </row>
    <row r="281" spans="1:8" x14ac:dyDescent="0.3">
      <c r="A281" s="1">
        <v>46255</v>
      </c>
      <c r="C281" s="9">
        <f>_xlfn.XLOOKUP(Log!A281, 'Daily Summary'!A:A, 'Daily Summary'!D:D, "Not found!")</f>
        <v>0.59305555555555556</v>
      </c>
      <c r="D281" s="9">
        <v>0.60892361111111115</v>
      </c>
      <c r="E281" s="6">
        <f t="shared" si="8"/>
        <v>22.850000000000055</v>
      </c>
      <c r="F281" s="7">
        <v>52</v>
      </c>
      <c r="G281" s="2">
        <v>55</v>
      </c>
      <c r="H281" s="2">
        <f t="shared" si="9"/>
        <v>3</v>
      </c>
    </row>
    <row r="282" spans="1:8" x14ac:dyDescent="0.3">
      <c r="A282" s="1">
        <v>46255</v>
      </c>
      <c r="C282" s="9">
        <f>_xlfn.XLOOKUP(Log!A282, 'Daily Summary'!A:A, 'Daily Summary'!D:D, "Not found!")</f>
        <v>0.59305555555555556</v>
      </c>
      <c r="D282" s="9">
        <v>0.61031250000000004</v>
      </c>
      <c r="E282" s="6">
        <f t="shared" si="8"/>
        <v>24.850000000000048</v>
      </c>
      <c r="F282" s="7">
        <v>54</v>
      </c>
      <c r="G282" s="2">
        <v>55</v>
      </c>
      <c r="H282" s="2">
        <f t="shared" si="9"/>
        <v>1</v>
      </c>
    </row>
    <row r="283" spans="1:8" x14ac:dyDescent="0.3">
      <c r="A283" s="1">
        <v>46255</v>
      </c>
      <c r="C283" s="9">
        <f>_xlfn.XLOOKUP(Log!A283, 'Daily Summary'!A:A, 'Daily Summary'!D:D, "Not found!")</f>
        <v>0.59305555555555556</v>
      </c>
      <c r="D283" s="9">
        <v>0.61171296296296296</v>
      </c>
      <c r="E283" s="6">
        <f t="shared" si="8"/>
        <v>26.866666666666656</v>
      </c>
      <c r="F283" s="7">
        <v>54</v>
      </c>
      <c r="G283" s="2">
        <v>55</v>
      </c>
      <c r="H283" s="2">
        <f t="shared" si="9"/>
        <v>1</v>
      </c>
    </row>
    <row r="284" spans="1:8" x14ac:dyDescent="0.3">
      <c r="A284" s="1">
        <v>46255</v>
      </c>
      <c r="C284" s="9">
        <f>_xlfn.XLOOKUP(Log!A284, 'Daily Summary'!A:A, 'Daily Summary'!D:D, "Not found!")</f>
        <v>0.59305555555555556</v>
      </c>
      <c r="D284" s="9">
        <v>0.61311342592592588</v>
      </c>
      <c r="E284" s="6">
        <f t="shared" si="8"/>
        <v>28.883333333333265</v>
      </c>
      <c r="F284" s="7">
        <v>54</v>
      </c>
      <c r="G284" s="2">
        <v>55</v>
      </c>
      <c r="H284" s="2">
        <f t="shared" si="9"/>
        <v>1</v>
      </c>
    </row>
    <row r="285" spans="1:8" x14ac:dyDescent="0.3">
      <c r="A285" s="1">
        <v>46255</v>
      </c>
      <c r="C285" s="9">
        <f>_xlfn.XLOOKUP(Log!A285, 'Daily Summary'!A:A, 'Daily Summary'!D:D, "Not found!")</f>
        <v>0.59305555555555556</v>
      </c>
      <c r="D285" s="9">
        <v>0.61450231481481477</v>
      </c>
      <c r="E285" s="6">
        <f t="shared" si="8"/>
        <v>30.883333333333258</v>
      </c>
      <c r="F285" s="7">
        <v>54</v>
      </c>
      <c r="G285" s="2">
        <v>58</v>
      </c>
      <c r="H285" s="2">
        <f t="shared" si="9"/>
        <v>4</v>
      </c>
    </row>
    <row r="286" spans="1:8" x14ac:dyDescent="0.3">
      <c r="A286" s="1">
        <v>46255</v>
      </c>
      <c r="C286" s="9">
        <f>_xlfn.XLOOKUP(Log!A286, 'Daily Summary'!A:A, 'Daily Summary'!D:D, "Not found!")</f>
        <v>0.59305555555555556</v>
      </c>
      <c r="D286" s="9">
        <v>0.6159027777777778</v>
      </c>
      <c r="E286" s="6">
        <f t="shared" si="8"/>
        <v>32.900000000000027</v>
      </c>
      <c r="F286" s="7">
        <v>55</v>
      </c>
      <c r="G286" s="2">
        <v>58</v>
      </c>
      <c r="H286" s="2">
        <f t="shared" si="9"/>
        <v>3</v>
      </c>
    </row>
    <row r="287" spans="1:8" x14ac:dyDescent="0.3">
      <c r="A287" s="1">
        <v>46255</v>
      </c>
      <c r="C287" s="9">
        <f>_xlfn.XLOOKUP(Log!A287, 'Daily Summary'!A:A, 'Daily Summary'!D:D, "Not found!")</f>
        <v>0.59305555555555556</v>
      </c>
      <c r="D287" s="9">
        <v>0.61730324074074072</v>
      </c>
      <c r="E287" s="6">
        <f t="shared" si="8"/>
        <v>34.916666666666636</v>
      </c>
      <c r="F287" s="7">
        <v>57</v>
      </c>
      <c r="G287" s="2">
        <v>58</v>
      </c>
      <c r="H287" s="2">
        <f t="shared" si="9"/>
        <v>1</v>
      </c>
    </row>
    <row r="288" spans="1:8" x14ac:dyDescent="0.3">
      <c r="A288" s="1">
        <v>46255</v>
      </c>
      <c r="C288" s="9">
        <f>_xlfn.XLOOKUP(Log!A288, 'Daily Summary'!A:A, 'Daily Summary'!D:D, "Not found!")</f>
        <v>0.59305555555555556</v>
      </c>
      <c r="D288" s="9">
        <v>0.61870370370370376</v>
      </c>
      <c r="E288" s="6">
        <f t="shared" si="8"/>
        <v>36.933333333333408</v>
      </c>
      <c r="F288" s="7">
        <v>57</v>
      </c>
      <c r="G288" s="2">
        <v>58</v>
      </c>
      <c r="H288" s="2">
        <f t="shared" si="9"/>
        <v>1</v>
      </c>
    </row>
    <row r="289" spans="1:8" x14ac:dyDescent="0.3">
      <c r="A289" s="1">
        <v>46255</v>
      </c>
      <c r="C289" s="9">
        <f>_xlfn.XLOOKUP(Log!A289, 'Daily Summary'!A:A, 'Daily Summary'!D:D, "Not found!")</f>
        <v>0.59305555555555556</v>
      </c>
      <c r="D289" s="9">
        <v>0.62009259259259264</v>
      </c>
      <c r="E289" s="6">
        <f t="shared" si="8"/>
        <v>38.933333333333394</v>
      </c>
      <c r="F289" s="7">
        <v>57</v>
      </c>
      <c r="G289" s="2">
        <v>58</v>
      </c>
      <c r="H289" s="2">
        <f t="shared" si="9"/>
        <v>1</v>
      </c>
    </row>
    <row r="290" spans="1:8" x14ac:dyDescent="0.3">
      <c r="A290" s="1">
        <v>46255</v>
      </c>
      <c r="C290" s="9">
        <f>_xlfn.XLOOKUP(Log!A290, 'Daily Summary'!A:A, 'Daily Summary'!D:D, "Not found!")</f>
        <v>0.59305555555555556</v>
      </c>
      <c r="D290" s="9">
        <v>0.62149305555555556</v>
      </c>
      <c r="E290" s="6">
        <f t="shared" si="8"/>
        <v>40.950000000000003</v>
      </c>
      <c r="F290" s="7">
        <v>57</v>
      </c>
      <c r="G290" s="2">
        <v>58</v>
      </c>
      <c r="H290" s="2">
        <f t="shared" si="9"/>
        <v>1</v>
      </c>
    </row>
    <row r="291" spans="1:8" x14ac:dyDescent="0.3">
      <c r="A291" s="1">
        <v>46255</v>
      </c>
      <c r="C291" s="9">
        <f>_xlfn.XLOOKUP(Log!A291, 'Daily Summary'!A:A, 'Daily Summary'!D:D, "Not found!")</f>
        <v>0.59305555555555556</v>
      </c>
      <c r="D291" s="9">
        <v>0.62288194444444445</v>
      </c>
      <c r="E291" s="6">
        <f t="shared" si="8"/>
        <v>42.95</v>
      </c>
      <c r="F291" s="7">
        <v>57</v>
      </c>
      <c r="G291" s="2">
        <v>61</v>
      </c>
      <c r="H291" s="2">
        <f t="shared" si="9"/>
        <v>4</v>
      </c>
    </row>
    <row r="292" spans="1:8" x14ac:dyDescent="0.3">
      <c r="C292" s="9">
        <f>_xlfn.XLOOKUP(Log!A292, 'Daily Summary'!A:A, 'Daily Summary'!D:D, "Not found!")</f>
        <v>0</v>
      </c>
      <c r="E292" s="6" t="str">
        <f t="shared" si="8"/>
        <v/>
      </c>
      <c r="H292" s="2" t="str">
        <f t="shared" si="9"/>
        <v/>
      </c>
    </row>
    <row r="293" spans="1:8" x14ac:dyDescent="0.3">
      <c r="C293" s="9">
        <f>_xlfn.XLOOKUP(Log!A293, 'Daily Summary'!A:A, 'Daily Summary'!D:D, "Not found!")</f>
        <v>0</v>
      </c>
      <c r="E293" s="6" t="str">
        <f t="shared" si="8"/>
        <v/>
      </c>
      <c r="H293" s="2" t="str">
        <f t="shared" si="9"/>
        <v/>
      </c>
    </row>
    <row r="294" spans="1:8" x14ac:dyDescent="0.3">
      <c r="C294" s="9">
        <f>_xlfn.XLOOKUP(Log!A294, 'Daily Summary'!A:A, 'Daily Summary'!D:D, "Not found!")</f>
        <v>0</v>
      </c>
      <c r="E294" s="6" t="str">
        <f t="shared" si="8"/>
        <v/>
      </c>
      <c r="H294" s="2" t="str">
        <f t="shared" si="9"/>
        <v/>
      </c>
    </row>
    <row r="295" spans="1:8" x14ac:dyDescent="0.3">
      <c r="C295" s="9">
        <f>_xlfn.XLOOKUP(Log!A295, 'Daily Summary'!A:A, 'Daily Summary'!D:D, "Not found!")</f>
        <v>0</v>
      </c>
      <c r="E295" s="6" t="str">
        <f t="shared" si="8"/>
        <v/>
      </c>
      <c r="H295" s="2" t="str">
        <f t="shared" si="9"/>
        <v/>
      </c>
    </row>
    <row r="296" spans="1:8" x14ac:dyDescent="0.3">
      <c r="C296" s="9">
        <f>_xlfn.XLOOKUP(Log!A296, 'Daily Summary'!A:A, 'Daily Summary'!D:D, "Not found!")</f>
        <v>0</v>
      </c>
      <c r="E296" s="6" t="str">
        <f t="shared" si="8"/>
        <v/>
      </c>
      <c r="H296" s="2" t="str">
        <f t="shared" si="9"/>
        <v/>
      </c>
    </row>
    <row r="297" spans="1:8" x14ac:dyDescent="0.3">
      <c r="C297" s="9">
        <f>_xlfn.XLOOKUP(Log!A297, 'Daily Summary'!A:A, 'Daily Summary'!D:D, "Not found!")</f>
        <v>0</v>
      </c>
      <c r="E297" s="6" t="str">
        <f t="shared" si="8"/>
        <v/>
      </c>
      <c r="H297" s="2" t="str">
        <f t="shared" si="9"/>
        <v/>
      </c>
    </row>
    <row r="298" spans="1:8" x14ac:dyDescent="0.3">
      <c r="C298" s="9">
        <f>_xlfn.XLOOKUP(Log!A298, 'Daily Summary'!A:A, 'Daily Summary'!D:D, "Not found!")</f>
        <v>0</v>
      </c>
      <c r="E298" s="6" t="str">
        <f t="shared" si="8"/>
        <v/>
      </c>
      <c r="H298" s="2" t="str">
        <f t="shared" si="9"/>
        <v/>
      </c>
    </row>
    <row r="299" spans="1:8" x14ac:dyDescent="0.3">
      <c r="C299" s="9">
        <f>_xlfn.XLOOKUP(Log!A299, 'Daily Summary'!A:A, 'Daily Summary'!D:D, "Not found!")</f>
        <v>0</v>
      </c>
      <c r="E299" s="6" t="str">
        <f t="shared" si="8"/>
        <v/>
      </c>
      <c r="H299" s="2" t="str">
        <f t="shared" si="9"/>
        <v/>
      </c>
    </row>
    <row r="300" spans="1:8" x14ac:dyDescent="0.3">
      <c r="C300" s="9">
        <f>_xlfn.XLOOKUP(Log!A300, 'Daily Summary'!A:A, 'Daily Summary'!D:D, "Not found!")</f>
        <v>0</v>
      </c>
      <c r="E300" s="6" t="str">
        <f t="shared" si="8"/>
        <v/>
      </c>
      <c r="H300" s="2" t="str">
        <f t="shared" si="9"/>
        <v/>
      </c>
    </row>
    <row r="301" spans="1:8" x14ac:dyDescent="0.3">
      <c r="C301" s="9">
        <f>_xlfn.XLOOKUP(Log!A301, 'Daily Summary'!A:A, 'Daily Summary'!D:D, "Not found!")</f>
        <v>0</v>
      </c>
      <c r="E301" s="6" t="str">
        <f t="shared" si="8"/>
        <v/>
      </c>
      <c r="H301" s="2" t="str">
        <f t="shared" si="9"/>
        <v/>
      </c>
    </row>
    <row r="302" spans="1:8" x14ac:dyDescent="0.3">
      <c r="C302" s="9">
        <f>_xlfn.XLOOKUP(Log!A302, 'Daily Summary'!A:A, 'Daily Summary'!D:D, "Not found!")</f>
        <v>0</v>
      </c>
      <c r="E302" s="6" t="str">
        <f t="shared" si="8"/>
        <v/>
      </c>
      <c r="H302" s="2" t="str">
        <f t="shared" si="9"/>
        <v/>
      </c>
    </row>
    <row r="303" spans="1:8" x14ac:dyDescent="0.3">
      <c r="C303" s="9">
        <f>_xlfn.XLOOKUP(Log!A303, 'Daily Summary'!A:A, 'Daily Summary'!D:D, "Not found!")</f>
        <v>0</v>
      </c>
      <c r="E303" s="6" t="str">
        <f t="shared" si="8"/>
        <v/>
      </c>
      <c r="H303" s="2" t="str">
        <f t="shared" si="9"/>
        <v/>
      </c>
    </row>
    <row r="304" spans="1:8" x14ac:dyDescent="0.3">
      <c r="C304" s="9">
        <f>_xlfn.XLOOKUP(Log!A304, 'Daily Summary'!A:A, 'Daily Summary'!D:D, "Not found!")</f>
        <v>0</v>
      </c>
      <c r="E304" s="6" t="str">
        <f t="shared" si="8"/>
        <v/>
      </c>
      <c r="H304" s="2" t="str">
        <f t="shared" ref="H304:H367" si="10">IF(AND(G304&lt;&gt;"",F304&lt;&gt;""),G304-F304,"")</f>
        <v/>
      </c>
    </row>
    <row r="305" spans="3:8" x14ac:dyDescent="0.3">
      <c r="C305" s="9">
        <f>_xlfn.XLOOKUP(Log!A305, 'Daily Summary'!A:A, 'Daily Summary'!D:D, "Not found!")</f>
        <v>0</v>
      </c>
      <c r="E305" s="6" t="str">
        <f t="shared" si="8"/>
        <v/>
      </c>
      <c r="H305" s="2" t="str">
        <f t="shared" si="10"/>
        <v/>
      </c>
    </row>
    <row r="306" spans="3:8" x14ac:dyDescent="0.3">
      <c r="C306" s="9">
        <f>_xlfn.XLOOKUP(Log!A306, 'Daily Summary'!A:A, 'Daily Summary'!D:D, "Not found!")</f>
        <v>0</v>
      </c>
      <c r="E306" s="6" t="str">
        <f t="shared" si="8"/>
        <v/>
      </c>
      <c r="H306" s="2" t="str">
        <f t="shared" si="10"/>
        <v/>
      </c>
    </row>
    <row r="307" spans="3:8" x14ac:dyDescent="0.3">
      <c r="C307" s="9">
        <f>_xlfn.XLOOKUP(Log!A307, 'Daily Summary'!A:A, 'Daily Summary'!D:D, "Not found!")</f>
        <v>0</v>
      </c>
      <c r="E307" s="6" t="str">
        <f t="shared" si="8"/>
        <v/>
      </c>
      <c r="H307" s="2" t="str">
        <f t="shared" si="10"/>
        <v/>
      </c>
    </row>
    <row r="308" spans="3:8" x14ac:dyDescent="0.3">
      <c r="C308" s="9">
        <f>_xlfn.XLOOKUP(Log!A308, 'Daily Summary'!A:A, 'Daily Summary'!D:D, "Not found!")</f>
        <v>0</v>
      </c>
      <c r="E308" s="6" t="str">
        <f t="shared" si="8"/>
        <v/>
      </c>
      <c r="H308" s="2" t="str">
        <f t="shared" si="10"/>
        <v/>
      </c>
    </row>
    <row r="309" spans="3:8" x14ac:dyDescent="0.3">
      <c r="C309" s="9">
        <f>_xlfn.XLOOKUP(Log!A309, 'Daily Summary'!A:A, 'Daily Summary'!D:D, "Not found!")</f>
        <v>0</v>
      </c>
      <c r="E309" s="6" t="str">
        <f t="shared" si="8"/>
        <v/>
      </c>
      <c r="H309" s="2" t="str">
        <f t="shared" si="10"/>
        <v/>
      </c>
    </row>
    <row r="310" spans="3:8" x14ac:dyDescent="0.3">
      <c r="C310" s="9">
        <f>_xlfn.XLOOKUP(Log!A310, 'Daily Summary'!A:A, 'Daily Summary'!D:D, "Not found!")</f>
        <v>0</v>
      </c>
      <c r="E310" s="6" t="str">
        <f t="shared" si="8"/>
        <v/>
      </c>
      <c r="H310" s="2" t="str">
        <f t="shared" si="10"/>
        <v/>
      </c>
    </row>
    <row r="311" spans="3:8" x14ac:dyDescent="0.3">
      <c r="C311" s="9">
        <f>_xlfn.XLOOKUP(Log!A311, 'Daily Summary'!A:A, 'Daily Summary'!D:D, "Not found!")</f>
        <v>0</v>
      </c>
      <c r="E311" s="6" t="str">
        <f t="shared" si="8"/>
        <v/>
      </c>
      <c r="H311" s="2" t="str">
        <f t="shared" si="10"/>
        <v/>
      </c>
    </row>
    <row r="312" spans="3:8" x14ac:dyDescent="0.3">
      <c r="C312" s="9">
        <f>_xlfn.XLOOKUP(Log!A312, 'Daily Summary'!A:A, 'Daily Summary'!D:D, "Not found!")</f>
        <v>0</v>
      </c>
      <c r="E312" s="6" t="str">
        <f t="shared" si="8"/>
        <v/>
      </c>
      <c r="H312" s="2" t="str">
        <f t="shared" si="10"/>
        <v/>
      </c>
    </row>
    <row r="313" spans="3:8" x14ac:dyDescent="0.3">
      <c r="C313" s="9">
        <f>_xlfn.XLOOKUP(Log!A313, 'Daily Summary'!A:A, 'Daily Summary'!D:D, "Not found!")</f>
        <v>0</v>
      </c>
      <c r="E313" s="6" t="str">
        <f t="shared" si="8"/>
        <v/>
      </c>
      <c r="H313" s="2" t="str">
        <f t="shared" si="10"/>
        <v/>
      </c>
    </row>
    <row r="314" spans="3:8" x14ac:dyDescent="0.3">
      <c r="C314" s="9">
        <f>_xlfn.XLOOKUP(Log!A314, 'Daily Summary'!A:A, 'Daily Summary'!D:D, "Not found!")</f>
        <v>0</v>
      </c>
      <c r="E314" s="6" t="str">
        <f t="shared" si="8"/>
        <v/>
      </c>
      <c r="H314" s="2" t="str">
        <f t="shared" si="10"/>
        <v/>
      </c>
    </row>
    <row r="315" spans="3:8" x14ac:dyDescent="0.3">
      <c r="C315" s="9">
        <f>_xlfn.XLOOKUP(Log!A315, 'Daily Summary'!A:A, 'Daily Summary'!D:D, "Not found!")</f>
        <v>0</v>
      </c>
      <c r="E315" s="6" t="str">
        <f t="shared" si="8"/>
        <v/>
      </c>
      <c r="H315" s="2" t="str">
        <f t="shared" si="10"/>
        <v/>
      </c>
    </row>
    <row r="316" spans="3:8" x14ac:dyDescent="0.3">
      <c r="C316" s="9">
        <f>_xlfn.XLOOKUP(Log!A316, 'Daily Summary'!A:A, 'Daily Summary'!D:D, "Not found!")</f>
        <v>0</v>
      </c>
      <c r="E316" s="6" t="str">
        <f t="shared" si="8"/>
        <v/>
      </c>
      <c r="H316" s="2" t="str">
        <f t="shared" si="10"/>
        <v/>
      </c>
    </row>
    <row r="317" spans="3:8" x14ac:dyDescent="0.3">
      <c r="C317" s="9">
        <f>_xlfn.XLOOKUP(Log!A317, 'Daily Summary'!A:A, 'Daily Summary'!D:D, "Not found!")</f>
        <v>0</v>
      </c>
      <c r="E317" s="6" t="str">
        <f t="shared" si="8"/>
        <v/>
      </c>
      <c r="H317" s="2" t="str">
        <f t="shared" si="10"/>
        <v/>
      </c>
    </row>
    <row r="318" spans="3:8" x14ac:dyDescent="0.3">
      <c r="C318" s="9">
        <f>_xlfn.XLOOKUP(Log!A318, 'Daily Summary'!A:A, 'Daily Summary'!D:D, "Not found!")</f>
        <v>0</v>
      </c>
      <c r="E318" s="6" t="str">
        <f t="shared" si="8"/>
        <v/>
      </c>
      <c r="H318" s="2" t="str">
        <f t="shared" si="10"/>
        <v/>
      </c>
    </row>
    <row r="319" spans="3:8" x14ac:dyDescent="0.3">
      <c r="C319" s="9">
        <f>_xlfn.XLOOKUP(Log!A319, 'Daily Summary'!A:A, 'Daily Summary'!D:D, "Not found!")</f>
        <v>0</v>
      </c>
      <c r="E319" s="6" t="str">
        <f t="shared" si="8"/>
        <v/>
      </c>
      <c r="H319" s="2" t="str">
        <f t="shared" si="10"/>
        <v/>
      </c>
    </row>
    <row r="320" spans="3:8" x14ac:dyDescent="0.3">
      <c r="C320" s="9">
        <f>_xlfn.XLOOKUP(Log!A320, 'Daily Summary'!A:A, 'Daily Summary'!D:D, "Not found!")</f>
        <v>0</v>
      </c>
      <c r="E320" s="6" t="str">
        <f t="shared" si="8"/>
        <v/>
      </c>
      <c r="H320" s="2" t="str">
        <f t="shared" si="10"/>
        <v/>
      </c>
    </row>
    <row r="321" spans="3:8" x14ac:dyDescent="0.3">
      <c r="C321" s="9">
        <f>_xlfn.XLOOKUP(Log!A321, 'Daily Summary'!A:A, 'Daily Summary'!D:D, "Not found!")</f>
        <v>0</v>
      </c>
      <c r="E321" s="6" t="str">
        <f t="shared" si="8"/>
        <v/>
      </c>
      <c r="H321" s="2" t="str">
        <f t="shared" si="10"/>
        <v/>
      </c>
    </row>
    <row r="322" spans="3:8" x14ac:dyDescent="0.3">
      <c r="C322" s="9">
        <f>_xlfn.XLOOKUP(Log!A322, 'Daily Summary'!A:A, 'Daily Summary'!D:D, "Not found!")</f>
        <v>0</v>
      </c>
      <c r="E322" s="6" t="str">
        <f t="shared" si="8"/>
        <v/>
      </c>
      <c r="H322" s="2" t="str">
        <f t="shared" si="10"/>
        <v/>
      </c>
    </row>
    <row r="323" spans="3:8" x14ac:dyDescent="0.3">
      <c r="C323" s="9">
        <f>_xlfn.XLOOKUP(Log!A323, 'Daily Summary'!A:A, 'Daily Summary'!D:D, "Not found!")</f>
        <v>0</v>
      </c>
      <c r="E323" s="6" t="str">
        <f t="shared" si="8"/>
        <v/>
      </c>
      <c r="H323" s="2" t="str">
        <f t="shared" si="10"/>
        <v/>
      </c>
    </row>
    <row r="324" spans="3:8" x14ac:dyDescent="0.3">
      <c r="C324" s="9">
        <f>_xlfn.XLOOKUP(Log!A324, 'Daily Summary'!A:A, 'Daily Summary'!D:D, "Not found!")</f>
        <v>0</v>
      </c>
      <c r="E324" s="6" t="str">
        <f t="shared" si="8"/>
        <v/>
      </c>
      <c r="H324" s="2" t="str">
        <f t="shared" si="10"/>
        <v/>
      </c>
    </row>
    <row r="325" spans="3:8" x14ac:dyDescent="0.3">
      <c r="C325" s="9">
        <f>_xlfn.XLOOKUP(Log!A325, 'Daily Summary'!A:A, 'Daily Summary'!D:D, "Not found!")</f>
        <v>0</v>
      </c>
      <c r="E325" s="6" t="str">
        <f t="shared" si="8"/>
        <v/>
      </c>
      <c r="H325" s="2" t="str">
        <f t="shared" si="10"/>
        <v/>
      </c>
    </row>
    <row r="326" spans="3:8" x14ac:dyDescent="0.3">
      <c r="C326" s="9">
        <f>_xlfn.XLOOKUP(Log!A326, 'Daily Summary'!A:A, 'Daily Summary'!D:D, "Not found!")</f>
        <v>0</v>
      </c>
      <c r="E326" s="6" t="str">
        <f t="shared" si="8"/>
        <v/>
      </c>
      <c r="H326" s="2" t="str">
        <f t="shared" si="10"/>
        <v/>
      </c>
    </row>
    <row r="327" spans="3:8" x14ac:dyDescent="0.3">
      <c r="C327" s="9">
        <f>_xlfn.XLOOKUP(Log!A327, 'Daily Summary'!A:A, 'Daily Summary'!D:D, "Not found!")</f>
        <v>0</v>
      </c>
      <c r="E327" s="6" t="str">
        <f t="shared" si="8"/>
        <v/>
      </c>
      <c r="H327" s="2" t="str">
        <f t="shared" si="10"/>
        <v/>
      </c>
    </row>
    <row r="328" spans="3:8" x14ac:dyDescent="0.3">
      <c r="C328" s="9">
        <f>_xlfn.XLOOKUP(Log!A328, 'Daily Summary'!A:A, 'Daily Summary'!D:D, "Not found!")</f>
        <v>0</v>
      </c>
      <c r="E328" s="6" t="str">
        <f t="shared" si="8"/>
        <v/>
      </c>
      <c r="H328" s="2" t="str">
        <f t="shared" si="10"/>
        <v/>
      </c>
    </row>
    <row r="329" spans="3:8" x14ac:dyDescent="0.3">
      <c r="C329" s="9">
        <f>_xlfn.XLOOKUP(Log!A329, 'Daily Summary'!A:A, 'Daily Summary'!D:D, "Not found!")</f>
        <v>0</v>
      </c>
      <c r="E329" s="6" t="str">
        <f t="shared" si="8"/>
        <v/>
      </c>
      <c r="H329" s="2" t="str">
        <f t="shared" si="10"/>
        <v/>
      </c>
    </row>
    <row r="330" spans="3:8" x14ac:dyDescent="0.3">
      <c r="C330" s="9">
        <f>_xlfn.XLOOKUP(Log!A330, 'Daily Summary'!A:A, 'Daily Summary'!D:D, "Not found!")</f>
        <v>0</v>
      </c>
      <c r="E330" s="6" t="str">
        <f t="shared" si="8"/>
        <v/>
      </c>
      <c r="H330" s="2" t="str">
        <f t="shared" si="10"/>
        <v/>
      </c>
    </row>
    <row r="331" spans="3:8" x14ac:dyDescent="0.3">
      <c r="C331" s="9">
        <f>_xlfn.XLOOKUP(Log!A331, 'Daily Summary'!A:A, 'Daily Summary'!D:D, "Not found!")</f>
        <v>0</v>
      </c>
      <c r="E331" s="6" t="str">
        <f t="shared" si="8"/>
        <v/>
      </c>
      <c r="H331" s="2" t="str">
        <f t="shared" si="10"/>
        <v/>
      </c>
    </row>
    <row r="332" spans="3:8" x14ac:dyDescent="0.3">
      <c r="C332" s="9">
        <f>_xlfn.XLOOKUP(Log!A332, 'Daily Summary'!A:A, 'Daily Summary'!D:D, "Not found!")</f>
        <v>0</v>
      </c>
      <c r="E332" s="6" t="str">
        <f t="shared" si="8"/>
        <v/>
      </c>
      <c r="H332" s="2" t="str">
        <f t="shared" si="10"/>
        <v/>
      </c>
    </row>
    <row r="333" spans="3:8" x14ac:dyDescent="0.3">
      <c r="C333" s="9">
        <f>_xlfn.XLOOKUP(Log!A333, 'Daily Summary'!A:A, 'Daily Summary'!D:D, "Not found!")</f>
        <v>0</v>
      </c>
      <c r="E333" s="6" t="str">
        <f t="shared" si="8"/>
        <v/>
      </c>
      <c r="H333" s="2" t="str">
        <f t="shared" si="10"/>
        <v/>
      </c>
    </row>
    <row r="334" spans="3:8" x14ac:dyDescent="0.3">
      <c r="C334" s="9">
        <f>_xlfn.XLOOKUP(Log!A334, 'Daily Summary'!A:A, 'Daily Summary'!D:D, "Not found!")</f>
        <v>0</v>
      </c>
      <c r="E334" s="6" t="str">
        <f t="shared" si="8"/>
        <v/>
      </c>
      <c r="H334" s="2" t="str">
        <f t="shared" si="10"/>
        <v/>
      </c>
    </row>
    <row r="335" spans="3:8" x14ac:dyDescent="0.3">
      <c r="C335" s="9">
        <f>_xlfn.XLOOKUP(Log!A335, 'Daily Summary'!A:A, 'Daily Summary'!D:D, "Not found!")</f>
        <v>0</v>
      </c>
      <c r="E335" s="6" t="str">
        <f t="shared" si="8"/>
        <v/>
      </c>
      <c r="H335" s="2" t="str">
        <f t="shared" si="10"/>
        <v/>
      </c>
    </row>
    <row r="336" spans="3:8" x14ac:dyDescent="0.3">
      <c r="C336" s="9">
        <f>_xlfn.XLOOKUP(Log!A336, 'Daily Summary'!A:A, 'Daily Summary'!D:D, "Not found!")</f>
        <v>0</v>
      </c>
      <c r="E336" s="6" t="str">
        <f t="shared" si="8"/>
        <v/>
      </c>
      <c r="H336" s="2" t="str">
        <f t="shared" si="10"/>
        <v/>
      </c>
    </row>
    <row r="337" spans="3:8" x14ac:dyDescent="0.3">
      <c r="C337" s="9">
        <f>_xlfn.XLOOKUP(Log!A337, 'Daily Summary'!A:A, 'Daily Summary'!D:D, "Not found!")</f>
        <v>0</v>
      </c>
      <c r="E337" s="6" t="str">
        <f t="shared" si="8"/>
        <v/>
      </c>
      <c r="H337" s="2" t="str">
        <f t="shared" si="10"/>
        <v/>
      </c>
    </row>
    <row r="338" spans="3:8" x14ac:dyDescent="0.3">
      <c r="C338" s="9">
        <f>_xlfn.XLOOKUP(Log!A338, 'Daily Summary'!A:A, 'Daily Summary'!D:D, "Not found!")</f>
        <v>0</v>
      </c>
      <c r="E338" s="6" t="str">
        <f t="shared" ref="E338:E401" si="11">IF(AND($D338&lt;&gt;"", $C338&lt;&gt;""), ($D338-$C338)*1440, "")</f>
        <v/>
      </c>
      <c r="H338" s="2" t="str">
        <f t="shared" si="10"/>
        <v/>
      </c>
    </row>
    <row r="339" spans="3:8" x14ac:dyDescent="0.3">
      <c r="C339" s="9">
        <f>_xlfn.XLOOKUP(Log!A339, 'Daily Summary'!A:A, 'Daily Summary'!D:D, "Not found!")</f>
        <v>0</v>
      </c>
      <c r="E339" s="6" t="str">
        <f t="shared" si="11"/>
        <v/>
      </c>
      <c r="H339" s="2" t="str">
        <f t="shared" si="10"/>
        <v/>
      </c>
    </row>
    <row r="340" spans="3:8" x14ac:dyDescent="0.3">
      <c r="C340" s="9">
        <f>_xlfn.XLOOKUP(Log!A340, 'Daily Summary'!A:A, 'Daily Summary'!D:D, "Not found!")</f>
        <v>0</v>
      </c>
      <c r="E340" s="6" t="str">
        <f t="shared" si="11"/>
        <v/>
      </c>
      <c r="H340" s="2" t="str">
        <f t="shared" si="10"/>
        <v/>
      </c>
    </row>
    <row r="341" spans="3:8" x14ac:dyDescent="0.3">
      <c r="C341" s="9">
        <f>_xlfn.XLOOKUP(Log!A341, 'Daily Summary'!A:A, 'Daily Summary'!D:D, "Not found!")</f>
        <v>0</v>
      </c>
      <c r="E341" s="6" t="str">
        <f t="shared" si="11"/>
        <v/>
      </c>
      <c r="H341" s="2" t="str">
        <f t="shared" si="10"/>
        <v/>
      </c>
    </row>
    <row r="342" spans="3:8" x14ac:dyDescent="0.3">
      <c r="C342" s="9">
        <f>_xlfn.XLOOKUP(Log!A342, 'Daily Summary'!A:A, 'Daily Summary'!D:D, "Not found!")</f>
        <v>0</v>
      </c>
      <c r="E342" s="6" t="str">
        <f t="shared" si="11"/>
        <v/>
      </c>
      <c r="H342" s="2" t="str">
        <f t="shared" si="10"/>
        <v/>
      </c>
    </row>
    <row r="343" spans="3:8" x14ac:dyDescent="0.3">
      <c r="C343" s="9">
        <f>_xlfn.XLOOKUP(Log!A343, 'Daily Summary'!A:A, 'Daily Summary'!D:D, "Not found!")</f>
        <v>0</v>
      </c>
      <c r="E343" s="6" t="str">
        <f t="shared" si="11"/>
        <v/>
      </c>
      <c r="H343" s="2" t="str">
        <f t="shared" si="10"/>
        <v/>
      </c>
    </row>
    <row r="344" spans="3:8" x14ac:dyDescent="0.3">
      <c r="C344" s="9">
        <f>_xlfn.XLOOKUP(Log!A344, 'Daily Summary'!A:A, 'Daily Summary'!D:D, "Not found!")</f>
        <v>0</v>
      </c>
      <c r="E344" s="6" t="str">
        <f t="shared" si="11"/>
        <v/>
      </c>
      <c r="H344" s="2" t="str">
        <f t="shared" si="10"/>
        <v/>
      </c>
    </row>
    <row r="345" spans="3:8" x14ac:dyDescent="0.3">
      <c r="C345" s="9">
        <f>_xlfn.XLOOKUP(Log!A345, 'Daily Summary'!A:A, 'Daily Summary'!D:D, "Not found!")</f>
        <v>0</v>
      </c>
      <c r="E345" s="6" t="str">
        <f t="shared" si="11"/>
        <v/>
      </c>
      <c r="H345" s="2" t="str">
        <f t="shared" si="10"/>
        <v/>
      </c>
    </row>
    <row r="346" spans="3:8" x14ac:dyDescent="0.3">
      <c r="C346" s="9">
        <f>_xlfn.XLOOKUP(Log!A346, 'Daily Summary'!A:A, 'Daily Summary'!D:D, "Not found!")</f>
        <v>0</v>
      </c>
      <c r="E346" s="6" t="str">
        <f t="shared" si="11"/>
        <v/>
      </c>
      <c r="H346" s="2" t="str">
        <f t="shared" si="10"/>
        <v/>
      </c>
    </row>
    <row r="347" spans="3:8" x14ac:dyDescent="0.3">
      <c r="C347" s="9">
        <f>_xlfn.XLOOKUP(Log!A347, 'Daily Summary'!A:A, 'Daily Summary'!D:D, "Not found!")</f>
        <v>0</v>
      </c>
      <c r="E347" s="6" t="str">
        <f t="shared" si="11"/>
        <v/>
      </c>
      <c r="H347" s="2" t="str">
        <f t="shared" si="10"/>
        <v/>
      </c>
    </row>
    <row r="348" spans="3:8" x14ac:dyDescent="0.3">
      <c r="C348" s="9">
        <f>_xlfn.XLOOKUP(Log!A348, 'Daily Summary'!A:A, 'Daily Summary'!D:D, "Not found!")</f>
        <v>0</v>
      </c>
      <c r="E348" s="6" t="str">
        <f t="shared" si="11"/>
        <v/>
      </c>
      <c r="H348" s="2" t="str">
        <f t="shared" si="10"/>
        <v/>
      </c>
    </row>
    <row r="349" spans="3:8" x14ac:dyDescent="0.3">
      <c r="C349" s="9">
        <f>_xlfn.XLOOKUP(Log!A349, 'Daily Summary'!A:A, 'Daily Summary'!D:D, "Not found!")</f>
        <v>0</v>
      </c>
      <c r="E349" s="6" t="str">
        <f t="shared" si="11"/>
        <v/>
      </c>
      <c r="H349" s="2" t="str">
        <f t="shared" si="10"/>
        <v/>
      </c>
    </row>
    <row r="350" spans="3:8" x14ac:dyDescent="0.3">
      <c r="C350" s="9">
        <f>_xlfn.XLOOKUP(Log!A350, 'Daily Summary'!A:A, 'Daily Summary'!D:D, "Not found!")</f>
        <v>0</v>
      </c>
      <c r="E350" s="6" t="str">
        <f t="shared" si="11"/>
        <v/>
      </c>
      <c r="H350" s="2" t="str">
        <f t="shared" si="10"/>
        <v/>
      </c>
    </row>
    <row r="351" spans="3:8" x14ac:dyDescent="0.3">
      <c r="C351" s="9">
        <f>_xlfn.XLOOKUP(Log!A351, 'Daily Summary'!A:A, 'Daily Summary'!D:D, "Not found!")</f>
        <v>0</v>
      </c>
      <c r="E351" s="6" t="str">
        <f t="shared" si="11"/>
        <v/>
      </c>
      <c r="H351" s="2" t="str">
        <f t="shared" si="10"/>
        <v/>
      </c>
    </row>
    <row r="352" spans="3:8" x14ac:dyDescent="0.3">
      <c r="C352" s="9">
        <f>_xlfn.XLOOKUP(Log!A352, 'Daily Summary'!A:A, 'Daily Summary'!D:D, "Not found!")</f>
        <v>0</v>
      </c>
      <c r="E352" s="6" t="str">
        <f t="shared" si="11"/>
        <v/>
      </c>
      <c r="H352" s="2" t="str">
        <f t="shared" si="10"/>
        <v/>
      </c>
    </row>
    <row r="353" spans="3:8" x14ac:dyDescent="0.3">
      <c r="C353" s="9">
        <f>_xlfn.XLOOKUP(Log!A353, 'Daily Summary'!A:A, 'Daily Summary'!D:D, "Not found!")</f>
        <v>0</v>
      </c>
      <c r="E353" s="6" t="str">
        <f t="shared" si="11"/>
        <v/>
      </c>
      <c r="H353" s="2" t="str">
        <f t="shared" si="10"/>
        <v/>
      </c>
    </row>
    <row r="354" spans="3:8" x14ac:dyDescent="0.3">
      <c r="C354" s="9">
        <f>_xlfn.XLOOKUP(Log!A354, 'Daily Summary'!A:A, 'Daily Summary'!D:D, "Not found!")</f>
        <v>0</v>
      </c>
      <c r="E354" s="6" t="str">
        <f t="shared" si="11"/>
        <v/>
      </c>
      <c r="H354" s="2" t="str">
        <f t="shared" si="10"/>
        <v/>
      </c>
    </row>
    <row r="355" spans="3:8" x14ac:dyDescent="0.3">
      <c r="C355" s="9">
        <f>_xlfn.XLOOKUP(Log!A355, 'Daily Summary'!A:A, 'Daily Summary'!D:D, "Not found!")</f>
        <v>0</v>
      </c>
      <c r="E355" s="6" t="str">
        <f t="shared" si="11"/>
        <v/>
      </c>
      <c r="H355" s="2" t="str">
        <f t="shared" si="10"/>
        <v/>
      </c>
    </row>
    <row r="356" spans="3:8" x14ac:dyDescent="0.3">
      <c r="C356" s="9">
        <f>_xlfn.XLOOKUP(Log!A356, 'Daily Summary'!A:A, 'Daily Summary'!D:D, "Not found!")</f>
        <v>0</v>
      </c>
      <c r="E356" s="6" t="str">
        <f t="shared" si="11"/>
        <v/>
      </c>
      <c r="H356" s="2" t="str">
        <f t="shared" si="10"/>
        <v/>
      </c>
    </row>
    <row r="357" spans="3:8" x14ac:dyDescent="0.3">
      <c r="C357" s="9">
        <f>_xlfn.XLOOKUP(Log!A357, 'Daily Summary'!A:A, 'Daily Summary'!D:D, "Not found!")</f>
        <v>0</v>
      </c>
      <c r="E357" s="6" t="str">
        <f t="shared" si="11"/>
        <v/>
      </c>
      <c r="H357" s="2" t="str">
        <f t="shared" si="10"/>
        <v/>
      </c>
    </row>
    <row r="358" spans="3:8" x14ac:dyDescent="0.3">
      <c r="C358" s="9">
        <f>_xlfn.XLOOKUP(Log!A358, 'Daily Summary'!A:A, 'Daily Summary'!D:D, "Not found!")</f>
        <v>0</v>
      </c>
      <c r="E358" s="6" t="str">
        <f t="shared" si="11"/>
        <v/>
      </c>
      <c r="H358" s="2" t="str">
        <f t="shared" si="10"/>
        <v/>
      </c>
    </row>
    <row r="359" spans="3:8" x14ac:dyDescent="0.3">
      <c r="C359" s="9">
        <f>_xlfn.XLOOKUP(Log!A359, 'Daily Summary'!A:A, 'Daily Summary'!D:D, "Not found!")</f>
        <v>0</v>
      </c>
      <c r="E359" s="6" t="str">
        <f t="shared" si="11"/>
        <v/>
      </c>
      <c r="H359" s="2" t="str">
        <f t="shared" si="10"/>
        <v/>
      </c>
    </row>
    <row r="360" spans="3:8" x14ac:dyDescent="0.3">
      <c r="C360" s="9">
        <f>_xlfn.XLOOKUP(Log!A360, 'Daily Summary'!A:A, 'Daily Summary'!D:D, "Not found!")</f>
        <v>0</v>
      </c>
      <c r="E360" s="6" t="str">
        <f t="shared" si="11"/>
        <v/>
      </c>
      <c r="H360" s="2" t="str">
        <f t="shared" si="10"/>
        <v/>
      </c>
    </row>
    <row r="361" spans="3:8" x14ac:dyDescent="0.3">
      <c r="C361" s="9">
        <f>_xlfn.XLOOKUP(Log!A361, 'Daily Summary'!A:A, 'Daily Summary'!D:D, "Not found!")</f>
        <v>0</v>
      </c>
      <c r="E361" s="6" t="str">
        <f t="shared" si="11"/>
        <v/>
      </c>
      <c r="H361" s="2" t="str">
        <f t="shared" si="10"/>
        <v/>
      </c>
    </row>
    <row r="362" spans="3:8" x14ac:dyDescent="0.3">
      <c r="C362" s="9">
        <f>_xlfn.XLOOKUP(Log!A362, 'Daily Summary'!A:A, 'Daily Summary'!D:D, "Not found!")</f>
        <v>0</v>
      </c>
      <c r="E362" s="6" t="str">
        <f t="shared" si="11"/>
        <v/>
      </c>
      <c r="H362" s="2" t="str">
        <f t="shared" si="10"/>
        <v/>
      </c>
    </row>
    <row r="363" spans="3:8" x14ac:dyDescent="0.3">
      <c r="C363" s="9">
        <f>_xlfn.XLOOKUP(Log!A363, 'Daily Summary'!A:A, 'Daily Summary'!D:D, "Not found!")</f>
        <v>0</v>
      </c>
      <c r="E363" s="6" t="str">
        <f t="shared" si="11"/>
        <v/>
      </c>
      <c r="H363" s="2" t="str">
        <f t="shared" si="10"/>
        <v/>
      </c>
    </row>
    <row r="364" spans="3:8" x14ac:dyDescent="0.3">
      <c r="C364" s="9">
        <f>_xlfn.XLOOKUP(Log!A364, 'Daily Summary'!A:A, 'Daily Summary'!D:D, "Not found!")</f>
        <v>0</v>
      </c>
      <c r="E364" s="6" t="str">
        <f t="shared" si="11"/>
        <v/>
      </c>
      <c r="H364" s="2" t="str">
        <f t="shared" si="10"/>
        <v/>
      </c>
    </row>
    <row r="365" spans="3:8" x14ac:dyDescent="0.3">
      <c r="C365" s="9">
        <f>_xlfn.XLOOKUP(Log!A365, 'Daily Summary'!A:A, 'Daily Summary'!D:D, "Not found!")</f>
        <v>0</v>
      </c>
      <c r="E365" s="6" t="str">
        <f t="shared" si="11"/>
        <v/>
      </c>
      <c r="H365" s="2" t="str">
        <f t="shared" si="10"/>
        <v/>
      </c>
    </row>
    <row r="366" spans="3:8" x14ac:dyDescent="0.3">
      <c r="C366" s="9">
        <f>_xlfn.XLOOKUP(Log!A366, 'Daily Summary'!A:A, 'Daily Summary'!D:D, "Not found!")</f>
        <v>0</v>
      </c>
      <c r="E366" s="6" t="str">
        <f t="shared" si="11"/>
        <v/>
      </c>
      <c r="H366" s="2" t="str">
        <f t="shared" si="10"/>
        <v/>
      </c>
    </row>
    <row r="367" spans="3:8" x14ac:dyDescent="0.3">
      <c r="C367" s="9">
        <f>_xlfn.XLOOKUP(Log!A367, 'Daily Summary'!A:A, 'Daily Summary'!D:D, "Not found!")</f>
        <v>0</v>
      </c>
      <c r="E367" s="6" t="str">
        <f t="shared" si="11"/>
        <v/>
      </c>
      <c r="H367" s="2" t="str">
        <f t="shared" si="10"/>
        <v/>
      </c>
    </row>
    <row r="368" spans="3:8" x14ac:dyDescent="0.3">
      <c r="C368" s="9">
        <f>_xlfn.XLOOKUP(Log!A368, 'Daily Summary'!A:A, 'Daily Summary'!D:D, "Not found!")</f>
        <v>0</v>
      </c>
      <c r="E368" s="6" t="str">
        <f t="shared" si="11"/>
        <v/>
      </c>
      <c r="H368" s="2" t="str">
        <f t="shared" ref="H368:H390" si="12">IF(AND(G368&lt;&gt;"",F368&lt;&gt;""),G368-F368,"")</f>
        <v/>
      </c>
    </row>
    <row r="369" spans="3:8" x14ac:dyDescent="0.3">
      <c r="C369" s="9">
        <f>_xlfn.XLOOKUP(Log!A369, 'Daily Summary'!A:A, 'Daily Summary'!D:D, "Not found!")</f>
        <v>0</v>
      </c>
      <c r="E369" s="6" t="str">
        <f t="shared" si="11"/>
        <v/>
      </c>
      <c r="H369" s="2" t="str">
        <f t="shared" si="12"/>
        <v/>
      </c>
    </row>
    <row r="370" spans="3:8" x14ac:dyDescent="0.3">
      <c r="C370" s="9">
        <f>_xlfn.XLOOKUP(Log!A370, 'Daily Summary'!A:A, 'Daily Summary'!D:D, "Not found!")</f>
        <v>0</v>
      </c>
      <c r="E370" s="6" t="str">
        <f t="shared" si="11"/>
        <v/>
      </c>
      <c r="H370" s="2" t="str">
        <f t="shared" si="12"/>
        <v/>
      </c>
    </row>
    <row r="371" spans="3:8" x14ac:dyDescent="0.3">
      <c r="C371" s="9">
        <f>_xlfn.XLOOKUP(Log!A371, 'Daily Summary'!A:A, 'Daily Summary'!D:D, "Not found!")</f>
        <v>0</v>
      </c>
      <c r="E371" s="6" t="str">
        <f t="shared" si="11"/>
        <v/>
      </c>
      <c r="H371" s="2" t="str">
        <f t="shared" si="12"/>
        <v/>
      </c>
    </row>
    <row r="372" spans="3:8" x14ac:dyDescent="0.3">
      <c r="C372" s="9">
        <f>_xlfn.XLOOKUP(Log!A372, 'Daily Summary'!A:A, 'Daily Summary'!D:D, "Not found!")</f>
        <v>0</v>
      </c>
      <c r="E372" s="6" t="str">
        <f t="shared" si="11"/>
        <v/>
      </c>
      <c r="H372" s="2" t="str">
        <f t="shared" si="12"/>
        <v/>
      </c>
    </row>
    <row r="373" spans="3:8" x14ac:dyDescent="0.3">
      <c r="C373" s="9">
        <f>_xlfn.XLOOKUP(Log!A373, 'Daily Summary'!A:A, 'Daily Summary'!D:D, "Not found!")</f>
        <v>0</v>
      </c>
      <c r="E373" s="6" t="str">
        <f t="shared" si="11"/>
        <v/>
      </c>
      <c r="H373" s="2" t="str">
        <f t="shared" si="12"/>
        <v/>
      </c>
    </row>
    <row r="374" spans="3:8" x14ac:dyDescent="0.3">
      <c r="C374" s="9">
        <f>_xlfn.XLOOKUP(Log!A374, 'Daily Summary'!A:A, 'Daily Summary'!D:D, "Not found!")</f>
        <v>0</v>
      </c>
      <c r="E374" s="6" t="str">
        <f t="shared" si="11"/>
        <v/>
      </c>
      <c r="H374" s="2" t="str">
        <f t="shared" si="12"/>
        <v/>
      </c>
    </row>
    <row r="375" spans="3:8" x14ac:dyDescent="0.3">
      <c r="C375" s="9">
        <f>_xlfn.XLOOKUP(Log!A375, 'Daily Summary'!A:A, 'Daily Summary'!D:D, "Not found!")</f>
        <v>0</v>
      </c>
      <c r="E375" s="6" t="str">
        <f t="shared" si="11"/>
        <v/>
      </c>
      <c r="H375" s="2" t="str">
        <f t="shared" si="12"/>
        <v/>
      </c>
    </row>
    <row r="376" spans="3:8" x14ac:dyDescent="0.3">
      <c r="C376" s="9">
        <f>_xlfn.XLOOKUP(Log!A376, 'Daily Summary'!A:A, 'Daily Summary'!D:D, "Not found!")</f>
        <v>0</v>
      </c>
      <c r="E376" s="6" t="str">
        <f t="shared" si="11"/>
        <v/>
      </c>
      <c r="H376" s="2" t="str">
        <f t="shared" si="12"/>
        <v/>
      </c>
    </row>
    <row r="377" spans="3:8" x14ac:dyDescent="0.3">
      <c r="C377" s="9">
        <f>_xlfn.XLOOKUP(Log!A377, 'Daily Summary'!A:A, 'Daily Summary'!D:D, "Not found!")</f>
        <v>0</v>
      </c>
      <c r="E377" s="6" t="str">
        <f t="shared" si="11"/>
        <v/>
      </c>
      <c r="H377" s="2" t="str">
        <f t="shared" si="12"/>
        <v/>
      </c>
    </row>
    <row r="378" spans="3:8" x14ac:dyDescent="0.3">
      <c r="C378" s="9">
        <f>_xlfn.XLOOKUP(Log!A378, 'Daily Summary'!A:A, 'Daily Summary'!D:D, "Not found!")</f>
        <v>0</v>
      </c>
      <c r="E378" s="6" t="str">
        <f t="shared" si="11"/>
        <v/>
      </c>
      <c r="H378" s="2" t="str">
        <f t="shared" si="12"/>
        <v/>
      </c>
    </row>
    <row r="379" spans="3:8" x14ac:dyDescent="0.3">
      <c r="C379" s="9">
        <f>_xlfn.XLOOKUP(Log!A379, 'Daily Summary'!A:A, 'Daily Summary'!D:D, "Not found!")</f>
        <v>0</v>
      </c>
      <c r="E379" s="6" t="str">
        <f t="shared" si="11"/>
        <v/>
      </c>
      <c r="H379" s="2" t="str">
        <f t="shared" si="12"/>
        <v/>
      </c>
    </row>
    <row r="380" spans="3:8" x14ac:dyDescent="0.3">
      <c r="C380" s="9">
        <f>_xlfn.XLOOKUP(Log!A380, 'Daily Summary'!A:A, 'Daily Summary'!D:D, "Not found!")</f>
        <v>0</v>
      </c>
      <c r="E380" s="6" t="str">
        <f t="shared" si="11"/>
        <v/>
      </c>
      <c r="H380" s="2" t="str">
        <f t="shared" si="12"/>
        <v/>
      </c>
    </row>
    <row r="381" spans="3:8" x14ac:dyDescent="0.3">
      <c r="C381" s="9">
        <f>_xlfn.XLOOKUP(Log!A381, 'Daily Summary'!A:A, 'Daily Summary'!D:D, "Not found!")</f>
        <v>0</v>
      </c>
      <c r="E381" s="6" t="str">
        <f t="shared" si="11"/>
        <v/>
      </c>
      <c r="H381" s="2" t="str">
        <f t="shared" si="12"/>
        <v/>
      </c>
    </row>
    <row r="382" spans="3:8" x14ac:dyDescent="0.3">
      <c r="C382" s="9">
        <f>_xlfn.XLOOKUP(Log!A382, 'Daily Summary'!A:A, 'Daily Summary'!D:D, "Not found!")</f>
        <v>0</v>
      </c>
      <c r="E382" s="6" t="str">
        <f t="shared" si="11"/>
        <v/>
      </c>
      <c r="H382" s="2" t="str">
        <f t="shared" si="12"/>
        <v/>
      </c>
    </row>
    <row r="383" spans="3:8" x14ac:dyDescent="0.3">
      <c r="C383" s="9">
        <f>_xlfn.XLOOKUP(Log!A383, 'Daily Summary'!A:A, 'Daily Summary'!D:D, "Not found!")</f>
        <v>0</v>
      </c>
      <c r="E383" s="6" t="str">
        <f t="shared" si="11"/>
        <v/>
      </c>
      <c r="H383" s="2" t="str">
        <f t="shared" si="12"/>
        <v/>
      </c>
    </row>
    <row r="384" spans="3:8" x14ac:dyDescent="0.3">
      <c r="C384" s="9">
        <f>_xlfn.XLOOKUP(Log!A384, 'Daily Summary'!A:A, 'Daily Summary'!D:D, "Not found!")</f>
        <v>0</v>
      </c>
      <c r="E384" s="6" t="str">
        <f t="shared" si="11"/>
        <v/>
      </c>
      <c r="H384" s="2" t="str">
        <f t="shared" si="12"/>
        <v/>
      </c>
    </row>
    <row r="385" spans="3:8" x14ac:dyDescent="0.3">
      <c r="C385" s="9">
        <f>_xlfn.XLOOKUP(Log!A385, 'Daily Summary'!A:A, 'Daily Summary'!D:D, "Not found!")</f>
        <v>0</v>
      </c>
      <c r="E385" s="6" t="str">
        <f t="shared" si="11"/>
        <v/>
      </c>
      <c r="H385" s="2" t="str">
        <f t="shared" si="12"/>
        <v/>
      </c>
    </row>
    <row r="386" spans="3:8" x14ac:dyDescent="0.3">
      <c r="C386" s="9">
        <f>_xlfn.XLOOKUP(Log!A386, 'Daily Summary'!A:A, 'Daily Summary'!D:D, "Not found!")</f>
        <v>0</v>
      </c>
      <c r="E386" s="6" t="str">
        <f t="shared" si="11"/>
        <v/>
      </c>
      <c r="H386" s="2" t="str">
        <f t="shared" si="12"/>
        <v/>
      </c>
    </row>
    <row r="387" spans="3:8" x14ac:dyDescent="0.3">
      <c r="C387" s="9">
        <f>_xlfn.XLOOKUP(Log!A387, 'Daily Summary'!A:A, 'Daily Summary'!D:D, "Not found!")</f>
        <v>0</v>
      </c>
      <c r="E387" s="6" t="str">
        <f t="shared" si="11"/>
        <v/>
      </c>
      <c r="H387" s="2" t="str">
        <f t="shared" si="12"/>
        <v/>
      </c>
    </row>
    <row r="388" spans="3:8" x14ac:dyDescent="0.3">
      <c r="C388" s="9">
        <f>_xlfn.XLOOKUP(Log!A388, 'Daily Summary'!A:A, 'Daily Summary'!D:D, "Not found!")</f>
        <v>0</v>
      </c>
      <c r="E388" s="6" t="str">
        <f t="shared" si="11"/>
        <v/>
      </c>
      <c r="H388" s="2" t="str">
        <f t="shared" si="12"/>
        <v/>
      </c>
    </row>
    <row r="389" spans="3:8" x14ac:dyDescent="0.3">
      <c r="C389" s="9">
        <f>_xlfn.XLOOKUP(Log!A389, 'Daily Summary'!A:A, 'Daily Summary'!D:D, "Not found!")</f>
        <v>0</v>
      </c>
      <c r="E389" s="6" t="str">
        <f t="shared" si="11"/>
        <v/>
      </c>
      <c r="H389" s="2" t="str">
        <f t="shared" si="12"/>
        <v/>
      </c>
    </row>
    <row r="390" spans="3:8" x14ac:dyDescent="0.3">
      <c r="C390" s="9">
        <f>_xlfn.XLOOKUP(Log!A390, 'Daily Summary'!A:A, 'Daily Summary'!D:D, "Not found!")</f>
        <v>0</v>
      </c>
      <c r="E390" s="6" t="str">
        <f t="shared" si="11"/>
        <v/>
      </c>
      <c r="H390" s="2" t="str">
        <f t="shared" si="12"/>
        <v/>
      </c>
    </row>
    <row r="391" spans="3:8" x14ac:dyDescent="0.3">
      <c r="C391" s="9">
        <f>_xlfn.XLOOKUP(Log!A391, 'Daily Summary'!A:A, 'Daily Summary'!D:D, "Not found!")</f>
        <v>0</v>
      </c>
      <c r="E391" s="6" t="str">
        <f t="shared" si="11"/>
        <v/>
      </c>
    </row>
    <row r="392" spans="3:8" x14ac:dyDescent="0.3">
      <c r="C392" s="9">
        <f>_xlfn.XLOOKUP(Log!A392, 'Daily Summary'!A:A, 'Daily Summary'!D:D, "Not found!")</f>
        <v>0</v>
      </c>
      <c r="E392" s="6" t="str">
        <f t="shared" si="11"/>
        <v/>
      </c>
    </row>
    <row r="393" spans="3:8" x14ac:dyDescent="0.3">
      <c r="C393" s="9">
        <f>_xlfn.XLOOKUP(Log!A393, 'Daily Summary'!A:A, 'Daily Summary'!D:D, "Not found!")</f>
        <v>0</v>
      </c>
      <c r="E393" s="6" t="str">
        <f t="shared" si="11"/>
        <v/>
      </c>
    </row>
    <row r="394" spans="3:8" x14ac:dyDescent="0.3">
      <c r="C394" s="9">
        <f>_xlfn.XLOOKUP(Log!A394, 'Daily Summary'!A:A, 'Daily Summary'!D:D, "Not found!")</f>
        <v>0</v>
      </c>
      <c r="E394" s="6" t="str">
        <f t="shared" si="11"/>
        <v/>
      </c>
    </row>
    <row r="395" spans="3:8" x14ac:dyDescent="0.3">
      <c r="C395" s="9">
        <f>_xlfn.XLOOKUP(Log!A395, 'Daily Summary'!A:A, 'Daily Summary'!D:D, "Not found!")</f>
        <v>0</v>
      </c>
      <c r="E395" s="6" t="str">
        <f t="shared" si="11"/>
        <v/>
      </c>
    </row>
    <row r="396" spans="3:8" x14ac:dyDescent="0.3">
      <c r="C396" s="9">
        <f>_xlfn.XLOOKUP(Log!A396, 'Daily Summary'!A:A, 'Daily Summary'!D:D, "Not found!")</f>
        <v>0</v>
      </c>
      <c r="E396" s="6" t="str">
        <f t="shared" si="11"/>
        <v/>
      </c>
    </row>
    <row r="397" spans="3:8" x14ac:dyDescent="0.3">
      <c r="C397" s="9">
        <f>_xlfn.XLOOKUP(Log!A397, 'Daily Summary'!A:A, 'Daily Summary'!D:D, "Not found!")</f>
        <v>0</v>
      </c>
      <c r="E397" s="6" t="str">
        <f t="shared" si="11"/>
        <v/>
      </c>
    </row>
    <row r="398" spans="3:8" x14ac:dyDescent="0.3">
      <c r="C398" s="9">
        <f>_xlfn.XLOOKUP(Log!A398, 'Daily Summary'!A:A, 'Daily Summary'!D:D, "Not found!")</f>
        <v>0</v>
      </c>
      <c r="E398" s="6" t="str">
        <f t="shared" si="11"/>
        <v/>
      </c>
    </row>
    <row r="399" spans="3:8" x14ac:dyDescent="0.3">
      <c r="C399" s="9">
        <f>_xlfn.XLOOKUP(Log!A399, 'Daily Summary'!A:A, 'Daily Summary'!D:D, "Not found!")</f>
        <v>0</v>
      </c>
      <c r="E399" s="6" t="str">
        <f t="shared" si="11"/>
        <v/>
      </c>
    </row>
    <row r="400" spans="3:8" x14ac:dyDescent="0.3">
      <c r="C400" s="9">
        <f>_xlfn.XLOOKUP(Log!A400, 'Daily Summary'!A:A, 'Daily Summary'!D:D, "Not found!")</f>
        <v>0</v>
      </c>
      <c r="E400" s="6" t="str">
        <f t="shared" si="11"/>
        <v/>
      </c>
    </row>
    <row r="401" spans="3:5" x14ac:dyDescent="0.3">
      <c r="C401" s="9">
        <f>_xlfn.XLOOKUP(Log!A401, 'Daily Summary'!A:A, 'Daily Summary'!D:D, "Not found!")</f>
        <v>0</v>
      </c>
      <c r="E401" s="6" t="str">
        <f t="shared" si="11"/>
        <v/>
      </c>
    </row>
    <row r="402" spans="3:5" x14ac:dyDescent="0.3">
      <c r="C402" s="9">
        <f>_xlfn.XLOOKUP(Log!A402, 'Daily Summary'!A:A, 'Daily Summary'!D:D, "Not found!")</f>
        <v>0</v>
      </c>
      <c r="E402" s="6" t="str">
        <f t="shared" ref="E402:E465" si="13">IF(AND($D402&lt;&gt;"", $C402&lt;&gt;""), ($D402-$C402)*1440, "")</f>
        <v/>
      </c>
    </row>
    <row r="403" spans="3:5" x14ac:dyDescent="0.3">
      <c r="C403" s="9">
        <f>_xlfn.XLOOKUP(Log!A403, 'Daily Summary'!A:A, 'Daily Summary'!D:D, "Not found!")</f>
        <v>0</v>
      </c>
      <c r="E403" s="6" t="str">
        <f t="shared" si="13"/>
        <v/>
      </c>
    </row>
    <row r="404" spans="3:5" x14ac:dyDescent="0.3">
      <c r="C404" s="9">
        <f>_xlfn.XLOOKUP(Log!A404, 'Daily Summary'!A:A, 'Daily Summary'!D:D, "Not found!")</f>
        <v>0</v>
      </c>
      <c r="E404" s="6" t="str">
        <f t="shared" si="13"/>
        <v/>
      </c>
    </row>
    <row r="405" spans="3:5" x14ac:dyDescent="0.3">
      <c r="C405" s="9">
        <f>_xlfn.XLOOKUP(Log!A405, 'Daily Summary'!A:A, 'Daily Summary'!D:D, "Not found!")</f>
        <v>0</v>
      </c>
      <c r="E405" s="6" t="str">
        <f t="shared" si="13"/>
        <v/>
      </c>
    </row>
    <row r="406" spans="3:5" x14ac:dyDescent="0.3">
      <c r="C406" s="9">
        <f>_xlfn.XLOOKUP(Log!A406, 'Daily Summary'!A:A, 'Daily Summary'!D:D, "Not found!")</f>
        <v>0</v>
      </c>
      <c r="E406" s="6" t="str">
        <f t="shared" si="13"/>
        <v/>
      </c>
    </row>
    <row r="407" spans="3:5" x14ac:dyDescent="0.3">
      <c r="C407" s="9">
        <f>_xlfn.XLOOKUP(Log!A407, 'Daily Summary'!A:A, 'Daily Summary'!D:D, "Not found!")</f>
        <v>0</v>
      </c>
      <c r="E407" s="6" t="str">
        <f t="shared" si="13"/>
        <v/>
      </c>
    </row>
    <row r="408" spans="3:5" x14ac:dyDescent="0.3">
      <c r="C408" s="9">
        <f>_xlfn.XLOOKUP(Log!A408, 'Daily Summary'!A:A, 'Daily Summary'!D:D, "Not found!")</f>
        <v>0</v>
      </c>
      <c r="E408" s="6" t="str">
        <f t="shared" si="13"/>
        <v/>
      </c>
    </row>
    <row r="409" spans="3:5" x14ac:dyDescent="0.3">
      <c r="C409" s="9">
        <f>_xlfn.XLOOKUP(Log!A409, 'Daily Summary'!A:A, 'Daily Summary'!D:D, "Not found!")</f>
        <v>0</v>
      </c>
      <c r="E409" s="6" t="str">
        <f t="shared" si="13"/>
        <v/>
      </c>
    </row>
    <row r="410" spans="3:5" x14ac:dyDescent="0.3">
      <c r="C410" s="9">
        <f>_xlfn.XLOOKUP(Log!A410, 'Daily Summary'!A:A, 'Daily Summary'!D:D, "Not found!")</f>
        <v>0</v>
      </c>
      <c r="E410" s="6" t="str">
        <f t="shared" si="13"/>
        <v/>
      </c>
    </row>
    <row r="411" spans="3:5" x14ac:dyDescent="0.3">
      <c r="C411" s="9">
        <f>_xlfn.XLOOKUP(Log!A411, 'Daily Summary'!A:A, 'Daily Summary'!D:D, "Not found!")</f>
        <v>0</v>
      </c>
      <c r="E411" s="6" t="str">
        <f t="shared" si="13"/>
        <v/>
      </c>
    </row>
    <row r="412" spans="3:5" x14ac:dyDescent="0.3">
      <c r="C412" s="9">
        <f>_xlfn.XLOOKUP(Log!A412, 'Daily Summary'!A:A, 'Daily Summary'!D:D, "Not found!")</f>
        <v>0</v>
      </c>
      <c r="E412" s="6" t="str">
        <f t="shared" si="13"/>
        <v/>
      </c>
    </row>
    <row r="413" spans="3:5" x14ac:dyDescent="0.3">
      <c r="C413" s="9">
        <f>_xlfn.XLOOKUP(Log!A413, 'Daily Summary'!A:A, 'Daily Summary'!D:D, "Not found!")</f>
        <v>0</v>
      </c>
      <c r="E413" s="6" t="str">
        <f t="shared" si="13"/>
        <v/>
      </c>
    </row>
    <row r="414" spans="3:5" x14ac:dyDescent="0.3">
      <c r="C414" s="9">
        <f>_xlfn.XLOOKUP(Log!A414, 'Daily Summary'!A:A, 'Daily Summary'!D:D, "Not found!")</f>
        <v>0</v>
      </c>
      <c r="E414" s="6" t="str">
        <f t="shared" si="13"/>
        <v/>
      </c>
    </row>
    <row r="415" spans="3:5" x14ac:dyDescent="0.3">
      <c r="C415" s="9">
        <f>_xlfn.XLOOKUP(Log!A415, 'Daily Summary'!A:A, 'Daily Summary'!D:D, "Not found!")</f>
        <v>0</v>
      </c>
      <c r="E415" s="6" t="str">
        <f t="shared" si="13"/>
        <v/>
      </c>
    </row>
    <row r="416" spans="3:5" x14ac:dyDescent="0.3">
      <c r="C416" s="9">
        <f>_xlfn.XLOOKUP(Log!A416, 'Daily Summary'!A:A, 'Daily Summary'!D:D, "Not found!")</f>
        <v>0</v>
      </c>
      <c r="E416" s="6" t="str">
        <f t="shared" si="13"/>
        <v/>
      </c>
    </row>
    <row r="417" spans="3:5" x14ac:dyDescent="0.3">
      <c r="C417" s="9">
        <f>_xlfn.XLOOKUP(Log!A417, 'Daily Summary'!A:A, 'Daily Summary'!D:D, "Not found!")</f>
        <v>0</v>
      </c>
      <c r="E417" s="6" t="str">
        <f t="shared" si="13"/>
        <v/>
      </c>
    </row>
    <row r="418" spans="3:5" x14ac:dyDescent="0.3">
      <c r="C418" s="9">
        <f>_xlfn.XLOOKUP(Log!A418, 'Daily Summary'!A:A, 'Daily Summary'!D:D, "Not found!")</f>
        <v>0</v>
      </c>
      <c r="E418" s="6" t="str">
        <f t="shared" si="13"/>
        <v/>
      </c>
    </row>
    <row r="419" spans="3:5" x14ac:dyDescent="0.3">
      <c r="C419" s="9">
        <f>_xlfn.XLOOKUP(Log!A419, 'Daily Summary'!A:A, 'Daily Summary'!D:D, "Not found!")</f>
        <v>0</v>
      </c>
      <c r="E419" s="6" t="str">
        <f t="shared" si="13"/>
        <v/>
      </c>
    </row>
    <row r="420" spans="3:5" x14ac:dyDescent="0.3">
      <c r="C420" s="9">
        <f>_xlfn.XLOOKUP(Log!A420, 'Daily Summary'!A:A, 'Daily Summary'!D:D, "Not found!")</f>
        <v>0</v>
      </c>
      <c r="E420" s="6" t="str">
        <f t="shared" si="13"/>
        <v/>
      </c>
    </row>
    <row r="421" spans="3:5" x14ac:dyDescent="0.3">
      <c r="C421" s="9">
        <f>_xlfn.XLOOKUP(Log!A421, 'Daily Summary'!A:A, 'Daily Summary'!D:D, "Not found!")</f>
        <v>0</v>
      </c>
      <c r="E421" s="6" t="str">
        <f t="shared" si="13"/>
        <v/>
      </c>
    </row>
    <row r="422" spans="3:5" x14ac:dyDescent="0.3">
      <c r="C422" s="9">
        <f>_xlfn.XLOOKUP(Log!A422, 'Daily Summary'!A:A, 'Daily Summary'!D:D, "Not found!")</f>
        <v>0</v>
      </c>
      <c r="E422" s="6" t="str">
        <f t="shared" si="13"/>
        <v/>
      </c>
    </row>
    <row r="423" spans="3:5" x14ac:dyDescent="0.3">
      <c r="C423" s="9">
        <f>_xlfn.XLOOKUP(Log!A423, 'Daily Summary'!A:A, 'Daily Summary'!D:D, "Not found!")</f>
        <v>0</v>
      </c>
      <c r="E423" s="6" t="str">
        <f t="shared" si="13"/>
        <v/>
      </c>
    </row>
    <row r="424" spans="3:5" x14ac:dyDescent="0.3">
      <c r="C424" s="9">
        <f>_xlfn.XLOOKUP(Log!A424, 'Daily Summary'!A:A, 'Daily Summary'!D:D, "Not found!")</f>
        <v>0</v>
      </c>
      <c r="E424" s="6" t="str">
        <f t="shared" si="13"/>
        <v/>
      </c>
    </row>
    <row r="425" spans="3:5" x14ac:dyDescent="0.3">
      <c r="C425" s="9">
        <f>_xlfn.XLOOKUP(Log!A425, 'Daily Summary'!A:A, 'Daily Summary'!D:D, "Not found!")</f>
        <v>0</v>
      </c>
      <c r="E425" s="6" t="str">
        <f t="shared" si="13"/>
        <v/>
      </c>
    </row>
    <row r="426" spans="3:5" x14ac:dyDescent="0.3">
      <c r="C426" s="9">
        <f>_xlfn.XLOOKUP(Log!A426, 'Daily Summary'!A:A, 'Daily Summary'!D:D, "Not found!")</f>
        <v>0</v>
      </c>
      <c r="E426" s="6" t="str">
        <f t="shared" si="13"/>
        <v/>
      </c>
    </row>
    <row r="427" spans="3:5" x14ac:dyDescent="0.3">
      <c r="C427" s="9">
        <f>_xlfn.XLOOKUP(Log!A427, 'Daily Summary'!A:A, 'Daily Summary'!D:D, "Not found!")</f>
        <v>0</v>
      </c>
      <c r="E427" s="6" t="str">
        <f t="shared" si="13"/>
        <v/>
      </c>
    </row>
    <row r="428" spans="3:5" x14ac:dyDescent="0.3">
      <c r="C428" s="9">
        <f>_xlfn.XLOOKUP(Log!A428, 'Daily Summary'!A:A, 'Daily Summary'!D:D, "Not found!")</f>
        <v>0</v>
      </c>
      <c r="E428" s="6" t="str">
        <f t="shared" si="13"/>
        <v/>
      </c>
    </row>
    <row r="429" spans="3:5" x14ac:dyDescent="0.3">
      <c r="C429" s="9">
        <f>_xlfn.XLOOKUP(Log!A429, 'Daily Summary'!A:A, 'Daily Summary'!D:D, "Not found!")</f>
        <v>0</v>
      </c>
      <c r="E429" s="6" t="str">
        <f t="shared" si="13"/>
        <v/>
      </c>
    </row>
    <row r="430" spans="3:5" x14ac:dyDescent="0.3">
      <c r="C430" s="9">
        <f>_xlfn.XLOOKUP(Log!A430, 'Daily Summary'!A:A, 'Daily Summary'!D:D, "Not found!")</f>
        <v>0</v>
      </c>
      <c r="E430" s="6" t="str">
        <f t="shared" si="13"/>
        <v/>
      </c>
    </row>
    <row r="431" spans="3:5" x14ac:dyDescent="0.3">
      <c r="C431" s="9">
        <f>_xlfn.XLOOKUP(Log!A431, 'Daily Summary'!A:A, 'Daily Summary'!D:D, "Not found!")</f>
        <v>0</v>
      </c>
      <c r="E431" s="6" t="str">
        <f t="shared" si="13"/>
        <v/>
      </c>
    </row>
    <row r="432" spans="3:5" x14ac:dyDescent="0.3">
      <c r="C432" s="9">
        <f>_xlfn.XLOOKUP(Log!A432, 'Daily Summary'!A:A, 'Daily Summary'!D:D, "Not found!")</f>
        <v>0</v>
      </c>
      <c r="E432" s="6" t="str">
        <f t="shared" si="13"/>
        <v/>
      </c>
    </row>
    <row r="433" spans="3:5" x14ac:dyDescent="0.3">
      <c r="C433" s="9">
        <f>_xlfn.XLOOKUP(Log!A433, 'Daily Summary'!A:A, 'Daily Summary'!D:D, "Not found!")</f>
        <v>0</v>
      </c>
      <c r="E433" s="6" t="str">
        <f t="shared" si="13"/>
        <v/>
      </c>
    </row>
    <row r="434" spans="3:5" x14ac:dyDescent="0.3">
      <c r="C434" s="9">
        <f>_xlfn.XLOOKUP(Log!A434, 'Daily Summary'!A:A, 'Daily Summary'!D:D, "Not found!")</f>
        <v>0</v>
      </c>
      <c r="E434" s="6" t="str">
        <f t="shared" si="13"/>
        <v/>
      </c>
    </row>
    <row r="435" spans="3:5" x14ac:dyDescent="0.3">
      <c r="C435" s="9">
        <f>_xlfn.XLOOKUP(Log!A435, 'Daily Summary'!A:A, 'Daily Summary'!D:D, "Not found!")</f>
        <v>0</v>
      </c>
      <c r="E435" s="6" t="str">
        <f t="shared" si="13"/>
        <v/>
      </c>
    </row>
    <row r="436" spans="3:5" x14ac:dyDescent="0.3">
      <c r="C436" s="9">
        <f>_xlfn.XLOOKUP(Log!A436, 'Daily Summary'!A:A, 'Daily Summary'!D:D, "Not found!")</f>
        <v>0</v>
      </c>
      <c r="E436" s="6" t="str">
        <f t="shared" si="13"/>
        <v/>
      </c>
    </row>
    <row r="437" spans="3:5" x14ac:dyDescent="0.3">
      <c r="C437" s="9">
        <f>_xlfn.XLOOKUP(Log!A437, 'Daily Summary'!A:A, 'Daily Summary'!D:D, "Not found!")</f>
        <v>0</v>
      </c>
      <c r="E437" s="6" t="str">
        <f t="shared" si="13"/>
        <v/>
      </c>
    </row>
    <row r="438" spans="3:5" x14ac:dyDescent="0.3">
      <c r="C438" s="9">
        <f>_xlfn.XLOOKUP(Log!A438, 'Daily Summary'!A:A, 'Daily Summary'!D:D, "Not found!")</f>
        <v>0</v>
      </c>
      <c r="E438" s="6" t="str">
        <f t="shared" si="13"/>
        <v/>
      </c>
    </row>
    <row r="439" spans="3:5" x14ac:dyDescent="0.3">
      <c r="C439" s="9">
        <f>_xlfn.XLOOKUP(Log!A439, 'Daily Summary'!A:A, 'Daily Summary'!D:D, "Not found!")</f>
        <v>0</v>
      </c>
      <c r="E439" s="6" t="str">
        <f t="shared" si="13"/>
        <v/>
      </c>
    </row>
    <row r="440" spans="3:5" x14ac:dyDescent="0.3">
      <c r="C440" s="9">
        <f>_xlfn.XLOOKUP(Log!A440, 'Daily Summary'!A:A, 'Daily Summary'!D:D, "Not found!")</f>
        <v>0</v>
      </c>
      <c r="E440" s="6" t="str">
        <f t="shared" si="13"/>
        <v/>
      </c>
    </row>
    <row r="441" spans="3:5" x14ac:dyDescent="0.3">
      <c r="C441" s="9">
        <f>_xlfn.XLOOKUP(Log!A441, 'Daily Summary'!A:A, 'Daily Summary'!D:D, "Not found!")</f>
        <v>0</v>
      </c>
      <c r="E441" s="6" t="str">
        <f t="shared" si="13"/>
        <v/>
      </c>
    </row>
    <row r="442" spans="3:5" x14ac:dyDescent="0.3">
      <c r="C442" s="9">
        <f>_xlfn.XLOOKUP(Log!A442, 'Daily Summary'!A:A, 'Daily Summary'!D:D, "Not found!")</f>
        <v>0</v>
      </c>
      <c r="E442" s="6" t="str">
        <f t="shared" si="13"/>
        <v/>
      </c>
    </row>
    <row r="443" spans="3:5" x14ac:dyDescent="0.3">
      <c r="C443" s="9">
        <f>_xlfn.XLOOKUP(Log!A443, 'Daily Summary'!A:A, 'Daily Summary'!D:D, "Not found!")</f>
        <v>0</v>
      </c>
      <c r="E443" s="6" t="str">
        <f t="shared" si="13"/>
        <v/>
      </c>
    </row>
    <row r="444" spans="3:5" x14ac:dyDescent="0.3">
      <c r="C444" s="9">
        <f>_xlfn.XLOOKUP(Log!A444, 'Daily Summary'!A:A, 'Daily Summary'!D:D, "Not found!")</f>
        <v>0</v>
      </c>
      <c r="E444" s="6" t="str">
        <f t="shared" si="13"/>
        <v/>
      </c>
    </row>
    <row r="445" spans="3:5" x14ac:dyDescent="0.3">
      <c r="C445" s="9">
        <f>_xlfn.XLOOKUP(Log!A445, 'Daily Summary'!A:A, 'Daily Summary'!D:D, "Not found!")</f>
        <v>0</v>
      </c>
      <c r="E445" s="6" t="str">
        <f t="shared" si="13"/>
        <v/>
      </c>
    </row>
    <row r="446" spans="3:5" x14ac:dyDescent="0.3">
      <c r="C446" s="9">
        <f>_xlfn.XLOOKUP(Log!A446, 'Daily Summary'!A:A, 'Daily Summary'!D:D, "Not found!")</f>
        <v>0</v>
      </c>
      <c r="E446" s="6" t="str">
        <f t="shared" si="13"/>
        <v/>
      </c>
    </row>
    <row r="447" spans="3:5" x14ac:dyDescent="0.3">
      <c r="C447" s="9">
        <f>_xlfn.XLOOKUP(Log!A447, 'Daily Summary'!A:A, 'Daily Summary'!D:D, "Not found!")</f>
        <v>0</v>
      </c>
      <c r="E447" s="6" t="str">
        <f t="shared" si="13"/>
        <v/>
      </c>
    </row>
    <row r="448" spans="3:5" x14ac:dyDescent="0.3">
      <c r="C448" s="9">
        <f>_xlfn.XLOOKUP(Log!A448, 'Daily Summary'!A:A, 'Daily Summary'!D:D, "Not found!")</f>
        <v>0</v>
      </c>
      <c r="E448" s="6" t="str">
        <f t="shared" si="13"/>
        <v/>
      </c>
    </row>
    <row r="449" spans="3:5" x14ac:dyDescent="0.3">
      <c r="C449" s="9">
        <f>_xlfn.XLOOKUP(Log!A449, 'Daily Summary'!A:A, 'Daily Summary'!D:D, "Not found!")</f>
        <v>0</v>
      </c>
      <c r="E449" s="6" t="str">
        <f t="shared" si="13"/>
        <v/>
      </c>
    </row>
    <row r="450" spans="3:5" x14ac:dyDescent="0.3">
      <c r="C450" s="9">
        <f>_xlfn.XLOOKUP(Log!A450, 'Daily Summary'!A:A, 'Daily Summary'!D:D, "Not found!")</f>
        <v>0</v>
      </c>
      <c r="E450" s="6" t="str">
        <f t="shared" si="13"/>
        <v/>
      </c>
    </row>
    <row r="451" spans="3:5" x14ac:dyDescent="0.3">
      <c r="C451" s="9">
        <f>_xlfn.XLOOKUP(Log!A451, 'Daily Summary'!A:A, 'Daily Summary'!D:D, "Not found!")</f>
        <v>0</v>
      </c>
      <c r="E451" s="6" t="str">
        <f t="shared" si="13"/>
        <v/>
      </c>
    </row>
    <row r="452" spans="3:5" x14ac:dyDescent="0.3">
      <c r="C452" s="9">
        <f>_xlfn.XLOOKUP(Log!A452, 'Daily Summary'!A:A, 'Daily Summary'!D:D, "Not found!")</f>
        <v>0</v>
      </c>
      <c r="E452" s="6" t="str">
        <f t="shared" si="13"/>
        <v/>
      </c>
    </row>
    <row r="453" spans="3:5" x14ac:dyDescent="0.3">
      <c r="C453" s="9">
        <f>_xlfn.XLOOKUP(Log!A453, 'Daily Summary'!A:A, 'Daily Summary'!D:D, "Not found!")</f>
        <v>0</v>
      </c>
      <c r="E453" s="6" t="str">
        <f t="shared" si="13"/>
        <v/>
      </c>
    </row>
    <row r="454" spans="3:5" x14ac:dyDescent="0.3">
      <c r="C454" s="9">
        <f>_xlfn.XLOOKUP(Log!A454, 'Daily Summary'!A:A, 'Daily Summary'!D:D, "Not found!")</f>
        <v>0</v>
      </c>
      <c r="E454" s="6" t="str">
        <f t="shared" si="13"/>
        <v/>
      </c>
    </row>
    <row r="455" spans="3:5" x14ac:dyDescent="0.3">
      <c r="C455" s="9">
        <f>_xlfn.XLOOKUP(Log!A455, 'Daily Summary'!A:A, 'Daily Summary'!D:D, "Not found!")</f>
        <v>0</v>
      </c>
      <c r="E455" s="6" t="str">
        <f t="shared" si="13"/>
        <v/>
      </c>
    </row>
    <row r="456" spans="3:5" x14ac:dyDescent="0.3">
      <c r="C456" s="9">
        <f>_xlfn.XLOOKUP(Log!A456, 'Daily Summary'!A:A, 'Daily Summary'!D:D, "Not found!")</f>
        <v>0</v>
      </c>
      <c r="E456" s="6" t="str">
        <f t="shared" si="13"/>
        <v/>
      </c>
    </row>
    <row r="457" spans="3:5" x14ac:dyDescent="0.3">
      <c r="C457" s="9">
        <f>_xlfn.XLOOKUP(Log!A457, 'Daily Summary'!A:A, 'Daily Summary'!D:D, "Not found!")</f>
        <v>0</v>
      </c>
      <c r="E457" s="6" t="str">
        <f t="shared" si="13"/>
        <v/>
      </c>
    </row>
    <row r="458" spans="3:5" x14ac:dyDescent="0.3">
      <c r="C458" s="9">
        <f>_xlfn.XLOOKUP(Log!A458, 'Daily Summary'!A:A, 'Daily Summary'!D:D, "Not found!")</f>
        <v>0</v>
      </c>
      <c r="E458" s="6" t="str">
        <f t="shared" si="13"/>
        <v/>
      </c>
    </row>
    <row r="459" spans="3:5" x14ac:dyDescent="0.3">
      <c r="C459" s="9">
        <f>_xlfn.XLOOKUP(Log!A459, 'Daily Summary'!A:A, 'Daily Summary'!D:D, "Not found!")</f>
        <v>0</v>
      </c>
      <c r="E459" s="6" t="str">
        <f t="shared" si="13"/>
        <v/>
      </c>
    </row>
    <row r="460" spans="3:5" x14ac:dyDescent="0.3">
      <c r="C460" s="9">
        <f>_xlfn.XLOOKUP(Log!A460, 'Daily Summary'!A:A, 'Daily Summary'!D:D, "Not found!")</f>
        <v>0</v>
      </c>
      <c r="E460" s="6" t="str">
        <f t="shared" si="13"/>
        <v/>
      </c>
    </row>
    <row r="461" spans="3:5" x14ac:dyDescent="0.3">
      <c r="C461" s="9">
        <f>_xlfn.XLOOKUP(Log!A461, 'Daily Summary'!A:A, 'Daily Summary'!D:D, "Not found!")</f>
        <v>0</v>
      </c>
      <c r="E461" s="6" t="str">
        <f t="shared" si="13"/>
        <v/>
      </c>
    </row>
    <row r="462" spans="3:5" x14ac:dyDescent="0.3">
      <c r="C462" s="9">
        <f>_xlfn.XLOOKUP(Log!A462, 'Daily Summary'!A:A, 'Daily Summary'!D:D, "Not found!")</f>
        <v>0</v>
      </c>
      <c r="E462" s="6" t="str">
        <f t="shared" si="13"/>
        <v/>
      </c>
    </row>
    <row r="463" spans="3:5" x14ac:dyDescent="0.3">
      <c r="C463" s="9">
        <f>_xlfn.XLOOKUP(Log!A463, 'Daily Summary'!A:A, 'Daily Summary'!D:D, "Not found!")</f>
        <v>0</v>
      </c>
      <c r="E463" s="6" t="str">
        <f t="shared" si="13"/>
        <v/>
      </c>
    </row>
    <row r="464" spans="3:5" x14ac:dyDescent="0.3">
      <c r="C464" s="9">
        <f>_xlfn.XLOOKUP(Log!A464, 'Daily Summary'!A:A, 'Daily Summary'!D:D, "Not found!")</f>
        <v>0</v>
      </c>
      <c r="E464" s="6" t="str">
        <f t="shared" si="13"/>
        <v/>
      </c>
    </row>
    <row r="465" spans="3:5" x14ac:dyDescent="0.3">
      <c r="C465" s="9">
        <f>_xlfn.XLOOKUP(Log!A465, 'Daily Summary'!A:A, 'Daily Summary'!D:D, "Not found!")</f>
        <v>0</v>
      </c>
      <c r="E465" s="6" t="str">
        <f t="shared" si="13"/>
        <v/>
      </c>
    </row>
    <row r="466" spans="3:5" x14ac:dyDescent="0.3">
      <c r="C466" s="9">
        <f>_xlfn.XLOOKUP(Log!A466, 'Daily Summary'!A:A, 'Daily Summary'!D:D, "Not found!")</f>
        <v>0</v>
      </c>
      <c r="E466" s="6" t="str">
        <f t="shared" ref="E466:E529" si="14">IF(AND($D466&lt;&gt;"", $C466&lt;&gt;""), ($D466-$C466)*1440, "")</f>
        <v/>
      </c>
    </row>
    <row r="467" spans="3:5" x14ac:dyDescent="0.3">
      <c r="C467" s="9">
        <f>_xlfn.XLOOKUP(Log!A467, 'Daily Summary'!A:A, 'Daily Summary'!D:D, "Not found!")</f>
        <v>0</v>
      </c>
      <c r="E467" s="6" t="str">
        <f t="shared" si="14"/>
        <v/>
      </c>
    </row>
    <row r="468" spans="3:5" x14ac:dyDescent="0.3">
      <c r="C468" s="9">
        <f>_xlfn.XLOOKUP(Log!A468, 'Daily Summary'!A:A, 'Daily Summary'!D:D, "Not found!")</f>
        <v>0</v>
      </c>
      <c r="E468" s="6" t="str">
        <f t="shared" si="14"/>
        <v/>
      </c>
    </row>
    <row r="469" spans="3:5" x14ac:dyDescent="0.3">
      <c r="C469" s="9">
        <f>_xlfn.XLOOKUP(Log!A469, 'Daily Summary'!A:A, 'Daily Summary'!D:D, "Not found!")</f>
        <v>0</v>
      </c>
      <c r="E469" s="6" t="str">
        <f t="shared" si="14"/>
        <v/>
      </c>
    </row>
    <row r="470" spans="3:5" x14ac:dyDescent="0.3">
      <c r="C470" s="9">
        <f>_xlfn.XLOOKUP(Log!A470, 'Daily Summary'!A:A, 'Daily Summary'!D:D, "Not found!")</f>
        <v>0</v>
      </c>
      <c r="E470" s="6" t="str">
        <f t="shared" si="14"/>
        <v/>
      </c>
    </row>
    <row r="471" spans="3:5" x14ac:dyDescent="0.3">
      <c r="C471" s="9">
        <f>_xlfn.XLOOKUP(Log!A471, 'Daily Summary'!A:A, 'Daily Summary'!D:D, "Not found!")</f>
        <v>0</v>
      </c>
      <c r="E471" s="6" t="str">
        <f t="shared" si="14"/>
        <v/>
      </c>
    </row>
    <row r="472" spans="3:5" x14ac:dyDescent="0.3">
      <c r="C472" s="9">
        <f>_xlfn.XLOOKUP(Log!A472, 'Daily Summary'!A:A, 'Daily Summary'!D:D, "Not found!")</f>
        <v>0</v>
      </c>
      <c r="E472" s="6" t="str">
        <f t="shared" si="14"/>
        <v/>
      </c>
    </row>
    <row r="473" spans="3:5" x14ac:dyDescent="0.3">
      <c r="C473" s="9">
        <f>_xlfn.XLOOKUP(Log!A473, 'Daily Summary'!A:A, 'Daily Summary'!D:D, "Not found!")</f>
        <v>0</v>
      </c>
      <c r="E473" s="6" t="str">
        <f t="shared" si="14"/>
        <v/>
      </c>
    </row>
    <row r="474" spans="3:5" x14ac:dyDescent="0.3">
      <c r="C474" s="9">
        <f>_xlfn.XLOOKUP(Log!A474, 'Daily Summary'!A:A, 'Daily Summary'!D:D, "Not found!")</f>
        <v>0</v>
      </c>
      <c r="E474" s="6" t="str">
        <f t="shared" si="14"/>
        <v/>
      </c>
    </row>
    <row r="475" spans="3:5" x14ac:dyDescent="0.3">
      <c r="C475" s="9">
        <f>_xlfn.XLOOKUP(Log!A475, 'Daily Summary'!A:A, 'Daily Summary'!D:D, "Not found!")</f>
        <v>0</v>
      </c>
      <c r="E475" s="6" t="str">
        <f t="shared" si="14"/>
        <v/>
      </c>
    </row>
    <row r="476" spans="3:5" x14ac:dyDescent="0.3">
      <c r="C476" s="9">
        <f>_xlfn.XLOOKUP(Log!A476, 'Daily Summary'!A:A, 'Daily Summary'!D:D, "Not found!")</f>
        <v>0</v>
      </c>
      <c r="E476" s="6" t="str">
        <f t="shared" si="14"/>
        <v/>
      </c>
    </row>
    <row r="477" spans="3:5" x14ac:dyDescent="0.3">
      <c r="C477" s="9">
        <f>_xlfn.XLOOKUP(Log!A477, 'Daily Summary'!A:A, 'Daily Summary'!D:D, "Not found!")</f>
        <v>0</v>
      </c>
      <c r="E477" s="6" t="str">
        <f t="shared" si="14"/>
        <v/>
      </c>
    </row>
    <row r="478" spans="3:5" x14ac:dyDescent="0.3">
      <c r="C478" s="9">
        <f>_xlfn.XLOOKUP(Log!A478, 'Daily Summary'!A:A, 'Daily Summary'!D:D, "Not found!")</f>
        <v>0</v>
      </c>
      <c r="E478" s="6" t="str">
        <f t="shared" si="14"/>
        <v/>
      </c>
    </row>
    <row r="479" spans="3:5" x14ac:dyDescent="0.3">
      <c r="C479" s="9">
        <f>_xlfn.XLOOKUP(Log!A479, 'Daily Summary'!A:A, 'Daily Summary'!D:D, "Not found!")</f>
        <v>0</v>
      </c>
      <c r="E479" s="6" t="str">
        <f t="shared" si="14"/>
        <v/>
      </c>
    </row>
    <row r="480" spans="3:5" x14ac:dyDescent="0.3">
      <c r="C480" s="9">
        <f>_xlfn.XLOOKUP(Log!A480, 'Daily Summary'!A:A, 'Daily Summary'!D:D, "Not found!")</f>
        <v>0</v>
      </c>
      <c r="E480" s="6" t="str">
        <f t="shared" si="14"/>
        <v/>
      </c>
    </row>
    <row r="481" spans="3:5" x14ac:dyDescent="0.3">
      <c r="C481" s="9">
        <f>_xlfn.XLOOKUP(Log!A481, 'Daily Summary'!A:A, 'Daily Summary'!D:D, "Not found!")</f>
        <v>0</v>
      </c>
      <c r="E481" s="6" t="str">
        <f t="shared" si="14"/>
        <v/>
      </c>
    </row>
    <row r="482" spans="3:5" x14ac:dyDescent="0.3">
      <c r="C482" s="9">
        <f>_xlfn.XLOOKUP(Log!A482, 'Daily Summary'!A:A, 'Daily Summary'!D:D, "Not found!")</f>
        <v>0</v>
      </c>
      <c r="E482" s="6" t="str">
        <f t="shared" si="14"/>
        <v/>
      </c>
    </row>
    <row r="483" spans="3:5" x14ac:dyDescent="0.3">
      <c r="C483" s="9">
        <f>_xlfn.XLOOKUP(Log!A483, 'Daily Summary'!A:A, 'Daily Summary'!D:D, "Not found!")</f>
        <v>0</v>
      </c>
      <c r="E483" s="6" t="str">
        <f t="shared" si="14"/>
        <v/>
      </c>
    </row>
    <row r="484" spans="3:5" x14ac:dyDescent="0.3">
      <c r="C484" s="9">
        <f>_xlfn.XLOOKUP(Log!A484, 'Daily Summary'!A:A, 'Daily Summary'!D:D, "Not found!")</f>
        <v>0</v>
      </c>
      <c r="E484" s="6" t="str">
        <f t="shared" si="14"/>
        <v/>
      </c>
    </row>
    <row r="485" spans="3:5" x14ac:dyDescent="0.3">
      <c r="C485" s="9">
        <f>_xlfn.XLOOKUP(Log!A485, 'Daily Summary'!A:A, 'Daily Summary'!D:D, "Not found!")</f>
        <v>0</v>
      </c>
      <c r="E485" s="6" t="str">
        <f t="shared" si="14"/>
        <v/>
      </c>
    </row>
    <row r="486" spans="3:5" x14ac:dyDescent="0.3">
      <c r="C486" s="9">
        <f>_xlfn.XLOOKUP(Log!A486, 'Daily Summary'!A:A, 'Daily Summary'!D:D, "Not found!")</f>
        <v>0</v>
      </c>
      <c r="E486" s="6" t="str">
        <f t="shared" si="14"/>
        <v/>
      </c>
    </row>
    <row r="487" spans="3:5" x14ac:dyDescent="0.3">
      <c r="C487" s="9">
        <f>_xlfn.XLOOKUP(Log!A487, 'Daily Summary'!A:A, 'Daily Summary'!D:D, "Not found!")</f>
        <v>0</v>
      </c>
      <c r="E487" s="6" t="str">
        <f t="shared" si="14"/>
        <v/>
      </c>
    </row>
    <row r="488" spans="3:5" x14ac:dyDescent="0.3">
      <c r="C488" s="9">
        <f>_xlfn.XLOOKUP(Log!A488, 'Daily Summary'!A:A, 'Daily Summary'!D:D, "Not found!")</f>
        <v>0</v>
      </c>
      <c r="E488" s="6" t="str">
        <f t="shared" si="14"/>
        <v/>
      </c>
    </row>
    <row r="489" spans="3:5" x14ac:dyDescent="0.3">
      <c r="C489" s="9">
        <f>_xlfn.XLOOKUP(Log!A489, 'Daily Summary'!A:A, 'Daily Summary'!D:D, "Not found!")</f>
        <v>0</v>
      </c>
      <c r="E489" s="6" t="str">
        <f t="shared" si="14"/>
        <v/>
      </c>
    </row>
    <row r="490" spans="3:5" x14ac:dyDescent="0.3">
      <c r="C490" s="9">
        <f>_xlfn.XLOOKUP(Log!A490, 'Daily Summary'!A:A, 'Daily Summary'!D:D, "Not found!")</f>
        <v>0</v>
      </c>
      <c r="E490" s="6" t="str">
        <f t="shared" si="14"/>
        <v/>
      </c>
    </row>
    <row r="491" spans="3:5" x14ac:dyDescent="0.3">
      <c r="C491" s="9">
        <f>_xlfn.XLOOKUP(Log!A491, 'Daily Summary'!A:A, 'Daily Summary'!D:D, "Not found!")</f>
        <v>0</v>
      </c>
      <c r="E491" s="6" t="str">
        <f t="shared" si="14"/>
        <v/>
      </c>
    </row>
    <row r="492" spans="3:5" x14ac:dyDescent="0.3">
      <c r="C492" s="9">
        <f>_xlfn.XLOOKUP(Log!A492, 'Daily Summary'!A:A, 'Daily Summary'!D:D, "Not found!")</f>
        <v>0</v>
      </c>
      <c r="E492" s="6" t="str">
        <f t="shared" si="14"/>
        <v/>
      </c>
    </row>
    <row r="493" spans="3:5" x14ac:dyDescent="0.3">
      <c r="C493" s="9">
        <f>_xlfn.XLOOKUP(Log!A493, 'Daily Summary'!A:A, 'Daily Summary'!D:D, "Not found!")</f>
        <v>0</v>
      </c>
      <c r="E493" s="6" t="str">
        <f t="shared" si="14"/>
        <v/>
      </c>
    </row>
    <row r="494" spans="3:5" x14ac:dyDescent="0.3">
      <c r="C494" s="9">
        <f>_xlfn.XLOOKUP(Log!A494, 'Daily Summary'!A:A, 'Daily Summary'!D:D, "Not found!")</f>
        <v>0</v>
      </c>
      <c r="E494" s="6" t="str">
        <f t="shared" si="14"/>
        <v/>
      </c>
    </row>
    <row r="495" spans="3:5" x14ac:dyDescent="0.3">
      <c r="C495" s="9">
        <f>_xlfn.XLOOKUP(Log!A495, 'Daily Summary'!A:A, 'Daily Summary'!D:D, "Not found!")</f>
        <v>0</v>
      </c>
      <c r="E495" s="6" t="str">
        <f t="shared" si="14"/>
        <v/>
      </c>
    </row>
    <row r="496" spans="3:5" x14ac:dyDescent="0.3">
      <c r="C496" s="9">
        <f>_xlfn.XLOOKUP(Log!A496, 'Daily Summary'!A:A, 'Daily Summary'!D:D, "Not found!")</f>
        <v>0</v>
      </c>
      <c r="E496" s="6" t="str">
        <f t="shared" si="14"/>
        <v/>
      </c>
    </row>
    <row r="497" spans="3:5" x14ac:dyDescent="0.3">
      <c r="C497" s="9">
        <f>_xlfn.XLOOKUP(Log!A497, 'Daily Summary'!A:A, 'Daily Summary'!D:D, "Not found!")</f>
        <v>0</v>
      </c>
      <c r="E497" s="6" t="str">
        <f t="shared" si="14"/>
        <v/>
      </c>
    </row>
    <row r="498" spans="3:5" x14ac:dyDescent="0.3">
      <c r="C498" s="9">
        <f>_xlfn.XLOOKUP(Log!A498, 'Daily Summary'!A:A, 'Daily Summary'!D:D, "Not found!")</f>
        <v>0</v>
      </c>
      <c r="E498" s="6" t="str">
        <f t="shared" si="14"/>
        <v/>
      </c>
    </row>
    <row r="499" spans="3:5" x14ac:dyDescent="0.3">
      <c r="C499" s="9">
        <f>_xlfn.XLOOKUP(Log!A499, 'Daily Summary'!A:A, 'Daily Summary'!D:D, "Not found!")</f>
        <v>0</v>
      </c>
      <c r="E499" s="6" t="str">
        <f t="shared" si="14"/>
        <v/>
      </c>
    </row>
    <row r="500" spans="3:5" x14ac:dyDescent="0.3">
      <c r="C500" s="9">
        <f>_xlfn.XLOOKUP(Log!A500, 'Daily Summary'!A:A, 'Daily Summary'!D:D, "Not found!")</f>
        <v>0</v>
      </c>
      <c r="E500" s="6" t="str">
        <f t="shared" si="14"/>
        <v/>
      </c>
    </row>
    <row r="501" spans="3:5" x14ac:dyDescent="0.3">
      <c r="C501" s="9">
        <f>_xlfn.XLOOKUP(Log!A501, 'Daily Summary'!A:A, 'Daily Summary'!D:D, "Not found!")</f>
        <v>0</v>
      </c>
      <c r="E501" s="6" t="str">
        <f t="shared" si="14"/>
        <v/>
      </c>
    </row>
    <row r="502" spans="3:5" x14ac:dyDescent="0.3">
      <c r="C502" s="9">
        <f>_xlfn.XLOOKUP(Log!A502, 'Daily Summary'!A:A, 'Daily Summary'!D:D, "Not found!")</f>
        <v>0</v>
      </c>
      <c r="E502" s="6" t="str">
        <f t="shared" si="14"/>
        <v/>
      </c>
    </row>
    <row r="503" spans="3:5" x14ac:dyDescent="0.3">
      <c r="C503" s="9">
        <f>_xlfn.XLOOKUP(Log!A503, 'Daily Summary'!A:A, 'Daily Summary'!D:D, "Not found!")</f>
        <v>0</v>
      </c>
      <c r="E503" s="6" t="str">
        <f t="shared" si="14"/>
        <v/>
      </c>
    </row>
    <row r="504" spans="3:5" x14ac:dyDescent="0.3">
      <c r="C504" s="9">
        <f>_xlfn.XLOOKUP(Log!A504, 'Daily Summary'!A:A, 'Daily Summary'!D:D, "Not found!")</f>
        <v>0</v>
      </c>
      <c r="E504" s="6" t="str">
        <f t="shared" si="14"/>
        <v/>
      </c>
    </row>
    <row r="505" spans="3:5" x14ac:dyDescent="0.3">
      <c r="C505" s="9">
        <f>_xlfn.XLOOKUP(Log!A505, 'Daily Summary'!A:A, 'Daily Summary'!D:D, "Not found!")</f>
        <v>0</v>
      </c>
      <c r="E505" s="6" t="str">
        <f t="shared" si="14"/>
        <v/>
      </c>
    </row>
    <row r="506" spans="3:5" x14ac:dyDescent="0.3">
      <c r="E506" s="6" t="str">
        <f t="shared" si="14"/>
        <v/>
      </c>
    </row>
    <row r="507" spans="3:5" x14ac:dyDescent="0.3">
      <c r="E507" s="6" t="str">
        <f t="shared" si="14"/>
        <v/>
      </c>
    </row>
    <row r="508" spans="3:5" x14ac:dyDescent="0.3">
      <c r="E508" s="6" t="str">
        <f t="shared" si="14"/>
        <v/>
      </c>
    </row>
    <row r="509" spans="3:5" x14ac:dyDescent="0.3">
      <c r="E509" s="6" t="str">
        <f t="shared" si="14"/>
        <v/>
      </c>
    </row>
    <row r="510" spans="3:5" x14ac:dyDescent="0.3">
      <c r="E510" s="6" t="str">
        <f t="shared" si="14"/>
        <v/>
      </c>
    </row>
    <row r="511" spans="3:5" x14ac:dyDescent="0.3">
      <c r="E511" s="6" t="str">
        <f t="shared" si="14"/>
        <v/>
      </c>
    </row>
    <row r="512" spans="3:5" x14ac:dyDescent="0.3">
      <c r="E512" s="6" t="str">
        <f t="shared" si="14"/>
        <v/>
      </c>
    </row>
    <row r="513" spans="5:5" x14ac:dyDescent="0.3">
      <c r="E513" s="6" t="str">
        <f t="shared" si="14"/>
        <v/>
      </c>
    </row>
    <row r="514" spans="5:5" x14ac:dyDescent="0.3">
      <c r="E514" s="6" t="str">
        <f t="shared" si="14"/>
        <v/>
      </c>
    </row>
    <row r="515" spans="5:5" x14ac:dyDescent="0.3">
      <c r="E515" s="6" t="str">
        <f t="shared" si="14"/>
        <v/>
      </c>
    </row>
    <row r="516" spans="5:5" x14ac:dyDescent="0.3">
      <c r="E516" s="6" t="str">
        <f t="shared" si="14"/>
        <v/>
      </c>
    </row>
    <row r="517" spans="5:5" x14ac:dyDescent="0.3">
      <c r="E517" s="6" t="str">
        <f t="shared" si="14"/>
        <v/>
      </c>
    </row>
    <row r="518" spans="5:5" x14ac:dyDescent="0.3">
      <c r="E518" s="6" t="str">
        <f t="shared" si="14"/>
        <v/>
      </c>
    </row>
    <row r="519" spans="5:5" x14ac:dyDescent="0.3">
      <c r="E519" s="6" t="str">
        <f t="shared" si="14"/>
        <v/>
      </c>
    </row>
    <row r="520" spans="5:5" x14ac:dyDescent="0.3">
      <c r="E520" s="6" t="str">
        <f t="shared" si="14"/>
        <v/>
      </c>
    </row>
    <row r="521" spans="5:5" x14ac:dyDescent="0.3">
      <c r="E521" s="6" t="str">
        <f t="shared" si="14"/>
        <v/>
      </c>
    </row>
    <row r="522" spans="5:5" x14ac:dyDescent="0.3">
      <c r="E522" s="6" t="str">
        <f t="shared" si="14"/>
        <v/>
      </c>
    </row>
    <row r="523" spans="5:5" x14ac:dyDescent="0.3">
      <c r="E523" s="6" t="str">
        <f t="shared" si="14"/>
        <v/>
      </c>
    </row>
    <row r="524" spans="5:5" x14ac:dyDescent="0.3">
      <c r="E524" s="6" t="str">
        <f t="shared" si="14"/>
        <v/>
      </c>
    </row>
    <row r="525" spans="5:5" x14ac:dyDescent="0.3">
      <c r="E525" s="6" t="str">
        <f t="shared" si="14"/>
        <v/>
      </c>
    </row>
    <row r="526" spans="5:5" x14ac:dyDescent="0.3">
      <c r="E526" s="6" t="str">
        <f t="shared" si="14"/>
        <v/>
      </c>
    </row>
    <row r="527" spans="5:5" x14ac:dyDescent="0.3">
      <c r="E527" s="6" t="str">
        <f t="shared" si="14"/>
        <v/>
      </c>
    </row>
    <row r="528" spans="5:5" x14ac:dyDescent="0.3">
      <c r="E528" s="6" t="str">
        <f t="shared" si="14"/>
        <v/>
      </c>
    </row>
    <row r="529" spans="5:5" x14ac:dyDescent="0.3">
      <c r="E529" s="6" t="str">
        <f t="shared" si="14"/>
        <v/>
      </c>
    </row>
    <row r="530" spans="5:5" x14ac:dyDescent="0.3">
      <c r="E530" s="6" t="str">
        <f t="shared" ref="E530:E593" si="15">IF(AND($D530&lt;&gt;"", $C530&lt;&gt;""), ($D530-$C530)*1440, "")</f>
        <v/>
      </c>
    </row>
    <row r="531" spans="5:5" x14ac:dyDescent="0.3">
      <c r="E531" s="6" t="str">
        <f t="shared" si="15"/>
        <v/>
      </c>
    </row>
    <row r="532" spans="5:5" x14ac:dyDescent="0.3">
      <c r="E532" s="6" t="str">
        <f t="shared" si="15"/>
        <v/>
      </c>
    </row>
    <row r="533" spans="5:5" x14ac:dyDescent="0.3">
      <c r="E533" s="6" t="str">
        <f t="shared" si="15"/>
        <v/>
      </c>
    </row>
    <row r="534" spans="5:5" x14ac:dyDescent="0.3">
      <c r="E534" s="6" t="str">
        <f t="shared" si="15"/>
        <v/>
      </c>
    </row>
    <row r="535" spans="5:5" x14ac:dyDescent="0.3">
      <c r="E535" s="6" t="str">
        <f t="shared" si="15"/>
        <v/>
      </c>
    </row>
    <row r="536" spans="5:5" x14ac:dyDescent="0.3">
      <c r="E536" s="6" t="str">
        <f t="shared" si="15"/>
        <v/>
      </c>
    </row>
    <row r="537" spans="5:5" x14ac:dyDescent="0.3">
      <c r="E537" s="6" t="str">
        <f t="shared" si="15"/>
        <v/>
      </c>
    </row>
    <row r="538" spans="5:5" x14ac:dyDescent="0.3">
      <c r="E538" s="6" t="str">
        <f t="shared" si="15"/>
        <v/>
      </c>
    </row>
    <row r="539" spans="5:5" x14ac:dyDescent="0.3">
      <c r="E539" s="6" t="str">
        <f t="shared" si="15"/>
        <v/>
      </c>
    </row>
    <row r="540" spans="5:5" x14ac:dyDescent="0.3">
      <c r="E540" s="6" t="str">
        <f t="shared" si="15"/>
        <v/>
      </c>
    </row>
    <row r="541" spans="5:5" x14ac:dyDescent="0.3">
      <c r="E541" s="6" t="str">
        <f t="shared" si="15"/>
        <v/>
      </c>
    </row>
    <row r="542" spans="5:5" x14ac:dyDescent="0.3">
      <c r="E542" s="6" t="str">
        <f t="shared" si="15"/>
        <v/>
      </c>
    </row>
    <row r="543" spans="5:5" x14ac:dyDescent="0.3">
      <c r="E543" s="6" t="str">
        <f t="shared" si="15"/>
        <v/>
      </c>
    </row>
    <row r="544" spans="5:5" x14ac:dyDescent="0.3">
      <c r="E544" s="6" t="str">
        <f t="shared" si="15"/>
        <v/>
      </c>
    </row>
    <row r="545" spans="5:5" x14ac:dyDescent="0.3">
      <c r="E545" s="6" t="str">
        <f t="shared" si="15"/>
        <v/>
      </c>
    </row>
    <row r="546" spans="5:5" x14ac:dyDescent="0.3">
      <c r="E546" s="6" t="str">
        <f t="shared" si="15"/>
        <v/>
      </c>
    </row>
    <row r="547" spans="5:5" x14ac:dyDescent="0.3">
      <c r="E547" s="6" t="str">
        <f t="shared" si="15"/>
        <v/>
      </c>
    </row>
    <row r="548" spans="5:5" x14ac:dyDescent="0.3">
      <c r="E548" s="6" t="str">
        <f t="shared" si="15"/>
        <v/>
      </c>
    </row>
    <row r="549" spans="5:5" x14ac:dyDescent="0.3">
      <c r="E549" s="6" t="str">
        <f t="shared" si="15"/>
        <v/>
      </c>
    </row>
    <row r="550" spans="5:5" x14ac:dyDescent="0.3">
      <c r="E550" s="6" t="str">
        <f t="shared" si="15"/>
        <v/>
      </c>
    </row>
    <row r="551" spans="5:5" x14ac:dyDescent="0.3">
      <c r="E551" s="6" t="str">
        <f t="shared" si="15"/>
        <v/>
      </c>
    </row>
    <row r="552" spans="5:5" x14ac:dyDescent="0.3">
      <c r="E552" s="6" t="str">
        <f t="shared" si="15"/>
        <v/>
      </c>
    </row>
    <row r="553" spans="5:5" x14ac:dyDescent="0.3">
      <c r="E553" s="6" t="str">
        <f t="shared" si="15"/>
        <v/>
      </c>
    </row>
    <row r="554" spans="5:5" x14ac:dyDescent="0.3">
      <c r="E554" s="6" t="str">
        <f t="shared" si="15"/>
        <v/>
      </c>
    </row>
    <row r="555" spans="5:5" x14ac:dyDescent="0.3">
      <c r="E555" s="6" t="str">
        <f t="shared" si="15"/>
        <v/>
      </c>
    </row>
    <row r="556" spans="5:5" x14ac:dyDescent="0.3">
      <c r="E556" s="6" t="str">
        <f t="shared" si="15"/>
        <v/>
      </c>
    </row>
    <row r="557" spans="5:5" x14ac:dyDescent="0.3">
      <c r="E557" s="6" t="str">
        <f t="shared" si="15"/>
        <v/>
      </c>
    </row>
    <row r="558" spans="5:5" x14ac:dyDescent="0.3">
      <c r="E558" s="6" t="str">
        <f t="shared" si="15"/>
        <v/>
      </c>
    </row>
    <row r="559" spans="5:5" x14ac:dyDescent="0.3">
      <c r="E559" s="6" t="str">
        <f t="shared" si="15"/>
        <v/>
      </c>
    </row>
    <row r="560" spans="5:5" x14ac:dyDescent="0.3">
      <c r="E560" s="6" t="str">
        <f t="shared" si="15"/>
        <v/>
      </c>
    </row>
    <row r="561" spans="5:5" x14ac:dyDescent="0.3">
      <c r="E561" s="6" t="str">
        <f t="shared" si="15"/>
        <v/>
      </c>
    </row>
    <row r="562" spans="5:5" x14ac:dyDescent="0.3">
      <c r="E562" s="6" t="str">
        <f t="shared" si="15"/>
        <v/>
      </c>
    </row>
    <row r="563" spans="5:5" x14ac:dyDescent="0.3">
      <c r="E563" s="6" t="str">
        <f t="shared" si="15"/>
        <v/>
      </c>
    </row>
    <row r="564" spans="5:5" x14ac:dyDescent="0.3">
      <c r="E564" s="6" t="str">
        <f t="shared" si="15"/>
        <v/>
      </c>
    </row>
    <row r="565" spans="5:5" x14ac:dyDescent="0.3">
      <c r="E565" s="6" t="str">
        <f t="shared" si="15"/>
        <v/>
      </c>
    </row>
    <row r="566" spans="5:5" x14ac:dyDescent="0.3">
      <c r="E566" s="6" t="str">
        <f t="shared" si="15"/>
        <v/>
      </c>
    </row>
    <row r="567" spans="5:5" x14ac:dyDescent="0.3">
      <c r="E567" s="6" t="str">
        <f t="shared" si="15"/>
        <v/>
      </c>
    </row>
    <row r="568" spans="5:5" x14ac:dyDescent="0.3">
      <c r="E568" s="6" t="str">
        <f t="shared" si="15"/>
        <v/>
      </c>
    </row>
    <row r="569" spans="5:5" x14ac:dyDescent="0.3">
      <c r="E569" s="6" t="str">
        <f t="shared" si="15"/>
        <v/>
      </c>
    </row>
    <row r="570" spans="5:5" x14ac:dyDescent="0.3">
      <c r="E570" s="6" t="str">
        <f t="shared" si="15"/>
        <v/>
      </c>
    </row>
    <row r="571" spans="5:5" x14ac:dyDescent="0.3">
      <c r="E571" s="6" t="str">
        <f t="shared" si="15"/>
        <v/>
      </c>
    </row>
    <row r="572" spans="5:5" x14ac:dyDescent="0.3">
      <c r="E572" s="6" t="str">
        <f t="shared" si="15"/>
        <v/>
      </c>
    </row>
    <row r="573" spans="5:5" x14ac:dyDescent="0.3">
      <c r="E573" s="6" t="str">
        <f t="shared" si="15"/>
        <v/>
      </c>
    </row>
    <row r="574" spans="5:5" x14ac:dyDescent="0.3">
      <c r="E574" s="6" t="str">
        <f t="shared" si="15"/>
        <v/>
      </c>
    </row>
    <row r="575" spans="5:5" x14ac:dyDescent="0.3">
      <c r="E575" s="6" t="str">
        <f t="shared" si="15"/>
        <v/>
      </c>
    </row>
    <row r="576" spans="5:5" x14ac:dyDescent="0.3">
      <c r="E576" s="6" t="str">
        <f t="shared" si="15"/>
        <v/>
      </c>
    </row>
    <row r="577" spans="5:5" x14ac:dyDescent="0.3">
      <c r="E577" s="6" t="str">
        <f t="shared" si="15"/>
        <v/>
      </c>
    </row>
    <row r="578" spans="5:5" x14ac:dyDescent="0.3">
      <c r="E578" s="6" t="str">
        <f t="shared" si="15"/>
        <v/>
      </c>
    </row>
    <row r="579" spans="5:5" x14ac:dyDescent="0.3">
      <c r="E579" s="6" t="str">
        <f t="shared" si="15"/>
        <v/>
      </c>
    </row>
    <row r="580" spans="5:5" x14ac:dyDescent="0.3">
      <c r="E580" s="6" t="str">
        <f t="shared" si="15"/>
        <v/>
      </c>
    </row>
    <row r="581" spans="5:5" x14ac:dyDescent="0.3">
      <c r="E581" s="6" t="str">
        <f t="shared" si="15"/>
        <v/>
      </c>
    </row>
    <row r="582" spans="5:5" x14ac:dyDescent="0.3">
      <c r="E582" s="6" t="str">
        <f t="shared" si="15"/>
        <v/>
      </c>
    </row>
    <row r="583" spans="5:5" x14ac:dyDescent="0.3">
      <c r="E583" s="6" t="str">
        <f t="shared" si="15"/>
        <v/>
      </c>
    </row>
    <row r="584" spans="5:5" x14ac:dyDescent="0.3">
      <c r="E584" s="6" t="str">
        <f t="shared" si="15"/>
        <v/>
      </c>
    </row>
    <row r="585" spans="5:5" x14ac:dyDescent="0.3">
      <c r="E585" s="6" t="str">
        <f t="shared" si="15"/>
        <v/>
      </c>
    </row>
    <row r="586" spans="5:5" x14ac:dyDescent="0.3">
      <c r="E586" s="6" t="str">
        <f t="shared" si="15"/>
        <v/>
      </c>
    </row>
    <row r="587" spans="5:5" x14ac:dyDescent="0.3">
      <c r="E587" s="6" t="str">
        <f t="shared" si="15"/>
        <v/>
      </c>
    </row>
    <row r="588" spans="5:5" x14ac:dyDescent="0.3">
      <c r="E588" s="6" t="str">
        <f t="shared" si="15"/>
        <v/>
      </c>
    </row>
    <row r="589" spans="5:5" x14ac:dyDescent="0.3">
      <c r="E589" s="6" t="str">
        <f t="shared" si="15"/>
        <v/>
      </c>
    </row>
    <row r="590" spans="5:5" x14ac:dyDescent="0.3">
      <c r="E590" s="6" t="str">
        <f t="shared" si="15"/>
        <v/>
      </c>
    </row>
    <row r="591" spans="5:5" x14ac:dyDescent="0.3">
      <c r="E591" s="6" t="str">
        <f t="shared" si="15"/>
        <v/>
      </c>
    </row>
    <row r="592" spans="5:5" x14ac:dyDescent="0.3">
      <c r="E592" s="6" t="str">
        <f t="shared" si="15"/>
        <v/>
      </c>
    </row>
    <row r="593" spans="5:5" x14ac:dyDescent="0.3">
      <c r="E593" s="6" t="str">
        <f t="shared" si="15"/>
        <v/>
      </c>
    </row>
    <row r="594" spans="5:5" x14ac:dyDescent="0.3">
      <c r="E594" s="6" t="str">
        <f t="shared" ref="E594:E657" si="16">IF(AND($D594&lt;&gt;"", $C594&lt;&gt;""), ($D594-$C594)*1440, "")</f>
        <v/>
      </c>
    </row>
    <row r="595" spans="5:5" x14ac:dyDescent="0.3">
      <c r="E595" s="6" t="str">
        <f t="shared" si="16"/>
        <v/>
      </c>
    </row>
    <row r="596" spans="5:5" x14ac:dyDescent="0.3">
      <c r="E596" s="6" t="str">
        <f t="shared" si="16"/>
        <v/>
      </c>
    </row>
    <row r="597" spans="5:5" x14ac:dyDescent="0.3">
      <c r="E597" s="6" t="str">
        <f t="shared" si="16"/>
        <v/>
      </c>
    </row>
    <row r="598" spans="5:5" x14ac:dyDescent="0.3">
      <c r="E598" s="6" t="str">
        <f t="shared" si="16"/>
        <v/>
      </c>
    </row>
    <row r="599" spans="5:5" x14ac:dyDescent="0.3">
      <c r="E599" s="6" t="str">
        <f t="shared" si="16"/>
        <v/>
      </c>
    </row>
    <row r="600" spans="5:5" x14ac:dyDescent="0.3">
      <c r="E600" s="6" t="str">
        <f t="shared" si="16"/>
        <v/>
      </c>
    </row>
    <row r="601" spans="5:5" x14ac:dyDescent="0.3">
      <c r="E601" s="6" t="str">
        <f t="shared" si="16"/>
        <v/>
      </c>
    </row>
    <row r="602" spans="5:5" x14ac:dyDescent="0.3">
      <c r="E602" s="6" t="str">
        <f t="shared" si="16"/>
        <v/>
      </c>
    </row>
    <row r="603" spans="5:5" x14ac:dyDescent="0.3">
      <c r="E603" s="6" t="str">
        <f t="shared" si="16"/>
        <v/>
      </c>
    </row>
    <row r="604" spans="5:5" x14ac:dyDescent="0.3">
      <c r="E604" s="6" t="str">
        <f t="shared" si="16"/>
        <v/>
      </c>
    </row>
    <row r="605" spans="5:5" x14ac:dyDescent="0.3">
      <c r="E605" s="6" t="str">
        <f t="shared" si="16"/>
        <v/>
      </c>
    </row>
    <row r="606" spans="5:5" x14ac:dyDescent="0.3">
      <c r="E606" s="6" t="str">
        <f t="shared" si="16"/>
        <v/>
      </c>
    </row>
    <row r="607" spans="5:5" x14ac:dyDescent="0.3">
      <c r="E607" s="6" t="str">
        <f t="shared" si="16"/>
        <v/>
      </c>
    </row>
    <row r="608" spans="5:5" x14ac:dyDescent="0.3">
      <c r="E608" s="6" t="str">
        <f t="shared" si="16"/>
        <v/>
      </c>
    </row>
    <row r="609" spans="5:5" x14ac:dyDescent="0.3">
      <c r="E609" s="6" t="str">
        <f t="shared" si="16"/>
        <v/>
      </c>
    </row>
    <row r="610" spans="5:5" x14ac:dyDescent="0.3">
      <c r="E610" s="6" t="str">
        <f t="shared" si="16"/>
        <v/>
      </c>
    </row>
    <row r="611" spans="5:5" x14ac:dyDescent="0.3">
      <c r="E611" s="6" t="str">
        <f t="shared" si="16"/>
        <v/>
      </c>
    </row>
    <row r="612" spans="5:5" x14ac:dyDescent="0.3">
      <c r="E612" s="6" t="str">
        <f t="shared" si="16"/>
        <v/>
      </c>
    </row>
    <row r="613" spans="5:5" x14ac:dyDescent="0.3">
      <c r="E613" s="6" t="str">
        <f t="shared" si="16"/>
        <v/>
      </c>
    </row>
    <row r="614" spans="5:5" x14ac:dyDescent="0.3">
      <c r="E614" s="6" t="str">
        <f t="shared" si="16"/>
        <v/>
      </c>
    </row>
    <row r="615" spans="5:5" x14ac:dyDescent="0.3">
      <c r="E615" s="6" t="str">
        <f t="shared" si="16"/>
        <v/>
      </c>
    </row>
    <row r="616" spans="5:5" x14ac:dyDescent="0.3">
      <c r="E616" s="6" t="str">
        <f t="shared" si="16"/>
        <v/>
      </c>
    </row>
    <row r="617" spans="5:5" x14ac:dyDescent="0.3">
      <c r="E617" s="6" t="str">
        <f t="shared" si="16"/>
        <v/>
      </c>
    </row>
    <row r="618" spans="5:5" x14ac:dyDescent="0.3">
      <c r="E618" s="6" t="str">
        <f t="shared" si="16"/>
        <v/>
      </c>
    </row>
    <row r="619" spans="5:5" x14ac:dyDescent="0.3">
      <c r="E619" s="6" t="str">
        <f t="shared" si="16"/>
        <v/>
      </c>
    </row>
    <row r="620" spans="5:5" x14ac:dyDescent="0.3">
      <c r="E620" s="6" t="str">
        <f t="shared" si="16"/>
        <v/>
      </c>
    </row>
    <row r="621" spans="5:5" x14ac:dyDescent="0.3">
      <c r="E621" s="6" t="str">
        <f t="shared" si="16"/>
        <v/>
      </c>
    </row>
    <row r="622" spans="5:5" x14ac:dyDescent="0.3">
      <c r="E622" s="6" t="str">
        <f t="shared" si="16"/>
        <v/>
      </c>
    </row>
    <row r="623" spans="5:5" x14ac:dyDescent="0.3">
      <c r="E623" s="6" t="str">
        <f t="shared" si="16"/>
        <v/>
      </c>
    </row>
    <row r="624" spans="5:5" x14ac:dyDescent="0.3">
      <c r="E624" s="6" t="str">
        <f t="shared" si="16"/>
        <v/>
      </c>
    </row>
    <row r="625" spans="5:5" x14ac:dyDescent="0.3">
      <c r="E625" s="6" t="str">
        <f t="shared" si="16"/>
        <v/>
      </c>
    </row>
    <row r="626" spans="5:5" x14ac:dyDescent="0.3">
      <c r="E626" s="6" t="str">
        <f t="shared" si="16"/>
        <v/>
      </c>
    </row>
    <row r="627" spans="5:5" x14ac:dyDescent="0.3">
      <c r="E627" s="6" t="str">
        <f t="shared" si="16"/>
        <v/>
      </c>
    </row>
    <row r="628" spans="5:5" x14ac:dyDescent="0.3">
      <c r="E628" s="6" t="str">
        <f t="shared" si="16"/>
        <v/>
      </c>
    </row>
    <row r="629" spans="5:5" x14ac:dyDescent="0.3">
      <c r="E629" s="6" t="str">
        <f t="shared" si="16"/>
        <v/>
      </c>
    </row>
    <row r="630" spans="5:5" x14ac:dyDescent="0.3">
      <c r="E630" s="6" t="str">
        <f t="shared" si="16"/>
        <v/>
      </c>
    </row>
    <row r="631" spans="5:5" x14ac:dyDescent="0.3">
      <c r="E631" s="6" t="str">
        <f t="shared" si="16"/>
        <v/>
      </c>
    </row>
    <row r="632" spans="5:5" x14ac:dyDescent="0.3">
      <c r="E632" s="6" t="str">
        <f t="shared" si="16"/>
        <v/>
      </c>
    </row>
    <row r="633" spans="5:5" x14ac:dyDescent="0.3">
      <c r="E633" s="6" t="str">
        <f t="shared" si="16"/>
        <v/>
      </c>
    </row>
    <row r="634" spans="5:5" x14ac:dyDescent="0.3">
      <c r="E634" s="6" t="str">
        <f t="shared" si="16"/>
        <v/>
      </c>
    </row>
    <row r="635" spans="5:5" x14ac:dyDescent="0.3">
      <c r="E635" s="6" t="str">
        <f t="shared" si="16"/>
        <v/>
      </c>
    </row>
    <row r="636" spans="5:5" x14ac:dyDescent="0.3">
      <c r="E636" s="6" t="str">
        <f t="shared" si="16"/>
        <v/>
      </c>
    </row>
    <row r="637" spans="5:5" x14ac:dyDescent="0.3">
      <c r="E637" s="6" t="str">
        <f t="shared" si="16"/>
        <v/>
      </c>
    </row>
    <row r="638" spans="5:5" x14ac:dyDescent="0.3">
      <c r="E638" s="6" t="str">
        <f t="shared" si="16"/>
        <v/>
      </c>
    </row>
    <row r="639" spans="5:5" x14ac:dyDescent="0.3">
      <c r="E639" s="6" t="str">
        <f t="shared" si="16"/>
        <v/>
      </c>
    </row>
    <row r="640" spans="5:5" x14ac:dyDescent="0.3">
      <c r="E640" s="6" t="str">
        <f t="shared" si="16"/>
        <v/>
      </c>
    </row>
    <row r="641" spans="5:5" x14ac:dyDescent="0.3">
      <c r="E641" s="6" t="str">
        <f t="shared" si="16"/>
        <v/>
      </c>
    </row>
    <row r="642" spans="5:5" x14ac:dyDescent="0.3">
      <c r="E642" s="6" t="str">
        <f t="shared" si="16"/>
        <v/>
      </c>
    </row>
    <row r="643" spans="5:5" x14ac:dyDescent="0.3">
      <c r="E643" s="6" t="str">
        <f t="shared" si="16"/>
        <v/>
      </c>
    </row>
    <row r="644" spans="5:5" x14ac:dyDescent="0.3">
      <c r="E644" s="6" t="str">
        <f t="shared" si="16"/>
        <v/>
      </c>
    </row>
    <row r="645" spans="5:5" x14ac:dyDescent="0.3">
      <c r="E645" s="6" t="str">
        <f t="shared" si="16"/>
        <v/>
      </c>
    </row>
    <row r="646" spans="5:5" x14ac:dyDescent="0.3">
      <c r="E646" s="6" t="str">
        <f t="shared" si="16"/>
        <v/>
      </c>
    </row>
    <row r="647" spans="5:5" x14ac:dyDescent="0.3">
      <c r="E647" s="6" t="str">
        <f t="shared" si="16"/>
        <v/>
      </c>
    </row>
    <row r="648" spans="5:5" x14ac:dyDescent="0.3">
      <c r="E648" s="6" t="str">
        <f t="shared" si="16"/>
        <v/>
      </c>
    </row>
    <row r="649" spans="5:5" x14ac:dyDescent="0.3">
      <c r="E649" s="6" t="str">
        <f t="shared" si="16"/>
        <v/>
      </c>
    </row>
    <row r="650" spans="5:5" x14ac:dyDescent="0.3">
      <c r="E650" s="6" t="str">
        <f t="shared" si="16"/>
        <v/>
      </c>
    </row>
    <row r="651" spans="5:5" x14ac:dyDescent="0.3">
      <c r="E651" s="6" t="str">
        <f t="shared" si="16"/>
        <v/>
      </c>
    </row>
    <row r="652" spans="5:5" x14ac:dyDescent="0.3">
      <c r="E652" s="6" t="str">
        <f t="shared" si="16"/>
        <v/>
      </c>
    </row>
    <row r="653" spans="5:5" x14ac:dyDescent="0.3">
      <c r="E653" s="6" t="str">
        <f t="shared" si="16"/>
        <v/>
      </c>
    </row>
    <row r="654" spans="5:5" x14ac:dyDescent="0.3">
      <c r="E654" s="6" t="str">
        <f t="shared" si="16"/>
        <v/>
      </c>
    </row>
    <row r="655" spans="5:5" x14ac:dyDescent="0.3">
      <c r="E655" s="6" t="str">
        <f t="shared" si="16"/>
        <v/>
      </c>
    </row>
    <row r="656" spans="5:5" x14ac:dyDescent="0.3">
      <c r="E656" s="6" t="str">
        <f t="shared" si="16"/>
        <v/>
      </c>
    </row>
    <row r="657" spans="5:5" x14ac:dyDescent="0.3">
      <c r="E657" s="6" t="str">
        <f t="shared" si="16"/>
        <v/>
      </c>
    </row>
    <row r="658" spans="5:5" x14ac:dyDescent="0.3">
      <c r="E658" s="6" t="str">
        <f t="shared" ref="E658:E700" si="17">IF(AND($D658&lt;&gt;"", $C658&lt;&gt;""), ($D658-$C658)*1440, "")</f>
        <v/>
      </c>
    </row>
    <row r="659" spans="5:5" x14ac:dyDescent="0.3">
      <c r="E659" s="6" t="str">
        <f t="shared" si="17"/>
        <v/>
      </c>
    </row>
    <row r="660" spans="5:5" x14ac:dyDescent="0.3">
      <c r="E660" s="6" t="str">
        <f t="shared" si="17"/>
        <v/>
      </c>
    </row>
    <row r="661" spans="5:5" x14ac:dyDescent="0.3">
      <c r="E661" s="6" t="str">
        <f t="shared" si="17"/>
        <v/>
      </c>
    </row>
    <row r="662" spans="5:5" x14ac:dyDescent="0.3">
      <c r="E662" s="6" t="str">
        <f t="shared" si="17"/>
        <v/>
      </c>
    </row>
    <row r="663" spans="5:5" x14ac:dyDescent="0.3">
      <c r="E663" s="6" t="str">
        <f t="shared" si="17"/>
        <v/>
      </c>
    </row>
    <row r="664" spans="5:5" x14ac:dyDescent="0.3">
      <c r="E664" s="6" t="str">
        <f t="shared" si="17"/>
        <v/>
      </c>
    </row>
    <row r="665" spans="5:5" x14ac:dyDescent="0.3">
      <c r="E665" s="6" t="str">
        <f t="shared" si="17"/>
        <v/>
      </c>
    </row>
    <row r="666" spans="5:5" x14ac:dyDescent="0.3">
      <c r="E666" s="6" t="str">
        <f t="shared" si="17"/>
        <v/>
      </c>
    </row>
    <row r="667" spans="5:5" x14ac:dyDescent="0.3">
      <c r="E667" s="6" t="str">
        <f t="shared" si="17"/>
        <v/>
      </c>
    </row>
    <row r="668" spans="5:5" x14ac:dyDescent="0.3">
      <c r="E668" s="6" t="str">
        <f t="shared" si="17"/>
        <v/>
      </c>
    </row>
    <row r="669" spans="5:5" x14ac:dyDescent="0.3">
      <c r="E669" s="6" t="str">
        <f t="shared" si="17"/>
        <v/>
      </c>
    </row>
    <row r="670" spans="5:5" x14ac:dyDescent="0.3">
      <c r="E670" s="6" t="str">
        <f t="shared" si="17"/>
        <v/>
      </c>
    </row>
    <row r="671" spans="5:5" x14ac:dyDescent="0.3">
      <c r="E671" s="6" t="str">
        <f t="shared" si="17"/>
        <v/>
      </c>
    </row>
    <row r="672" spans="5:5" x14ac:dyDescent="0.3">
      <c r="E672" s="6" t="str">
        <f t="shared" si="17"/>
        <v/>
      </c>
    </row>
    <row r="673" spans="5:5" x14ac:dyDescent="0.3">
      <c r="E673" s="6" t="str">
        <f t="shared" si="17"/>
        <v/>
      </c>
    </row>
    <row r="674" spans="5:5" x14ac:dyDescent="0.3">
      <c r="E674" s="6" t="str">
        <f t="shared" si="17"/>
        <v/>
      </c>
    </row>
    <row r="675" spans="5:5" x14ac:dyDescent="0.3">
      <c r="E675" s="6" t="str">
        <f t="shared" si="17"/>
        <v/>
      </c>
    </row>
    <row r="676" spans="5:5" x14ac:dyDescent="0.3">
      <c r="E676" s="6" t="str">
        <f t="shared" si="17"/>
        <v/>
      </c>
    </row>
    <row r="677" spans="5:5" x14ac:dyDescent="0.3">
      <c r="E677" s="6" t="str">
        <f t="shared" si="17"/>
        <v/>
      </c>
    </row>
    <row r="678" spans="5:5" x14ac:dyDescent="0.3">
      <c r="E678" s="6" t="str">
        <f t="shared" si="17"/>
        <v/>
      </c>
    </row>
    <row r="679" spans="5:5" x14ac:dyDescent="0.3">
      <c r="E679" s="6" t="str">
        <f t="shared" si="17"/>
        <v/>
      </c>
    </row>
    <row r="680" spans="5:5" x14ac:dyDescent="0.3">
      <c r="E680" s="6" t="str">
        <f t="shared" si="17"/>
        <v/>
      </c>
    </row>
    <row r="681" spans="5:5" x14ac:dyDescent="0.3">
      <c r="E681" s="6" t="str">
        <f t="shared" si="17"/>
        <v/>
      </c>
    </row>
    <row r="682" spans="5:5" x14ac:dyDescent="0.3">
      <c r="E682" s="6" t="str">
        <f t="shared" si="17"/>
        <v/>
      </c>
    </row>
    <row r="683" spans="5:5" x14ac:dyDescent="0.3">
      <c r="E683" s="6" t="str">
        <f t="shared" si="17"/>
        <v/>
      </c>
    </row>
    <row r="684" spans="5:5" x14ac:dyDescent="0.3">
      <c r="E684" s="6" t="str">
        <f t="shared" si="17"/>
        <v/>
      </c>
    </row>
    <row r="685" spans="5:5" x14ac:dyDescent="0.3">
      <c r="E685" s="6" t="str">
        <f t="shared" si="17"/>
        <v/>
      </c>
    </row>
    <row r="686" spans="5:5" x14ac:dyDescent="0.3">
      <c r="E686" s="6" t="str">
        <f t="shared" si="17"/>
        <v/>
      </c>
    </row>
    <row r="687" spans="5:5" x14ac:dyDescent="0.3">
      <c r="E687" s="6" t="str">
        <f t="shared" si="17"/>
        <v/>
      </c>
    </row>
    <row r="688" spans="5:5" x14ac:dyDescent="0.3">
      <c r="E688" s="6" t="str">
        <f t="shared" si="17"/>
        <v/>
      </c>
    </row>
    <row r="689" spans="5:5" x14ac:dyDescent="0.3">
      <c r="E689" s="6" t="str">
        <f t="shared" si="17"/>
        <v/>
      </c>
    </row>
    <row r="690" spans="5:5" x14ac:dyDescent="0.3">
      <c r="E690" s="6" t="str">
        <f t="shared" si="17"/>
        <v/>
      </c>
    </row>
    <row r="691" spans="5:5" x14ac:dyDescent="0.3">
      <c r="E691" s="6" t="str">
        <f t="shared" si="17"/>
        <v/>
      </c>
    </row>
    <row r="692" spans="5:5" x14ac:dyDescent="0.3">
      <c r="E692" s="6" t="str">
        <f t="shared" si="17"/>
        <v/>
      </c>
    </row>
    <row r="693" spans="5:5" x14ac:dyDescent="0.3">
      <c r="E693" s="6" t="str">
        <f t="shared" si="17"/>
        <v/>
      </c>
    </row>
    <row r="694" spans="5:5" x14ac:dyDescent="0.3">
      <c r="E694" s="6" t="str">
        <f t="shared" si="17"/>
        <v/>
      </c>
    </row>
    <row r="695" spans="5:5" x14ac:dyDescent="0.3">
      <c r="E695" s="6" t="str">
        <f t="shared" si="17"/>
        <v/>
      </c>
    </row>
    <row r="696" spans="5:5" x14ac:dyDescent="0.3">
      <c r="E696" s="6" t="str">
        <f t="shared" si="17"/>
        <v/>
      </c>
    </row>
    <row r="697" spans="5:5" x14ac:dyDescent="0.3">
      <c r="E697" s="6" t="str">
        <f t="shared" si="17"/>
        <v/>
      </c>
    </row>
    <row r="698" spans="5:5" x14ac:dyDescent="0.3">
      <c r="E698" s="6" t="str">
        <f t="shared" si="17"/>
        <v/>
      </c>
    </row>
    <row r="699" spans="5:5" x14ac:dyDescent="0.3">
      <c r="E699" s="6" t="str">
        <f t="shared" si="17"/>
        <v/>
      </c>
    </row>
    <row r="700" spans="5:5" x14ac:dyDescent="0.3">
      <c r="E700" s="6" t="str">
        <f t="shared" si="17"/>
        <v/>
      </c>
    </row>
  </sheetData>
  <mergeCells count="1">
    <mergeCell ref="A1:H1"/>
  </mergeCells>
  <phoneticPr fontId="9" type="noConversion"/>
  <conditionalFormatting sqref="D3:XFD3 D4:G196 H4:H211 D197:F211 D212:XFD1048576 A1 I1:XFD1 D2:I2 K2:XFD2 I4:XFD32 I33:L40 O33:XFD40 I41:XFD44 J45:XFD45 I46:XFD211 G198:G211 A2:C1048576">
    <cfRule type="expression" dxfId="3" priority="2">
      <formula>AND(ROW()&gt;2, COLUMN()&lt;8, MOD(ROW(),2)=0)</formula>
    </cfRule>
  </conditionalFormatting>
  <conditionalFormatting sqref="A3:H3 A4:G196 H4:H211 A197:F211 A212:H10014">
    <cfRule type="expression" dxfId="2" priority="1">
      <formula>$B3&lt;&gt;""</formula>
    </cfRule>
  </conditionalFormatting>
  <conditionalFormatting sqref="G198:G211">
    <cfRule type="expression" dxfId="1" priority="7">
      <formula>$B197&lt;&gt;""</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79998168889431442"/>
  </sheetPr>
  <dimension ref="A1:F99"/>
  <sheetViews>
    <sheetView zoomScaleNormal="100" workbookViewId="0">
      <pane ySplit="1" topLeftCell="A8" activePane="bottomLeft" state="frozen"/>
      <selection pane="bottomLeft" activeCell="E24" sqref="E24"/>
    </sheetView>
  </sheetViews>
  <sheetFormatPr defaultRowHeight="14.4" x14ac:dyDescent="0.3"/>
  <cols>
    <col min="1" max="1" width="15.77734375" style="3" customWidth="1"/>
    <col min="2" max="2" width="12.77734375" style="3" customWidth="1"/>
    <col min="3" max="3" width="20.77734375" style="2" customWidth="1"/>
    <col min="4" max="4" width="12.77734375" style="8" customWidth="1"/>
    <col min="5" max="5" width="22.77734375" style="25" customWidth="1"/>
    <col min="6" max="6" width="60.77734375" style="15" customWidth="1"/>
  </cols>
  <sheetData>
    <row r="1" spans="1:6" ht="36.6" thickBot="1" x14ac:dyDescent="0.35">
      <c r="A1" s="4" t="s">
        <v>11</v>
      </c>
      <c r="B1" s="4" t="s">
        <v>14</v>
      </c>
      <c r="C1" s="5" t="s">
        <v>20</v>
      </c>
      <c r="D1" s="5" t="s">
        <v>0</v>
      </c>
      <c r="E1" s="24" t="s">
        <v>9</v>
      </c>
      <c r="F1" s="5" t="s">
        <v>8</v>
      </c>
    </row>
    <row r="2" spans="1:6" x14ac:dyDescent="0.3">
      <c r="A2" s="1">
        <v>46228</v>
      </c>
      <c r="B2" s="1">
        <v>46228</v>
      </c>
      <c r="C2" s="2">
        <v>23.5</v>
      </c>
      <c r="D2" s="8">
        <v>0.78819444444444442</v>
      </c>
      <c r="E2" s="25">
        <f>IF(AND(D2&lt;&gt;"", C2&lt;&gt;""), IF(COUNTIFS(Log!$A$3:$A$10014,B2,Log!$F$3:$F$10014,"&gt;=50")=0,"–",_xlfn.MINIFS(Log!$E$3:$E$10014,Log!$A$3:$A$10014,B2,Log!$F$3:$F$10014,"&gt;=50")), "")</f>
        <v>25.000000000000071</v>
      </c>
    </row>
    <row r="3" spans="1:6" hidden="1" x14ac:dyDescent="0.3">
      <c r="A3" s="1">
        <f t="shared" ref="A3:B8" si="0">A2+1</f>
        <v>46229</v>
      </c>
      <c r="B3" s="1">
        <f t="shared" si="0"/>
        <v>46229</v>
      </c>
      <c r="E3" s="25" t="str">
        <f>IF(AND(D3&lt;&gt;"", C3&lt;&gt;""), IF(COUNTIFS(Log!$A$3:$A$10014,B3,Log!$F$3:$F$10014,"&gt;=50")=0,"–",_xlfn.MINIFS(Log!$E$3:$E$10014,Log!$A$3:$A$10014,B3,Log!$F$3:$F$10014,"&gt;=50")), "")</f>
        <v/>
      </c>
    </row>
    <row r="4" spans="1:6" x14ac:dyDescent="0.3">
      <c r="A4" s="1">
        <f t="shared" si="0"/>
        <v>46230</v>
      </c>
      <c r="B4" s="1">
        <f t="shared" si="0"/>
        <v>46230</v>
      </c>
      <c r="C4" s="2">
        <v>23.5</v>
      </c>
      <c r="D4" s="8">
        <v>0.42916666666666659</v>
      </c>
      <c r="E4" s="25">
        <f>IF(AND(D4&lt;&gt;"", C4&lt;&gt;""), IF(COUNTIFS(Log!$A$3:$A$10014,B4,Log!$F$3:$F$10014,"&gt;=50")=0,"–",_xlfn.MINIFS(Log!$E$3:$E$10014,Log!$A$3:$A$10014,B4,Log!$F$3:$F$10014,"&gt;=50")), "")</f>
        <v>24.000000000000234</v>
      </c>
    </row>
    <row r="5" spans="1:6" x14ac:dyDescent="0.3">
      <c r="A5" s="1">
        <f t="shared" si="0"/>
        <v>46231</v>
      </c>
      <c r="B5" s="1">
        <f t="shared" si="0"/>
        <v>46231</v>
      </c>
      <c r="C5" s="2">
        <v>23.5</v>
      </c>
      <c r="D5" s="8">
        <v>0.38194444444444442</v>
      </c>
      <c r="E5" s="25">
        <f>IF(AND(D5&lt;&gt;"", C5&lt;&gt;""), IF(COUNTIFS(Log!$A$3:$A$10014,B5,Log!$F$3:$F$10014,"&gt;=50")=0,"–",_xlfn.MINIFS(Log!$E$3:$E$10014,Log!$A$3:$A$10014,B5,Log!$F$3:$F$10014,"&gt;=50")), "")</f>
        <v>26.000000000000068</v>
      </c>
    </row>
    <row r="6" spans="1:6" ht="28.8" x14ac:dyDescent="0.3">
      <c r="A6" s="1">
        <v>46232</v>
      </c>
      <c r="B6" s="1">
        <v>46232</v>
      </c>
      <c r="C6" s="2">
        <v>25.5</v>
      </c>
      <c r="D6" s="8">
        <v>0.73472222222222228</v>
      </c>
      <c r="E6" s="25">
        <f>IF(AND(D6&lt;&gt;"", C6&lt;&gt;""), IF(COUNTIFS(Log!$A$3:$A$10014,B6,Log!$F$3:$F$10014,"&gt;=50")=0,"–",_xlfn.MINIFS(Log!$E$3:$E$10014,Log!$A$3:$A$10014,B6,Log!$F$3:$F$10014,"&gt;=50")), "")</f>
        <v>15.999999999999943</v>
      </c>
      <c r="F6" s="15" t="s">
        <v>10</v>
      </c>
    </row>
    <row r="7" spans="1:6" ht="43.2" x14ac:dyDescent="0.3">
      <c r="A7" s="1">
        <f t="shared" si="0"/>
        <v>46233</v>
      </c>
      <c r="B7" s="1">
        <f t="shared" si="0"/>
        <v>46233</v>
      </c>
      <c r="C7" s="2">
        <v>24.5</v>
      </c>
      <c r="D7" s="8">
        <v>0.40972222222222221</v>
      </c>
      <c r="E7" s="25">
        <f>IF(AND(D7&lt;&gt;"", C7&lt;&gt;""), IF(COUNTIFS(Log!$A$3:$A$10014,B7,Log!$F$3:$F$10014,"&gt;=50")=0,"–",_xlfn.MINIFS(Log!$E$3:$E$10014,Log!$A$3:$A$10014,B7,Log!$F$3:$F$10014,"&gt;=50")), "")</f>
        <v>19.000000000000014</v>
      </c>
      <c r="F7" s="15" t="s">
        <v>21</v>
      </c>
    </row>
    <row r="8" spans="1:6" x14ac:dyDescent="0.3">
      <c r="A8" s="1">
        <f t="shared" si="0"/>
        <v>46234</v>
      </c>
      <c r="B8" s="1">
        <f t="shared" si="0"/>
        <v>46234</v>
      </c>
      <c r="C8" s="2">
        <v>24</v>
      </c>
      <c r="D8" s="8">
        <v>0.43055555555555558</v>
      </c>
      <c r="E8" s="25">
        <f>IF(AND(D8&lt;&gt;"", C8&lt;&gt;""), IF(COUNTIFS(Log!$A$3:$A$10014,B8,Log!$F$3:$F$10014,"&gt;=50")=0,"–",_xlfn.MINIFS(Log!$E$3:$E$10014,Log!$A$3:$A$10014,B8,Log!$F$3:$F$10014,"&gt;=50")), "")</f>
        <v>20.999999999999925</v>
      </c>
      <c r="F8" s="15" t="s">
        <v>19</v>
      </c>
    </row>
    <row r="9" spans="1:6" x14ac:dyDescent="0.3">
      <c r="A9" s="1">
        <v>46235</v>
      </c>
      <c r="B9" s="1">
        <v>46235</v>
      </c>
      <c r="C9" s="2">
        <v>24</v>
      </c>
      <c r="D9" s="8">
        <v>0.70625000000000004</v>
      </c>
      <c r="E9" s="25">
        <f>IF(AND(D9&lt;&gt;"", C9&lt;&gt;""), IF(COUNTIFS(Log!$A$3:$A$10014,B9,Log!$F$3:$F$10014,"&gt;=50")=0,"–",_xlfn.MINIFS(Log!$E$3:$E$10014,Log!$A$3:$A$10014,B9,Log!$F$3:$F$10014,"&gt;=50")), "")</f>
        <v>21.583333333333243</v>
      </c>
      <c r="F9" s="27" t="s">
        <v>44</v>
      </c>
    </row>
    <row r="10" spans="1:6" x14ac:dyDescent="0.3">
      <c r="A10" s="1">
        <v>46237</v>
      </c>
      <c r="B10" s="1">
        <v>46237</v>
      </c>
      <c r="C10" s="2">
        <v>23.5</v>
      </c>
      <c r="D10" s="8">
        <v>0.40972222222222221</v>
      </c>
      <c r="E10" s="25">
        <f>IF(AND(D10&lt;&gt;"", C10&lt;&gt;""), IF(COUNTIFS(Log!$A$3:$A$10014,B10,Log!$F$3:$F$10014,"&gt;=50")=0,"–",_xlfn.MINIFS(Log!$E$3:$E$10014,Log!$A$3:$A$10014,B10,Log!$F$3:$F$10014,"&gt;=50")), "")</f>
        <v>21.216666666666654</v>
      </c>
    </row>
    <row r="11" spans="1:6" ht="72" x14ac:dyDescent="0.3">
      <c r="A11" s="1">
        <v>46238</v>
      </c>
      <c r="B11" s="1">
        <v>46238</v>
      </c>
      <c r="C11" s="2">
        <v>24.5</v>
      </c>
      <c r="D11" s="8">
        <v>0.42986111111111114</v>
      </c>
      <c r="E11" s="25">
        <f>IF(AND(D11&lt;&gt;"", C11&lt;&gt;""), IF(COUNTIFS(Log!$A$3:$A$10014,B11,Log!$F$3:$F$10014,"&gt;=50")=0,"–",_xlfn.MINIFS(Log!$E$3:$E$10014,Log!$A$3:$A$10014,B11,Log!$F$3:$F$10014,"&gt;=50")), "")</f>
        <v>21.066666666666627</v>
      </c>
      <c r="F11" s="15" t="s">
        <v>50</v>
      </c>
    </row>
    <row r="12" spans="1:6" x14ac:dyDescent="0.3">
      <c r="A12" s="1">
        <v>46239</v>
      </c>
      <c r="B12" s="1">
        <v>46239</v>
      </c>
      <c r="C12" s="2">
        <v>24.5</v>
      </c>
      <c r="D12" s="8">
        <v>0.48333333333333334</v>
      </c>
      <c r="E12" s="25">
        <f>IF(AND(D12&lt;&gt;"", C12&lt;&gt;""), IF(COUNTIFS(Log!$A$3:$A$10014,B12,Log!$F$3:$F$10014,"&gt;=50")=0,"–",_xlfn.MINIFS(Log!$E$3:$E$10014,Log!$A$3:$A$10014,B12,Log!$F$3:$F$10014,"&gt;=50")), "")</f>
        <v>19.600000000000026</v>
      </c>
      <c r="F12" s="15" t="s">
        <v>51</v>
      </c>
    </row>
    <row r="13" spans="1:6" x14ac:dyDescent="0.3">
      <c r="A13" s="1">
        <v>46240</v>
      </c>
      <c r="B13" s="1">
        <v>46240</v>
      </c>
      <c r="C13" s="2">
        <v>24</v>
      </c>
      <c r="D13" s="8">
        <v>0.43888888888888888</v>
      </c>
      <c r="E13" s="25">
        <f>IF(AND(D13&lt;&gt;"", C13&lt;&gt;""), IF(COUNTIFS(Log!$A$3:$A$10014,B13,Log!$F$3:$F$10014,"&gt;=50")=0,"–",_xlfn.MINIFS(Log!$E$3:$E$10014,Log!$A$3:$A$10014,B13,Log!$F$3:$F$10014,"&gt;=50")), "")</f>
        <v>20.133333333333336</v>
      </c>
    </row>
    <row r="14" spans="1:6" x14ac:dyDescent="0.3">
      <c r="A14" s="1">
        <v>46242</v>
      </c>
      <c r="B14" s="1">
        <v>46242</v>
      </c>
      <c r="C14" s="2">
        <v>24</v>
      </c>
      <c r="D14" s="8">
        <v>0.55833333333333335</v>
      </c>
      <c r="E14" s="25">
        <f>IF(AND(D14&lt;&gt;"", C14&lt;&gt;""), IF(COUNTIFS(Log!$A$3:$A$10014,B14,Log!$F$3:$F$10014,"&gt;=50")=0,"–",_xlfn.MINIFS(Log!$E$3:$E$10014,Log!$A$3:$A$10014,B14,Log!$F$3:$F$10014,"&gt;=50")), "")</f>
        <v>19.616666666666642</v>
      </c>
    </row>
    <row r="15" spans="1:6" ht="28.8" x14ac:dyDescent="0.3">
      <c r="A15" s="1">
        <v>46244</v>
      </c>
      <c r="B15" s="1">
        <v>46244</v>
      </c>
      <c r="C15" s="2">
        <v>24</v>
      </c>
      <c r="D15" s="8">
        <v>0.44374999999999998</v>
      </c>
      <c r="E15" s="25">
        <f>IF(AND(D15&lt;&gt;"", C15&lt;&gt;""), IF(COUNTIFS(Log!$A$3:$A$10014,B15,Log!$F$3:$F$10014,"&gt;=50")=0,"–",_xlfn.MINIFS(Log!$E$3:$E$10014,Log!$A$3:$A$10014,B15,Log!$F$3:$F$10014,"&gt;=50")), "")</f>
        <v>18.850000000000069</v>
      </c>
      <c r="F15" s="15" t="s">
        <v>54</v>
      </c>
    </row>
    <row r="16" spans="1:6" x14ac:dyDescent="0.3">
      <c r="A16" s="1">
        <v>46245</v>
      </c>
      <c r="B16" s="1">
        <v>46245</v>
      </c>
      <c r="C16" s="2">
        <v>23.5</v>
      </c>
      <c r="D16" s="8">
        <v>0.38194444444444442</v>
      </c>
      <c r="E16" s="25">
        <f>IF(AND(D16&lt;&gt;"", C16&lt;&gt;""), IF(COUNTIFS(Log!$A$3:$A$10014,B16,Log!$F$3:$F$10014,"&gt;=50")=0,"–",_xlfn.MINIFS(Log!$E$3:$E$10014,Log!$A$3:$A$10014,B16,Log!$F$3:$F$10014,"&gt;=50")), "")</f>
        <v>21.350000000000058</v>
      </c>
      <c r="F16" s="15" t="s">
        <v>55</v>
      </c>
    </row>
    <row r="17" spans="1:6" x14ac:dyDescent="0.3">
      <c r="A17" s="1">
        <v>46246</v>
      </c>
      <c r="B17" s="1">
        <v>46246</v>
      </c>
      <c r="C17" s="2">
        <v>24</v>
      </c>
      <c r="D17" s="8">
        <v>0.41597222222222224</v>
      </c>
      <c r="E17" s="25">
        <f>IF(AND(D17&lt;&gt;"", C17&lt;&gt;""), IF(COUNTIFS(Log!$A$3:$A$10014,B17,Log!$F$3:$F$10014,"&gt;=50")=0,"–",_xlfn.MINIFS(Log!$E$3:$E$10014,Log!$A$3:$A$10014,B17,Log!$F$3:$F$10014,"&gt;=50")), "")</f>
        <v>21.449999999999996</v>
      </c>
    </row>
    <row r="18" spans="1:6" x14ac:dyDescent="0.3">
      <c r="A18" s="1">
        <v>46247</v>
      </c>
      <c r="B18" s="1">
        <v>46247</v>
      </c>
      <c r="C18" s="2">
        <v>24.5</v>
      </c>
      <c r="D18" s="8">
        <v>0.40972222222222221</v>
      </c>
      <c r="E18" s="25">
        <f>IF(AND(D18&lt;&gt;"", C18&lt;&gt;""), IF(COUNTIFS(Log!$A$3:$A$10014,B18,Log!$F$3:$F$10014,"&gt;=50")=0,"–",_xlfn.MINIFS(Log!$E$3:$E$10014,Log!$A$3:$A$10014,B18,Log!$F$3:$F$10014,"&gt;=50")), "")</f>
        <v>19.000000000000014</v>
      </c>
    </row>
    <row r="19" spans="1:6" x14ac:dyDescent="0.3">
      <c r="A19" s="1">
        <v>46248</v>
      </c>
      <c r="B19" s="1">
        <v>46248</v>
      </c>
      <c r="C19" s="2">
        <v>25</v>
      </c>
      <c r="D19" s="8">
        <v>0.43472222222222223</v>
      </c>
      <c r="E19" s="25">
        <f>IF(AND(D19&lt;&gt;"", C19&lt;&gt;""), IF(COUNTIFS(Log!$A$3:$A$10014,B19,Log!$F$3:$F$10014,"&gt;=50")=0,"–",_xlfn.MINIFS(Log!$E$3:$E$10014,Log!$A$3:$A$10014,B19,Log!$F$3:$F$10014,"&gt;=50")), "")</f>
        <v>17.899999999999999</v>
      </c>
    </row>
    <row r="20" spans="1:6" x14ac:dyDescent="0.3">
      <c r="A20" s="1">
        <v>46251</v>
      </c>
      <c r="B20" s="1">
        <v>46251</v>
      </c>
      <c r="C20" s="2">
        <v>24.5</v>
      </c>
      <c r="D20" s="8">
        <v>0.55902777777777779</v>
      </c>
      <c r="E20" s="25">
        <f>IF(AND(D20&lt;&gt;"", C20&lt;&gt;""), IF(COUNTIFS(Log!$A$3:$A$10014,B20,Log!$F$3:$F$10014,"&gt;=50")=0,"–",_xlfn.MINIFS(Log!$E$3:$E$10014,Log!$A$3:$A$10014,B20,Log!$F$3:$F$10014,"&gt;=50")), "")</f>
        <v>21.483333333333388</v>
      </c>
    </row>
    <row r="21" spans="1:6" x14ac:dyDescent="0.3">
      <c r="A21" s="1">
        <v>46252</v>
      </c>
      <c r="B21" s="1">
        <v>46252</v>
      </c>
      <c r="C21" s="2">
        <v>24.5</v>
      </c>
      <c r="D21" s="8">
        <v>0.42708333333333331</v>
      </c>
      <c r="E21" s="25">
        <f>IF(AND(D21&lt;&gt;"", C21&lt;&gt;""), IF(COUNTIFS(Log!$A$3:$A$10014,B21,Log!$F$3:$F$10014,"&gt;=50")=0,"–",_xlfn.MINIFS(Log!$E$3:$E$10014,Log!$A$3:$A$10014,B21,Log!$F$3:$F$10014,"&gt;=50")), "")</f>
        <v>19.63333333333334</v>
      </c>
    </row>
    <row r="22" spans="1:6" x14ac:dyDescent="0.3">
      <c r="A22" s="1">
        <v>46253</v>
      </c>
      <c r="B22" s="1">
        <v>46253</v>
      </c>
      <c r="C22" s="2">
        <v>24.5</v>
      </c>
      <c r="D22" s="8">
        <v>0.45902777777777776</v>
      </c>
      <c r="E22" s="25">
        <f>IF(AND(D22&lt;&gt;"", C22&lt;&gt;""), IF(COUNTIFS(Log!$A$3:$A$10014,B22,Log!$F$3:$F$10014,"&gt;=50")=0,"–",_xlfn.MINIFS(Log!$E$3:$E$10014,Log!$A$3:$A$10014,B22,Log!$F$3:$F$10014,"&gt;=50")), "")</f>
        <v>20.11666666666672</v>
      </c>
    </row>
    <row r="23" spans="1:6" x14ac:dyDescent="0.3">
      <c r="A23" s="1">
        <v>46254</v>
      </c>
      <c r="B23" s="1">
        <v>46254</v>
      </c>
      <c r="C23" s="2">
        <v>24.5</v>
      </c>
      <c r="D23" s="8">
        <v>0.54236111111111107</v>
      </c>
      <c r="E23" s="25">
        <f>IF(AND(D23&lt;&gt;"", C23&lt;&gt;""), IF(COUNTIFS(Log!$A$3:$A$10014,B23,Log!$F$3:$F$10014,"&gt;=50")=0,"–",_xlfn.MINIFS(Log!$E$3:$E$10014,Log!$A$3:$A$10014,B23,Log!$F$3:$F$10014,"&gt;=50")), "")</f>
        <v>20.883333333333454</v>
      </c>
    </row>
    <row r="24" spans="1:6" ht="28.8" x14ac:dyDescent="0.3">
      <c r="A24" s="1">
        <v>46255</v>
      </c>
      <c r="B24" s="1">
        <v>46255</v>
      </c>
      <c r="C24" s="2">
        <v>23.5</v>
      </c>
      <c r="D24" s="8">
        <v>0.59305555555555556</v>
      </c>
      <c r="E24" s="25">
        <f>IF(AND(D24&lt;&gt;"", C24&lt;&gt;""), IF(COUNTIFS(Log!$A$3:$A$10014,B24,Log!$F$3:$F$10014,"&gt;=50")=0,"–",_xlfn.MINIFS(Log!$E$3:$E$10014,Log!$A$3:$A$10014,B24,Log!$F$3:$F$10014,"&gt;=50")), "")</f>
        <v>18.816666666666677</v>
      </c>
      <c r="F24" s="15" t="s">
        <v>56</v>
      </c>
    </row>
    <row r="25" spans="1:6" x14ac:dyDescent="0.3">
      <c r="A25" s="1"/>
      <c r="B25" s="1"/>
      <c r="E25" s="25" t="str">
        <f>IF(AND(D25&lt;&gt;"", C25&lt;&gt;""), IF(COUNTIFS(Log!$A$3:$A$10014,B25,Log!$F$3:$F$10014,"&gt;=50")=0,"–",_xlfn.MINIFS(Log!$E$3:$E$10014,Log!$A$3:$A$10014,B25,Log!$F$3:$F$10014,"&gt;=50")), "")</f>
        <v/>
      </c>
    </row>
    <row r="26" spans="1:6" x14ac:dyDescent="0.3">
      <c r="A26" s="1"/>
      <c r="B26" s="1"/>
      <c r="E26" s="25" t="str">
        <f>IF(AND(D26&lt;&gt;"", C26&lt;&gt;""), IF(COUNTIFS(Log!$A$3:$A$10014,B26,Log!$F$3:$F$10014,"&gt;=50")=0,"–",_xlfn.MINIFS(Log!$E$3:$E$10014,Log!$A$3:$A$10014,B26,Log!$F$3:$F$10014,"&gt;=50")), "")</f>
        <v/>
      </c>
    </row>
    <row r="27" spans="1:6" x14ac:dyDescent="0.3">
      <c r="A27" s="1"/>
      <c r="B27" s="1"/>
      <c r="E27" s="25" t="str">
        <f>IF(AND(D27&lt;&gt;"", C27&lt;&gt;""), IF(COUNTIFS(Log!$A$3:$A$10014,B27,Log!$F$3:$F$10014,"&gt;=50")=0,"–",_xlfn.MINIFS(Log!$E$3:$E$10014,Log!$A$3:$A$10014,B27,Log!$F$3:$F$10014,"&gt;=50")), "")</f>
        <v/>
      </c>
    </row>
    <row r="28" spans="1:6" x14ac:dyDescent="0.3">
      <c r="A28" s="1"/>
      <c r="B28" s="1"/>
      <c r="E28" s="25" t="str">
        <f>IF(AND(D28&lt;&gt;"", C28&lt;&gt;""), IF(COUNTIFS(Log!$A$3:$A$10014,B28,Log!$F$3:$F$10014,"&gt;=50")=0,"–",_xlfn.MINIFS(Log!$E$3:$E$10014,Log!$A$3:$A$10014,B28,Log!$F$3:$F$10014,"&gt;=50")), "")</f>
        <v/>
      </c>
    </row>
    <row r="29" spans="1:6" x14ac:dyDescent="0.3">
      <c r="A29" s="1"/>
      <c r="B29" s="1"/>
      <c r="E29" s="25" t="str">
        <f>IF(AND(D29&lt;&gt;"", C29&lt;&gt;""), IF(COUNTIFS(Log!$A$3:$A$10014,B29,Log!$F$3:$F$10014,"&gt;=50")=0,"–",_xlfn.MINIFS(Log!$E$3:$E$10014,Log!$A$3:$A$10014,B29,Log!$F$3:$F$10014,"&gt;=50")), "")</f>
        <v/>
      </c>
    </row>
    <row r="30" spans="1:6" x14ac:dyDescent="0.3">
      <c r="A30" s="1"/>
      <c r="B30" s="1"/>
      <c r="E30" s="25" t="str">
        <f>IF(AND(D30&lt;&gt;"", C30&lt;&gt;""), IF(COUNTIFS(Log!$A$3:$A$10014,B30,Log!$F$3:$F$10014,"&gt;=50")=0,"–",_xlfn.MINIFS(Log!$E$3:$E$10014,Log!$A$3:$A$10014,B30,Log!$F$3:$F$10014,"&gt;=50")), "")</f>
        <v/>
      </c>
    </row>
    <row r="31" spans="1:6" x14ac:dyDescent="0.3">
      <c r="A31" s="1"/>
      <c r="B31" s="1"/>
      <c r="E31" s="25" t="str">
        <f>IF(AND(D31&lt;&gt;"", C31&lt;&gt;""), IF(COUNTIFS(Log!$A$3:$A$10014,B31,Log!$F$3:$F$10014,"&gt;=50")=0,"–",_xlfn.MINIFS(Log!$E$3:$E$10014,Log!$A$3:$A$10014,B31,Log!$F$3:$F$10014,"&gt;=50")), "")</f>
        <v/>
      </c>
    </row>
    <row r="32" spans="1:6" x14ac:dyDescent="0.3">
      <c r="A32" s="1"/>
      <c r="B32" s="1"/>
      <c r="E32" s="25" t="str">
        <f>IF(AND(D32&lt;&gt;"", C32&lt;&gt;""), IF(COUNTIFS(Log!$A$3:$A$10014,B32,Log!$F$3:$F$10014,"&gt;=50")=0,"–",_xlfn.MINIFS(Log!$E$3:$E$10014,Log!$A$3:$A$10014,B32,Log!$F$3:$F$10014,"&gt;=50")), "")</f>
        <v/>
      </c>
    </row>
    <row r="33" spans="1:5" x14ac:dyDescent="0.3">
      <c r="A33" s="1"/>
      <c r="B33" s="1"/>
      <c r="E33" s="25" t="str">
        <f>IF(AND(D33&lt;&gt;"", C33&lt;&gt;""), IF(COUNTIFS(Log!$A$3:$A$10014,B33,Log!$F$3:$F$10014,"&gt;=50")=0,"–",_xlfn.MINIFS(Log!$E$3:$E$10014,Log!$A$3:$A$10014,B33,Log!$F$3:$F$10014,"&gt;=50")), "")</f>
        <v/>
      </c>
    </row>
    <row r="34" spans="1:5" x14ac:dyDescent="0.3">
      <c r="A34" s="1"/>
      <c r="B34" s="1"/>
      <c r="E34" s="25" t="str">
        <f>IF(AND(D34&lt;&gt;"", C34&lt;&gt;""), IF(COUNTIFS(Log!$A$3:$A$10014,B34,Log!$F$3:$F$10014,"&gt;=50")=0,"–",_xlfn.MINIFS(Log!$E$3:$E$10014,Log!$A$3:$A$10014,B34,Log!$F$3:$F$10014,"&gt;=50")), "")</f>
        <v/>
      </c>
    </row>
    <row r="35" spans="1:5" x14ac:dyDescent="0.3">
      <c r="A35" s="1"/>
      <c r="B35" s="1"/>
      <c r="E35" s="25" t="str">
        <f>IF(AND(D35&lt;&gt;"", C35&lt;&gt;""), IF(COUNTIFS(Log!$A$3:$A$10014,B35,Log!$F$3:$F$10014,"&gt;=50")=0,"–",_xlfn.MINIFS(Log!$E$3:$E$10014,Log!$A$3:$A$10014,B35,Log!$F$3:$F$10014,"&gt;=50")), "")</f>
        <v/>
      </c>
    </row>
    <row r="36" spans="1:5" x14ac:dyDescent="0.3">
      <c r="A36" s="1"/>
      <c r="B36" s="1"/>
      <c r="E36" s="25" t="str">
        <f>IF(AND(D36&lt;&gt;"", C36&lt;&gt;""), IF(COUNTIFS(Log!$A$3:$A$10014,B36,Log!$F$3:$F$10014,"&gt;=50")=0,"–",_xlfn.MINIFS(Log!$E$3:$E$10014,Log!$A$3:$A$10014,B36,Log!$F$3:$F$10014,"&gt;=50")), "")</f>
        <v/>
      </c>
    </row>
    <row r="37" spans="1:5" x14ac:dyDescent="0.3">
      <c r="A37" s="1"/>
      <c r="B37" s="1"/>
      <c r="E37" s="25" t="str">
        <f>IF(AND(D37&lt;&gt;"", C37&lt;&gt;""), IF(COUNTIFS(Log!$A$3:$A$10014,B37,Log!$F$3:$F$10014,"&gt;=50")=0,"–",_xlfn.MINIFS(Log!$E$3:$E$10014,Log!$A$3:$A$10014,B37,Log!$F$3:$F$10014,"&gt;=50")), "")</f>
        <v/>
      </c>
    </row>
    <row r="38" spans="1:5" x14ac:dyDescent="0.3">
      <c r="A38" s="1"/>
      <c r="B38" s="1"/>
      <c r="E38" s="25" t="str">
        <f>IF(AND(D38&lt;&gt;"", C38&lt;&gt;""), IF(COUNTIFS(Log!$A$3:$A$10014,B38,Log!$F$3:$F$10014,"&gt;=50")=0,"–",_xlfn.MINIFS(Log!$E$3:$E$10014,Log!$A$3:$A$10014,B38,Log!$F$3:$F$10014,"&gt;=50")), "")</f>
        <v/>
      </c>
    </row>
    <row r="39" spans="1:5" x14ac:dyDescent="0.3">
      <c r="A39" s="1"/>
      <c r="B39" s="1"/>
      <c r="E39" s="25" t="str">
        <f>IF(AND(D39&lt;&gt;"", C39&lt;&gt;""), IF(COUNTIFS(Log!$A$3:$A$10014,B39,Log!$F$3:$F$10014,"&gt;=50")=0,"–",_xlfn.MINIFS(Log!$E$3:$E$10014,Log!$A$3:$A$10014,B39,Log!$F$3:$F$10014,"&gt;=50")), "")</f>
        <v/>
      </c>
    </row>
    <row r="40" spans="1:5" x14ac:dyDescent="0.3">
      <c r="A40" s="1"/>
      <c r="B40" s="1"/>
      <c r="E40" s="25" t="str">
        <f>IF(AND(D40&lt;&gt;"", C40&lt;&gt;""), IF(COUNTIFS(Log!$A$3:$A$10014,B40,Log!$F$3:$F$10014,"&gt;=50")=0,"–",_xlfn.MINIFS(Log!$E$3:$E$10014,Log!$A$3:$A$10014,B40,Log!$F$3:$F$10014,"&gt;=50")), "")</f>
        <v/>
      </c>
    </row>
    <row r="41" spans="1:5" x14ac:dyDescent="0.3">
      <c r="A41" s="1"/>
      <c r="B41" s="1"/>
      <c r="E41" s="25" t="str">
        <f>IF(AND(D41&lt;&gt;"", C41&lt;&gt;""), IF(COUNTIFS(Log!$A$3:$A$10014,B41,Log!$F$3:$F$10014,"&gt;=50")=0,"–",_xlfn.MINIFS(Log!$E$3:$E$10014,Log!$A$3:$A$10014,B41,Log!$F$3:$F$10014,"&gt;=50")), "")</f>
        <v/>
      </c>
    </row>
    <row r="42" spans="1:5" x14ac:dyDescent="0.3">
      <c r="A42" s="1"/>
      <c r="B42" s="1"/>
      <c r="E42" s="25" t="str">
        <f>IF(AND(D42&lt;&gt;"", C42&lt;&gt;""), IF(COUNTIFS(Log!$A$3:$A$10014,B42,Log!$F$3:$F$10014,"&gt;=50")=0,"–",_xlfn.MINIFS(Log!$E$3:$E$10014,Log!$A$3:$A$10014,B42,Log!$F$3:$F$10014,"&gt;=50")), "")</f>
        <v/>
      </c>
    </row>
    <row r="43" spans="1:5" x14ac:dyDescent="0.3">
      <c r="A43" s="1"/>
      <c r="B43" s="1"/>
      <c r="E43" s="25" t="str">
        <f>IF(AND(D43&lt;&gt;"", C43&lt;&gt;""), IF(COUNTIFS(Log!$A$3:$A$10014,B43,Log!$F$3:$F$10014,"&gt;=50")=0,"–",_xlfn.MINIFS(Log!$E$3:$E$10014,Log!$A$3:$A$10014,B43,Log!$F$3:$F$10014,"&gt;=50")), "")</f>
        <v/>
      </c>
    </row>
    <row r="44" spans="1:5" x14ac:dyDescent="0.3">
      <c r="A44" s="1"/>
      <c r="B44" s="1"/>
      <c r="E44" s="25" t="str">
        <f>IF(AND(D44&lt;&gt;"", C44&lt;&gt;""), IF(COUNTIFS(Log!$A$3:$A$10014,B44,Log!$F$3:$F$10014,"&gt;=50")=0,"–",_xlfn.MINIFS(Log!$E$3:$E$10014,Log!$A$3:$A$10014,B44,Log!$F$3:$F$10014,"&gt;=50")), "")</f>
        <v/>
      </c>
    </row>
    <row r="45" spans="1:5" x14ac:dyDescent="0.3">
      <c r="A45" s="1"/>
      <c r="B45" s="1"/>
      <c r="E45" s="25" t="str">
        <f>IF(AND(D45&lt;&gt;"", C45&lt;&gt;""), IF(COUNTIFS(Log!$A$3:$A$10014,B45,Log!$F$3:$F$10014,"&gt;=50")=0,"–",_xlfn.MINIFS(Log!$E$3:$E$10014,Log!$A$3:$A$10014,B45,Log!$F$3:$F$10014,"&gt;=50")), "")</f>
        <v/>
      </c>
    </row>
    <row r="46" spans="1:5" x14ac:dyDescent="0.3">
      <c r="A46" s="1"/>
      <c r="B46" s="1"/>
      <c r="E46" s="25" t="str">
        <f>IF(AND(D46&lt;&gt;"", C46&lt;&gt;""), IF(COUNTIFS(Log!$A$3:$A$10014,B46,Log!$F$3:$F$10014,"&gt;=50")=0,"–",_xlfn.MINIFS(Log!$E$3:$E$10014,Log!$A$3:$A$10014,B46,Log!$F$3:$F$10014,"&gt;=50")), "")</f>
        <v/>
      </c>
    </row>
    <row r="47" spans="1:5" x14ac:dyDescent="0.3">
      <c r="A47" s="1"/>
      <c r="B47" s="1"/>
      <c r="E47" s="25" t="str">
        <f>IF(AND(D47&lt;&gt;"", C47&lt;&gt;""), IF(COUNTIFS(Log!$A$3:$A$10014,B47,Log!$F$3:$F$10014,"&gt;=50")=0,"–",_xlfn.MINIFS(Log!$E$3:$E$10014,Log!$A$3:$A$10014,B47,Log!$F$3:$F$10014,"&gt;=50")), "")</f>
        <v/>
      </c>
    </row>
    <row r="48" spans="1:5" x14ac:dyDescent="0.3">
      <c r="A48" s="1"/>
      <c r="B48" s="1"/>
      <c r="E48" s="25" t="str">
        <f>IF(AND(D48&lt;&gt;"", C48&lt;&gt;""), IF(COUNTIFS(Log!$A$3:$A$10014,B48,Log!$F$3:$F$10014,"&gt;=50")=0,"–",_xlfn.MINIFS(Log!$E$3:$E$10014,Log!$A$3:$A$10014,B48,Log!$F$3:$F$10014,"&gt;=50")), "")</f>
        <v/>
      </c>
    </row>
    <row r="49" spans="1:5" x14ac:dyDescent="0.3">
      <c r="A49" s="1"/>
      <c r="B49" s="1"/>
      <c r="E49" s="25" t="str">
        <f>IF(AND(D49&lt;&gt;"", C49&lt;&gt;""), IF(COUNTIFS(Log!$A$3:$A$10014,B49,Log!$F$3:$F$10014,"&gt;=50")=0,"–",_xlfn.MINIFS(Log!$E$3:$E$10014,Log!$A$3:$A$10014,B49,Log!$F$3:$F$10014,"&gt;=50")), "")</f>
        <v/>
      </c>
    </row>
    <row r="50" spans="1:5" x14ac:dyDescent="0.3">
      <c r="A50" s="1"/>
      <c r="B50" s="1"/>
      <c r="E50" s="25" t="str">
        <f>IF(AND(D50&lt;&gt;"", C50&lt;&gt;""), IF(COUNTIFS(Log!$A$3:$A$10014,B50,Log!$F$3:$F$10014,"&gt;=50")=0,"–",_xlfn.MINIFS(Log!$E$3:$E$10014,Log!$A$3:$A$10014,B50,Log!$F$3:$F$10014,"&gt;=50")), "")</f>
        <v/>
      </c>
    </row>
    <row r="51" spans="1:5" x14ac:dyDescent="0.3">
      <c r="A51" s="1"/>
      <c r="B51" s="1"/>
      <c r="E51" s="25" t="str">
        <f>IF(AND(D51&lt;&gt;"", C51&lt;&gt;""), IF(COUNTIFS(Log!$A$3:$A$10014,B51,Log!$F$3:$F$10014,"&gt;=50")=0,"–",_xlfn.MINIFS(Log!$E$3:$E$10014,Log!$A$3:$A$10014,B51,Log!$F$3:$F$10014,"&gt;=50")), "")</f>
        <v/>
      </c>
    </row>
    <row r="52" spans="1:5" x14ac:dyDescent="0.3">
      <c r="A52" s="1"/>
      <c r="B52" s="1"/>
      <c r="E52" s="25" t="str">
        <f>IF(AND(D52&lt;&gt;"", C52&lt;&gt;""), IF(COUNTIFS(Log!$A$3:$A$10014,B52,Log!$F$3:$F$10014,"&gt;=50")=0,"–",_xlfn.MINIFS(Log!$E$3:$E$10014,Log!$A$3:$A$10014,B52,Log!$F$3:$F$10014,"&gt;=50")), "")</f>
        <v/>
      </c>
    </row>
    <row r="53" spans="1:5" x14ac:dyDescent="0.3">
      <c r="A53" s="1"/>
      <c r="B53" s="1"/>
      <c r="E53" s="25" t="str">
        <f>IF(AND(D53&lt;&gt;"", C53&lt;&gt;""), IF(COUNTIFS(Log!$A$3:$A$10014,B53,Log!$F$3:$F$10014,"&gt;=50")=0,"–",_xlfn.MINIFS(Log!$E$3:$E$10014,Log!$A$3:$A$10014,B53,Log!$F$3:$F$10014,"&gt;=50")), "")</f>
        <v/>
      </c>
    </row>
    <row r="54" spans="1:5" x14ac:dyDescent="0.3">
      <c r="A54" s="1"/>
      <c r="B54" s="1"/>
      <c r="E54" s="25" t="str">
        <f>IF(AND(D54&lt;&gt;"", C54&lt;&gt;""), IF(COUNTIFS(Log!$A$3:$A$10014,B54,Log!$F$3:$F$10014,"&gt;=50")=0,"–",_xlfn.MINIFS(Log!$E$3:$E$10014,Log!$A$3:$A$10014,B54,Log!$F$3:$F$10014,"&gt;=50")), "")</f>
        <v/>
      </c>
    </row>
    <row r="55" spans="1:5" x14ac:dyDescent="0.3">
      <c r="A55" s="1"/>
      <c r="B55" s="1"/>
      <c r="E55" s="25" t="str">
        <f>IF(AND(D55&lt;&gt;"", C55&lt;&gt;""), IF(COUNTIFS(Log!$A$3:$A$10014,B55,Log!$F$3:$F$10014,"&gt;=50")=0,"–",_xlfn.MINIFS(Log!$E$3:$E$10014,Log!$A$3:$A$10014,B55,Log!$F$3:$F$10014,"&gt;=50")), "")</f>
        <v/>
      </c>
    </row>
    <row r="56" spans="1:5" x14ac:dyDescent="0.3">
      <c r="A56" s="1"/>
      <c r="B56" s="1"/>
      <c r="E56" s="25" t="str">
        <f>IF(AND(D56&lt;&gt;"", C56&lt;&gt;""), IF(COUNTIFS(Log!$A$3:$A$10014,B56,Log!$F$3:$F$10014,"&gt;=50")=0,"–",_xlfn.MINIFS(Log!$E$3:$E$10014,Log!$A$3:$A$10014,B56,Log!$F$3:$F$10014,"&gt;=50")), "")</f>
        <v/>
      </c>
    </row>
    <row r="57" spans="1:5" x14ac:dyDescent="0.3">
      <c r="A57" s="1"/>
      <c r="B57" s="1"/>
      <c r="E57" s="25" t="str">
        <f>IF(AND(D57&lt;&gt;"", C57&lt;&gt;""), IF(COUNTIFS(Log!$A$3:$A$10014,B57,Log!$F$3:$F$10014,"&gt;=50")=0,"–",_xlfn.MINIFS(Log!$E$3:$E$10014,Log!$A$3:$A$10014,B57,Log!$F$3:$F$10014,"&gt;=50")), "")</f>
        <v/>
      </c>
    </row>
    <row r="58" spans="1:5" x14ac:dyDescent="0.3">
      <c r="E58" s="25" t="str">
        <f>IF(AND(D58&lt;&gt;"", C58&lt;&gt;""), IF(COUNTIFS(Log!$A$3:$A$10014,B58,Log!$F$3:$F$10014,"&gt;=50")=0,"–",_xlfn.MINIFS(Log!$E$3:$E$10014,Log!$A$3:$A$10014,B58,Log!$F$3:$F$10014,"&gt;=50")), "")</f>
        <v/>
      </c>
    </row>
    <row r="59" spans="1:5" x14ac:dyDescent="0.3">
      <c r="E59" s="25" t="str">
        <f>IF(AND(D59&lt;&gt;"", C59&lt;&gt;""), IF(COUNTIFS(Log!$A$3:$A$10014,B59,Log!$F$3:$F$10014,"&gt;=50")=0,"–",_xlfn.MINIFS(Log!$E$3:$E$10014,Log!$A$3:$A$10014,B59,Log!$F$3:$F$10014,"&gt;=50")), "")</f>
        <v/>
      </c>
    </row>
    <row r="60" spans="1:5" x14ac:dyDescent="0.3">
      <c r="E60" s="25" t="str">
        <f>IF(AND(D60&lt;&gt;"", C60&lt;&gt;""), IF(COUNTIFS(Log!$A$3:$A$10014,B60,Log!$F$3:$F$10014,"&gt;=50")=0,"–",_xlfn.MINIFS(Log!$E$3:$E$10014,Log!$A$3:$A$10014,B60,Log!$F$3:$F$10014,"&gt;=50")), "")</f>
        <v/>
      </c>
    </row>
    <row r="61" spans="1:5" x14ac:dyDescent="0.3">
      <c r="E61" s="25" t="str">
        <f>IF(AND(D61&lt;&gt;"", C61&lt;&gt;""), IF(COUNTIFS(Log!$A$3:$A$10014,B61,Log!$F$3:$F$10014,"&gt;=50")=0,"–",_xlfn.MINIFS(Log!$E$3:$E$10014,Log!$A$3:$A$10014,B61,Log!$F$3:$F$10014,"&gt;=50")), "")</f>
        <v/>
      </c>
    </row>
    <row r="62" spans="1:5" x14ac:dyDescent="0.3">
      <c r="E62" s="25" t="str">
        <f>IF(AND(D62&lt;&gt;"", C62&lt;&gt;""), IF(COUNTIFS(Log!$A$3:$A$10014,B62,Log!$F$3:$F$10014,"&gt;=50")=0,"–",_xlfn.MINIFS(Log!$E$3:$E$10014,Log!$A$3:$A$10014,B62,Log!$F$3:$F$10014,"&gt;=50")), "")</f>
        <v/>
      </c>
    </row>
    <row r="63" spans="1:5" x14ac:dyDescent="0.3">
      <c r="E63" s="25" t="str">
        <f>IF(AND(D63&lt;&gt;"", C63&lt;&gt;""), IF(COUNTIFS(Log!$A$3:$A$10014,B63,Log!$F$3:$F$10014,"&gt;=50")=0,"–",_xlfn.MINIFS(Log!$E$3:$E$10014,Log!$A$3:$A$10014,B63,Log!$F$3:$F$10014,"&gt;=50")), "")</f>
        <v/>
      </c>
    </row>
    <row r="64" spans="1:5" x14ac:dyDescent="0.3">
      <c r="E64" s="25" t="str">
        <f>IF(AND(D64&lt;&gt;"", C64&lt;&gt;""), IF(COUNTIFS(Log!$A$3:$A$10014,B64,Log!$F$3:$F$10014,"&gt;=50")=0,"–",_xlfn.MINIFS(Log!$E$3:$E$10014,Log!$A$3:$A$10014,B64,Log!$F$3:$F$10014,"&gt;=50")), "")</f>
        <v/>
      </c>
    </row>
    <row r="65" spans="5:5" x14ac:dyDescent="0.3">
      <c r="E65" s="25" t="str">
        <f>IF(AND(D65&lt;&gt;"", C65&lt;&gt;""), IF(COUNTIFS(Log!$A$3:$A$10014,B65,Log!$F$3:$F$10014,"&gt;=50")=0,"–",_xlfn.MINIFS(Log!$E$3:$E$10014,Log!$A$3:$A$10014,B65,Log!$F$3:$F$10014,"&gt;=50")), "")</f>
        <v/>
      </c>
    </row>
    <row r="66" spans="5:5" x14ac:dyDescent="0.3">
      <c r="E66" s="25" t="str">
        <f>IF(AND(D66&lt;&gt;"", C66&lt;&gt;""), IF(COUNTIFS(Log!$A$3:$A$10014,B66,Log!$F$3:$F$10014,"&gt;=50")=0,"–",_xlfn.MINIFS(Log!$E$3:$E$10014,Log!$A$3:$A$10014,B66,Log!$F$3:$F$10014,"&gt;=50")), "")</f>
        <v/>
      </c>
    </row>
    <row r="67" spans="5:5" x14ac:dyDescent="0.3">
      <c r="E67" s="25" t="str">
        <f>IF(AND(D67&lt;&gt;"", C67&lt;&gt;""), IF(COUNTIFS(Log!$A$3:$A$10014,B67,Log!$F$3:$F$10014,"&gt;=50")=0,"–",_xlfn.MINIFS(Log!$E$3:$E$10014,Log!$A$3:$A$10014,B67,Log!$F$3:$F$10014,"&gt;=50")), "")</f>
        <v/>
      </c>
    </row>
    <row r="68" spans="5:5" x14ac:dyDescent="0.3">
      <c r="E68" s="25" t="str">
        <f>IF(AND(D68&lt;&gt;"", C68&lt;&gt;""), IF(COUNTIFS(Log!$A$3:$A$10014,B68,Log!$F$3:$F$10014,"&gt;=50")=0,"–",_xlfn.MINIFS(Log!$E$3:$E$10014,Log!$A$3:$A$10014,B68,Log!$F$3:$F$10014,"&gt;=50")), "")</f>
        <v/>
      </c>
    </row>
    <row r="69" spans="5:5" x14ac:dyDescent="0.3">
      <c r="E69" s="25" t="str">
        <f>IF(AND(D69&lt;&gt;"", C69&lt;&gt;""), IF(COUNTIFS(Log!$A$3:$A$10014,B69,Log!$F$3:$F$10014,"&gt;=50")=0,"–",_xlfn.MINIFS(Log!$E$3:$E$10014,Log!$A$3:$A$10014,B69,Log!$F$3:$F$10014,"&gt;=50")), "")</f>
        <v/>
      </c>
    </row>
    <row r="70" spans="5:5" x14ac:dyDescent="0.3">
      <c r="E70" s="25" t="str">
        <f>IF(AND(D70&lt;&gt;"", C70&lt;&gt;""), IF(COUNTIFS(Log!$A$3:$A$10014,B70,Log!$F$3:$F$10014,"&gt;=50")=0,"–",_xlfn.MINIFS(Log!$E$3:$E$10014,Log!$A$3:$A$10014,B70,Log!$F$3:$F$10014,"&gt;=50")), "")</f>
        <v/>
      </c>
    </row>
    <row r="71" spans="5:5" x14ac:dyDescent="0.3">
      <c r="E71" s="25" t="str">
        <f>IF(AND(D71&lt;&gt;"", C71&lt;&gt;""), IF(COUNTIFS(Log!$A$3:$A$10014,B71,Log!$F$3:$F$10014,"&gt;=50")=0,"–",_xlfn.MINIFS(Log!$E$3:$E$10014,Log!$A$3:$A$10014,B71,Log!$F$3:$F$10014,"&gt;=50")), "")</f>
        <v/>
      </c>
    </row>
    <row r="72" spans="5:5" x14ac:dyDescent="0.3">
      <c r="E72" s="25" t="str">
        <f>IF(AND(D72&lt;&gt;"", C72&lt;&gt;""), IF(COUNTIFS(Log!$A$3:$A$10014,B72,Log!$F$3:$F$10014,"&gt;=50")=0,"–",_xlfn.MINIFS(Log!$E$3:$E$10014,Log!$A$3:$A$10014,B72,Log!$F$3:$F$10014,"&gt;=50")), "")</f>
        <v/>
      </c>
    </row>
    <row r="73" spans="5:5" x14ac:dyDescent="0.3">
      <c r="E73" s="25" t="str">
        <f>IF(AND(D73&lt;&gt;"", C73&lt;&gt;""), IF(COUNTIFS(Log!$A$3:$A$10014,B73,Log!$F$3:$F$10014,"&gt;=50")=0,"–",_xlfn.MINIFS(Log!$E$3:$E$10014,Log!$A$3:$A$10014,B73,Log!$F$3:$F$10014,"&gt;=50")), "")</f>
        <v/>
      </c>
    </row>
    <row r="74" spans="5:5" x14ac:dyDescent="0.3">
      <c r="E74" s="25" t="str">
        <f>IF(AND(D74&lt;&gt;"", C74&lt;&gt;""), IF(COUNTIFS(Log!$A$3:$A$10014,B74,Log!$F$3:$F$10014,"&gt;=50")=0,"–",_xlfn.MINIFS(Log!$E$3:$E$10014,Log!$A$3:$A$10014,B74,Log!$F$3:$F$10014,"&gt;=50")), "")</f>
        <v/>
      </c>
    </row>
    <row r="75" spans="5:5" x14ac:dyDescent="0.3">
      <c r="E75" s="25" t="str">
        <f>IF(AND(D75&lt;&gt;"", C75&lt;&gt;""), IF(COUNTIFS(Log!$A$3:$A$10014,B75,Log!$F$3:$F$10014,"&gt;=50")=0,"–",_xlfn.MINIFS(Log!$E$3:$E$10014,Log!$A$3:$A$10014,B75,Log!$F$3:$F$10014,"&gt;=50")), "")</f>
        <v/>
      </c>
    </row>
    <row r="76" spans="5:5" x14ac:dyDescent="0.3">
      <c r="E76" s="25" t="str">
        <f>IF(AND(D76&lt;&gt;"", C76&lt;&gt;""), IF(COUNTIFS(Log!$A$3:$A$10014,B76,Log!$F$3:$F$10014,"&gt;=50")=0,"–",_xlfn.MINIFS(Log!$E$3:$E$10014,Log!$A$3:$A$10014,B76,Log!$F$3:$F$10014,"&gt;=50")), "")</f>
        <v/>
      </c>
    </row>
    <row r="77" spans="5:5" x14ac:dyDescent="0.3">
      <c r="E77" s="25" t="str">
        <f>IF(AND(D77&lt;&gt;"", C77&lt;&gt;""), IF(COUNTIFS(Log!$A$3:$A$10014,B77,Log!$F$3:$F$10014,"&gt;=50")=0,"–",_xlfn.MINIFS(Log!$E$3:$E$10014,Log!$A$3:$A$10014,B77,Log!$F$3:$F$10014,"&gt;=50")), "")</f>
        <v/>
      </c>
    </row>
    <row r="78" spans="5:5" x14ac:dyDescent="0.3">
      <c r="E78" s="25" t="str">
        <f>IF(AND(D78&lt;&gt;"", C78&lt;&gt;""), IF(COUNTIFS(Log!$A$3:$A$10014,B78,Log!$F$3:$F$10014,"&gt;=50")=0,"–",_xlfn.MINIFS(Log!$E$3:$E$10014,Log!$A$3:$A$10014,B78,Log!$F$3:$F$10014,"&gt;=50")), "")</f>
        <v/>
      </c>
    </row>
    <row r="79" spans="5:5" x14ac:dyDescent="0.3">
      <c r="E79" s="25" t="str">
        <f>IF(AND(D79&lt;&gt;"", C79&lt;&gt;""), IF(COUNTIFS(Log!$A$3:$A$10014,B79,Log!$F$3:$F$10014,"&gt;=50")=0,"–",_xlfn.MINIFS(Log!$E$3:$E$10014,Log!$A$3:$A$10014,B79,Log!$F$3:$F$10014,"&gt;=50")), "")</f>
        <v/>
      </c>
    </row>
    <row r="80" spans="5:5" x14ac:dyDescent="0.3">
      <c r="E80" s="25" t="str">
        <f>IF(AND(D80&lt;&gt;"", C80&lt;&gt;""), IF(COUNTIFS(Log!$A$3:$A$10014,B80,Log!$F$3:$F$10014,"&gt;=50")=0,"–",_xlfn.MINIFS(Log!$E$3:$E$10014,Log!$A$3:$A$10014,B80,Log!$F$3:$F$10014,"&gt;=50")), "")</f>
        <v/>
      </c>
    </row>
    <row r="81" spans="5:5" x14ac:dyDescent="0.3">
      <c r="E81" s="25" t="str">
        <f>IF(AND(D81&lt;&gt;"", C81&lt;&gt;""), IF(COUNTIFS(Log!$A$3:$A$10014,B81,Log!$F$3:$F$10014,"&gt;=50")=0,"–",_xlfn.MINIFS(Log!$E$3:$E$10014,Log!$A$3:$A$10014,B81,Log!$F$3:$F$10014,"&gt;=50")), "")</f>
        <v/>
      </c>
    </row>
    <row r="82" spans="5:5" x14ac:dyDescent="0.3">
      <c r="E82" s="25" t="str">
        <f>IF(AND(D82&lt;&gt;"", C82&lt;&gt;""), IF(COUNTIFS(Log!$A$3:$A$10014,B82,Log!$F$3:$F$10014,"&gt;=50")=0,"–",_xlfn.MINIFS(Log!$E$3:$E$10014,Log!$A$3:$A$10014,B82,Log!$F$3:$F$10014,"&gt;=50")), "")</f>
        <v/>
      </c>
    </row>
    <row r="83" spans="5:5" x14ac:dyDescent="0.3">
      <c r="E83" s="25" t="str">
        <f>IF(AND(D83&lt;&gt;"", C83&lt;&gt;""), IF(COUNTIFS(Log!$A$3:$A$10014,B83,Log!$F$3:$F$10014,"&gt;=50")=0,"–",_xlfn.MINIFS(Log!$E$3:$E$10014,Log!$A$3:$A$10014,B83,Log!$F$3:$F$10014,"&gt;=50")), "")</f>
        <v/>
      </c>
    </row>
    <row r="84" spans="5:5" x14ac:dyDescent="0.3">
      <c r="E84" s="25" t="str">
        <f>IF(AND(D84&lt;&gt;"", C84&lt;&gt;""), IF(COUNTIFS(Log!$A$3:$A$10014,B84,Log!$F$3:$F$10014,"&gt;=50")=0,"–",_xlfn.MINIFS(Log!$E$3:$E$10014,Log!$A$3:$A$10014,B84,Log!$F$3:$F$10014,"&gt;=50")), "")</f>
        <v/>
      </c>
    </row>
    <row r="85" spans="5:5" x14ac:dyDescent="0.3">
      <c r="E85" s="25" t="str">
        <f>IF(AND(D85&lt;&gt;"", C85&lt;&gt;""), IF(COUNTIFS(Log!$A$3:$A$10014,B85,Log!$F$3:$F$10014,"&gt;=50")=0,"–",_xlfn.MINIFS(Log!$E$3:$E$10014,Log!$A$3:$A$10014,B85,Log!$F$3:$F$10014,"&gt;=50")), "")</f>
        <v/>
      </c>
    </row>
    <row r="86" spans="5:5" x14ac:dyDescent="0.3">
      <c r="E86" s="25" t="str">
        <f>IF(AND(D86&lt;&gt;"", C86&lt;&gt;""), IF(COUNTIFS(Log!$A$3:$A$10014,B86,Log!$F$3:$F$10014,"&gt;=50")=0,"–",_xlfn.MINIFS(Log!$E$3:$E$10014,Log!$A$3:$A$10014,B86,Log!$F$3:$F$10014,"&gt;=50")), "")</f>
        <v/>
      </c>
    </row>
    <row r="87" spans="5:5" x14ac:dyDescent="0.3">
      <c r="E87" s="25" t="str">
        <f>IF(AND(D87&lt;&gt;"", C87&lt;&gt;""), IF(COUNTIFS(Log!$A$3:$A$10014,B87,Log!$F$3:$F$10014,"&gt;=50")=0,"–",_xlfn.MINIFS(Log!$E$3:$E$10014,Log!$A$3:$A$10014,B87,Log!$F$3:$F$10014,"&gt;=50")), "")</f>
        <v/>
      </c>
    </row>
    <row r="88" spans="5:5" x14ac:dyDescent="0.3">
      <c r="E88" s="25" t="str">
        <f>IF(AND(D88&lt;&gt;"", C88&lt;&gt;""), IF(COUNTIFS(Log!$A$3:$A$10014,B88,Log!$F$3:$F$10014,"&gt;=50")=0,"–",_xlfn.MINIFS(Log!$E$3:$E$10014,Log!$A$3:$A$10014,B88,Log!$F$3:$F$10014,"&gt;=50")), "")</f>
        <v/>
      </c>
    </row>
    <row r="89" spans="5:5" x14ac:dyDescent="0.3">
      <c r="E89" s="25" t="str">
        <f>IF(AND(D89&lt;&gt;"", C89&lt;&gt;""), IF(COUNTIFS(Log!$A$3:$A$10014,B89,Log!$F$3:$F$10014,"&gt;=50")=0,"–",_xlfn.MINIFS(Log!$E$3:$E$10014,Log!$A$3:$A$10014,B89,Log!$F$3:$F$10014,"&gt;=50")), "")</f>
        <v/>
      </c>
    </row>
    <row r="90" spans="5:5" x14ac:dyDescent="0.3">
      <c r="E90" s="25" t="str">
        <f>IF(AND(D90&lt;&gt;"", C90&lt;&gt;""), IF(COUNTIFS(Log!$A$3:$A$10014,B90,Log!$F$3:$F$10014,"&gt;=50")=0,"–",_xlfn.MINIFS(Log!$E$3:$E$10014,Log!$A$3:$A$10014,B90,Log!$F$3:$F$10014,"&gt;=50")), "")</f>
        <v/>
      </c>
    </row>
    <row r="91" spans="5:5" x14ac:dyDescent="0.3">
      <c r="E91" s="25" t="str">
        <f>IF(AND(D91&lt;&gt;"", C91&lt;&gt;""), IF(COUNTIFS(Log!$A$3:$A$10014,B91,Log!$F$3:$F$10014,"&gt;=50")=0,"–",_xlfn.MINIFS(Log!$E$3:$E$10014,Log!$A$3:$A$10014,B91,Log!$F$3:$F$10014,"&gt;=50")), "")</f>
        <v/>
      </c>
    </row>
    <row r="92" spans="5:5" x14ac:dyDescent="0.3">
      <c r="E92" s="25" t="str">
        <f>IF(AND(D92&lt;&gt;"", C92&lt;&gt;""), IF(COUNTIFS(Log!$A$3:$A$10014,B92,Log!$F$3:$F$10014,"&gt;=50")=0,"–",_xlfn.MINIFS(Log!$E$3:$E$10014,Log!$A$3:$A$10014,B92,Log!$F$3:$F$10014,"&gt;=50")), "")</f>
        <v/>
      </c>
    </row>
    <row r="93" spans="5:5" x14ac:dyDescent="0.3">
      <c r="E93" s="25" t="str">
        <f>IF(AND(D93&lt;&gt;"", C93&lt;&gt;""), IF(COUNTIFS(Log!$A$3:$A$10014,B93,Log!$F$3:$F$10014,"&gt;=50")=0,"–",_xlfn.MINIFS(Log!$E$3:$E$10014,Log!$A$3:$A$10014,B93,Log!$F$3:$F$10014,"&gt;=50")), "")</f>
        <v/>
      </c>
    </row>
    <row r="94" spans="5:5" x14ac:dyDescent="0.3">
      <c r="E94" s="25" t="str">
        <f>IF(AND(D94&lt;&gt;"", C94&lt;&gt;""), IF(COUNTIFS(Log!$A$3:$A$10014,B94,Log!$F$3:$F$10014,"&gt;=50")=0,"–",_xlfn.MINIFS(Log!$E$3:$E$10014,Log!$A$3:$A$10014,B94,Log!$F$3:$F$10014,"&gt;=50")), "")</f>
        <v/>
      </c>
    </row>
    <row r="95" spans="5:5" x14ac:dyDescent="0.3">
      <c r="E95" s="25" t="str">
        <f>IF(AND(D95&lt;&gt;"", C95&lt;&gt;""), IF(COUNTIFS(Log!$A$3:$A$10014,B95,Log!$F$3:$F$10014,"&gt;=50")=0,"–",_xlfn.MINIFS(Log!$E$3:$E$10014,Log!$A$3:$A$10014,B95,Log!$F$3:$F$10014,"&gt;=50")), "")</f>
        <v/>
      </c>
    </row>
    <row r="96" spans="5:5" x14ac:dyDescent="0.3">
      <c r="E96" s="25" t="str">
        <f>IF(AND(D96&lt;&gt;"", C96&lt;&gt;""), IF(COUNTIFS(Log!$A$3:$A$10014,B96,Log!$F$3:$F$10014,"&gt;=50")=0,"–",_xlfn.MINIFS(Log!$E$3:$E$10014,Log!$A$3:$A$10014,B96,Log!$F$3:$F$10014,"&gt;=50")), "")</f>
        <v/>
      </c>
    </row>
    <row r="97" spans="5:5" x14ac:dyDescent="0.3">
      <c r="E97" s="25" t="str">
        <f>IF(AND(D97&lt;&gt;"", C97&lt;&gt;""), IF(COUNTIFS(Log!$A$3:$A$10014,B97,Log!$F$3:$F$10014,"&gt;=50")=0,"–",_xlfn.MINIFS(Log!$E$3:$E$10014,Log!$A$3:$A$10014,B97,Log!$F$3:$F$10014,"&gt;=50")), "")</f>
        <v/>
      </c>
    </row>
    <row r="98" spans="5:5" x14ac:dyDescent="0.3">
      <c r="E98" s="25" t="str">
        <f>IF(AND(D98&lt;&gt;"", C98&lt;&gt;""), IF(COUNTIFS(Log!$A$3:$A$10014,B98,Log!$F$3:$F$10014,"&gt;=50")=0,"–",_xlfn.MINIFS(Log!$E$3:$E$10014,Log!$A$3:$A$10014,B98,Log!$F$3:$F$10014,"&gt;=50")), "")</f>
        <v/>
      </c>
    </row>
    <row r="99" spans="5:5" x14ac:dyDescent="0.3">
      <c r="E99" s="25" t="str">
        <f>IF(AND(D99&lt;&gt;"", C99&lt;&gt;""), IF(COUNTIFS(Log!$A$3:$A$10014,B99,Log!$F$3:$F$10014,"&gt;=50")=0,"–",_xlfn.MINIFS(Log!$E$3:$E$10014,Log!$A$3:$A$10014,B99,Log!$F$3:$F$10014,"&gt;=50")), "")</f>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09E44-4CB4-4168-A368-06EB595F15D0}">
  <sheetPr>
    <tabColor rgb="FFFF9B9B"/>
  </sheetPr>
  <dimension ref="A1:F84"/>
  <sheetViews>
    <sheetView zoomScaleNormal="100" workbookViewId="0">
      <pane ySplit="1" topLeftCell="A2" activePane="bottomLeft" state="frozen"/>
      <selection pane="bottomLeft" activeCell="D10" sqref="D10"/>
    </sheetView>
  </sheetViews>
  <sheetFormatPr defaultRowHeight="14.4" x14ac:dyDescent="0.3"/>
  <cols>
    <col min="1" max="1" width="15.77734375" style="3" customWidth="1"/>
    <col min="2" max="2" width="12.77734375" style="3" customWidth="1"/>
    <col min="3" max="3" width="20.77734375" style="2" customWidth="1"/>
    <col min="4" max="4" width="12.77734375" style="8" customWidth="1"/>
    <col min="5" max="5" width="22.77734375" style="25" customWidth="1"/>
    <col min="6" max="6" width="60.77734375" style="15" customWidth="1"/>
  </cols>
  <sheetData>
    <row r="1" spans="1:6" ht="36.6" thickBot="1" x14ac:dyDescent="0.35">
      <c r="A1" s="4" t="s">
        <v>11</v>
      </c>
      <c r="B1" s="4" t="s">
        <v>14</v>
      </c>
      <c r="C1" s="5" t="s">
        <v>20</v>
      </c>
      <c r="D1" s="5" t="s">
        <v>0</v>
      </c>
      <c r="E1" s="24" t="s">
        <v>9</v>
      </c>
      <c r="F1" s="5" t="s">
        <v>8</v>
      </c>
    </row>
    <row r="2" spans="1:6" ht="41.4" x14ac:dyDescent="0.3">
      <c r="A2" s="1" t="s">
        <v>12</v>
      </c>
      <c r="B2" s="1">
        <v>46232</v>
      </c>
      <c r="C2" s="2">
        <v>24.5</v>
      </c>
      <c r="D2" s="8">
        <v>0.4284722222222222</v>
      </c>
      <c r="E2" s="25">
        <f>IF(AND(D2&lt;&gt;"", C2&lt;&gt;""), IF(COUNTIFS(Log!$A$3:$A$10014,B2,Log!$F$3:$F$10014,"&gt;=50")=0,"–",_xlfn.MINIFS(Log!$E$3:$E$10014,Log!$A$3:$A$10014,B2,Log!$F$3:$F$10014,"&gt;=50")), "")</f>
        <v>15.999999999999943</v>
      </c>
      <c r="F2" s="16" t="s">
        <v>17</v>
      </c>
    </row>
    <row r="3" spans="1:6" x14ac:dyDescent="0.3">
      <c r="A3" s="1"/>
      <c r="B3" s="1"/>
      <c r="E3" s="25" t="str">
        <f>IF(AND(D3&lt;&gt;"", C3&lt;&gt;""), IF(COUNTIFS(Log!$A$3:$A$10014,B3,Log!$F$3:$F$10014,"&gt;=50")=0,"–",_xlfn.MINIFS(Log!$E$3:$E$10014,Log!$A$3:$A$10014,B3,Log!$F$3:$F$10014,"&gt;=50")), "")</f>
        <v/>
      </c>
    </row>
    <row r="4" spans="1:6" x14ac:dyDescent="0.3">
      <c r="A4" s="1"/>
      <c r="B4" s="1"/>
      <c r="E4" s="25" t="str">
        <f>IF(AND(D4&lt;&gt;"", C4&lt;&gt;""), IF(COUNTIFS(Log!$A$3:$A$10014,B4,Log!$F$3:$F$10014,"&gt;=50")=0,"–",_xlfn.MINIFS(Log!$E$3:$E$10014,Log!$A$3:$A$10014,B4,Log!$F$3:$F$10014,"&gt;=50")), "")</f>
        <v/>
      </c>
    </row>
    <row r="5" spans="1:6" x14ac:dyDescent="0.3">
      <c r="A5" s="1"/>
      <c r="B5" s="1"/>
      <c r="E5" s="25" t="str">
        <f>IF(AND(D5&lt;&gt;"", C5&lt;&gt;""), IF(COUNTIFS(Log!$A$3:$A$10014,B5,Log!$F$3:$F$10014,"&gt;=50")=0,"–",_xlfn.MINIFS(Log!$E$3:$E$10014,Log!$A$3:$A$10014,B5,Log!$F$3:$F$10014,"&gt;=50")), "")</f>
        <v/>
      </c>
    </row>
    <row r="6" spans="1:6" x14ac:dyDescent="0.3">
      <c r="A6" s="1"/>
      <c r="B6" s="1"/>
      <c r="E6" s="25" t="str">
        <f>IF(AND(D6&lt;&gt;"", C6&lt;&gt;""), IF(COUNTIFS(Log!$A$3:$A$10014,B6,Log!$F$3:$F$10014,"&gt;=50")=0,"–",_xlfn.MINIFS(Log!$E$3:$E$10014,Log!$A$3:$A$10014,B6,Log!$F$3:$F$10014,"&gt;=50")), "")</f>
        <v/>
      </c>
    </row>
    <row r="7" spans="1:6" x14ac:dyDescent="0.3">
      <c r="A7" s="1"/>
      <c r="B7" s="1"/>
      <c r="E7" s="25" t="str">
        <f>IF(AND(D7&lt;&gt;"", C7&lt;&gt;""), IF(COUNTIFS(Log!$A$3:$A$10014,B7,Log!$F$3:$F$10014,"&gt;=50")=0,"–",_xlfn.MINIFS(Log!$E$3:$E$10014,Log!$A$3:$A$10014,B7,Log!$F$3:$F$10014,"&gt;=50")), "")</f>
        <v/>
      </c>
    </row>
    <row r="8" spans="1:6" x14ac:dyDescent="0.3">
      <c r="A8" s="1"/>
      <c r="B8" s="1"/>
      <c r="E8" s="25" t="str">
        <f>IF(AND(D8&lt;&gt;"", C8&lt;&gt;""), IF(COUNTIFS(Log!$A$3:$A$10014,B8,Log!$F$3:$F$10014,"&gt;=50")=0,"–",_xlfn.MINIFS(Log!$E$3:$E$10014,Log!$A$3:$A$10014,B8,Log!$F$3:$F$10014,"&gt;=50")), "")</f>
        <v/>
      </c>
    </row>
    <row r="9" spans="1:6" x14ac:dyDescent="0.3">
      <c r="A9" s="1"/>
      <c r="B9" s="1"/>
      <c r="E9" s="25" t="str">
        <f>IF(AND(D9&lt;&gt;"", C9&lt;&gt;""), IF(COUNTIFS(Log!$A$3:$A$10014,B9,Log!$F$3:$F$10014,"&gt;=50")=0,"–",_xlfn.MINIFS(Log!$E$3:$E$10014,Log!$A$3:$A$10014,B9,Log!$F$3:$F$10014,"&gt;=50")), "")</f>
        <v/>
      </c>
    </row>
    <row r="10" spans="1:6" x14ac:dyDescent="0.3">
      <c r="A10" s="1"/>
      <c r="B10" s="1"/>
      <c r="E10" s="25" t="str">
        <f>IF(AND(D10&lt;&gt;"", C10&lt;&gt;""), IF(COUNTIFS(Log!$A$3:$A$10014,B10,Log!$F$3:$F$10014,"&gt;=50")=0,"–",_xlfn.MINIFS(Log!$E$3:$E$10014,Log!$A$3:$A$10014,B10,Log!$F$3:$F$10014,"&gt;=50")), "")</f>
        <v/>
      </c>
    </row>
    <row r="11" spans="1:6" x14ac:dyDescent="0.3">
      <c r="A11" s="1"/>
      <c r="B11" s="1"/>
      <c r="E11" s="25" t="str">
        <f>IF(AND(D11&lt;&gt;"", C11&lt;&gt;""), IF(COUNTIFS(Log!$A$3:$A$10014,B11,Log!$F$3:$F$10014,"&gt;=50")=0,"–",_xlfn.MINIFS(Log!$E$3:$E$10014,Log!$A$3:$A$10014,B11,Log!$F$3:$F$10014,"&gt;=50")), "")</f>
        <v/>
      </c>
    </row>
    <row r="12" spans="1:6" x14ac:dyDescent="0.3">
      <c r="A12" s="1"/>
      <c r="B12" s="1"/>
      <c r="E12" s="25" t="str">
        <f>IF(AND(D12&lt;&gt;"", C12&lt;&gt;""), IF(COUNTIFS(Log!$A$3:$A$10014,B12,Log!$F$3:$F$10014,"&gt;=50")=0,"–",_xlfn.MINIFS(Log!$E$3:$E$10014,Log!$A$3:$A$10014,B12,Log!$F$3:$F$10014,"&gt;=50")), "")</f>
        <v/>
      </c>
    </row>
    <row r="13" spans="1:6" x14ac:dyDescent="0.3">
      <c r="A13" s="1"/>
      <c r="B13" s="1"/>
      <c r="E13" s="25" t="str">
        <f>IF(AND(D13&lt;&gt;"", C13&lt;&gt;""), IF(COUNTIFS(Log!$A$3:$A$10014,B13,Log!$F$3:$F$10014,"&gt;=50")=0,"–",_xlfn.MINIFS(Log!$E$3:$E$10014,Log!$A$3:$A$10014,B13,Log!$F$3:$F$10014,"&gt;=50")), "")</f>
        <v/>
      </c>
    </row>
    <row r="14" spans="1:6" x14ac:dyDescent="0.3">
      <c r="A14" s="1"/>
      <c r="B14" s="1"/>
      <c r="E14" s="25" t="str">
        <f>IF(AND(D14&lt;&gt;"", C14&lt;&gt;""), IF(COUNTIFS(Log!$A$3:$A$10014,B14,Log!$F$3:$F$10014,"&gt;=50")=0,"–",_xlfn.MINIFS(Log!$E$3:$E$10014,Log!$A$3:$A$10014,B14,Log!$F$3:$F$10014,"&gt;=50")), "")</f>
        <v/>
      </c>
    </row>
    <row r="15" spans="1:6" x14ac:dyDescent="0.3">
      <c r="A15" s="1"/>
      <c r="B15" s="1"/>
      <c r="E15" s="25" t="str">
        <f>IF(AND(D15&lt;&gt;"", C15&lt;&gt;""), IF(COUNTIFS(Log!$A$3:$A$10014,B15,Log!$F$3:$F$10014,"&gt;=50")=0,"–",_xlfn.MINIFS(Log!$E$3:$E$10014,Log!$A$3:$A$10014,B15,Log!$F$3:$F$10014,"&gt;=50")), "")</f>
        <v/>
      </c>
    </row>
    <row r="16" spans="1:6" x14ac:dyDescent="0.3">
      <c r="A16" s="1"/>
      <c r="B16" s="1"/>
      <c r="E16" s="25" t="str">
        <f>IF(AND(D16&lt;&gt;"", C16&lt;&gt;""), IF(COUNTIFS(Log!$A$3:$A$10014,B16,Log!$F$3:$F$10014,"&gt;=50")=0,"–",_xlfn.MINIFS(Log!$E$3:$E$10014,Log!$A$3:$A$10014,B16,Log!$F$3:$F$10014,"&gt;=50")), "")</f>
        <v/>
      </c>
    </row>
    <row r="17" spans="1:5" s="15" customFormat="1" x14ac:dyDescent="0.3">
      <c r="A17" s="1"/>
      <c r="B17" s="1"/>
      <c r="C17" s="2"/>
      <c r="D17" s="8"/>
      <c r="E17" s="25" t="str">
        <f>IF(AND(D17&lt;&gt;"", C17&lt;&gt;""), IF(COUNTIFS(Log!$A$3:$A$10014,B17,Log!$F$3:$F$10014,"&gt;=50")=0,"–",_xlfn.MINIFS(Log!$E$3:$E$10014,Log!$A$3:$A$10014,B17,Log!$F$3:$F$10014,"&gt;=50")), "")</f>
        <v/>
      </c>
    </row>
    <row r="18" spans="1:5" s="15" customFormat="1" x14ac:dyDescent="0.3">
      <c r="A18" s="1"/>
      <c r="B18" s="1"/>
      <c r="C18" s="2"/>
      <c r="D18" s="8"/>
      <c r="E18" s="25" t="str">
        <f>IF(AND(D18&lt;&gt;"", C18&lt;&gt;""), IF(COUNTIFS(Log!$A$3:$A$10014,B18,Log!$F$3:$F$10014,"&gt;=50")=0,"–",_xlfn.MINIFS(Log!$E$3:$E$10014,Log!$A$3:$A$10014,B18,Log!$F$3:$F$10014,"&gt;=50")), "")</f>
        <v/>
      </c>
    </row>
    <row r="19" spans="1:5" s="15" customFormat="1" x14ac:dyDescent="0.3">
      <c r="A19" s="1"/>
      <c r="B19" s="1"/>
      <c r="C19" s="2"/>
      <c r="D19" s="8"/>
      <c r="E19" s="25" t="str">
        <f>IF(AND(D19&lt;&gt;"", C19&lt;&gt;""), IF(COUNTIFS(Log!$A$3:$A$10014,B19,Log!$F$3:$F$10014,"&gt;=50")=0,"–",_xlfn.MINIFS(Log!$E$3:$E$10014,Log!$A$3:$A$10014,B19,Log!$F$3:$F$10014,"&gt;=50")), "")</f>
        <v/>
      </c>
    </row>
    <row r="20" spans="1:5" s="15" customFormat="1" x14ac:dyDescent="0.3">
      <c r="A20" s="1"/>
      <c r="B20" s="1"/>
      <c r="C20" s="2"/>
      <c r="D20" s="8"/>
      <c r="E20" s="25" t="str">
        <f>IF(AND(D20&lt;&gt;"", C20&lt;&gt;""), IF(COUNTIFS(Log!$A$3:$A$10014,B20,Log!$F$3:$F$10014,"&gt;=50")=0,"–",_xlfn.MINIFS(Log!$E$3:$E$10014,Log!$A$3:$A$10014,B20,Log!$F$3:$F$10014,"&gt;=50")), "")</f>
        <v/>
      </c>
    </row>
    <row r="21" spans="1:5" s="15" customFormat="1" x14ac:dyDescent="0.3">
      <c r="A21" s="1"/>
      <c r="B21" s="1"/>
      <c r="C21" s="2"/>
      <c r="D21" s="8"/>
      <c r="E21" s="25" t="str">
        <f>IF(AND(D21&lt;&gt;"", C21&lt;&gt;""), IF(COUNTIFS(Log!$A$3:$A$10014,B21,Log!$F$3:$F$10014,"&gt;=50")=0,"–",_xlfn.MINIFS(Log!$E$3:$E$10014,Log!$A$3:$A$10014,B21,Log!$F$3:$F$10014,"&gt;=50")), "")</f>
        <v/>
      </c>
    </row>
    <row r="22" spans="1:5" s="15" customFormat="1" x14ac:dyDescent="0.3">
      <c r="A22" s="1"/>
      <c r="B22" s="1"/>
      <c r="C22" s="2"/>
      <c r="D22" s="8"/>
      <c r="E22" s="25" t="str">
        <f>IF(AND(D22&lt;&gt;"", C22&lt;&gt;""), IF(COUNTIFS(Log!$A$3:$A$10014,B22,Log!$F$3:$F$10014,"&gt;=50")=0,"–",_xlfn.MINIFS(Log!$E$3:$E$10014,Log!$A$3:$A$10014,B22,Log!$F$3:$F$10014,"&gt;=50")), "")</f>
        <v/>
      </c>
    </row>
    <row r="23" spans="1:5" s="15" customFormat="1" x14ac:dyDescent="0.3">
      <c r="A23" s="1"/>
      <c r="B23" s="1"/>
      <c r="C23" s="2"/>
      <c r="D23" s="8"/>
      <c r="E23" s="25" t="str">
        <f>IF(AND(D23&lt;&gt;"", C23&lt;&gt;""), IF(COUNTIFS(Log!$A$3:$A$10014,B23,Log!$F$3:$F$10014,"&gt;=50")=0,"–",_xlfn.MINIFS(Log!$E$3:$E$10014,Log!$A$3:$A$10014,B23,Log!$F$3:$F$10014,"&gt;=50")), "")</f>
        <v/>
      </c>
    </row>
    <row r="24" spans="1:5" s="15" customFormat="1" x14ac:dyDescent="0.3">
      <c r="A24" s="1"/>
      <c r="B24" s="1"/>
      <c r="C24" s="2"/>
      <c r="D24" s="8"/>
      <c r="E24" s="25" t="str">
        <f>IF(AND(D24&lt;&gt;"", C24&lt;&gt;""), IF(COUNTIFS(Log!$A$3:$A$10014,B24,Log!$F$3:$F$10014,"&gt;=50")=0,"–",_xlfn.MINIFS(Log!$E$3:$E$10014,Log!$A$3:$A$10014,B24,Log!$F$3:$F$10014,"&gt;=50")), "")</f>
        <v/>
      </c>
    </row>
    <row r="25" spans="1:5" s="15" customFormat="1" x14ac:dyDescent="0.3">
      <c r="A25" s="1"/>
      <c r="B25" s="1"/>
      <c r="C25" s="2"/>
      <c r="D25" s="8"/>
      <c r="E25" s="25" t="str">
        <f>IF(AND(D25&lt;&gt;"", C25&lt;&gt;""), IF(COUNTIFS(Log!$A$3:$A$10014,B25,Log!$F$3:$F$10014,"&gt;=50")=0,"–",_xlfn.MINIFS(Log!$E$3:$E$10014,Log!$A$3:$A$10014,B25,Log!$F$3:$F$10014,"&gt;=50")), "")</f>
        <v/>
      </c>
    </row>
    <row r="26" spans="1:5" s="15" customFormat="1" x14ac:dyDescent="0.3">
      <c r="A26" s="1"/>
      <c r="B26" s="1"/>
      <c r="C26" s="2"/>
      <c r="D26" s="8"/>
      <c r="E26" s="25" t="str">
        <f>IF(AND(D26&lt;&gt;"", C26&lt;&gt;""), IF(COUNTIFS(Log!$A$3:$A$10014,B26,Log!$F$3:$F$10014,"&gt;=50")=0,"–",_xlfn.MINIFS(Log!$E$3:$E$10014,Log!$A$3:$A$10014,B26,Log!$F$3:$F$10014,"&gt;=50")), "")</f>
        <v/>
      </c>
    </row>
    <row r="27" spans="1:5" s="15" customFormat="1" x14ac:dyDescent="0.3">
      <c r="A27" s="1"/>
      <c r="B27" s="1"/>
      <c r="C27" s="2"/>
      <c r="D27" s="8"/>
      <c r="E27" s="25" t="str">
        <f>IF(AND(D27&lt;&gt;"", C27&lt;&gt;""), IF(COUNTIFS(Log!$A$3:$A$10014,B27,Log!$F$3:$F$10014,"&gt;=50")=0,"–",_xlfn.MINIFS(Log!$E$3:$E$10014,Log!$A$3:$A$10014,B27,Log!$F$3:$F$10014,"&gt;=50")), "")</f>
        <v/>
      </c>
    </row>
    <row r="28" spans="1:5" s="15" customFormat="1" x14ac:dyDescent="0.3">
      <c r="A28" s="1"/>
      <c r="B28" s="1"/>
      <c r="C28" s="2"/>
      <c r="D28" s="8"/>
      <c r="E28" s="25" t="str">
        <f>IF(AND(D28&lt;&gt;"", C28&lt;&gt;""), IF(COUNTIFS(Log!$A$3:$A$10014,B28,Log!$F$3:$F$10014,"&gt;=50")=0,"–",_xlfn.MINIFS(Log!$E$3:$E$10014,Log!$A$3:$A$10014,B28,Log!$F$3:$F$10014,"&gt;=50")), "")</f>
        <v/>
      </c>
    </row>
    <row r="29" spans="1:5" s="15" customFormat="1" x14ac:dyDescent="0.3">
      <c r="A29" s="1"/>
      <c r="B29" s="1"/>
      <c r="C29" s="2"/>
      <c r="D29" s="8"/>
      <c r="E29" s="25" t="str">
        <f>IF(AND(D29&lt;&gt;"", C29&lt;&gt;""), IF(COUNTIFS(Log!$A$3:$A$10014,B29,Log!$F$3:$F$10014,"&gt;=50")=0,"–",_xlfn.MINIFS(Log!$E$3:$E$10014,Log!$A$3:$A$10014,B29,Log!$F$3:$F$10014,"&gt;=50")), "")</f>
        <v/>
      </c>
    </row>
    <row r="30" spans="1:5" s="15" customFormat="1" x14ac:dyDescent="0.3">
      <c r="A30" s="1"/>
      <c r="B30" s="1"/>
      <c r="C30" s="2"/>
      <c r="D30" s="8"/>
      <c r="E30" s="25" t="str">
        <f>IF(AND(D30&lt;&gt;"", C30&lt;&gt;""), IF(COUNTIFS(Log!$A$3:$A$10014,B30,Log!$F$3:$F$10014,"&gt;=50")=0,"–",_xlfn.MINIFS(Log!$E$3:$E$10014,Log!$A$3:$A$10014,B30,Log!$F$3:$F$10014,"&gt;=50")), "")</f>
        <v/>
      </c>
    </row>
    <row r="31" spans="1:5" s="15" customFormat="1" x14ac:dyDescent="0.3">
      <c r="A31" s="1"/>
      <c r="B31" s="1"/>
      <c r="C31" s="2"/>
      <c r="D31" s="8"/>
      <c r="E31" s="25" t="str">
        <f>IF(AND(D31&lt;&gt;"", C31&lt;&gt;""), IF(COUNTIFS(Log!$A$3:$A$10014,B31,Log!$F$3:$F$10014,"&gt;=50")=0,"–",_xlfn.MINIFS(Log!$E$3:$E$10014,Log!$A$3:$A$10014,B31,Log!$F$3:$F$10014,"&gt;=50")), "")</f>
        <v/>
      </c>
    </row>
    <row r="32" spans="1:5" s="15" customFormat="1" x14ac:dyDescent="0.3">
      <c r="A32" s="1"/>
      <c r="B32" s="1"/>
      <c r="C32" s="2"/>
      <c r="D32" s="8"/>
      <c r="E32" s="25" t="str">
        <f>IF(AND(D32&lt;&gt;"", C32&lt;&gt;""), IF(COUNTIFS(Log!$A$3:$A$10014,B32,Log!$F$3:$F$10014,"&gt;=50")=0,"–",_xlfn.MINIFS(Log!$E$3:$E$10014,Log!$A$3:$A$10014,B32,Log!$F$3:$F$10014,"&gt;=50")), "")</f>
        <v/>
      </c>
    </row>
    <row r="33" spans="1:5" s="15" customFormat="1" x14ac:dyDescent="0.3">
      <c r="A33" s="1"/>
      <c r="B33" s="1"/>
      <c r="C33" s="2"/>
      <c r="D33" s="8"/>
      <c r="E33" s="25" t="str">
        <f>IF(AND(D33&lt;&gt;"", C33&lt;&gt;""), IF(COUNTIFS(Log!$A$3:$A$10014,B33,Log!$F$3:$F$10014,"&gt;=50")=0,"–",_xlfn.MINIFS(Log!$E$3:$E$10014,Log!$A$3:$A$10014,B33,Log!$F$3:$F$10014,"&gt;=50")), "")</f>
        <v/>
      </c>
    </row>
    <row r="34" spans="1:5" s="15" customFormat="1" x14ac:dyDescent="0.3">
      <c r="A34" s="1"/>
      <c r="B34" s="1"/>
      <c r="C34" s="2"/>
      <c r="D34" s="8"/>
      <c r="E34" s="25" t="str">
        <f>IF(AND(D34&lt;&gt;"", C34&lt;&gt;""), IF(COUNTIFS(Log!$A$3:$A$10014,B34,Log!$F$3:$F$10014,"&gt;=50")=0,"–",_xlfn.MINIFS(Log!$E$3:$E$10014,Log!$A$3:$A$10014,B34,Log!$F$3:$F$10014,"&gt;=50")), "")</f>
        <v/>
      </c>
    </row>
    <row r="35" spans="1:5" s="15" customFormat="1" x14ac:dyDescent="0.3">
      <c r="A35" s="1"/>
      <c r="B35" s="1"/>
      <c r="C35" s="2"/>
      <c r="D35" s="8"/>
      <c r="E35" s="25" t="str">
        <f>IF(AND(D35&lt;&gt;"", C35&lt;&gt;""), IF(COUNTIFS(Log!$A$3:$A$10014,B35,Log!$F$3:$F$10014,"&gt;=50")=0,"–",_xlfn.MINIFS(Log!$E$3:$E$10014,Log!$A$3:$A$10014,B35,Log!$F$3:$F$10014,"&gt;=50")), "")</f>
        <v/>
      </c>
    </row>
    <row r="36" spans="1:5" s="15" customFormat="1" x14ac:dyDescent="0.3">
      <c r="A36" s="1"/>
      <c r="B36" s="1"/>
      <c r="C36" s="2"/>
      <c r="D36" s="8"/>
      <c r="E36" s="25" t="str">
        <f>IF(AND(D36&lt;&gt;"", C36&lt;&gt;""), IF(COUNTIFS(Log!$A$3:$A$10014,B36,Log!$F$3:$F$10014,"&gt;=50")=0,"–",_xlfn.MINIFS(Log!$E$3:$E$10014,Log!$A$3:$A$10014,B36,Log!$F$3:$F$10014,"&gt;=50")), "")</f>
        <v/>
      </c>
    </row>
    <row r="37" spans="1:5" s="15" customFormat="1" x14ac:dyDescent="0.3">
      <c r="A37" s="1"/>
      <c r="B37" s="1"/>
      <c r="C37" s="2"/>
      <c r="D37" s="8"/>
      <c r="E37" s="25" t="str">
        <f>IF(AND(D37&lt;&gt;"", C37&lt;&gt;""), IF(COUNTIFS(Log!$A$3:$A$10014,B37,Log!$F$3:$F$10014,"&gt;=50")=0,"–",_xlfn.MINIFS(Log!$E$3:$E$10014,Log!$A$3:$A$10014,B37,Log!$F$3:$F$10014,"&gt;=50")), "")</f>
        <v/>
      </c>
    </row>
    <row r="38" spans="1:5" s="15" customFormat="1" x14ac:dyDescent="0.3">
      <c r="A38" s="1"/>
      <c r="B38" s="1"/>
      <c r="C38" s="2"/>
      <c r="D38" s="8"/>
      <c r="E38" s="25" t="str">
        <f>IF(AND(D38&lt;&gt;"", C38&lt;&gt;""), IF(COUNTIFS(Log!$A$3:$A$10014,B38,Log!$F$3:$F$10014,"&gt;=50")=0,"–",_xlfn.MINIFS(Log!$E$3:$E$10014,Log!$A$3:$A$10014,B38,Log!$F$3:$F$10014,"&gt;=50")), "")</f>
        <v/>
      </c>
    </row>
    <row r="39" spans="1:5" s="15" customFormat="1" x14ac:dyDescent="0.3">
      <c r="A39" s="1"/>
      <c r="B39" s="1"/>
      <c r="C39" s="2"/>
      <c r="D39" s="8"/>
      <c r="E39" s="25" t="str">
        <f>IF(AND(D39&lt;&gt;"", C39&lt;&gt;""), IF(COUNTIFS(Log!$A$3:$A$10014,B39,Log!$F$3:$F$10014,"&gt;=50")=0,"–",_xlfn.MINIFS(Log!$E$3:$E$10014,Log!$A$3:$A$10014,B39,Log!$F$3:$F$10014,"&gt;=50")), "")</f>
        <v/>
      </c>
    </row>
    <row r="40" spans="1:5" s="15" customFormat="1" x14ac:dyDescent="0.3">
      <c r="A40" s="1"/>
      <c r="B40" s="1"/>
      <c r="C40" s="2"/>
      <c r="D40" s="8"/>
      <c r="E40" s="25" t="str">
        <f>IF(AND(D40&lt;&gt;"", C40&lt;&gt;""), IF(COUNTIFS(Log!$A$3:$A$10014,B40,Log!$F$3:$F$10014,"&gt;=50")=0,"–",_xlfn.MINIFS(Log!$E$3:$E$10014,Log!$A$3:$A$10014,B40,Log!$F$3:$F$10014,"&gt;=50")), "")</f>
        <v/>
      </c>
    </row>
    <row r="41" spans="1:5" s="15" customFormat="1" x14ac:dyDescent="0.3">
      <c r="A41" s="1"/>
      <c r="B41" s="1"/>
      <c r="C41" s="2"/>
      <c r="D41" s="8"/>
      <c r="E41" s="25" t="str">
        <f>IF(AND(D41&lt;&gt;"", C41&lt;&gt;""), IF(COUNTIFS(Log!$A$3:$A$10014,B41,Log!$F$3:$F$10014,"&gt;=50")=0,"–",_xlfn.MINIFS(Log!$E$3:$E$10014,Log!$A$3:$A$10014,B41,Log!$F$3:$F$10014,"&gt;=50")), "")</f>
        <v/>
      </c>
    </row>
    <row r="42" spans="1:5" s="15" customFormat="1" x14ac:dyDescent="0.3">
      <c r="A42" s="1"/>
      <c r="B42" s="1"/>
      <c r="C42" s="2"/>
      <c r="D42" s="8"/>
      <c r="E42" s="25" t="str">
        <f>IF(AND(D42&lt;&gt;"", C42&lt;&gt;""), IF(COUNTIFS(Log!$A$3:$A$10014,B42,Log!$F$3:$F$10014,"&gt;=50")=0,"–",_xlfn.MINIFS(Log!$E$3:$E$10014,Log!$A$3:$A$10014,B42,Log!$F$3:$F$10014,"&gt;=50")), "")</f>
        <v/>
      </c>
    </row>
    <row r="43" spans="1:5" s="15" customFormat="1" x14ac:dyDescent="0.3">
      <c r="A43" s="3"/>
      <c r="B43" s="3"/>
      <c r="C43" s="2"/>
      <c r="D43" s="8"/>
      <c r="E43" s="25" t="str">
        <f>IF(AND(D43&lt;&gt;"", C43&lt;&gt;""), IF(COUNTIFS(Log!$A$3:$A$10014,B43,Log!$F$3:$F$10014,"&gt;=50")=0,"–",_xlfn.MINIFS(Log!$E$3:$E$10014,Log!$A$3:$A$10014,B43,Log!$F$3:$F$10014,"&gt;=50")), "")</f>
        <v/>
      </c>
    </row>
    <row r="44" spans="1:5" s="15" customFormat="1" x14ac:dyDescent="0.3">
      <c r="A44" s="3"/>
      <c r="B44" s="3"/>
      <c r="C44" s="2"/>
      <c r="D44" s="8"/>
      <c r="E44" s="25" t="str">
        <f>IF(AND(D44&lt;&gt;"", C44&lt;&gt;""), IF(COUNTIFS(Log!$A$3:$A$10014,B44,Log!$F$3:$F$10014,"&gt;=50")=0,"–",_xlfn.MINIFS(Log!$E$3:$E$10014,Log!$A$3:$A$10014,B44,Log!$F$3:$F$10014,"&gt;=50")), "")</f>
        <v/>
      </c>
    </row>
    <row r="45" spans="1:5" s="15" customFormat="1" x14ac:dyDescent="0.3">
      <c r="A45" s="3"/>
      <c r="B45" s="3"/>
      <c r="C45" s="2"/>
      <c r="D45" s="8"/>
      <c r="E45" s="25" t="str">
        <f>IF(AND(D45&lt;&gt;"", C45&lt;&gt;""), IF(COUNTIFS(Log!$A$3:$A$10014,B45,Log!$F$3:$F$10014,"&gt;=50")=0,"–",_xlfn.MINIFS(Log!$E$3:$E$10014,Log!$A$3:$A$10014,B45,Log!$F$3:$F$10014,"&gt;=50")), "")</f>
        <v/>
      </c>
    </row>
    <row r="46" spans="1:5" s="15" customFormat="1" x14ac:dyDescent="0.3">
      <c r="A46" s="3"/>
      <c r="B46" s="3"/>
      <c r="C46" s="2"/>
      <c r="D46" s="8"/>
      <c r="E46" s="25" t="str">
        <f>IF(AND(D46&lt;&gt;"", C46&lt;&gt;""), IF(COUNTIFS(Log!$A$3:$A$10014,B46,Log!$F$3:$F$10014,"&gt;=50")=0,"–",_xlfn.MINIFS(Log!$E$3:$E$10014,Log!$A$3:$A$10014,B46,Log!$F$3:$F$10014,"&gt;=50")), "")</f>
        <v/>
      </c>
    </row>
    <row r="47" spans="1:5" s="15" customFormat="1" x14ac:dyDescent="0.3">
      <c r="A47" s="3"/>
      <c r="B47" s="3"/>
      <c r="C47" s="2"/>
      <c r="D47" s="8"/>
      <c r="E47" s="25" t="str">
        <f>IF(AND(D47&lt;&gt;"", C47&lt;&gt;""), IF(COUNTIFS(Log!$A$3:$A$10014,B47,Log!$F$3:$F$10014,"&gt;=50")=0,"–",_xlfn.MINIFS(Log!$E$3:$E$10014,Log!$A$3:$A$10014,B47,Log!$F$3:$F$10014,"&gt;=50")), "")</f>
        <v/>
      </c>
    </row>
    <row r="48" spans="1:5" s="15" customFormat="1" x14ac:dyDescent="0.3">
      <c r="A48" s="3"/>
      <c r="B48" s="3"/>
      <c r="C48" s="2"/>
      <c r="D48" s="8"/>
      <c r="E48" s="25" t="str">
        <f>IF(AND(D48&lt;&gt;"", C48&lt;&gt;""), IF(COUNTIFS(Log!$A$3:$A$10014,B48,Log!$F$3:$F$10014,"&gt;=50")=0,"–",_xlfn.MINIFS(Log!$E$3:$E$10014,Log!$A$3:$A$10014,B48,Log!$F$3:$F$10014,"&gt;=50")), "")</f>
        <v/>
      </c>
    </row>
    <row r="49" spans="1:5" s="15" customFormat="1" x14ac:dyDescent="0.3">
      <c r="A49" s="3"/>
      <c r="B49" s="3"/>
      <c r="C49" s="2"/>
      <c r="D49" s="8"/>
      <c r="E49" s="25" t="str">
        <f>IF(AND(D49&lt;&gt;"", C49&lt;&gt;""), IF(COUNTIFS(Log!$A$3:$A$10014,B49,Log!$F$3:$F$10014,"&gt;=50")=0,"–",_xlfn.MINIFS(Log!$E$3:$E$10014,Log!$A$3:$A$10014,B49,Log!$F$3:$F$10014,"&gt;=50")), "")</f>
        <v/>
      </c>
    </row>
    <row r="50" spans="1:5" s="15" customFormat="1" x14ac:dyDescent="0.3">
      <c r="A50" s="3"/>
      <c r="B50" s="3"/>
      <c r="C50" s="2"/>
      <c r="D50" s="8"/>
      <c r="E50" s="25" t="str">
        <f>IF(AND(D50&lt;&gt;"", C50&lt;&gt;""), IF(COUNTIFS(Log!$A$3:$A$10014,B50,Log!$F$3:$F$10014,"&gt;=50")=0,"–",_xlfn.MINIFS(Log!$E$3:$E$10014,Log!$A$3:$A$10014,B50,Log!$F$3:$F$10014,"&gt;=50")), "")</f>
        <v/>
      </c>
    </row>
    <row r="51" spans="1:5" s="15" customFormat="1" x14ac:dyDescent="0.3">
      <c r="A51" s="3"/>
      <c r="B51" s="3"/>
      <c r="C51" s="2"/>
      <c r="D51" s="8"/>
      <c r="E51" s="25" t="str">
        <f>IF(AND(D51&lt;&gt;"", C51&lt;&gt;""), IF(COUNTIFS(Log!$A$3:$A$10014,B51,Log!$F$3:$F$10014,"&gt;=50")=0,"–",_xlfn.MINIFS(Log!$E$3:$E$10014,Log!$A$3:$A$10014,B51,Log!$F$3:$F$10014,"&gt;=50")), "")</f>
        <v/>
      </c>
    </row>
    <row r="52" spans="1:5" s="15" customFormat="1" x14ac:dyDescent="0.3">
      <c r="A52" s="3"/>
      <c r="B52" s="3"/>
      <c r="C52" s="2"/>
      <c r="D52" s="8"/>
      <c r="E52" s="25" t="str">
        <f>IF(AND(D52&lt;&gt;"", C52&lt;&gt;""), IF(COUNTIFS(Log!$A$3:$A$10014,B52,Log!$F$3:$F$10014,"&gt;=50")=0,"–",_xlfn.MINIFS(Log!$E$3:$E$10014,Log!$A$3:$A$10014,B52,Log!$F$3:$F$10014,"&gt;=50")), "")</f>
        <v/>
      </c>
    </row>
    <row r="53" spans="1:5" s="15" customFormat="1" x14ac:dyDescent="0.3">
      <c r="A53" s="3"/>
      <c r="B53" s="3"/>
      <c r="C53" s="2"/>
      <c r="D53" s="8"/>
      <c r="E53" s="25" t="str">
        <f>IF(AND(D53&lt;&gt;"", C53&lt;&gt;""), IF(COUNTIFS(Log!$A$3:$A$10014,B53,Log!$F$3:$F$10014,"&gt;=50")=0,"–",_xlfn.MINIFS(Log!$E$3:$E$10014,Log!$A$3:$A$10014,B53,Log!$F$3:$F$10014,"&gt;=50")), "")</f>
        <v/>
      </c>
    </row>
    <row r="54" spans="1:5" s="15" customFormat="1" x14ac:dyDescent="0.3">
      <c r="A54" s="3"/>
      <c r="B54" s="3"/>
      <c r="C54" s="2"/>
      <c r="D54" s="8"/>
      <c r="E54" s="25" t="str">
        <f>IF(AND(D54&lt;&gt;"", C54&lt;&gt;""), IF(COUNTIFS(Log!$A$3:$A$10014,B54,Log!$F$3:$F$10014,"&gt;=50")=0,"–",_xlfn.MINIFS(Log!$E$3:$E$10014,Log!$A$3:$A$10014,B54,Log!$F$3:$F$10014,"&gt;=50")), "")</f>
        <v/>
      </c>
    </row>
    <row r="55" spans="1:5" s="15" customFormat="1" x14ac:dyDescent="0.3">
      <c r="A55" s="3"/>
      <c r="B55" s="3"/>
      <c r="C55" s="2"/>
      <c r="D55" s="8"/>
      <c r="E55" s="25" t="str">
        <f>IF(AND(D55&lt;&gt;"", C55&lt;&gt;""), IF(COUNTIFS(Log!$A$3:$A$10014,B55,Log!$F$3:$F$10014,"&gt;=50")=0,"–",_xlfn.MINIFS(Log!$E$3:$E$10014,Log!$A$3:$A$10014,B55,Log!$F$3:$F$10014,"&gt;=50")), "")</f>
        <v/>
      </c>
    </row>
    <row r="56" spans="1:5" s="15" customFormat="1" x14ac:dyDescent="0.3">
      <c r="A56" s="3"/>
      <c r="B56" s="3"/>
      <c r="C56" s="2"/>
      <c r="D56" s="8"/>
      <c r="E56" s="25" t="str">
        <f>IF(AND(D56&lt;&gt;"", C56&lt;&gt;""), IF(COUNTIFS(Log!$A$3:$A$10014,B56,Log!$F$3:$F$10014,"&gt;=50")=0,"–",_xlfn.MINIFS(Log!$E$3:$E$10014,Log!$A$3:$A$10014,B56,Log!$F$3:$F$10014,"&gt;=50")), "")</f>
        <v/>
      </c>
    </row>
    <row r="57" spans="1:5" s="15" customFormat="1" x14ac:dyDescent="0.3">
      <c r="A57" s="3"/>
      <c r="B57" s="3"/>
      <c r="C57" s="2"/>
      <c r="D57" s="8"/>
      <c r="E57" s="25" t="str">
        <f>IF(AND(D57&lt;&gt;"", C57&lt;&gt;""), IF(COUNTIFS(Log!$A$3:$A$10014,B57,Log!$F$3:$F$10014,"&gt;=50")=0,"–",_xlfn.MINIFS(Log!$E$3:$E$10014,Log!$A$3:$A$10014,B57,Log!$F$3:$F$10014,"&gt;=50")), "")</f>
        <v/>
      </c>
    </row>
    <row r="58" spans="1:5" s="15" customFormat="1" x14ac:dyDescent="0.3">
      <c r="A58" s="3"/>
      <c r="B58" s="3"/>
      <c r="C58" s="2"/>
      <c r="D58" s="8"/>
      <c r="E58" s="25" t="str">
        <f>IF(AND(D58&lt;&gt;"", C58&lt;&gt;""), IF(COUNTIFS(Log!$A$3:$A$10014,B58,Log!$F$3:$F$10014,"&gt;=50")=0,"–",_xlfn.MINIFS(Log!$E$3:$E$10014,Log!$A$3:$A$10014,B58,Log!$F$3:$F$10014,"&gt;=50")), "")</f>
        <v/>
      </c>
    </row>
    <row r="59" spans="1:5" s="15" customFormat="1" x14ac:dyDescent="0.3">
      <c r="A59" s="3"/>
      <c r="B59" s="3"/>
      <c r="C59" s="2"/>
      <c r="D59" s="8"/>
      <c r="E59" s="25" t="str">
        <f>IF(AND(D59&lt;&gt;"", C59&lt;&gt;""), IF(COUNTIFS(Log!$A$3:$A$10014,B59,Log!$F$3:$F$10014,"&gt;=50")=0,"–",_xlfn.MINIFS(Log!$E$3:$E$10014,Log!$A$3:$A$10014,B59,Log!$F$3:$F$10014,"&gt;=50")), "")</f>
        <v/>
      </c>
    </row>
    <row r="60" spans="1:5" s="15" customFormat="1" x14ac:dyDescent="0.3">
      <c r="A60" s="3"/>
      <c r="B60" s="3"/>
      <c r="C60" s="2"/>
      <c r="D60" s="8"/>
      <c r="E60" s="25" t="str">
        <f>IF(AND(D60&lt;&gt;"", C60&lt;&gt;""), IF(COUNTIFS(Log!$A$3:$A$10014,B60,Log!$F$3:$F$10014,"&gt;=50")=0,"–",_xlfn.MINIFS(Log!$E$3:$E$10014,Log!$A$3:$A$10014,B60,Log!$F$3:$F$10014,"&gt;=50")), "")</f>
        <v/>
      </c>
    </row>
    <row r="61" spans="1:5" s="15" customFormat="1" x14ac:dyDescent="0.3">
      <c r="A61" s="3"/>
      <c r="B61" s="3"/>
      <c r="C61" s="2"/>
      <c r="D61" s="8"/>
      <c r="E61" s="25" t="str">
        <f>IF(AND(D61&lt;&gt;"", C61&lt;&gt;""), IF(COUNTIFS(Log!$A$3:$A$10014,B61,Log!$F$3:$F$10014,"&gt;=50")=0,"–",_xlfn.MINIFS(Log!$E$3:$E$10014,Log!$A$3:$A$10014,B61,Log!$F$3:$F$10014,"&gt;=50")), "")</f>
        <v/>
      </c>
    </row>
    <row r="62" spans="1:5" s="15" customFormat="1" x14ac:dyDescent="0.3">
      <c r="A62" s="3"/>
      <c r="B62" s="3"/>
      <c r="C62" s="2"/>
      <c r="D62" s="8"/>
      <c r="E62" s="25" t="str">
        <f>IF(AND(D62&lt;&gt;"", C62&lt;&gt;""), IF(COUNTIFS(Log!$A$3:$A$10014,B62,Log!$F$3:$F$10014,"&gt;=50")=0,"–",_xlfn.MINIFS(Log!$E$3:$E$10014,Log!$A$3:$A$10014,B62,Log!$F$3:$F$10014,"&gt;=50")), "")</f>
        <v/>
      </c>
    </row>
    <row r="63" spans="1:5" s="15" customFormat="1" x14ac:dyDescent="0.3">
      <c r="A63" s="3"/>
      <c r="B63" s="3"/>
      <c r="C63" s="2"/>
      <c r="D63" s="8"/>
      <c r="E63" s="25" t="str">
        <f>IF(AND(D63&lt;&gt;"", C63&lt;&gt;""), IF(COUNTIFS(Log!$A$3:$A$10014,B63,Log!$F$3:$F$10014,"&gt;=50")=0,"–",_xlfn.MINIFS(Log!$E$3:$E$10014,Log!$A$3:$A$10014,B63,Log!$F$3:$F$10014,"&gt;=50")), "")</f>
        <v/>
      </c>
    </row>
    <row r="64" spans="1:5" s="15" customFormat="1" x14ac:dyDescent="0.3">
      <c r="A64" s="3"/>
      <c r="B64" s="3"/>
      <c r="C64" s="2"/>
      <c r="D64" s="8"/>
      <c r="E64" s="25" t="str">
        <f>IF(AND(D64&lt;&gt;"", C64&lt;&gt;""), IF(COUNTIFS(Log!$A$3:$A$10014,B64,Log!$F$3:$F$10014,"&gt;=50")=0,"–",_xlfn.MINIFS(Log!$E$3:$E$10014,Log!$A$3:$A$10014,B64,Log!$F$3:$F$10014,"&gt;=50")), "")</f>
        <v/>
      </c>
    </row>
    <row r="65" spans="1:5" s="15" customFormat="1" x14ac:dyDescent="0.3">
      <c r="A65" s="3"/>
      <c r="B65" s="3"/>
      <c r="C65" s="2"/>
      <c r="D65" s="8"/>
      <c r="E65" s="25" t="str">
        <f>IF(AND(D65&lt;&gt;"", C65&lt;&gt;""), IF(COUNTIFS(Log!$A$3:$A$10014,B65,Log!$F$3:$F$10014,"&gt;=50")=0,"–",_xlfn.MINIFS(Log!$E$3:$E$10014,Log!$A$3:$A$10014,B65,Log!$F$3:$F$10014,"&gt;=50")), "")</f>
        <v/>
      </c>
    </row>
    <row r="66" spans="1:5" s="15" customFormat="1" x14ac:dyDescent="0.3">
      <c r="A66" s="3"/>
      <c r="B66" s="3"/>
      <c r="C66" s="2"/>
      <c r="D66" s="8"/>
      <c r="E66" s="25" t="str">
        <f>IF(AND(D66&lt;&gt;"", C66&lt;&gt;""), IF(COUNTIFS(Log!$A$3:$A$10014,B66,Log!$F$3:$F$10014,"&gt;=50")=0,"–",_xlfn.MINIFS(Log!$E$3:$E$10014,Log!$A$3:$A$10014,B66,Log!$F$3:$F$10014,"&gt;=50")), "")</f>
        <v/>
      </c>
    </row>
    <row r="67" spans="1:5" s="15" customFormat="1" x14ac:dyDescent="0.3">
      <c r="A67" s="3"/>
      <c r="B67" s="3"/>
      <c r="C67" s="2"/>
      <c r="D67" s="8"/>
      <c r="E67" s="25" t="str">
        <f>IF(AND(D67&lt;&gt;"", C67&lt;&gt;""), IF(COUNTIFS(Log!$A$3:$A$10014,B67,Log!$F$3:$F$10014,"&gt;=50")=0,"–",_xlfn.MINIFS(Log!$E$3:$E$10014,Log!$A$3:$A$10014,B67,Log!$F$3:$F$10014,"&gt;=50")), "")</f>
        <v/>
      </c>
    </row>
    <row r="68" spans="1:5" s="15" customFormat="1" x14ac:dyDescent="0.3">
      <c r="A68" s="3"/>
      <c r="B68" s="3"/>
      <c r="C68" s="2"/>
      <c r="D68" s="8"/>
      <c r="E68" s="25" t="str">
        <f>IF(AND(D68&lt;&gt;"", C68&lt;&gt;""), IF(COUNTIFS(Log!$A$3:$A$10014,B68,Log!$F$3:$F$10014,"&gt;=50")=0,"–",_xlfn.MINIFS(Log!$E$3:$E$10014,Log!$A$3:$A$10014,B68,Log!$F$3:$F$10014,"&gt;=50")), "")</f>
        <v/>
      </c>
    </row>
    <row r="69" spans="1:5" s="15" customFormat="1" x14ac:dyDescent="0.3">
      <c r="A69" s="3"/>
      <c r="B69" s="3"/>
      <c r="C69" s="2"/>
      <c r="D69" s="8"/>
      <c r="E69" s="25" t="str">
        <f>IF(AND(D69&lt;&gt;"", C69&lt;&gt;""), IF(COUNTIFS(Log!$A$3:$A$10014,B69,Log!$F$3:$F$10014,"&gt;=50")=0,"–",_xlfn.MINIFS(Log!$E$3:$E$10014,Log!$A$3:$A$10014,B69,Log!$F$3:$F$10014,"&gt;=50")), "")</f>
        <v/>
      </c>
    </row>
    <row r="70" spans="1:5" s="15" customFormat="1" x14ac:dyDescent="0.3">
      <c r="A70" s="3"/>
      <c r="B70" s="3"/>
      <c r="C70" s="2"/>
      <c r="D70" s="8"/>
      <c r="E70" s="25" t="str">
        <f>IF(AND(D70&lt;&gt;"", C70&lt;&gt;""), IF(COUNTIFS(Log!$A$3:$A$10014,B70,Log!$F$3:$F$10014,"&gt;=50")=0,"–",_xlfn.MINIFS(Log!$E$3:$E$10014,Log!$A$3:$A$10014,B70,Log!$F$3:$F$10014,"&gt;=50")), "")</f>
        <v/>
      </c>
    </row>
    <row r="71" spans="1:5" s="15" customFormat="1" x14ac:dyDescent="0.3">
      <c r="A71" s="3"/>
      <c r="B71" s="3"/>
      <c r="C71" s="2"/>
      <c r="D71" s="8"/>
      <c r="E71" s="25" t="str">
        <f>IF(AND(D71&lt;&gt;"", C71&lt;&gt;""), IF(COUNTIFS(Log!$A$3:$A$10014,B71,Log!$F$3:$F$10014,"&gt;=50")=0,"–",_xlfn.MINIFS(Log!$E$3:$E$10014,Log!$A$3:$A$10014,B71,Log!$F$3:$F$10014,"&gt;=50")), "")</f>
        <v/>
      </c>
    </row>
    <row r="72" spans="1:5" s="15" customFormat="1" x14ac:dyDescent="0.3">
      <c r="A72" s="3"/>
      <c r="B72" s="3"/>
      <c r="C72" s="2"/>
      <c r="D72" s="8"/>
      <c r="E72" s="25" t="str">
        <f>IF(AND(D72&lt;&gt;"", C72&lt;&gt;""), IF(COUNTIFS(Log!$A$3:$A$10014,B72,Log!$F$3:$F$10014,"&gt;=50")=0,"–",_xlfn.MINIFS(Log!$E$3:$E$10014,Log!$A$3:$A$10014,B72,Log!$F$3:$F$10014,"&gt;=50")), "")</f>
        <v/>
      </c>
    </row>
    <row r="73" spans="1:5" s="15" customFormat="1" x14ac:dyDescent="0.3">
      <c r="A73" s="3"/>
      <c r="B73" s="3"/>
      <c r="C73" s="2"/>
      <c r="D73" s="8"/>
      <c r="E73" s="25" t="str">
        <f>IF(AND(D73&lt;&gt;"", C73&lt;&gt;""), IF(COUNTIFS(Log!$A$3:$A$10014,B73,Log!$F$3:$F$10014,"&gt;=50")=0,"–",_xlfn.MINIFS(Log!$E$3:$E$10014,Log!$A$3:$A$10014,B73,Log!$F$3:$F$10014,"&gt;=50")), "")</f>
        <v/>
      </c>
    </row>
    <row r="74" spans="1:5" s="15" customFormat="1" x14ac:dyDescent="0.3">
      <c r="A74" s="3"/>
      <c r="B74" s="3"/>
      <c r="C74" s="2"/>
      <c r="D74" s="8"/>
      <c r="E74" s="25" t="str">
        <f>IF(AND(D74&lt;&gt;"", C74&lt;&gt;""), IF(COUNTIFS(Log!$A$3:$A$10014,B74,Log!$F$3:$F$10014,"&gt;=50")=0,"–",_xlfn.MINIFS(Log!$E$3:$E$10014,Log!$A$3:$A$10014,B74,Log!$F$3:$F$10014,"&gt;=50")), "")</f>
        <v/>
      </c>
    </row>
    <row r="75" spans="1:5" s="15" customFormat="1" x14ac:dyDescent="0.3">
      <c r="A75" s="3"/>
      <c r="B75" s="3"/>
      <c r="C75" s="2"/>
      <c r="D75" s="8"/>
      <c r="E75" s="25" t="str">
        <f>IF(AND(D75&lt;&gt;"", C75&lt;&gt;""), IF(COUNTIFS(Log!$A$3:$A$10014,B75,Log!$F$3:$F$10014,"&gt;=50")=0,"–",_xlfn.MINIFS(Log!$E$3:$E$10014,Log!$A$3:$A$10014,B75,Log!$F$3:$F$10014,"&gt;=50")), "")</f>
        <v/>
      </c>
    </row>
    <row r="76" spans="1:5" s="15" customFormat="1" x14ac:dyDescent="0.3">
      <c r="A76" s="3"/>
      <c r="B76" s="3"/>
      <c r="C76" s="2"/>
      <c r="D76" s="8"/>
      <c r="E76" s="25" t="str">
        <f>IF(AND(D76&lt;&gt;"", C76&lt;&gt;""), IF(COUNTIFS(Log!$A$3:$A$10014,B76,Log!$F$3:$F$10014,"&gt;=50")=0,"–",_xlfn.MINIFS(Log!$E$3:$E$10014,Log!$A$3:$A$10014,B76,Log!$F$3:$F$10014,"&gt;=50")), "")</f>
        <v/>
      </c>
    </row>
    <row r="77" spans="1:5" s="15" customFormat="1" x14ac:dyDescent="0.3">
      <c r="A77" s="3"/>
      <c r="B77" s="3"/>
      <c r="C77" s="2"/>
      <c r="D77" s="8"/>
      <c r="E77" s="25" t="str">
        <f>IF(AND(D77&lt;&gt;"", C77&lt;&gt;""), IF(COUNTIFS(Log!$A$3:$A$10014,B77,Log!$F$3:$F$10014,"&gt;=50")=0,"–",_xlfn.MINIFS(Log!$E$3:$E$10014,Log!$A$3:$A$10014,B77,Log!$F$3:$F$10014,"&gt;=50")), "")</f>
        <v/>
      </c>
    </row>
    <row r="78" spans="1:5" s="15" customFormat="1" x14ac:dyDescent="0.3">
      <c r="A78" s="3"/>
      <c r="B78" s="3"/>
      <c r="C78" s="2"/>
      <c r="D78" s="8"/>
      <c r="E78" s="25" t="str">
        <f>IF(AND(D78&lt;&gt;"", C78&lt;&gt;""), IF(COUNTIFS(Log!$A$3:$A$10014,B78,Log!$F$3:$F$10014,"&gt;=50")=0,"–",_xlfn.MINIFS(Log!$E$3:$E$10014,Log!$A$3:$A$10014,B78,Log!$F$3:$F$10014,"&gt;=50")), "")</f>
        <v/>
      </c>
    </row>
    <row r="79" spans="1:5" s="15" customFormat="1" x14ac:dyDescent="0.3">
      <c r="A79" s="3"/>
      <c r="B79" s="3"/>
      <c r="C79" s="2"/>
      <c r="D79" s="8"/>
      <c r="E79" s="25" t="str">
        <f>IF(AND(D79&lt;&gt;"", C79&lt;&gt;""), IF(COUNTIFS(Log!$A$3:$A$10014,B79,Log!$F$3:$F$10014,"&gt;=50")=0,"–",_xlfn.MINIFS(Log!$E$3:$E$10014,Log!$A$3:$A$10014,B79,Log!$F$3:$F$10014,"&gt;=50")), "")</f>
        <v/>
      </c>
    </row>
    <row r="80" spans="1:5" s="15" customFormat="1" x14ac:dyDescent="0.3">
      <c r="A80" s="3"/>
      <c r="B80" s="3"/>
      <c r="C80" s="2"/>
      <c r="D80" s="8"/>
      <c r="E80" s="25" t="str">
        <f>IF(AND(D80&lt;&gt;"", C80&lt;&gt;""), IF(COUNTIFS(Log!$A$3:$A$10014,B80,Log!$F$3:$F$10014,"&gt;=50")=0,"–",_xlfn.MINIFS(Log!$E$3:$E$10014,Log!$A$3:$A$10014,B80,Log!$F$3:$F$10014,"&gt;=50")), "")</f>
        <v/>
      </c>
    </row>
    <row r="81" spans="1:5" s="15" customFormat="1" x14ac:dyDescent="0.3">
      <c r="A81" s="3"/>
      <c r="B81" s="3"/>
      <c r="C81" s="2"/>
      <c r="D81" s="8"/>
      <c r="E81" s="25" t="str">
        <f>IF(AND(D81&lt;&gt;"", C81&lt;&gt;""), IF(COUNTIFS(Log!$A$3:$A$10014,B81,Log!$F$3:$F$10014,"&gt;=50")=0,"–",_xlfn.MINIFS(Log!$E$3:$E$10014,Log!$A$3:$A$10014,B81,Log!$F$3:$F$10014,"&gt;=50")), "")</f>
        <v/>
      </c>
    </row>
    <row r="82" spans="1:5" s="15" customFormat="1" x14ac:dyDescent="0.3">
      <c r="A82" s="3"/>
      <c r="B82" s="3"/>
      <c r="C82" s="2"/>
      <c r="D82" s="8"/>
      <c r="E82" s="25" t="str">
        <f>IF(AND(D82&lt;&gt;"", C82&lt;&gt;""), IF(COUNTIFS(Log!$A$3:$A$10014,B82,Log!$F$3:$F$10014,"&gt;=50")=0,"–",_xlfn.MINIFS(Log!$E$3:$E$10014,Log!$A$3:$A$10014,B82,Log!$F$3:$F$10014,"&gt;=50")), "")</f>
        <v/>
      </c>
    </row>
    <row r="83" spans="1:5" s="15" customFormat="1" x14ac:dyDescent="0.3">
      <c r="A83" s="3"/>
      <c r="B83" s="3"/>
      <c r="C83" s="2"/>
      <c r="D83" s="8"/>
      <c r="E83" s="25" t="str">
        <f>IF(AND(D83&lt;&gt;"", C83&lt;&gt;""), IF(COUNTIFS(Log!$A$3:$A$10014,B83,Log!$F$3:$F$10014,"&gt;=50")=0,"–",_xlfn.MINIFS(Log!$E$3:$E$10014,Log!$A$3:$A$10014,B83,Log!$F$3:$F$10014,"&gt;=50")), "")</f>
        <v/>
      </c>
    </row>
    <row r="84" spans="1:5" s="15" customFormat="1" x14ac:dyDescent="0.3">
      <c r="A84" s="3"/>
      <c r="B84" s="3"/>
      <c r="C84" s="2"/>
      <c r="D84" s="8"/>
      <c r="E84" s="25" t="str">
        <f>IF(AND(D84&lt;&gt;"", C84&lt;&gt;""), IF(COUNTIFS(Log!$A$3:$A$10014,B84,Log!$F$3:$F$10014,"&gt;=50")=0,"–",_xlfn.MINIFS(Log!$E$3:$E$10014,Log!$A$3:$A$10014,B84,Log!$F$3:$F$10014,"&gt;=50")), "")</f>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8C04E-7786-4047-B158-79D276F5E1CA}">
  <sheetPr>
    <tabColor rgb="FFC65911"/>
  </sheetPr>
  <dimension ref="C19:K26"/>
  <sheetViews>
    <sheetView tabSelected="1" workbookViewId="0">
      <selection activeCell="J19" sqref="J19"/>
    </sheetView>
  </sheetViews>
  <sheetFormatPr defaultRowHeight="14.4" x14ac:dyDescent="0.3"/>
  <sheetData>
    <row r="19" spans="3:11" x14ac:dyDescent="0.3">
      <c r="K19" t="s">
        <v>53</v>
      </c>
    </row>
    <row r="22" spans="3:11" x14ac:dyDescent="0.3">
      <c r="C22" t="s">
        <v>42</v>
      </c>
    </row>
    <row r="23" spans="3:11" x14ac:dyDescent="0.3">
      <c r="C23" s="26" t="s">
        <v>43</v>
      </c>
      <c r="K23" s="17" t="s">
        <v>38</v>
      </c>
    </row>
    <row r="24" spans="3:11" x14ac:dyDescent="0.3">
      <c r="K24" s="26" t="s">
        <v>39</v>
      </c>
    </row>
    <row r="25" spans="3:11" x14ac:dyDescent="0.3">
      <c r="C25" s="17" t="s">
        <v>40</v>
      </c>
    </row>
    <row r="26" spans="3:11" x14ac:dyDescent="0.3">
      <c r="C26" s="17" t="s">
        <v>41</v>
      </c>
    </row>
  </sheetData>
  <conditionalFormatting sqref="K23">
    <cfRule type="expression" dxfId="0" priority="1">
      <formula>AND(ROW()&gt;2, COLUMN()&lt;8, MOD(ROW(),2)=0)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01A83-1FDF-45BF-A1E3-B5167A4A0F21}">
  <dimension ref="A1:Y8"/>
  <sheetViews>
    <sheetView workbookViewId="0">
      <selection activeCell="N14" sqref="N14"/>
    </sheetView>
  </sheetViews>
  <sheetFormatPr defaultRowHeight="14.4" x14ac:dyDescent="0.3"/>
  <cols>
    <col min="1" max="1" width="25.77734375" style="41" customWidth="1"/>
    <col min="2" max="2" width="8.88671875" style="39"/>
    <col min="3" max="20" width="6.77734375" style="40" customWidth="1"/>
    <col min="21" max="21" width="2.77734375" style="36" customWidth="1"/>
    <col min="22" max="22" width="8.88671875" style="37"/>
    <col min="23" max="25" width="10.77734375" style="36" customWidth="1"/>
    <col min="26" max="16384" width="8.88671875" style="36"/>
  </cols>
  <sheetData>
    <row r="1" spans="1:25" s="30" customFormat="1" ht="15" thickBot="1" x14ac:dyDescent="0.35">
      <c r="A1" s="28" t="s">
        <v>47</v>
      </c>
      <c r="B1" s="29"/>
      <c r="C1" s="29"/>
      <c r="D1" s="29"/>
      <c r="E1" s="29"/>
      <c r="F1" s="29"/>
      <c r="G1" s="29"/>
      <c r="H1" s="29"/>
      <c r="I1" s="29"/>
      <c r="J1" s="29"/>
      <c r="K1" s="29"/>
      <c r="L1" s="29"/>
      <c r="M1" s="29"/>
      <c r="N1" s="29"/>
      <c r="O1" s="29"/>
      <c r="P1" s="29"/>
      <c r="Q1" s="29"/>
      <c r="R1" s="29"/>
      <c r="S1" s="29"/>
      <c r="T1" s="29"/>
      <c r="V1" s="31"/>
    </row>
    <row r="2" spans="1:25" customFormat="1" ht="15" customHeight="1" x14ac:dyDescent="0.3">
      <c r="A2" s="48" t="s">
        <v>48</v>
      </c>
      <c r="B2" s="49"/>
      <c r="C2" s="49"/>
      <c r="D2" s="49"/>
      <c r="E2" s="49"/>
      <c r="F2" s="49"/>
      <c r="G2" s="49"/>
      <c r="H2" s="49"/>
      <c r="I2" s="49"/>
      <c r="J2" s="49"/>
      <c r="K2" s="49"/>
      <c r="L2" s="49"/>
      <c r="M2" s="49"/>
      <c r="N2" s="49"/>
      <c r="O2" s="49"/>
      <c r="P2" s="49"/>
      <c r="Q2" s="49"/>
      <c r="R2" s="49"/>
      <c r="S2" s="49"/>
      <c r="T2" s="50"/>
      <c r="V2" s="32"/>
    </row>
    <row r="3" spans="1:25" ht="26.4" customHeight="1" x14ac:dyDescent="0.3">
      <c r="A3" s="33" t="s">
        <v>45</v>
      </c>
      <c r="B3" s="34" t="s">
        <v>46</v>
      </c>
      <c r="C3" s="35" t="e" cm="1">
        <f t="array" ref="C3">LEFT(TRANSPOSE(#REF!), 3)</f>
        <v>#REF!</v>
      </c>
      <c r="D3" s="35"/>
      <c r="E3" s="35"/>
      <c r="F3" s="35"/>
      <c r="G3" s="35"/>
      <c r="H3" s="35"/>
      <c r="I3" s="46"/>
      <c r="J3" s="46"/>
      <c r="K3" s="35"/>
      <c r="L3" s="35"/>
      <c r="M3" s="35"/>
      <c r="N3" s="35"/>
      <c r="O3" s="46"/>
      <c r="P3" s="35"/>
      <c r="Q3" s="35"/>
      <c r="R3" s="35"/>
      <c r="S3" s="35"/>
      <c r="T3" s="35"/>
    </row>
    <row r="4" spans="1:25" x14ac:dyDescent="0.3">
      <c r="A4" s="38">
        <v>46238</v>
      </c>
      <c r="C4" s="42">
        <v>5</v>
      </c>
      <c r="D4" s="42">
        <v>5</v>
      </c>
      <c r="E4" s="42">
        <v>2</v>
      </c>
      <c r="F4" s="42">
        <v>2</v>
      </c>
      <c r="G4" s="42">
        <v>2</v>
      </c>
      <c r="H4" s="42">
        <v>2</v>
      </c>
      <c r="I4" s="42">
        <v>2</v>
      </c>
      <c r="J4" s="42">
        <v>2</v>
      </c>
      <c r="K4" s="42">
        <v>2</v>
      </c>
      <c r="L4" s="42"/>
      <c r="M4" s="42"/>
      <c r="N4" s="42"/>
      <c r="O4" s="42"/>
      <c r="P4" s="42"/>
      <c r="Q4" s="42"/>
      <c r="R4" s="42">
        <v>1</v>
      </c>
      <c r="S4" s="42">
        <v>1</v>
      </c>
      <c r="T4" s="42">
        <v>2</v>
      </c>
      <c r="W4" s="45" t="s">
        <v>49</v>
      </c>
      <c r="X4" s="44"/>
      <c r="Y4" s="44"/>
    </row>
    <row r="5" spans="1:25" x14ac:dyDescent="0.3">
      <c r="A5" s="38"/>
      <c r="W5" s="43"/>
      <c r="X5" s="43"/>
    </row>
    <row r="6" spans="1:25" x14ac:dyDescent="0.3">
      <c r="X6" s="43"/>
    </row>
    <row r="7" spans="1:25" x14ac:dyDescent="0.3">
      <c r="W7" s="43"/>
      <c r="X7" s="43"/>
    </row>
    <row r="8" spans="1:25" ht="42" customHeight="1" x14ac:dyDescent="0.3">
      <c r="A8" s="51" t="s">
        <v>52</v>
      </c>
      <c r="B8" s="51"/>
      <c r="C8" s="51"/>
      <c r="D8" s="51"/>
      <c r="E8" s="51"/>
      <c r="F8" s="51"/>
      <c r="G8" s="51"/>
      <c r="H8" s="51"/>
      <c r="I8" s="51"/>
      <c r="J8" s="51"/>
      <c r="K8" s="51"/>
    </row>
  </sheetData>
  <mergeCells count="2">
    <mergeCell ref="A2:T2"/>
    <mergeCell ref="A8:K8"/>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Log</vt:lpstr>
      <vt:lpstr>Daily Summary</vt:lpstr>
      <vt:lpstr>Error Summary</vt:lpstr>
      <vt:lpstr>Visualisations</vt:lpstr>
      <vt:lpstr>DevScriptErrors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Newby</dc:creator>
  <cp:lastModifiedBy>Daniel Newby</cp:lastModifiedBy>
  <dcterms:created xsi:type="dcterms:W3CDTF">2015-06-05T18:17:20Z</dcterms:created>
  <dcterms:modified xsi:type="dcterms:W3CDTF">2026-08-21T14:18:46Z</dcterms:modified>
</cp:coreProperties>
</file>