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19ED750D-F7ED-45AF-829D-E348694C3C7D}"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Visualisations" sheetId="3" r:id="rId4"/>
    <sheet name="DevScriptErrors" sheetId="5" state="hidden"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a="1"/>
  <c r="C3" i="5" s="1"/>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11" i="1"/>
  <c r="C13" i="1"/>
  <c r="C21" i="1"/>
  <c r="C27" i="1"/>
  <c r="C152" i="1"/>
  <c r="C153" i="1"/>
  <c r="C166" i="1"/>
  <c r="C167" i="1"/>
  <c r="C175" i="1"/>
  <c r="C180" i="1"/>
  <c r="C208" i="1"/>
  <c r="C209" i="1"/>
  <c r="C221" i="1"/>
  <c r="C222" i="1"/>
  <c r="C223" i="1"/>
  <c r="C231" i="1"/>
  <c r="C259" i="1"/>
  <c r="C263" i="1"/>
  <c r="C265" i="1"/>
  <c r="C273" i="1"/>
  <c r="C277" i="1"/>
  <c r="C278" i="1"/>
  <c r="C306" i="1"/>
  <c r="C307" i="1"/>
  <c r="C319" i="1"/>
  <c r="C320" i="1"/>
  <c r="C321" i="1"/>
  <c r="C329" i="1"/>
  <c r="C357" i="1"/>
  <c r="C361" i="1"/>
  <c r="C363" i="1"/>
  <c r="C371" i="1"/>
  <c r="C375" i="1"/>
  <c r="C376" i="1"/>
  <c r="C404" i="1"/>
  <c r="C405" i="1"/>
  <c r="C417" i="1"/>
  <c r="C418" i="1"/>
  <c r="C419" i="1"/>
  <c r="C427" i="1"/>
  <c r="C455" i="1"/>
  <c r="C459" i="1"/>
  <c r="C461" i="1"/>
  <c r="C469" i="1"/>
  <c r="C473" i="1"/>
  <c r="C474" i="1"/>
  <c r="A8" i="2"/>
  <c r="A9" i="2" s="1"/>
  <c r="A3" i="2"/>
  <c r="A4" i="2" s="1"/>
  <c r="A5" i="2" s="1"/>
  <c r="E3"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26" i="1" l="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E13" i="1"/>
  <c r="B5" i="2"/>
  <c r="E11" i="1"/>
  <c r="E4" i="2" l="1"/>
  <c r="E16" i="1"/>
  <c r="E15" i="1"/>
  <c r="E18" i="1"/>
  <c r="E17" i="1"/>
  <c r="E14" i="1"/>
  <c r="E5" i="2" l="1"/>
  <c r="B8" i="2" l="1"/>
  <c r="B9"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17" i="2" s="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4"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3" i="2" l="1"/>
  <c r="E16" i="2"/>
  <c r="E15" i="2"/>
  <c r="E12"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<sst xmlns="http://schemas.openxmlformats.org/spreadsheetml/2006/main" count="66" uniqueCount="56">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</sst>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3">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BDD7EE"/>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pt idx="11">
                  <c:v>46240</c:v>
                </c:pt>
                <c:pt idx="12">
                  <c:v>46242</c:v>
                </c:pt>
                <c:pt idx="13">
                  <c:v>46244</c:v>
                </c:pt>
                <c:pt idx="14">
                  <c:v>46245</c:v>
                </c:pt>
              </c:numCache>
            </c:numRef>
          </c:xVal>
          <c:yVal>
            <c:numRef>
              <c:f>'Daily Summary'!$C$2:$C$100</c:f>
              <c:numCache>
                <c:formatCode>0.0\°\ \(\C\)</c:formatCode>
                <c:ptCount val="98"/>
                <c:pt idx="0">
                  <c:v>23.5</c:v>
                </c:pt>
                <c:pt idx="1">
                  <c:v>23.5</c:v>
                </c:pt>
                <c:pt idx="2">
                  <c:v>23.5</c:v>
                </c:pt>
                <c:pt idx="3">
                  <c:v>24.5</c:v>
                </c:pt>
                <c:pt idx="4">
                  <c:v>25.5</c:v>
                </c:pt>
                <c:pt idx="5">
                  <c:v>24.5</c:v>
                </c:pt>
                <c:pt idx="6">
                  <c:v>24</c:v>
                </c:pt>
                <c:pt idx="7">
                  <c:v>24</c:v>
                </c:pt>
                <c:pt idx="8">
                  <c:v>23.5</c:v>
                </c:pt>
                <c:pt idx="9">
                  <c:v>24.5</c:v>
                </c:pt>
                <c:pt idx="10">
                  <c:v>24.5</c:v>
                </c:pt>
                <c:pt idx="11">
                  <c:v>24</c:v>
                </c:pt>
                <c:pt idx="12">
                  <c:v>24</c:v>
                </c:pt>
                <c:pt idx="13">
                  <c:v>24</c:v>
                </c:pt>
                <c:pt idx="14">
                  <c:v>23.5</c:v>
                </c:pt>
              </c:numCache>
            </c:numRef>
          </c:yVal>
          <c:smooth val="0"/>
          <c:extLst>
            <c:ext xmlns:c16="http://schemas.microsoft.com/office/drawing/2014/chart" uri="{C3380CC4-5D6E-409C-BE32-E72D297353CC}">
              <c16:uniqueId val="{00000000-F0FC-4467-A617-2617B7DA2AFF}"/>
            </c:ext>
          </c:extLst>
        </c:ser>
        <c:ser>
          <c:idx val="1"/>
          <c:order val="1"/>
          <c:tx>
            <c:strRef>
              <c:f>'Daily Summary'!$E$1</c:f>
              <c:strCache>
                <c:ptCount val="1"/>
                <c:pt idx="0">
                  <c:v>Minutes to Ready
(earliest minutes &gt;= 50°)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pt idx="11">
                  <c:v>46240</c:v>
                </c:pt>
                <c:pt idx="12">
                  <c:v>46242</c:v>
                </c:pt>
                <c:pt idx="13">
                  <c:v>46244</c:v>
                </c:pt>
                <c:pt idx="14">
                  <c:v>46245</c:v>
                </c:pt>
              </c:numCache>
            </c:numRef>
          </c:xVal>
          <c:yVal>
            <c:numRef>
              <c:f>'Daily Summary'!$E$2:$E$100</c:f>
              <c:numCache>
                <c:formatCode>0</c:formatCode>
                <c:ptCount val="98"/>
                <c:pt idx="0">
                  <c:v>25.000000000000071</c:v>
                </c:pt>
                <c:pt idx="1">
                  <c:v>24.000000000000234</c:v>
                </c:pt>
                <c:pt idx="2">
                  <c:v>26.000000000000068</c:v>
                </c:pt>
                <c:pt idx="3">
                  <c:v>0</c:v>
                </c:pt>
                <c:pt idx="4">
                  <c:v>15.999999999999943</c:v>
                </c:pt>
                <c:pt idx="5">
                  <c:v>19.000000000000014</c:v>
                </c:pt>
                <c:pt idx="6">
                  <c:v>20.999999999999925</c:v>
                </c:pt>
                <c:pt idx="7">
                  <c:v>21.583333333333243</c:v>
                </c:pt>
                <c:pt idx="8">
                  <c:v>21.216666666666654</c:v>
                </c:pt>
                <c:pt idx="9">
                  <c:v>21.066666666666627</c:v>
                </c:pt>
                <c:pt idx="10">
                  <c:v>19.600000000000026</c:v>
                </c:pt>
                <c:pt idx="11">
                  <c:v>20.133333333333336</c:v>
                </c:pt>
                <c:pt idx="12">
                  <c:v>19.616666666666642</c:v>
                </c:pt>
                <c:pt idx="13">
                  <c:v>18.850000000000069</c:v>
                </c:pt>
                <c:pt idx="14">
                  <c:v>21.350000000000058</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072957472"/>
        <c:axId val="1072952192"/>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dd/mm"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ewwb\Documents\brain\professional\university\LCAS\Vicon%20(EPSURIS)%20Main\Public%20Files\Documentation%20Data\LCAS%20Vicon%20Calibration%20Tracker.xlsx" TargetMode="External"/><Relationship Id="rId1" Type="http://schemas.openxmlformats.org/officeDocument/2006/relationships/externalLinkPath" Target="LCAS%20Vicon%20Calibration%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153" activePane="bottomLeft" state="frozen"/>
      <selection activeCell="B46" sqref="B46"/>
      <selection pane="bottomLeft" activeCell="A150" sqref="A150:A164"/>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f>_xlfn.XLOOKUP(Log!A19, 'Daily Summary'!A:A, 'Daily Summary'!D:D, "Not found!")</f>
        <v>0.4284722222222222</v>
      </c>
      <c r="D19" s="9">
        <v>0.43055555555555558</v>
      </c>
      <c r="E19" s="6">
        <f t="shared" si="0"/>
        <v>3.0000000000000693</v>
      </c>
      <c r="F19" s="7">
        <v>32</v>
      </c>
      <c r="G19" s="2">
        <v>32</v>
      </c>
      <c r="H19" s="2">
        <f t="shared" si="2"/>
        <v>0</v>
      </c>
    </row>
    <row r="20" spans="1:8" x14ac:dyDescent="0.3">
      <c r="A20" s="1" t="s">
        <v>12</v>
      </c>
      <c r="B20" s="18" t="s">
        <v>15</v>
      </c>
      <c r="C20" s="9">
        <f>_xlfn.XLOOKUP(Log!A20, 'Daily Summary'!A:A, 'Daily Summary'!D:D, "Not found!")</f>
        <v>0.4284722222222222</v>
      </c>
      <c r="D20" s="9">
        <v>0.43402777777777779</v>
      </c>
      <c r="E20" s="6">
        <f t="shared" si="0"/>
        <v>8.0000000000000515</v>
      </c>
      <c r="F20" s="7">
        <v>40</v>
      </c>
      <c r="G20" s="2">
        <v>42</v>
      </c>
      <c r="H20" s="2">
        <f t="shared" si="2"/>
        <v>2</v>
      </c>
    </row>
    <row r="21" spans="1:8" x14ac:dyDescent="0.3">
      <c r="A21" s="1" t="s">
        <v>12</v>
      </c>
      <c r="B21" s="18" t="s">
        <v>15</v>
      </c>
      <c r="C21" s="9">
        <f>_xlfn.XLOOKUP(Log!A21, 'Daily Summary'!A:A, 'Daily Summary'!D:D, "Not found!")</f>
        <v>0.4284722222222222</v>
      </c>
      <c r="D21" s="9">
        <v>0.43680555555555556</v>
      </c>
      <c r="E21" s="6">
        <f t="shared" si="0"/>
        <v>12.000000000000037</v>
      </c>
      <c r="F21" s="7">
        <v>44</v>
      </c>
      <c r="G21" s="2">
        <v>47</v>
      </c>
      <c r="H21" s="2">
        <f t="shared" si="2"/>
        <v>3</v>
      </c>
    </row>
    <row r="22" spans="1:8" x14ac:dyDescent="0.3">
      <c r="A22" s="1" t="s">
        <v>12</v>
      </c>
      <c r="C22" s="9">
        <f>_xlfn.XLOOKUP(Log!A22, 'Daily Summary'!A:A, 'Daily Summary'!D:D, "Not found!")</f>
        <v>0.4284722222222222</v>
      </c>
      <c r="D22" s="9">
        <v>0.44027777777777777</v>
      </c>
      <c r="E22" s="6">
        <f t="shared" si="0"/>
        <v>17.000000000000021</v>
      </c>
      <c r="F22" s="7">
        <v>49</v>
      </c>
      <c r="G22" s="2">
        <v>52</v>
      </c>
      <c r="H22" s="2">
        <f t="shared" si="2"/>
        <v>3</v>
      </c>
    </row>
    <row r="23" spans="1:8" x14ac:dyDescent="0.3">
      <c r="A23" s="1" t="s">
        <v>12</v>
      </c>
      <c r="C23" s="9">
        <f>_xlfn.XLOOKUP(Log!A23, 'Daily Summary'!A:A, 'Daily Summary'!D:D, "Not found!")</f>
        <v>0.4284722222222222</v>
      </c>
      <c r="D23" s="9">
        <v>0.44374999999999998</v>
      </c>
      <c r="E23" s="6">
        <f t="shared" si="0"/>
        <v>22</v>
      </c>
      <c r="F23" s="7">
        <v>52</v>
      </c>
      <c r="G23" s="2">
        <v>55</v>
      </c>
      <c r="H23" s="2">
        <f t="shared" si="2"/>
        <v>3</v>
      </c>
    </row>
    <row r="24" spans="1:8" x14ac:dyDescent="0.3">
      <c r="A24" s="1" t="s">
        <v>12</v>
      </c>
      <c r="C24" s="9">
        <f>_xlfn.XLOOKUP(Log!A24, 'Daily Summary'!A:A, 'Daily Summary'!D:D, "Not found!")</f>
        <v>0.4284722222222222</v>
      </c>
      <c r="D24" s="9">
        <v>0.4465277777777778</v>
      </c>
      <c r="E24" s="6">
        <f t="shared" si="0"/>
        <v>26.000000000000068</v>
      </c>
      <c r="F24" s="7">
        <v>54</v>
      </c>
      <c r="G24" s="2">
        <v>55</v>
      </c>
      <c r="H24" s="2">
        <f t="shared" si="2"/>
        <v>1</v>
      </c>
    </row>
    <row r="25" spans="1:8" x14ac:dyDescent="0.3">
      <c r="A25" s="1" t="s">
        <v>12</v>
      </c>
      <c r="C25" s="9">
        <f>_xlfn.XLOOKUP(Log!A25, 'Daily Summary'!A:A, 'Daily Summary'!D:D, "Not found!")</f>
        <v>0.4284722222222222</v>
      </c>
      <c r="D25" s="9">
        <v>0.45069444444444445</v>
      </c>
      <c r="E25" s="6">
        <f t="shared" si="0"/>
        <v>32.000000000000043</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4"/>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4"/>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4"/>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4"/>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4"/>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4"/>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4"/>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4"/>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4"/>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4"/>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4"/>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4"/>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4"/>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4"/>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4"/>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4"/>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4"/>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4"/>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4"/>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4"/>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4"/>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4"/>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4"/>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4"/>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4"/>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4"/>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4"/>
        <v>25.599999999999923</v>
      </c>
      <c r="F97" s="7">
        <v>54</v>
      </c>
      <c r="G97" s="2">
        <v>55</v>
      </c>
      <c r="H97" s="2">
        <f t="shared" ref="H97:H160" si="5">IF(AND(G97&lt;&gt;"",F97&lt;&gt;""),G97-F97,"")</f>
        <v>1</v>
      </c>
    </row>
    <row r="98" spans="1:8" x14ac:dyDescent="0.3">
      <c r="A98" s="1">
        <v>46239</v>
      </c>
      <c r="C98" s="9">
        <f>_xlfn.XLOOKUP(Log!A98, 'Daily Summary'!A:A, 'Daily Summary'!D:D, "Not found!")</f>
        <v>0.48333333333333334</v>
      </c>
      <c r="D98" s="9">
        <v>0.5025115740740741</v>
      </c>
      <c r="E98" s="6">
        <f t="shared" si="4"/>
        <v>27.616666666666696</v>
      </c>
      <c r="F98" s="7">
        <v>54</v>
      </c>
      <c r="G98" s="2">
        <v>57</v>
      </c>
      <c r="H98" s="2">
        <f t="shared" si="5"/>
        <v>3</v>
      </c>
    </row>
    <row r="99" spans="1:8" x14ac:dyDescent="0.3">
      <c r="A99" s="1">
        <v>46239</v>
      </c>
      <c r="C99" s="9">
        <f>_xlfn.XLOOKUP(Log!A99, 'Daily Summary'!A:A, 'Daily Summary'!D:D, "Not found!")</f>
        <v>0.48333333333333334</v>
      </c>
      <c r="D99" s="9">
        <v>0.50391203703703702</v>
      </c>
      <c r="E99" s="6">
        <f t="shared" si="4"/>
        <v>29.633333333333304</v>
      </c>
      <c r="F99" s="7">
        <v>55</v>
      </c>
      <c r="G99" s="2">
        <v>57</v>
      </c>
      <c r="H99" s="2">
        <f t="shared" si="5"/>
        <v>2</v>
      </c>
    </row>
    <row r="100" spans="1:8" x14ac:dyDescent="0.3">
      <c r="A100" s="1">
        <v>46239</v>
      </c>
      <c r="C100" s="9">
        <f>_xlfn.XLOOKUP(Log!A100, 'Daily Summary'!A:A, 'Daily Summary'!D:D, "Not found!")</f>
        <v>0.48333333333333334</v>
      </c>
      <c r="D100" s="9">
        <v>0.5053009259259259</v>
      </c>
      <c r="E100" s="6">
        <f t="shared" si="4"/>
        <v>31.633333333333297</v>
      </c>
      <c r="F100" s="7">
        <v>55</v>
      </c>
      <c r="G100" s="2">
        <v>58</v>
      </c>
      <c r="H100" s="2">
        <f t="shared" si="5"/>
        <v>3</v>
      </c>
    </row>
    <row r="101" spans="1:8" x14ac:dyDescent="0.3">
      <c r="A101" s="1">
        <v>46240</v>
      </c>
      <c r="C101" s="9">
        <f>_xlfn.XLOOKUP(Log!A101, 'Daily Summary'!A:A, 'Daily Summary'!D:D, "Not found!")</f>
        <v>0.43888888888888888</v>
      </c>
      <c r="D101" s="9">
        <v>0.44027777777777777</v>
      </c>
      <c r="E101" s="6">
        <f t="shared" si="4"/>
        <v>1.9999999999999929</v>
      </c>
      <c r="F101" s="7">
        <v>32</v>
      </c>
      <c r="G101" s="2">
        <v>33</v>
      </c>
      <c r="H101" s="2">
        <f t="shared" si="5"/>
        <v>1</v>
      </c>
    </row>
    <row r="102" spans="1:8" x14ac:dyDescent="0.3">
      <c r="A102" s="1">
        <v>46240</v>
      </c>
      <c r="C102" s="9">
        <f>_xlfn.XLOOKUP(Log!A102, 'Daily Summary'!A:A, 'Daily Summary'!D:D, "Not found!")</f>
        <v>0.43888888888888888</v>
      </c>
      <c r="D102" s="9">
        <v>0.44170138888888888</v>
      </c>
      <c r="E102" s="6">
        <f t="shared" si="4"/>
        <v>4.0499999999999936</v>
      </c>
      <c r="F102" s="7">
        <v>35</v>
      </c>
      <c r="G102" s="2">
        <v>36</v>
      </c>
      <c r="H102" s="2">
        <f t="shared" si="5"/>
        <v>1</v>
      </c>
    </row>
    <row r="103" spans="1:8" x14ac:dyDescent="0.3">
      <c r="A103" s="1">
        <v>46240</v>
      </c>
      <c r="C103" s="9">
        <f>_xlfn.XLOOKUP(Log!A103, 'Daily Summary'!A:A, 'Daily Summary'!D:D, "Not found!")</f>
        <v>0.43888888888888888</v>
      </c>
      <c r="D103" s="9">
        <v>0.44310185185185186</v>
      </c>
      <c r="E103" s="6">
        <f t="shared" si="4"/>
        <v>6.0666666666666824</v>
      </c>
      <c r="F103" s="7">
        <v>38</v>
      </c>
      <c r="G103" s="2">
        <v>41</v>
      </c>
      <c r="H103" s="2">
        <f t="shared" si="5"/>
        <v>3</v>
      </c>
    </row>
    <row r="104" spans="1:8" x14ac:dyDescent="0.3">
      <c r="A104" s="1">
        <v>46240</v>
      </c>
      <c r="C104" s="9">
        <f>_xlfn.XLOOKUP(Log!A104, 'Daily Summary'!A:A, 'Daily Summary'!D:D, "Not found!")</f>
        <v>0.43888888888888888</v>
      </c>
      <c r="D104" s="9">
        <v>0.44450231481481484</v>
      </c>
      <c r="E104" s="6">
        <f t="shared" si="4"/>
        <v>8.0833333333333712</v>
      </c>
      <c r="F104" s="7">
        <v>41</v>
      </c>
      <c r="G104" s="2">
        <v>44</v>
      </c>
      <c r="H104" s="2">
        <f t="shared" si="5"/>
        <v>3</v>
      </c>
    </row>
    <row r="105" spans="1:8" x14ac:dyDescent="0.3">
      <c r="A105" s="1">
        <v>46240</v>
      </c>
      <c r="C105" s="9">
        <f>_xlfn.XLOOKUP(Log!A105, 'Daily Summary'!A:A, 'Daily Summary'!D:D, "Not found!")</f>
        <v>0.43888888888888888</v>
      </c>
      <c r="D105" s="9">
        <v>0.44590277777777776</v>
      </c>
      <c r="E105" s="6">
        <f t="shared" si="4"/>
        <v>10.09999999999998</v>
      </c>
      <c r="F105" s="7">
        <v>44</v>
      </c>
      <c r="G105" s="2">
        <v>45</v>
      </c>
      <c r="H105" s="2">
        <f t="shared" si="5"/>
        <v>1</v>
      </c>
    </row>
    <row r="106" spans="1:8" x14ac:dyDescent="0.3">
      <c r="A106" s="1">
        <v>46240</v>
      </c>
      <c r="C106" s="9">
        <f>_xlfn.XLOOKUP(Log!A106, 'Daily Summary'!A:A, 'Daily Summary'!D:D, "Not found!")</f>
        <v>0.43888888888888888</v>
      </c>
      <c r="D106" s="9">
        <v>0.44729166666666664</v>
      </c>
      <c r="E106" s="6">
        <f t="shared" si="4"/>
        <v>12.099999999999973</v>
      </c>
      <c r="F106" s="7">
        <v>44</v>
      </c>
      <c r="G106" s="2">
        <v>47</v>
      </c>
      <c r="H106" s="2">
        <f t="shared" si="5"/>
        <v>3</v>
      </c>
    </row>
    <row r="107" spans="1:8" x14ac:dyDescent="0.3">
      <c r="A107" s="1">
        <v>46240</v>
      </c>
      <c r="C107" s="9">
        <f>_xlfn.XLOOKUP(Log!A107, 'Daily Summary'!A:A, 'Daily Summary'!D:D, "Not found!")</f>
        <v>0.43888888888888888</v>
      </c>
      <c r="D107" s="9">
        <v>0.44868055555555558</v>
      </c>
      <c r="E107" s="6">
        <f t="shared" si="4"/>
        <v>14.100000000000046</v>
      </c>
      <c r="F107" s="7">
        <v>47</v>
      </c>
      <c r="G107" s="2">
        <v>49</v>
      </c>
      <c r="H107" s="2">
        <f t="shared" si="5"/>
        <v>2</v>
      </c>
    </row>
    <row r="108" spans="1:8" x14ac:dyDescent="0.3">
      <c r="A108" s="1">
        <v>46240</v>
      </c>
      <c r="C108" s="9">
        <f>_xlfn.XLOOKUP(Log!A108, 'Daily Summary'!A:A, 'Daily Summary'!D:D, "Not found!")</f>
        <v>0.43888888888888888</v>
      </c>
      <c r="D108" s="9">
        <v>0.45008101851851851</v>
      </c>
      <c r="E108" s="6">
        <f t="shared" si="4"/>
        <v>16.116666666666653</v>
      </c>
      <c r="F108" s="7">
        <v>48</v>
      </c>
      <c r="G108" s="2">
        <v>51</v>
      </c>
      <c r="H108" s="2">
        <f t="shared" si="5"/>
        <v>3</v>
      </c>
    </row>
    <row r="109" spans="1:8" x14ac:dyDescent="0.3">
      <c r="A109" s="1">
        <v>46240</v>
      </c>
      <c r="C109" s="9">
        <f>_xlfn.XLOOKUP(Log!A109, 'Daily Summary'!A:A, 'Daily Summary'!D:D, "Not found!")</f>
        <v>0.43888888888888888</v>
      </c>
      <c r="D109" s="9">
        <v>0.45148148148148148</v>
      </c>
      <c r="E109" s="6">
        <f t="shared" si="4"/>
        <v>18.133333333333344</v>
      </c>
      <c r="F109" s="7">
        <v>49</v>
      </c>
      <c r="G109" s="2">
        <v>52</v>
      </c>
      <c r="H109" s="2">
        <f t="shared" si="5"/>
        <v>3</v>
      </c>
    </row>
    <row r="110" spans="1:8" x14ac:dyDescent="0.3">
      <c r="A110" s="1">
        <v>46240</v>
      </c>
      <c r="C110" s="9">
        <f>_xlfn.XLOOKUP(Log!A110, 'Daily Summary'!A:A, 'Daily Summary'!D:D, "Not found!")</f>
        <v>0.43888888888888888</v>
      </c>
      <c r="D110" s="9">
        <v>0.45287037037037037</v>
      </c>
      <c r="E110" s="6">
        <f t="shared" si="4"/>
        <v>20.133333333333336</v>
      </c>
      <c r="F110" s="7">
        <v>51</v>
      </c>
      <c r="G110" s="2">
        <v>52</v>
      </c>
      <c r="H110" s="2">
        <f t="shared" si="5"/>
        <v>1</v>
      </c>
    </row>
    <row r="111" spans="1:8" x14ac:dyDescent="0.3">
      <c r="A111" s="1">
        <v>46240</v>
      </c>
      <c r="C111" s="9">
        <f>_xlfn.XLOOKUP(Log!A111, 'Daily Summary'!A:A, 'Daily Summary'!D:D, "Not found!")</f>
        <v>0.43888888888888888</v>
      </c>
      <c r="D111" s="9">
        <v>0.45425925925925925</v>
      </c>
      <c r="E111" s="6">
        <f t="shared" si="4"/>
        <v>22.133333333333329</v>
      </c>
      <c r="F111" s="7">
        <v>51</v>
      </c>
      <c r="G111" s="2">
        <v>54</v>
      </c>
      <c r="H111" s="2">
        <f t="shared" si="5"/>
        <v>3</v>
      </c>
    </row>
    <row r="112" spans="1:8" x14ac:dyDescent="0.3">
      <c r="A112" s="1">
        <v>46240</v>
      </c>
      <c r="C112" s="9">
        <f>_xlfn.XLOOKUP(Log!A112, 'Daily Summary'!A:A, 'Daily Summary'!D:D, "Not found!")</f>
        <v>0.43888888888888888</v>
      </c>
      <c r="D112" s="9">
        <v>0.45565972222222223</v>
      </c>
      <c r="E112" s="6">
        <f t="shared" si="4"/>
        <v>24.15000000000002</v>
      </c>
      <c r="F112" s="7">
        <v>52</v>
      </c>
      <c r="G112" s="2">
        <v>55</v>
      </c>
      <c r="H112" s="2">
        <f t="shared" si="5"/>
        <v>3</v>
      </c>
    </row>
    <row r="113" spans="1:8" x14ac:dyDescent="0.3">
      <c r="A113" s="1">
        <v>46240</v>
      </c>
      <c r="C113" s="9">
        <f>_xlfn.XLOOKUP(Log!A113, 'Daily Summary'!A:A, 'Daily Summary'!D:D, "Not found!")</f>
        <v>0.43888888888888888</v>
      </c>
      <c r="D113" s="9">
        <v>0.45704861111111111</v>
      </c>
      <c r="E113" s="6">
        <f t="shared" si="4"/>
        <v>26.150000000000013</v>
      </c>
      <c r="F113" s="7">
        <v>54</v>
      </c>
      <c r="G113" s="2">
        <v>55</v>
      </c>
      <c r="H113" s="2">
        <f t="shared" si="5"/>
        <v>1</v>
      </c>
    </row>
    <row r="114" spans="1:8" x14ac:dyDescent="0.3">
      <c r="A114" s="1">
        <v>46240</v>
      </c>
      <c r="C114" s="9">
        <f>_xlfn.XLOOKUP(Log!A114, 'Daily Summary'!A:A, 'Daily Summary'!D:D, "Not found!")</f>
        <v>0.43888888888888888</v>
      </c>
      <c r="D114" s="9">
        <v>0.4584375</v>
      </c>
      <c r="E114" s="6">
        <f t="shared" si="4"/>
        <v>28.150000000000006</v>
      </c>
      <c r="F114" s="7">
        <v>54</v>
      </c>
      <c r="G114" s="2">
        <v>57</v>
      </c>
      <c r="H114" s="2">
        <f t="shared" si="5"/>
        <v>3</v>
      </c>
    </row>
    <row r="115" spans="1:8" x14ac:dyDescent="0.3">
      <c r="A115" s="1">
        <v>46240</v>
      </c>
      <c r="C115" s="9">
        <f>_xlfn.XLOOKUP(Log!A115, 'Daily Summary'!A:A, 'Daily Summary'!D:D, "Not found!")</f>
        <v>0.43888888888888888</v>
      </c>
      <c r="D115" s="9">
        <v>0.45983796296296298</v>
      </c>
      <c r="E115" s="6">
        <f t="shared" si="4"/>
        <v>30.166666666666693</v>
      </c>
      <c r="F115" s="7">
        <v>55</v>
      </c>
      <c r="G115" s="2">
        <v>58</v>
      </c>
      <c r="H115" s="2">
        <f t="shared" si="5"/>
        <v>3</v>
      </c>
    </row>
    <row r="116" spans="1:8" x14ac:dyDescent="0.3">
      <c r="A116" s="1">
        <v>46240</v>
      </c>
      <c r="C116" s="9">
        <f>_xlfn.XLOOKUP(Log!A116, 'Daily Summary'!A:A, 'Daily Summary'!D:D, "Not found!")</f>
        <v>0.43888888888888888</v>
      </c>
      <c r="D116" s="9">
        <v>0.46122685185185186</v>
      </c>
      <c r="E116" s="6">
        <f t="shared" si="4"/>
        <v>32.166666666666686</v>
      </c>
      <c r="F116" s="7">
        <v>55</v>
      </c>
      <c r="G116" s="2">
        <v>58</v>
      </c>
      <c r="H116" s="2">
        <f t="shared" si="5"/>
        <v>3</v>
      </c>
    </row>
    <row r="117" spans="1:8" x14ac:dyDescent="0.3">
      <c r="A117" s="1">
        <v>46242</v>
      </c>
      <c r="C117" s="9">
        <f>_xlfn.XLOOKUP(Log!A117, 'Daily Summary'!A:A, 'Daily Summary'!D:D, "Not found!")</f>
        <v>0.55833333333333335</v>
      </c>
      <c r="D117" s="9">
        <v>0.55972222222222223</v>
      </c>
      <c r="E117" s="6">
        <f t="shared" si="4"/>
        <v>1.9999999999999929</v>
      </c>
      <c r="F117" s="7">
        <v>31</v>
      </c>
      <c r="G117" s="2">
        <v>33</v>
      </c>
      <c r="H117" s="2">
        <f t="shared" si="5"/>
        <v>2</v>
      </c>
    </row>
    <row r="118" spans="1:8" x14ac:dyDescent="0.3">
      <c r="A118" s="1">
        <v>46242</v>
      </c>
      <c r="C118" s="9">
        <f>_xlfn.XLOOKUP(Log!A118, 'Daily Summary'!A:A, 'Daily Summary'!D:D, "Not found!")</f>
        <v>0.55833333333333335</v>
      </c>
      <c r="D118" s="9">
        <v>0.56081018518518522</v>
      </c>
      <c r="E118" s="6">
        <f t="shared" si="4"/>
        <v>3.5666666666666913</v>
      </c>
      <c r="F118" s="7">
        <v>33</v>
      </c>
      <c r="G118" s="2">
        <v>35</v>
      </c>
      <c r="H118" s="2">
        <f t="shared" si="5"/>
        <v>2</v>
      </c>
    </row>
    <row r="119" spans="1:8" x14ac:dyDescent="0.3">
      <c r="A119" s="1">
        <v>46242</v>
      </c>
      <c r="C119" s="9">
        <f>_xlfn.XLOOKUP(Log!A119, 'Daily Summary'!A:A, 'Daily Summary'!D:D, "Not found!")</f>
        <v>0.55833333333333335</v>
      </c>
      <c r="D119" s="9">
        <v>0.5621990740740741</v>
      </c>
      <c r="E119" s="6">
        <f t="shared" si="4"/>
        <v>5.5666666666666842</v>
      </c>
      <c r="F119" s="7">
        <v>38</v>
      </c>
      <c r="G119" s="2">
        <v>39</v>
      </c>
      <c r="H119" s="2">
        <f t="shared" si="5"/>
        <v>1</v>
      </c>
    </row>
    <row r="120" spans="1:8" x14ac:dyDescent="0.3">
      <c r="A120" s="1">
        <v>46242</v>
      </c>
      <c r="C120" s="9">
        <f>_xlfn.XLOOKUP(Log!A120, 'Daily Summary'!A:A, 'Daily Summary'!D:D, "Not found!")</f>
        <v>0.55833333333333335</v>
      </c>
      <c r="D120" s="9">
        <v>0.56359953703703702</v>
      </c>
      <c r="E120" s="6">
        <f t="shared" si="4"/>
        <v>7.5833333333332931</v>
      </c>
      <c r="F120" s="7">
        <v>39</v>
      </c>
      <c r="G120" s="2">
        <v>42</v>
      </c>
      <c r="H120" s="2">
        <f t="shared" si="5"/>
        <v>3</v>
      </c>
    </row>
    <row r="121" spans="1:8" x14ac:dyDescent="0.3">
      <c r="A121" s="1">
        <v>46242</v>
      </c>
      <c r="C121" s="9">
        <f>_xlfn.XLOOKUP(Log!A121, 'Daily Summary'!A:A, 'Daily Summary'!D:D, "Not found!")</f>
        <v>0.55833333333333335</v>
      </c>
      <c r="D121" s="9">
        <v>0.56498842592592591</v>
      </c>
      <c r="E121" s="6">
        <f t="shared" si="4"/>
        <v>9.583333333333286</v>
      </c>
      <c r="F121" s="7">
        <v>42</v>
      </c>
      <c r="G121" s="2">
        <v>45</v>
      </c>
      <c r="H121" s="2">
        <f t="shared" si="5"/>
        <v>3</v>
      </c>
    </row>
    <row r="122" spans="1:8" x14ac:dyDescent="0.3">
      <c r="A122" s="1">
        <v>46242</v>
      </c>
      <c r="C122" s="9">
        <f>_xlfn.XLOOKUP(Log!A122, 'Daily Summary'!A:A, 'Daily Summary'!D:D, "Not found!")</f>
        <v>0.55833333333333335</v>
      </c>
      <c r="D122" s="9">
        <v>0.56637731481481479</v>
      </c>
      <c r="E122" s="6">
        <f t="shared" si="4"/>
        <v>11.583333333333279</v>
      </c>
      <c r="F122" s="7">
        <v>44</v>
      </c>
      <c r="G122" s="2">
        <v>47</v>
      </c>
      <c r="H122" s="2">
        <f t="shared" si="5"/>
        <v>3</v>
      </c>
    </row>
    <row r="123" spans="1:8" x14ac:dyDescent="0.3">
      <c r="A123" s="1">
        <v>46242</v>
      </c>
      <c r="C123" s="9">
        <f>_xlfn.XLOOKUP(Log!A123, 'Daily Summary'!A:A, 'Daily Summary'!D:D, "Not found!")</f>
        <v>0.55833333333333335</v>
      </c>
      <c r="D123" s="9">
        <v>0.56777777777777783</v>
      </c>
      <c r="E123" s="6">
        <f t="shared" si="4"/>
        <v>13.600000000000048</v>
      </c>
      <c r="F123" s="7">
        <v>45</v>
      </c>
      <c r="G123" s="2">
        <v>49</v>
      </c>
      <c r="H123" s="2">
        <f t="shared" si="5"/>
        <v>4</v>
      </c>
    </row>
    <row r="124" spans="1:8" x14ac:dyDescent="0.3">
      <c r="A124" s="1">
        <v>46242</v>
      </c>
      <c r="C124" s="9">
        <f>_xlfn.XLOOKUP(Log!A124, 'Daily Summary'!A:A, 'Daily Summary'!D:D, "Not found!")</f>
        <v>0.55833333333333335</v>
      </c>
      <c r="D124" s="9">
        <v>0.56916666666666671</v>
      </c>
      <c r="E124" s="6">
        <f t="shared" si="4"/>
        <v>15.600000000000041</v>
      </c>
      <c r="F124" s="7">
        <v>48</v>
      </c>
      <c r="G124" s="2">
        <v>49</v>
      </c>
      <c r="H124" s="2">
        <f t="shared" si="5"/>
        <v>1</v>
      </c>
    </row>
    <row r="125" spans="1:8" x14ac:dyDescent="0.3">
      <c r="A125" s="1">
        <v>46242</v>
      </c>
      <c r="C125" s="9">
        <f>_xlfn.XLOOKUP(Log!A125, 'Daily Summary'!A:A, 'Daily Summary'!D:D, "Not found!")</f>
        <v>0.55833333333333335</v>
      </c>
      <c r="D125" s="9">
        <v>0.57056712962962963</v>
      </c>
      <c r="E125" s="6">
        <f t="shared" si="4"/>
        <v>17.616666666666649</v>
      </c>
      <c r="F125" s="7">
        <v>48</v>
      </c>
      <c r="G125" s="2">
        <v>52</v>
      </c>
      <c r="H125" s="2">
        <f t="shared" si="5"/>
        <v>4</v>
      </c>
    </row>
    <row r="126" spans="1:8" x14ac:dyDescent="0.3">
      <c r="A126" s="1">
        <v>46242</v>
      </c>
      <c r="C126" s="9">
        <f>_xlfn.XLOOKUP(Log!A126, 'Daily Summary'!A:A, 'Daily Summary'!D:D, "Not found!")</f>
        <v>0.55833333333333335</v>
      </c>
      <c r="D126" s="9">
        <v>0.57195601851851852</v>
      </c>
      <c r="E126" s="6">
        <f t="shared" si="4"/>
        <v>19.616666666666642</v>
      </c>
      <c r="F126" s="7">
        <v>51</v>
      </c>
      <c r="G126" s="2">
        <v>52</v>
      </c>
      <c r="H126" s="2">
        <f t="shared" si="5"/>
        <v>1</v>
      </c>
    </row>
    <row r="127" spans="1:8" x14ac:dyDescent="0.3">
      <c r="A127" s="1">
        <v>46242</v>
      </c>
      <c r="C127" s="9">
        <f>_xlfn.XLOOKUP(Log!A127, 'Daily Summary'!A:A, 'Daily Summary'!D:D, "Not found!")</f>
        <v>0.55833333333333335</v>
      </c>
      <c r="D127" s="9">
        <v>0.5733449074074074</v>
      </c>
      <c r="E127" s="6">
        <f t="shared" si="4"/>
        <v>21.616666666666635</v>
      </c>
      <c r="F127" s="7">
        <v>51</v>
      </c>
      <c r="G127" s="2">
        <v>54</v>
      </c>
      <c r="H127" s="2">
        <f t="shared" si="5"/>
        <v>3</v>
      </c>
    </row>
    <row r="128" spans="1:8" x14ac:dyDescent="0.3">
      <c r="A128" s="1">
        <v>46242</v>
      </c>
      <c r="C128" s="9">
        <f>_xlfn.XLOOKUP(Log!A128, 'Daily Summary'!A:A, 'Daily Summary'!D:D, "Not found!")</f>
        <v>0.55833333333333335</v>
      </c>
      <c r="D128" s="9">
        <v>0.57473379629629628</v>
      </c>
      <c r="E128" s="6">
        <f t="shared" si="4"/>
        <v>23.616666666666628</v>
      </c>
      <c r="F128" s="7">
        <v>52</v>
      </c>
      <c r="G128" s="2">
        <v>55</v>
      </c>
      <c r="H128" s="2">
        <f t="shared" si="5"/>
        <v>3</v>
      </c>
    </row>
    <row r="129" spans="1:8" x14ac:dyDescent="0.3">
      <c r="A129" s="1">
        <v>46242</v>
      </c>
      <c r="C129" s="9">
        <f>_xlfn.XLOOKUP(Log!A129, 'Daily Summary'!A:A, 'Daily Summary'!D:D, "Not found!")</f>
        <v>0.55833333333333335</v>
      </c>
      <c r="D129" s="9">
        <v>0.57613425925925921</v>
      </c>
      <c r="E129" s="6">
        <f t="shared" si="4"/>
        <v>25.633333333333237</v>
      </c>
      <c r="F129" s="7">
        <v>54</v>
      </c>
      <c r="G129" s="2">
        <v>55</v>
      </c>
      <c r="H129" s="2">
        <f t="shared" si="5"/>
        <v>1</v>
      </c>
    </row>
    <row r="130" spans="1:8" x14ac:dyDescent="0.3">
      <c r="A130" s="1">
        <v>46242</v>
      </c>
      <c r="C130" s="9">
        <f>_xlfn.XLOOKUP(Log!A130, 'Daily Summary'!A:A, 'Daily Summary'!D:D, "Not found!")</f>
        <v>0.55833333333333335</v>
      </c>
      <c r="D130" s="9">
        <v>0.5775231481481482</v>
      </c>
      <c r="E130" s="6">
        <f t="shared" si="4"/>
        <v>27.63333333333339</v>
      </c>
      <c r="F130" s="7">
        <v>54</v>
      </c>
      <c r="G130" s="2">
        <v>57</v>
      </c>
      <c r="H130" s="2">
        <f t="shared" si="5"/>
        <v>3</v>
      </c>
    </row>
    <row r="131" spans="1:8" x14ac:dyDescent="0.3">
      <c r="A131" s="1">
        <v>46242</v>
      </c>
      <c r="C131" s="9">
        <f>_xlfn.XLOOKUP(Log!A131, 'Daily Summary'!A:A, 'Daily Summary'!D:D, "Not found!")</f>
        <v>0.55833333333333335</v>
      </c>
      <c r="D131" s="9">
        <v>0.57892361111111112</v>
      </c>
      <c r="E131" s="6">
        <f t="shared" ref="E131:E194" si="6">IF(AND($D131&lt;&gt;"", $C131&lt;&gt;""), ($D131-$C131)*1440, "")</f>
        <v>29.65</v>
      </c>
      <c r="F131" s="7">
        <v>54</v>
      </c>
      <c r="G131" s="2">
        <v>58</v>
      </c>
      <c r="H131" s="2">
        <f t="shared" si="5"/>
        <v>4</v>
      </c>
    </row>
    <row r="132" spans="1:8" x14ac:dyDescent="0.3">
      <c r="A132" s="1">
        <v>46242</v>
      </c>
      <c r="C132" s="9">
        <f>_xlfn.XLOOKUP(Log!A132, 'Daily Summary'!A:A, 'Daily Summary'!D:D, "Not found!")</f>
        <v>0.55833333333333335</v>
      </c>
      <c r="D132" s="9">
        <v>0.58031250000000001</v>
      </c>
      <c r="E132" s="6">
        <f t="shared" si="6"/>
        <v>31.649999999999991</v>
      </c>
      <c r="F132" s="7">
        <v>55</v>
      </c>
      <c r="G132" s="2">
        <v>58</v>
      </c>
      <c r="H132" s="2">
        <f t="shared" si="5"/>
        <v>3</v>
      </c>
    </row>
    <row r="133" spans="1:8" x14ac:dyDescent="0.3">
      <c r="A133" s="1">
        <v>46244</v>
      </c>
      <c r="C133" s="9">
        <f>_xlfn.XLOOKUP(Log!A133, 'Daily Summary'!A:A, 'Daily Summary'!D:D, "Not found!")</f>
        <v>0.44374999999999998</v>
      </c>
      <c r="D133" s="9">
        <v>0.44513888888888886</v>
      </c>
      <c r="E133" s="6">
        <f t="shared" si="6"/>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6"/>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6"/>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6"/>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6"/>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6"/>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6"/>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6"/>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6"/>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6"/>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6"/>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6"/>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6"/>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6"/>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6"/>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6"/>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6"/>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6"/>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6"/>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6"/>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6"/>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6"/>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6"/>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6"/>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6"/>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6"/>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6"/>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6"/>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6"/>
        <v>27.383333333333351</v>
      </c>
      <c r="F161" s="7">
        <v>54</v>
      </c>
      <c r="G161" s="2">
        <v>55</v>
      </c>
      <c r="H161" s="2">
        <f t="shared" ref="H161:H224" si="7">IF(AND(G161&lt;&gt;"",F161&lt;&gt;""),G161-F161,"")</f>
        <v>1</v>
      </c>
    </row>
    <row r="162" spans="1:8" x14ac:dyDescent="0.3">
      <c r="A162" s="1">
        <v>46245</v>
      </c>
      <c r="C162" s="9">
        <f>_xlfn.XLOOKUP(Log!A162, 'Daily Summary'!A:A, 'Daily Summary'!D:D, "Not found!")</f>
        <v>0.38194444444444442</v>
      </c>
      <c r="D162" s="9">
        <v>0.40234953703703702</v>
      </c>
      <c r="E162" s="6">
        <f t="shared" si="6"/>
        <v>29.383333333333344</v>
      </c>
      <c r="F162" s="7">
        <v>54</v>
      </c>
      <c r="G162" s="2">
        <v>57</v>
      </c>
      <c r="H162" s="2">
        <f t="shared" si="7"/>
        <v>3</v>
      </c>
    </row>
    <row r="163" spans="1:8" x14ac:dyDescent="0.3">
      <c r="A163" s="1">
        <v>46245</v>
      </c>
      <c r="C163" s="9">
        <f>_xlfn.XLOOKUP(Log!A163, 'Daily Summary'!A:A, 'Daily Summary'!D:D, "Not found!")</f>
        <v>0.38194444444444442</v>
      </c>
      <c r="D163" s="9">
        <v>0.40375</v>
      </c>
      <c r="E163" s="6">
        <f t="shared" si="6"/>
        <v>31.400000000000034</v>
      </c>
      <c r="F163" s="7">
        <v>54</v>
      </c>
      <c r="G163" s="2">
        <v>57</v>
      </c>
      <c r="H163" s="2">
        <f t="shared" si="7"/>
        <v>3</v>
      </c>
    </row>
    <row r="164" spans="1:8" x14ac:dyDescent="0.3">
      <c r="A164" s="1">
        <v>46245</v>
      </c>
      <c r="C164" s="9">
        <f>_xlfn.XLOOKUP(Log!A164, 'Daily Summary'!A:A, 'Daily Summary'!D:D, "Not found!")</f>
        <v>0.38194444444444442</v>
      </c>
      <c r="D164" s="9">
        <v>0.40513888888888888</v>
      </c>
      <c r="E164" s="6">
        <f t="shared" si="6"/>
        <v>33.400000000000027</v>
      </c>
      <c r="F164" s="7">
        <v>54</v>
      </c>
      <c r="G164" s="2">
        <v>58</v>
      </c>
      <c r="H164" s="2">
        <f t="shared" si="7"/>
        <v>4</v>
      </c>
    </row>
    <row r="165" spans="1:8" x14ac:dyDescent="0.3">
      <c r="C165" s="9">
        <f>_xlfn.XLOOKUP(Log!A165, 'Daily Summary'!A:A, 'Daily Summary'!D:D, "Not found!")</f>
        <v>0</v>
      </c>
      <c r="E165" s="6" t="str">
        <f t="shared" si="6"/>
        <v/>
      </c>
      <c r="H165" s="2" t="str">
        <f t="shared" si="7"/>
        <v/>
      </c>
    </row>
    <row r="166" spans="1:8" x14ac:dyDescent="0.3">
      <c r="C166" s="9">
        <f>_xlfn.XLOOKUP(Log!A166, 'Daily Summary'!A:A, 'Daily Summary'!D:D, "Not found!")</f>
        <v>0</v>
      </c>
      <c r="E166" s="6" t="str">
        <f t="shared" si="6"/>
        <v/>
      </c>
      <c r="H166" s="2" t="str">
        <f t="shared" si="7"/>
        <v/>
      </c>
    </row>
    <row r="167" spans="1:8" x14ac:dyDescent="0.3">
      <c r="C167" s="9">
        <f>_xlfn.XLOOKUP(Log!A167, 'Daily Summary'!A:A, 'Daily Summary'!D:D, "Not found!")</f>
        <v>0</v>
      </c>
      <c r="E167" s="6" t="str">
        <f t="shared" si="6"/>
        <v/>
      </c>
      <c r="H167" s="2" t="str">
        <f t="shared" si="7"/>
        <v/>
      </c>
    </row>
    <row r="168" spans="1:8" x14ac:dyDescent="0.3">
      <c r="C168" s="9">
        <f>_xlfn.XLOOKUP(Log!A168, 'Daily Summary'!A:A, 'Daily Summary'!D:D, "Not found!")</f>
        <v>0</v>
      </c>
      <c r="E168" s="6" t="str">
        <f t="shared" si="6"/>
        <v/>
      </c>
      <c r="H168" s="2" t="str">
        <f t="shared" si="7"/>
        <v/>
      </c>
    </row>
    <row r="169" spans="1:8" x14ac:dyDescent="0.3">
      <c r="C169" s="9">
        <f>_xlfn.XLOOKUP(Log!A169, 'Daily Summary'!A:A, 'Daily Summary'!D:D, "Not found!")</f>
        <v>0</v>
      </c>
      <c r="E169" s="6" t="str">
        <f t="shared" si="6"/>
        <v/>
      </c>
      <c r="H169" s="2" t="str">
        <f t="shared" si="7"/>
        <v/>
      </c>
    </row>
    <row r="170" spans="1:8" x14ac:dyDescent="0.3">
      <c r="C170" s="9">
        <f>_xlfn.XLOOKUP(Log!A170, 'Daily Summary'!A:A, 'Daily Summary'!D:D, "Not found!")</f>
        <v>0</v>
      </c>
      <c r="E170" s="6" t="str">
        <f t="shared" si="6"/>
        <v/>
      </c>
      <c r="H170" s="2" t="str">
        <f t="shared" si="7"/>
        <v/>
      </c>
    </row>
    <row r="171" spans="1:8" x14ac:dyDescent="0.3">
      <c r="C171" s="9">
        <f>_xlfn.XLOOKUP(Log!A171, 'Daily Summary'!A:A, 'Daily Summary'!D:D, "Not found!")</f>
        <v>0</v>
      </c>
      <c r="E171" s="6" t="str">
        <f t="shared" si="6"/>
        <v/>
      </c>
      <c r="H171" s="2" t="str">
        <f t="shared" si="7"/>
        <v/>
      </c>
    </row>
    <row r="172" spans="1:8" x14ac:dyDescent="0.3">
      <c r="C172" s="9">
        <f>_xlfn.XLOOKUP(Log!A172, 'Daily Summary'!A:A, 'Daily Summary'!D:D, "Not found!")</f>
        <v>0</v>
      </c>
      <c r="E172" s="6" t="str">
        <f t="shared" si="6"/>
        <v/>
      </c>
      <c r="H172" s="2" t="str">
        <f t="shared" si="7"/>
        <v/>
      </c>
    </row>
    <row r="173" spans="1:8" x14ac:dyDescent="0.3">
      <c r="C173" s="9">
        <f>_xlfn.XLOOKUP(Log!A173, 'Daily Summary'!A:A, 'Daily Summary'!D:D, "Not found!")</f>
        <v>0</v>
      </c>
      <c r="E173" s="6" t="str">
        <f t="shared" si="6"/>
        <v/>
      </c>
      <c r="H173" s="2" t="str">
        <f t="shared" si="7"/>
        <v/>
      </c>
    </row>
    <row r="174" spans="1:8" x14ac:dyDescent="0.3">
      <c r="C174" s="9">
        <f>_xlfn.XLOOKUP(Log!A174, 'Daily Summary'!A:A, 'Daily Summary'!D:D, "Not found!")</f>
        <v>0</v>
      </c>
      <c r="E174" s="6" t="str">
        <f t="shared" si="6"/>
        <v/>
      </c>
      <c r="H174" s="2" t="str">
        <f t="shared" si="7"/>
        <v/>
      </c>
    </row>
    <row r="175" spans="1:8" x14ac:dyDescent="0.3">
      <c r="C175" s="9">
        <f>_xlfn.XLOOKUP(Log!A175, 'Daily Summary'!A:A, 'Daily Summary'!D:D, "Not found!")</f>
        <v>0</v>
      </c>
      <c r="E175" s="6" t="str">
        <f t="shared" si="6"/>
        <v/>
      </c>
      <c r="H175" s="2" t="str">
        <f t="shared" si="7"/>
        <v/>
      </c>
    </row>
    <row r="176" spans="1:8" x14ac:dyDescent="0.3">
      <c r="C176" s="9">
        <f>_xlfn.XLOOKUP(Log!A176, 'Daily Summary'!A:A, 'Daily Summary'!D:D, "Not found!")</f>
        <v>0</v>
      </c>
      <c r="E176" s="6" t="str">
        <f t="shared" si="6"/>
        <v/>
      </c>
      <c r="H176" s="2" t="str">
        <f t="shared" si="7"/>
        <v/>
      </c>
    </row>
    <row r="177" spans="3:8" x14ac:dyDescent="0.3">
      <c r="C177" s="9">
        <f>_xlfn.XLOOKUP(Log!A177, 'Daily Summary'!A:A, 'Daily Summary'!D:D, "Not found!")</f>
        <v>0</v>
      </c>
      <c r="E177" s="6" t="str">
        <f t="shared" si="6"/>
        <v/>
      </c>
      <c r="H177" s="2" t="str">
        <f t="shared" si="7"/>
        <v/>
      </c>
    </row>
    <row r="178" spans="3:8" x14ac:dyDescent="0.3">
      <c r="C178" s="9">
        <f>_xlfn.XLOOKUP(Log!A178, 'Daily Summary'!A:A, 'Daily Summary'!D:D, "Not found!")</f>
        <v>0</v>
      </c>
      <c r="E178" s="6" t="str">
        <f t="shared" si="6"/>
        <v/>
      </c>
      <c r="H178" s="2" t="str">
        <f t="shared" si="7"/>
        <v/>
      </c>
    </row>
    <row r="179" spans="3:8" x14ac:dyDescent="0.3">
      <c r="C179" s="9">
        <f>_xlfn.XLOOKUP(Log!A179, 'Daily Summary'!A:A, 'Daily Summary'!D:D, "Not found!")</f>
        <v>0</v>
      </c>
      <c r="E179" s="6" t="str">
        <f t="shared" si="6"/>
        <v/>
      </c>
      <c r="H179" s="2" t="str">
        <f t="shared" si="7"/>
        <v/>
      </c>
    </row>
    <row r="180" spans="3:8" x14ac:dyDescent="0.3">
      <c r="C180" s="9">
        <f>_xlfn.XLOOKUP(Log!A180, 'Daily Summary'!A:A, 'Daily Summary'!D:D, "Not found!")</f>
        <v>0</v>
      </c>
      <c r="E180" s="6" t="str">
        <f t="shared" si="6"/>
        <v/>
      </c>
      <c r="H180" s="2" t="str">
        <f t="shared" si="7"/>
        <v/>
      </c>
    </row>
    <row r="181" spans="3:8" x14ac:dyDescent="0.3">
      <c r="C181" s="9">
        <f>_xlfn.XLOOKUP(Log!A181, 'Daily Summary'!A:A, 'Daily Summary'!D:D, "Not found!")</f>
        <v>0</v>
      </c>
      <c r="E181" s="6" t="str">
        <f t="shared" si="6"/>
        <v/>
      </c>
      <c r="H181" s="2" t="str">
        <f t="shared" si="7"/>
        <v/>
      </c>
    </row>
    <row r="182" spans="3:8" x14ac:dyDescent="0.3">
      <c r="C182" s="9">
        <f>_xlfn.XLOOKUP(Log!A182, 'Daily Summary'!A:A, 'Daily Summary'!D:D, "Not found!")</f>
        <v>0</v>
      </c>
      <c r="E182" s="6" t="str">
        <f t="shared" si="6"/>
        <v/>
      </c>
      <c r="H182" s="2" t="str">
        <f t="shared" si="7"/>
        <v/>
      </c>
    </row>
    <row r="183" spans="3:8" x14ac:dyDescent="0.3">
      <c r="C183" s="9">
        <f>_xlfn.XLOOKUP(Log!A183, 'Daily Summary'!A:A, 'Daily Summary'!D:D, "Not found!")</f>
        <v>0</v>
      </c>
      <c r="E183" s="6" t="str">
        <f t="shared" si="6"/>
        <v/>
      </c>
      <c r="H183" s="2" t="str">
        <f t="shared" si="7"/>
        <v/>
      </c>
    </row>
    <row r="184" spans="3:8" x14ac:dyDescent="0.3">
      <c r="C184" s="9">
        <f>_xlfn.XLOOKUP(Log!A184, 'Daily Summary'!A:A, 'Daily Summary'!D:D, "Not found!")</f>
        <v>0</v>
      </c>
      <c r="E184" s="6" t="str">
        <f t="shared" si="6"/>
        <v/>
      </c>
      <c r="H184" s="2" t="str">
        <f t="shared" si="7"/>
        <v/>
      </c>
    </row>
    <row r="185" spans="3:8" x14ac:dyDescent="0.3">
      <c r="C185" s="9">
        <f>_xlfn.XLOOKUP(Log!A185, 'Daily Summary'!A:A, 'Daily Summary'!D:D, "Not found!")</f>
        <v>0</v>
      </c>
      <c r="E185" s="6" t="str">
        <f t="shared" si="6"/>
        <v/>
      </c>
      <c r="H185" s="2" t="str">
        <f t="shared" si="7"/>
        <v/>
      </c>
    </row>
    <row r="186" spans="3:8" x14ac:dyDescent="0.3">
      <c r="C186" s="9">
        <f>_xlfn.XLOOKUP(Log!A186, 'Daily Summary'!A:A, 'Daily Summary'!D:D, "Not found!")</f>
        <v>0</v>
      </c>
      <c r="E186" s="6" t="str">
        <f t="shared" si="6"/>
        <v/>
      </c>
      <c r="H186" s="2" t="str">
        <f t="shared" si="7"/>
        <v/>
      </c>
    </row>
    <row r="187" spans="3:8" x14ac:dyDescent="0.3">
      <c r="C187" s="9">
        <f>_xlfn.XLOOKUP(Log!A187, 'Daily Summary'!A:A, 'Daily Summary'!D:D, "Not found!")</f>
        <v>0</v>
      </c>
      <c r="E187" s="6" t="str">
        <f t="shared" si="6"/>
        <v/>
      </c>
      <c r="H187" s="2" t="str">
        <f t="shared" si="7"/>
        <v/>
      </c>
    </row>
    <row r="188" spans="3:8" x14ac:dyDescent="0.3">
      <c r="C188" s="9">
        <f>_xlfn.XLOOKUP(Log!A188, 'Daily Summary'!A:A, 'Daily Summary'!D:D, "Not found!")</f>
        <v>0</v>
      </c>
      <c r="E188" s="6" t="str">
        <f t="shared" si="6"/>
        <v/>
      </c>
      <c r="H188" s="2" t="str">
        <f t="shared" si="7"/>
        <v/>
      </c>
    </row>
    <row r="189" spans="3:8" x14ac:dyDescent="0.3">
      <c r="C189" s="9">
        <f>_xlfn.XLOOKUP(Log!A189, 'Daily Summary'!A:A, 'Daily Summary'!D:D, "Not found!")</f>
        <v>0</v>
      </c>
      <c r="E189" s="6" t="str">
        <f t="shared" si="6"/>
        <v/>
      </c>
      <c r="H189" s="2" t="str">
        <f t="shared" si="7"/>
        <v/>
      </c>
    </row>
    <row r="190" spans="3:8" x14ac:dyDescent="0.3">
      <c r="C190" s="9">
        <f>_xlfn.XLOOKUP(Log!A190, 'Daily Summary'!A:A, 'Daily Summary'!D:D, "Not found!")</f>
        <v>0</v>
      </c>
      <c r="E190" s="6" t="str">
        <f t="shared" si="6"/>
        <v/>
      </c>
      <c r="H190" s="2" t="str">
        <f t="shared" si="7"/>
        <v/>
      </c>
    </row>
    <row r="191" spans="3:8" x14ac:dyDescent="0.3">
      <c r="C191" s="9">
        <f>_xlfn.XLOOKUP(Log!A191, 'Daily Summary'!A:A, 'Daily Summary'!D:D, "Not found!")</f>
        <v>0</v>
      </c>
      <c r="E191" s="6" t="str">
        <f t="shared" si="6"/>
        <v/>
      </c>
      <c r="H191" s="2" t="str">
        <f t="shared" si="7"/>
        <v/>
      </c>
    </row>
    <row r="192" spans="3: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A2:C1048576 D3:XFD32 D33:L40 D41:XFD44 D45:H45 D46:XFD1048576 A1 I1:XFD1 D2:I2 K2:XFD2 O33:XFD40 J45:XFD45">
    <cfRule type="expression" dxfId="2" priority="2">
      <formula>AND(ROW()&gt;2, COLUMN()&lt;8, MOD(ROW(),2)=0)</formula>
    </cfRule>
  </conditionalFormatting>
  <conditionalFormatting sqref="A3:H9999">
    <cfRule type="expression" dxfId="1" priority="1">
      <formula>$B3&lt;&gt;""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100"/>
  <sheetViews>
    <sheetView tabSelected="1" zoomScaleNormal="100" workbookViewId="0">
      <pane ySplit="1" topLeftCell="A8" activePane="bottomLeft" state="frozen"/>
      <selection pane="bottomLeft" activeCell="F22" sqref="F22"/>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9"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41.4" x14ac:dyDescent="0.3">
      <c r="A6" s="1" t="s">
        <v>12</v>
      </c>
      <c r="B6" s="1"/>
      <c r="C6" s="2">
        <v>24.5</v>
      </c>
      <c r="D6" s="8">
        <v>0.4284722222222222</v>
      </c>
      <c r="E6" s="25" t="str">
        <f>IF(AND(D6&lt;&gt;"", C6&lt;&gt;""), IF(COUNTIFS(Log!$A$3:$A$9999,B6,Log!$F$3:$F$9999,"&gt;=50")=0,"–",_xlfn.MINIFS(Log!$E$3:$E$9999,Log!$A$3:$A$9999,B6,Log!$F$3:$F$9999,"&gt;=50")), "")</f>
        <v>–</v>
      </c>
      <c r="F6" s="16" t="s">
        <v>17</v>
      </c>
    </row>
    <row r="7" spans="1:6" ht="28.8" x14ac:dyDescent="0.3">
      <c r="A7" s="1">
        <v>46232</v>
      </c>
      <c r="B7" s="1">
        <v>46232</v>
      </c>
      <c r="C7" s="2">
        <v>25.5</v>
      </c>
      <c r="D7" s="8">
        <v>0.73472222222222228</v>
      </c>
      <c r="E7" s="25">
        <f>IF(AND(D7&lt;&gt;"", C7&lt;&gt;""), IF(COUNTIFS(Log!$A$3:$A$9999,B7,Log!$F$3:$F$9999,"&gt;=50")=0,"–",_xlfn.MINIFS(Log!$E$3:$E$9999,Log!$A$3:$A$9999,B7,Log!$F$3:$F$9999,"&gt;=50")), "")</f>
        <v>15.999999999999943</v>
      </c>
      <c r="F7" s="15" t="s">
        <v>10</v>
      </c>
    </row>
    <row r="8" spans="1:6" ht="43.2" x14ac:dyDescent="0.3">
      <c r="A8" s="1">
        <f t="shared" si="0"/>
        <v>46233</v>
      </c>
      <c r="B8" s="1">
        <f t="shared" si="0"/>
        <v>46233</v>
      </c>
      <c r="C8" s="2">
        <v>24.5</v>
      </c>
      <c r="D8" s="8">
        <v>0.40972222222222221</v>
      </c>
      <c r="E8" s="25">
        <f>IF(AND(D8&lt;&gt;"", C8&lt;&gt;""), IF(COUNTIFS(Log!$A$3:$A$9999,B8,Log!$F$3:$F$9999,"&gt;=50")=0,"–",_xlfn.MINIFS(Log!$E$3:$E$9999,Log!$A$3:$A$9999,B8,Log!$F$3:$F$9999,"&gt;=50")), "")</f>
        <v>19.000000000000014</v>
      </c>
      <c r="F8" s="15" t="s">
        <v>21</v>
      </c>
    </row>
    <row r="9" spans="1:6" x14ac:dyDescent="0.3">
      <c r="A9" s="1">
        <f t="shared" si="0"/>
        <v>46234</v>
      </c>
      <c r="B9" s="1">
        <f t="shared" si="0"/>
        <v>46234</v>
      </c>
      <c r="C9" s="2">
        <v>24</v>
      </c>
      <c r="D9" s="8">
        <v>0.43055555555555558</v>
      </c>
      <c r="E9" s="25">
        <f>IF(AND(D9&lt;&gt;"", C9&lt;&gt;""), IF(COUNTIFS(Log!$A$3:$A$9999,B9,Log!$F$3:$F$9999,"&gt;=50")=0,"–",_xlfn.MINIFS(Log!$E$3:$E$9999,Log!$A$3:$A$9999,B9,Log!$F$3:$F$9999,"&gt;=50")), "")</f>
        <v>20.999999999999925</v>
      </c>
      <c r="F9" s="15" t="s">
        <v>19</v>
      </c>
    </row>
    <row r="10" spans="1:6" x14ac:dyDescent="0.3">
      <c r="A10" s="1">
        <v>46235</v>
      </c>
      <c r="B10" s="1">
        <v>46235</v>
      </c>
      <c r="C10" s="2">
        <v>24</v>
      </c>
      <c r="D10" s="8">
        <v>0.70625000000000004</v>
      </c>
      <c r="E10" s="25">
        <f>IF(AND(D10&lt;&gt;"", C10&lt;&gt;""), IF(COUNTIFS(Log!$A$3:$A$9999,B10,Log!$F$3:$F$9999,"&gt;=50")=0,"–",_xlfn.MINIFS(Log!$E$3:$E$9999,Log!$A$3:$A$9999,B10,Log!$F$3:$F$9999,"&gt;=50")), "")</f>
        <v>21.583333333333243</v>
      </c>
      <c r="F10" s="27" t="s">
        <v>44</v>
      </c>
    </row>
    <row r="11" spans="1:6" x14ac:dyDescent="0.3">
      <c r="A11" s="1">
        <v>46237</v>
      </c>
      <c r="B11" s="1">
        <v>46237</v>
      </c>
      <c r="C11" s="2">
        <v>23.5</v>
      </c>
      <c r="D11" s="8">
        <v>0.40972222222222221</v>
      </c>
      <c r="E11" s="25">
        <f>IF(AND(D11&lt;&gt;"", C11&lt;&gt;""), IF(COUNTIFS(Log!$A$3:$A$9999,B11,Log!$F$3:$F$9999,"&gt;=50")=0,"–",_xlfn.MINIFS(Log!$E$3:$E$9999,Log!$A$3:$A$9999,B11,Log!$F$3:$F$9999,"&gt;=50")), "")</f>
        <v>21.216666666666654</v>
      </c>
    </row>
    <row r="12" spans="1:6" ht="72" x14ac:dyDescent="0.3">
      <c r="A12" s="1">
        <v>46238</v>
      </c>
      <c r="B12" s="1">
        <v>46238</v>
      </c>
      <c r="C12" s="2">
        <v>24.5</v>
      </c>
      <c r="D12" s="8">
        <v>0.42986111111111114</v>
      </c>
      <c r="E12" s="25">
        <f>IF(AND(D12&lt;&gt;"", C12&lt;&gt;""), IF(COUNTIFS(Log!$A$3:$A$9999,B12,Log!$F$3:$F$9999,"&gt;=50")=0,"–",_xlfn.MINIFS(Log!$E$3:$E$9999,Log!$A$3:$A$9999,B12,Log!$F$3:$F$9999,"&gt;=50")), "")</f>
        <v>21.066666666666627</v>
      </c>
      <c r="F12" s="15" t="s">
        <v>50</v>
      </c>
    </row>
    <row r="13" spans="1:6" x14ac:dyDescent="0.3">
      <c r="A13" s="1">
        <v>46239</v>
      </c>
      <c r="B13" s="1">
        <v>46239</v>
      </c>
      <c r="C13" s="2">
        <v>24.5</v>
      </c>
      <c r="D13" s="8">
        <v>0.48333333333333334</v>
      </c>
      <c r="E13" s="25">
        <f>IF(AND(D13&lt;&gt;"", C13&lt;&gt;""), IF(COUNTIFS(Log!$A$3:$A$9999,B13,Log!$F$3:$F$9999,"&gt;=50")=0,"–",_xlfn.MINIFS(Log!$E$3:$E$9999,Log!$A$3:$A$9999,B13,Log!$F$3:$F$9999,"&gt;=50")), "")</f>
        <v>19.600000000000026</v>
      </c>
      <c r="F13" s="15" t="s">
        <v>51</v>
      </c>
    </row>
    <row r="14" spans="1:6" x14ac:dyDescent="0.3">
      <c r="A14" s="1">
        <v>46240</v>
      </c>
      <c r="B14" s="1">
        <v>46240</v>
      </c>
      <c r="C14" s="2">
        <v>24</v>
      </c>
      <c r="D14" s="8">
        <v>0.43888888888888888</v>
      </c>
      <c r="E14" s="25">
        <f>IF(AND(D14&lt;&gt;"", C14&lt;&gt;""), IF(COUNTIFS(Log!$A$3:$A$9999,B14,Log!$F$3:$F$9999,"&gt;=50")=0,"–",_xlfn.MINIFS(Log!$E$3:$E$9999,Log!$A$3:$A$9999,B14,Log!$F$3:$F$9999,"&gt;=50")), "")</f>
        <v>20.133333333333336</v>
      </c>
    </row>
    <row r="15" spans="1:6" x14ac:dyDescent="0.3">
      <c r="A15" s="1">
        <v>46242</v>
      </c>
      <c r="B15" s="1">
        <v>46242</v>
      </c>
      <c r="C15" s="2">
        <v>24</v>
      </c>
      <c r="D15" s="8">
        <v>0.55833333333333335</v>
      </c>
      <c r="E15" s="25">
        <f>IF(AND(D15&lt;&gt;"", C15&lt;&gt;""), IF(COUNTIFS(Log!$A$3:$A$9999,B15,Log!$F$3:$F$9999,"&gt;=50")=0,"–",_xlfn.MINIFS(Log!$E$3:$E$9999,Log!$A$3:$A$9999,B15,Log!$F$3:$F$9999,"&gt;=50")), "")</f>
        <v>19.616666666666642</v>
      </c>
    </row>
    <row r="16" spans="1:6" ht="28.8" x14ac:dyDescent="0.3">
      <c r="A16" s="1">
        <v>46244</v>
      </c>
      <c r="B16" s="1">
        <v>46244</v>
      </c>
      <c r="C16" s="2">
        <v>24</v>
      </c>
      <c r="D16" s="8">
        <v>0.44374999999999998</v>
      </c>
      <c r="E16" s="25">
        <f>IF(AND(D16&lt;&gt;"", C16&lt;&gt;""), IF(COUNTIFS(Log!$A$3:$A$9999,B16,Log!$F$3:$F$9999,"&gt;=50")=0,"–",_xlfn.MINIFS(Log!$E$3:$E$9999,Log!$A$3:$A$9999,B16,Log!$F$3:$F$9999,"&gt;=50")), "")</f>
        <v>18.850000000000069</v>
      </c>
      <c r="F16" s="15" t="s">
        <v>54</v>
      </c>
    </row>
    <row r="17" spans="1:6" x14ac:dyDescent="0.3">
      <c r="A17" s="1">
        <v>46245</v>
      </c>
      <c r="B17" s="1">
        <v>46245</v>
      </c>
      <c r="C17" s="2">
        <v>23.5</v>
      </c>
      <c r="D17" s="8">
        <v>0.38194444444444442</v>
      </c>
      <c r="E17" s="25">
        <f>IF(AND(D17&lt;&gt;"", C17&lt;&gt;""), IF(COUNTIFS(Log!$A$3:$A$9999,B17,Log!$F$3:$F$9999,"&gt;=50")=0,"–",_xlfn.MINIFS(Log!$E$3:$E$9999,Log!$A$3:$A$9999,B17,Log!$F$3:$F$9999,"&gt;=50")), "")</f>
        <v>21.350000000000058</v>
      </c>
      <c r="F17" s="15" t="s">
        <v>55</v>
      </c>
    </row>
    <row r="18" spans="1:6" x14ac:dyDescent="0.3">
      <c r="A18" s="1"/>
      <c r="B18" s="1"/>
      <c r="E18" s="25" t="str">
        <f>IF(AND(D18&lt;&gt;"", C18&lt;&gt;""), IF(COUNTIFS(Log!$A$3:$A$9999,B18,Log!$F$3:$F$9999,"&gt;=50")=0,"–",_xlfn.MINIFS(Log!$E$3:$E$9999,Log!$A$3:$A$9999,B18,Log!$F$3:$F$9999,"&gt;=50")), "")</f>
        <v/>
      </c>
    </row>
    <row r="19" spans="1:6" x14ac:dyDescent="0.3">
      <c r="A19" s="1"/>
      <c r="B19" s="1"/>
      <c r="E19" s="25" t="str">
        <f>IF(AND(D19&lt;&gt;"", C19&lt;&gt;""), IF(COUNTIFS(Log!$A$3:$A$9999,B19,Log!$F$3:$F$9999,"&gt;=50")=0,"–",_xlfn.MINIFS(Log!$E$3:$E$9999,Log!$A$3:$A$9999,B19,Log!$F$3:$F$9999,"&gt;=50")), "")</f>
        <v/>
      </c>
    </row>
    <row r="20" spans="1:6" x14ac:dyDescent="0.3">
      <c r="A20" s="1"/>
      <c r="B20" s="1"/>
      <c r="E20" s="25" t="str">
        <f>IF(AND(D20&lt;&gt;"", C20&lt;&gt;""), IF(COUNTIFS(Log!$A$3:$A$9999,B20,Log!$F$3:$F$9999,"&gt;=50")=0,"–",_xlfn.MINIFS(Log!$E$3:$E$9999,Log!$A$3:$A$9999,B20,Log!$F$3:$F$9999,"&gt;=50")), "")</f>
        <v/>
      </c>
    </row>
    <row r="21" spans="1:6" x14ac:dyDescent="0.3">
      <c r="A21" s="1"/>
      <c r="B21" s="1"/>
      <c r="E21" s="25" t="str">
        <f>IF(AND(D21&lt;&gt;"", C21&lt;&gt;""), IF(COUNTIFS(Log!$A$3:$A$9999,B21,Log!$F$3:$F$9999,"&gt;=50")=0,"–",_xlfn.MINIFS(Log!$E$3:$E$9999,Log!$A$3:$A$9999,B21,Log!$F$3:$F$9999,"&gt;=50")), "")</f>
        <v/>
      </c>
    </row>
    <row r="22" spans="1:6" x14ac:dyDescent="0.3">
      <c r="A22" s="1"/>
      <c r="B22" s="1"/>
      <c r="E22" s="25" t="str">
        <f>IF(AND(D22&lt;&gt;"", C22&lt;&gt;""), IF(COUNTIFS(Log!$A$3:$A$9999,B22,Log!$F$3:$F$9999,"&gt;=50")=0,"–",_xlfn.MINIFS(Log!$E$3:$E$9999,Log!$A$3:$A$9999,B22,Log!$F$3:$F$9999,"&gt;=50")), "")</f>
        <v/>
      </c>
    </row>
    <row r="23" spans="1:6" x14ac:dyDescent="0.3">
      <c r="A23" s="1"/>
      <c r="B23" s="1"/>
      <c r="E23" s="25" t="str">
        <f>IF(AND(D23&lt;&gt;"", C23&lt;&gt;""), IF(COUNTIFS(Log!$A$3:$A$9999,B23,Log!$F$3:$F$9999,"&gt;=50")=0,"–",_xlfn.MINIFS(Log!$E$3:$E$9999,Log!$A$3:$A$9999,B23,Log!$F$3:$F$9999,"&gt;=50")), "")</f>
        <v/>
      </c>
    </row>
    <row r="24" spans="1:6" x14ac:dyDescent="0.3">
      <c r="A24" s="1"/>
      <c r="B24" s="1"/>
      <c r="E24" s="25" t="str">
        <f>IF(AND(D24&lt;&gt;"", C24&lt;&gt;""), IF(COUNTIFS(Log!$A$3:$A$9999,B24,Log!$F$3:$F$9999,"&gt;=50")=0,"–",_xlfn.MINIFS(Log!$E$3:$E$9999,Log!$A$3:$A$9999,B24,Log!$F$3:$F$9999,"&gt;=50")), "")</f>
        <v/>
      </c>
    </row>
    <row r="25" spans="1:6" x14ac:dyDescent="0.3">
      <c r="A25" s="1"/>
      <c r="B25" s="1"/>
      <c r="E25" s="25" t="str">
        <f>IF(AND(D25&lt;&gt;"", C25&lt;&gt;""), IF(COUNTIFS(Log!$A$3:$A$9999,B25,Log!$F$3:$F$9999,"&gt;=50")=0,"–",_xlfn.MINIFS(Log!$E$3:$E$9999,Log!$A$3:$A$9999,B25,Log!$F$3:$F$9999,"&gt;=50")), "")</f>
        <v/>
      </c>
    </row>
    <row r="26" spans="1:6" x14ac:dyDescent="0.3">
      <c r="A26" s="1"/>
      <c r="B26" s="1"/>
      <c r="E26" s="25" t="str">
        <f>IF(AND(D26&lt;&gt;"", C26&lt;&gt;""), IF(COUNTIFS(Log!$A$3:$A$9999,B26,Log!$F$3:$F$9999,"&gt;=50")=0,"–",_xlfn.MINIFS(Log!$E$3:$E$9999,Log!$A$3:$A$9999,B26,Log!$F$3:$F$9999,"&gt;=50")), "")</f>
        <v/>
      </c>
    </row>
    <row r="27" spans="1:6" x14ac:dyDescent="0.3">
      <c r="A27" s="1"/>
      <c r="B27" s="1"/>
      <c r="E27" s="25" t="str">
        <f>IF(AND(D27&lt;&gt;"", C27&lt;&gt;""), IF(COUNTIFS(Log!$A$3:$A$9999,B27,Log!$F$3:$F$9999,"&gt;=50")=0,"–",_xlfn.MINIFS(Log!$E$3:$E$9999,Log!$A$3:$A$9999,B27,Log!$F$3:$F$9999,"&gt;=50")), "")</f>
        <v/>
      </c>
    </row>
    <row r="28" spans="1:6" x14ac:dyDescent="0.3">
      <c r="A28" s="1"/>
      <c r="B28" s="1"/>
      <c r="E28" s="25" t="str">
        <f>IF(AND(D28&lt;&gt;"", C28&lt;&gt;""), IF(COUNTIFS(Log!$A$3:$A$9999,B28,Log!$F$3:$F$9999,"&gt;=50")=0,"–",_xlfn.MINIFS(Log!$E$3:$E$9999,Log!$A$3:$A$9999,B28,Log!$F$3:$F$9999,"&gt;=50")), "")</f>
        <v/>
      </c>
    </row>
    <row r="29" spans="1:6" x14ac:dyDescent="0.3">
      <c r="A29" s="1"/>
      <c r="B29" s="1"/>
      <c r="E29" s="25" t="str">
        <f>IF(AND(D29&lt;&gt;"", C29&lt;&gt;""), IF(COUNTIFS(Log!$A$3:$A$9999,B29,Log!$F$3:$F$9999,"&gt;=50")=0,"–",_xlfn.MINIFS(Log!$E$3:$E$9999,Log!$A$3:$A$9999,B29,Log!$F$3:$F$9999,"&gt;=50")), "")</f>
        <v/>
      </c>
    </row>
    <row r="30" spans="1:6" x14ac:dyDescent="0.3">
      <c r="A30" s="1"/>
      <c r="B30" s="1"/>
      <c r="E30" s="25" t="str">
        <f>IF(AND(D30&lt;&gt;"", C30&lt;&gt;""), IF(COUNTIFS(Log!$A$3:$A$9999,B30,Log!$F$3:$F$9999,"&gt;=50")=0,"–",_xlfn.MINIFS(Log!$E$3:$E$9999,Log!$A$3:$A$9999,B30,Log!$F$3:$F$9999,"&gt;=50")), "")</f>
        <v/>
      </c>
    </row>
    <row r="31" spans="1:6" x14ac:dyDescent="0.3">
      <c r="A31" s="1"/>
      <c r="B31" s="1"/>
      <c r="E31" s="25" t="str">
        <f>IF(AND(D31&lt;&gt;"", C31&lt;&gt;""), IF(COUNTIFS(Log!$A$3:$A$9999,B31,Log!$F$3:$F$9999,"&gt;=50")=0,"–",_xlfn.MINIFS(Log!$E$3:$E$9999,Log!$A$3:$A$9999,B31,Log!$F$3:$F$9999,"&gt;=50")), "")</f>
        <v/>
      </c>
    </row>
    <row r="32" spans="1:6"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A58" s="1"/>
      <c r="B58" s="1"/>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row r="100" spans="5:5" x14ac:dyDescent="0.3">
      <c r="E100" s="25" t="str">
        <f>IF(AND(D100&lt;&gt;"", C100&lt;&gt;""), IF(COUNTIFS(Log!$A$3:$A$9999,B100,Log!$F$3:$F$9999,"&gt;=50")=0,"–",_xlfn.MINIFS(Log!$E$3:$E$9999,Log!$A$3:$A$9999,B100,Log!$F$3:$F$9999,"&gt;=50")),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K20" sqref="K20"/>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2026-08-11T09:25:21Z</dcterms:modified>
</cp:coreProperties>
</file>